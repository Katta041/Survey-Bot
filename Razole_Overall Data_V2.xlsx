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tables/table1.xml" ContentType="application/vnd.openxmlformats-officedocument.spreadsheetml.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kes\Dropbox\FIELD DATA &amp; INSIGHTS\AP 2025\Constituencies\"/>
    </mc:Choice>
  </mc:AlternateContent>
  <xr:revisionPtr revIDLastSave="0" documentId="13_ncr:1_{5ABD56A4-C09E-4E92-A670-AF22E73F0E49}" xr6:coauthVersionLast="47" xr6:coauthVersionMax="47" xr10:uidLastSave="{00000000-0000-0000-0000-000000000000}"/>
  <bookViews>
    <workbookView xWindow="-108" yWindow="-108" windowWidth="23256" windowHeight="12456" tabRatio="702" activeTab="4" xr2:uid="{00000000-000D-0000-FFFF-FFFF00000000}"/>
  </bookViews>
  <sheets>
    <sheet name="Sampling" sheetId="3" r:id="rId1"/>
    <sheet name="Factor" sheetId="7" r:id="rId2"/>
    <sheet name="Pivot" sheetId="5" r:id="rId3"/>
    <sheet name="Data" sheetId="2" r:id="rId4"/>
    <sheet name="Factor Pivots" sheetId="8" r:id="rId5"/>
    <sheet name="Devp" sheetId="9" r:id="rId6"/>
  </sheets>
  <definedNames>
    <definedName name="_xlnm._FilterDatabase" localSheetId="5" hidden="1">Devp!$L$1:$N$9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9" l="1"/>
  <c r="M3" i="9"/>
  <c r="M4" i="9"/>
  <c r="M5" i="9"/>
  <c r="M6" i="9"/>
  <c r="M7" i="9"/>
  <c r="M8" i="9"/>
  <c r="N4" i="9"/>
  <c r="N2" i="9"/>
  <c r="N8" i="9"/>
  <c r="N6" i="9"/>
  <c r="N7" i="9"/>
  <c r="N3" i="9"/>
  <c r="N5" i="9"/>
  <c r="C15" i="8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F35" i="7"/>
  <c r="AF36" i="7"/>
  <c r="AF37" i="7"/>
  <c r="AF38" i="7"/>
  <c r="AF39" i="7"/>
  <c r="AF40" i="7"/>
  <c r="AF41" i="7"/>
  <c r="AF42" i="7"/>
  <c r="AF43" i="7"/>
  <c r="AF5" i="7"/>
  <c r="N9" i="9" l="1"/>
  <c r="M2" i="9" s="1"/>
  <c r="Q6" i="3"/>
  <c r="AO904" i="2"/>
  <c r="AO905" i="2"/>
  <c r="AO908" i="2"/>
  <c r="AO907" i="2"/>
  <c r="AO906" i="2"/>
  <c r="AO909" i="2"/>
  <c r="AO910" i="2"/>
  <c r="AO911" i="2"/>
  <c r="AP904" i="2"/>
  <c r="AP905" i="2"/>
  <c r="AP908" i="2"/>
  <c r="AP907" i="2"/>
  <c r="AP906" i="2"/>
  <c r="AP909" i="2"/>
  <c r="AP910" i="2"/>
  <c r="AP911" i="2"/>
  <c r="AQ904" i="2"/>
  <c r="AQ905" i="2"/>
  <c r="AQ908" i="2"/>
  <c r="AQ907" i="2"/>
  <c r="AQ906" i="2"/>
  <c r="AQ909" i="2"/>
  <c r="AQ910" i="2"/>
  <c r="AQ911" i="2"/>
  <c r="AR904" i="2"/>
  <c r="AR905" i="2"/>
  <c r="AR908" i="2"/>
  <c r="AR907" i="2"/>
  <c r="AR906" i="2"/>
  <c r="AR909" i="2"/>
  <c r="AR910" i="2"/>
  <c r="AR911" i="2"/>
  <c r="AS904" i="2"/>
  <c r="AS905" i="2"/>
  <c r="AS908" i="2"/>
  <c r="AS907" i="2"/>
  <c r="AS906" i="2"/>
  <c r="AS909" i="2"/>
  <c r="AS910" i="2"/>
  <c r="AS911" i="2"/>
  <c r="AT904" i="2"/>
  <c r="AT905" i="2"/>
  <c r="AT908" i="2"/>
  <c r="AT907" i="2"/>
  <c r="AT906" i="2"/>
  <c r="AT909" i="2"/>
  <c r="AT910" i="2"/>
  <c r="AT911" i="2"/>
  <c r="AW911" i="2" s="1"/>
  <c r="AU904" i="2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AO855" i="2"/>
  <c r="AO858" i="2"/>
  <c r="AO865" i="2"/>
  <c r="AO863" i="2"/>
  <c r="AO859" i="2"/>
  <c r="AO867" i="2"/>
  <c r="AO860" i="2"/>
  <c r="AO861" i="2"/>
  <c r="AO856" i="2"/>
  <c r="AO864" i="2"/>
  <c r="AO866" i="2"/>
  <c r="AO869" i="2"/>
  <c r="AO872" i="2"/>
  <c r="AO875" i="2"/>
  <c r="AO857" i="2"/>
  <c r="AO862" i="2"/>
  <c r="AO870" i="2"/>
  <c r="AO873" i="2"/>
  <c r="AO877" i="2"/>
  <c r="AO878" i="2"/>
  <c r="AO882" i="2"/>
  <c r="AO876" i="2"/>
  <c r="AO881" i="2"/>
  <c r="AO884" i="2"/>
  <c r="AO879" i="2"/>
  <c r="AO868" i="2"/>
  <c r="AO871" i="2"/>
  <c r="AO874" i="2"/>
  <c r="AO883" i="2"/>
  <c r="AO880" i="2"/>
  <c r="AO885" i="2"/>
  <c r="AO886" i="2"/>
  <c r="AO888" i="2"/>
  <c r="AO890" i="2"/>
  <c r="AO887" i="2"/>
  <c r="AO889" i="2"/>
  <c r="AO891" i="2"/>
  <c r="AO892" i="2"/>
  <c r="AO893" i="2"/>
  <c r="AO894" i="2"/>
  <c r="AO895" i="2"/>
  <c r="AO898" i="2"/>
  <c r="AO896" i="2"/>
  <c r="AO899" i="2"/>
  <c r="AO901" i="2"/>
  <c r="AO897" i="2"/>
  <c r="AO900" i="2"/>
  <c r="AO902" i="2"/>
  <c r="AO903" i="2"/>
  <c r="AP855" i="2"/>
  <c r="AP858" i="2"/>
  <c r="AP865" i="2"/>
  <c r="AP863" i="2"/>
  <c r="AP859" i="2"/>
  <c r="AP867" i="2"/>
  <c r="AP860" i="2"/>
  <c r="AP861" i="2"/>
  <c r="AP856" i="2"/>
  <c r="AP864" i="2"/>
  <c r="AP866" i="2"/>
  <c r="AP869" i="2"/>
  <c r="AP872" i="2"/>
  <c r="AP875" i="2"/>
  <c r="AP857" i="2"/>
  <c r="AP862" i="2"/>
  <c r="AP870" i="2"/>
  <c r="AP873" i="2"/>
  <c r="AP877" i="2"/>
  <c r="AP878" i="2"/>
  <c r="AP882" i="2"/>
  <c r="AP876" i="2"/>
  <c r="AP881" i="2"/>
  <c r="AP884" i="2"/>
  <c r="AP879" i="2"/>
  <c r="AP868" i="2"/>
  <c r="AP871" i="2"/>
  <c r="AP874" i="2"/>
  <c r="AP883" i="2"/>
  <c r="AP880" i="2"/>
  <c r="AP885" i="2"/>
  <c r="AP886" i="2"/>
  <c r="AP888" i="2"/>
  <c r="AP890" i="2"/>
  <c r="AP887" i="2"/>
  <c r="AP889" i="2"/>
  <c r="AP891" i="2"/>
  <c r="AP892" i="2"/>
  <c r="AP893" i="2"/>
  <c r="AP894" i="2"/>
  <c r="AP895" i="2"/>
  <c r="AP898" i="2"/>
  <c r="AP896" i="2"/>
  <c r="AP899" i="2"/>
  <c r="AP901" i="2"/>
  <c r="AP897" i="2"/>
  <c r="AP900" i="2"/>
  <c r="AP902" i="2"/>
  <c r="AP903" i="2"/>
  <c r="AQ855" i="2"/>
  <c r="AQ858" i="2"/>
  <c r="AQ865" i="2"/>
  <c r="AQ863" i="2"/>
  <c r="AQ859" i="2"/>
  <c r="AQ867" i="2"/>
  <c r="AQ860" i="2"/>
  <c r="AQ861" i="2"/>
  <c r="AQ856" i="2"/>
  <c r="AQ864" i="2"/>
  <c r="AQ866" i="2"/>
  <c r="AQ869" i="2"/>
  <c r="AQ872" i="2"/>
  <c r="AQ875" i="2"/>
  <c r="AQ857" i="2"/>
  <c r="AQ862" i="2"/>
  <c r="AQ870" i="2"/>
  <c r="AQ873" i="2"/>
  <c r="AQ877" i="2"/>
  <c r="AQ878" i="2"/>
  <c r="AQ882" i="2"/>
  <c r="AQ876" i="2"/>
  <c r="AQ881" i="2"/>
  <c r="AQ884" i="2"/>
  <c r="AQ879" i="2"/>
  <c r="AQ868" i="2"/>
  <c r="AQ871" i="2"/>
  <c r="AQ874" i="2"/>
  <c r="AQ883" i="2"/>
  <c r="AQ880" i="2"/>
  <c r="AQ885" i="2"/>
  <c r="AQ886" i="2"/>
  <c r="AQ888" i="2"/>
  <c r="AQ890" i="2"/>
  <c r="AQ887" i="2"/>
  <c r="AQ889" i="2"/>
  <c r="AQ891" i="2"/>
  <c r="AQ892" i="2"/>
  <c r="AQ893" i="2"/>
  <c r="AQ894" i="2"/>
  <c r="AQ895" i="2"/>
  <c r="AQ898" i="2"/>
  <c r="AQ896" i="2"/>
  <c r="AQ899" i="2"/>
  <c r="AQ901" i="2"/>
  <c r="AQ897" i="2"/>
  <c r="AQ900" i="2"/>
  <c r="AQ902" i="2"/>
  <c r="AQ903" i="2"/>
  <c r="AR855" i="2"/>
  <c r="AR858" i="2"/>
  <c r="AR865" i="2"/>
  <c r="AR863" i="2"/>
  <c r="AR859" i="2"/>
  <c r="AR867" i="2"/>
  <c r="AR860" i="2"/>
  <c r="AR861" i="2"/>
  <c r="AR856" i="2"/>
  <c r="AR864" i="2"/>
  <c r="AR866" i="2"/>
  <c r="AR869" i="2"/>
  <c r="AR872" i="2"/>
  <c r="AR875" i="2"/>
  <c r="AR857" i="2"/>
  <c r="AR862" i="2"/>
  <c r="AR870" i="2"/>
  <c r="AR873" i="2"/>
  <c r="AR877" i="2"/>
  <c r="AR878" i="2"/>
  <c r="AR882" i="2"/>
  <c r="AR876" i="2"/>
  <c r="AR881" i="2"/>
  <c r="AR884" i="2"/>
  <c r="AR879" i="2"/>
  <c r="AR868" i="2"/>
  <c r="AR871" i="2"/>
  <c r="AR874" i="2"/>
  <c r="AR883" i="2"/>
  <c r="AR880" i="2"/>
  <c r="AR885" i="2"/>
  <c r="AR886" i="2"/>
  <c r="AR888" i="2"/>
  <c r="AR890" i="2"/>
  <c r="AR887" i="2"/>
  <c r="AR889" i="2"/>
  <c r="AR891" i="2"/>
  <c r="AR892" i="2"/>
  <c r="AR893" i="2"/>
  <c r="AR894" i="2"/>
  <c r="AR895" i="2"/>
  <c r="AR898" i="2"/>
  <c r="AR896" i="2"/>
  <c r="AR899" i="2"/>
  <c r="AR901" i="2"/>
  <c r="AR897" i="2"/>
  <c r="AR900" i="2"/>
  <c r="AR902" i="2"/>
  <c r="AR903" i="2"/>
  <c r="AS855" i="2"/>
  <c r="AS858" i="2"/>
  <c r="AS865" i="2"/>
  <c r="AS863" i="2"/>
  <c r="AS859" i="2"/>
  <c r="AS867" i="2"/>
  <c r="AS860" i="2"/>
  <c r="AS861" i="2"/>
  <c r="AS856" i="2"/>
  <c r="AS864" i="2"/>
  <c r="AS866" i="2"/>
  <c r="AS869" i="2"/>
  <c r="AS872" i="2"/>
  <c r="AS875" i="2"/>
  <c r="AS857" i="2"/>
  <c r="AS862" i="2"/>
  <c r="AS870" i="2"/>
  <c r="AS873" i="2"/>
  <c r="AS877" i="2"/>
  <c r="AS878" i="2"/>
  <c r="AS882" i="2"/>
  <c r="AS876" i="2"/>
  <c r="AS881" i="2"/>
  <c r="AS884" i="2"/>
  <c r="AS879" i="2"/>
  <c r="AS868" i="2"/>
  <c r="AS871" i="2"/>
  <c r="AS874" i="2"/>
  <c r="AS883" i="2"/>
  <c r="AS880" i="2"/>
  <c r="AS885" i="2"/>
  <c r="AS886" i="2"/>
  <c r="AS888" i="2"/>
  <c r="AS890" i="2"/>
  <c r="AS887" i="2"/>
  <c r="AS889" i="2"/>
  <c r="AS891" i="2"/>
  <c r="AS892" i="2"/>
  <c r="AS893" i="2"/>
  <c r="AS894" i="2"/>
  <c r="AS895" i="2"/>
  <c r="AS898" i="2"/>
  <c r="AS896" i="2"/>
  <c r="AS899" i="2"/>
  <c r="AS901" i="2"/>
  <c r="AS897" i="2"/>
  <c r="AS900" i="2"/>
  <c r="AS902" i="2"/>
  <c r="AS903" i="2"/>
  <c r="AT855" i="2"/>
  <c r="AT858" i="2"/>
  <c r="AT865" i="2"/>
  <c r="AT863" i="2"/>
  <c r="AT859" i="2"/>
  <c r="AT867" i="2"/>
  <c r="AT860" i="2"/>
  <c r="AT861" i="2"/>
  <c r="AT856" i="2"/>
  <c r="AT864" i="2"/>
  <c r="AT866" i="2"/>
  <c r="AT869" i="2"/>
  <c r="AT872" i="2"/>
  <c r="AT875" i="2"/>
  <c r="AT857" i="2"/>
  <c r="AT862" i="2"/>
  <c r="AT870" i="2"/>
  <c r="AT873" i="2"/>
  <c r="AT877" i="2"/>
  <c r="AT878" i="2"/>
  <c r="AT882" i="2"/>
  <c r="AT876" i="2"/>
  <c r="AT881" i="2"/>
  <c r="AT884" i="2"/>
  <c r="AT879" i="2"/>
  <c r="AT868" i="2"/>
  <c r="AT871" i="2"/>
  <c r="AT874" i="2"/>
  <c r="AT883" i="2"/>
  <c r="AT880" i="2"/>
  <c r="AT885" i="2"/>
  <c r="AT886" i="2"/>
  <c r="AT888" i="2"/>
  <c r="AT890" i="2"/>
  <c r="AT887" i="2"/>
  <c r="AT889" i="2"/>
  <c r="AT891" i="2"/>
  <c r="AT892" i="2"/>
  <c r="AT893" i="2"/>
  <c r="AT894" i="2"/>
  <c r="AT895" i="2"/>
  <c r="AT898" i="2"/>
  <c r="AT896" i="2"/>
  <c r="AT899" i="2"/>
  <c r="AT901" i="2"/>
  <c r="AT897" i="2"/>
  <c r="AT900" i="2"/>
  <c r="AT902" i="2"/>
  <c r="AT903" i="2"/>
  <c r="AO788" i="2"/>
  <c r="AO789" i="2"/>
  <c r="AO790" i="2"/>
  <c r="AO791" i="2"/>
  <c r="AO792" i="2"/>
  <c r="AO793" i="2"/>
  <c r="AO794" i="2"/>
  <c r="AO795" i="2"/>
  <c r="AO796" i="2"/>
  <c r="AO797" i="2"/>
  <c r="AO798" i="2"/>
  <c r="AO799" i="2"/>
  <c r="AO800" i="2"/>
  <c r="AO801" i="2"/>
  <c r="AO802" i="2"/>
  <c r="AO803" i="2"/>
  <c r="AO804" i="2"/>
  <c r="AO805" i="2"/>
  <c r="AO806" i="2"/>
  <c r="AO807" i="2"/>
  <c r="AO808" i="2"/>
  <c r="AO809" i="2"/>
  <c r="AO810" i="2"/>
  <c r="AO811" i="2"/>
  <c r="AO812" i="2"/>
  <c r="AO813" i="2"/>
  <c r="AO814" i="2"/>
  <c r="AO815" i="2"/>
  <c r="AO816" i="2"/>
  <c r="AO817" i="2"/>
  <c r="AO818" i="2"/>
  <c r="AO819" i="2"/>
  <c r="AO820" i="2"/>
  <c r="AO821" i="2"/>
  <c r="AO822" i="2"/>
  <c r="AO823" i="2"/>
  <c r="AO824" i="2"/>
  <c r="AO825" i="2"/>
  <c r="AO826" i="2"/>
  <c r="AO827" i="2"/>
  <c r="AO828" i="2"/>
  <c r="AO829" i="2"/>
  <c r="AO830" i="2"/>
  <c r="AO831" i="2"/>
  <c r="AO832" i="2"/>
  <c r="AO833" i="2"/>
  <c r="AO834" i="2"/>
  <c r="AO835" i="2"/>
  <c r="AO836" i="2"/>
  <c r="AO837" i="2"/>
  <c r="AO838" i="2"/>
  <c r="AO839" i="2"/>
  <c r="AO840" i="2"/>
  <c r="AO841" i="2"/>
  <c r="AO842" i="2"/>
  <c r="AO843" i="2"/>
  <c r="AO844" i="2"/>
  <c r="AO845" i="2"/>
  <c r="AO846" i="2"/>
  <c r="AO847" i="2"/>
  <c r="AO848" i="2"/>
  <c r="AO849" i="2"/>
  <c r="AO850" i="2"/>
  <c r="AO851" i="2"/>
  <c r="AO852" i="2"/>
  <c r="AO853" i="2"/>
  <c r="AO854" i="2"/>
  <c r="AP788" i="2"/>
  <c r="AP789" i="2"/>
  <c r="AP790" i="2"/>
  <c r="AP791" i="2"/>
  <c r="AP792" i="2"/>
  <c r="AP793" i="2"/>
  <c r="AP794" i="2"/>
  <c r="AP795" i="2"/>
  <c r="AP796" i="2"/>
  <c r="AP797" i="2"/>
  <c r="AP798" i="2"/>
  <c r="AP799" i="2"/>
  <c r="AP800" i="2"/>
  <c r="AP801" i="2"/>
  <c r="AP802" i="2"/>
  <c r="AP803" i="2"/>
  <c r="AP804" i="2"/>
  <c r="AP805" i="2"/>
  <c r="AP806" i="2"/>
  <c r="AP807" i="2"/>
  <c r="AP808" i="2"/>
  <c r="AP809" i="2"/>
  <c r="AP810" i="2"/>
  <c r="AP811" i="2"/>
  <c r="AP812" i="2"/>
  <c r="AP813" i="2"/>
  <c r="AP814" i="2"/>
  <c r="AP815" i="2"/>
  <c r="AP816" i="2"/>
  <c r="AP817" i="2"/>
  <c r="AP818" i="2"/>
  <c r="AP819" i="2"/>
  <c r="AP820" i="2"/>
  <c r="AP821" i="2"/>
  <c r="AP822" i="2"/>
  <c r="AP823" i="2"/>
  <c r="AP824" i="2"/>
  <c r="AP825" i="2"/>
  <c r="AP826" i="2"/>
  <c r="AP827" i="2"/>
  <c r="AP828" i="2"/>
  <c r="AP829" i="2"/>
  <c r="AP830" i="2"/>
  <c r="AP831" i="2"/>
  <c r="AP832" i="2"/>
  <c r="AP833" i="2"/>
  <c r="AP834" i="2"/>
  <c r="AP835" i="2"/>
  <c r="AP836" i="2"/>
  <c r="AP837" i="2"/>
  <c r="AP838" i="2"/>
  <c r="AP839" i="2"/>
  <c r="AP840" i="2"/>
  <c r="AP841" i="2"/>
  <c r="AP842" i="2"/>
  <c r="AP843" i="2"/>
  <c r="AP844" i="2"/>
  <c r="AP845" i="2"/>
  <c r="AP846" i="2"/>
  <c r="AP847" i="2"/>
  <c r="AP848" i="2"/>
  <c r="AP849" i="2"/>
  <c r="AP850" i="2"/>
  <c r="AP851" i="2"/>
  <c r="AP852" i="2"/>
  <c r="AP853" i="2"/>
  <c r="AP854" i="2"/>
  <c r="AQ788" i="2"/>
  <c r="AQ789" i="2"/>
  <c r="AQ790" i="2"/>
  <c r="AQ791" i="2"/>
  <c r="AQ792" i="2"/>
  <c r="AQ793" i="2"/>
  <c r="AQ794" i="2"/>
  <c r="AQ795" i="2"/>
  <c r="AQ796" i="2"/>
  <c r="AQ797" i="2"/>
  <c r="AQ798" i="2"/>
  <c r="AQ799" i="2"/>
  <c r="AQ800" i="2"/>
  <c r="AQ801" i="2"/>
  <c r="AQ802" i="2"/>
  <c r="AQ803" i="2"/>
  <c r="AQ804" i="2"/>
  <c r="AQ805" i="2"/>
  <c r="AQ806" i="2"/>
  <c r="AQ807" i="2"/>
  <c r="AQ808" i="2"/>
  <c r="AQ809" i="2"/>
  <c r="AQ810" i="2"/>
  <c r="AQ811" i="2"/>
  <c r="AQ812" i="2"/>
  <c r="AQ813" i="2"/>
  <c r="AQ814" i="2"/>
  <c r="AQ815" i="2"/>
  <c r="AQ816" i="2"/>
  <c r="AQ817" i="2"/>
  <c r="AQ818" i="2"/>
  <c r="AQ819" i="2"/>
  <c r="AQ820" i="2"/>
  <c r="AQ821" i="2"/>
  <c r="AQ822" i="2"/>
  <c r="AQ823" i="2"/>
  <c r="AQ824" i="2"/>
  <c r="AQ825" i="2"/>
  <c r="AQ826" i="2"/>
  <c r="AQ827" i="2"/>
  <c r="AQ828" i="2"/>
  <c r="AQ829" i="2"/>
  <c r="AQ830" i="2"/>
  <c r="AQ831" i="2"/>
  <c r="AQ832" i="2"/>
  <c r="AQ833" i="2"/>
  <c r="AQ834" i="2"/>
  <c r="AQ835" i="2"/>
  <c r="AQ836" i="2"/>
  <c r="AQ837" i="2"/>
  <c r="AQ838" i="2"/>
  <c r="AQ839" i="2"/>
  <c r="AQ840" i="2"/>
  <c r="AQ841" i="2"/>
  <c r="AQ842" i="2"/>
  <c r="AQ843" i="2"/>
  <c r="AQ844" i="2"/>
  <c r="AQ845" i="2"/>
  <c r="AQ846" i="2"/>
  <c r="AQ847" i="2"/>
  <c r="AQ848" i="2"/>
  <c r="AQ849" i="2"/>
  <c r="AQ850" i="2"/>
  <c r="AQ851" i="2"/>
  <c r="AQ852" i="2"/>
  <c r="AQ853" i="2"/>
  <c r="AQ854" i="2"/>
  <c r="AR788" i="2"/>
  <c r="AR789" i="2"/>
  <c r="AR790" i="2"/>
  <c r="AR791" i="2"/>
  <c r="AR792" i="2"/>
  <c r="AR793" i="2"/>
  <c r="AR794" i="2"/>
  <c r="AR795" i="2"/>
  <c r="AR796" i="2"/>
  <c r="AR797" i="2"/>
  <c r="AR798" i="2"/>
  <c r="AR799" i="2"/>
  <c r="AR800" i="2"/>
  <c r="AR801" i="2"/>
  <c r="AR802" i="2"/>
  <c r="AR803" i="2"/>
  <c r="AR804" i="2"/>
  <c r="AR805" i="2"/>
  <c r="AR806" i="2"/>
  <c r="AR807" i="2"/>
  <c r="AR808" i="2"/>
  <c r="AR809" i="2"/>
  <c r="AR810" i="2"/>
  <c r="AR811" i="2"/>
  <c r="AR812" i="2"/>
  <c r="AR813" i="2"/>
  <c r="AR814" i="2"/>
  <c r="AR815" i="2"/>
  <c r="AR816" i="2"/>
  <c r="AR817" i="2"/>
  <c r="AR818" i="2"/>
  <c r="AR819" i="2"/>
  <c r="AR820" i="2"/>
  <c r="AR821" i="2"/>
  <c r="AR822" i="2"/>
  <c r="AR823" i="2"/>
  <c r="AR824" i="2"/>
  <c r="AR825" i="2"/>
  <c r="AR826" i="2"/>
  <c r="AR827" i="2"/>
  <c r="AR828" i="2"/>
  <c r="AR829" i="2"/>
  <c r="AR830" i="2"/>
  <c r="AR831" i="2"/>
  <c r="AR832" i="2"/>
  <c r="AR833" i="2"/>
  <c r="AR834" i="2"/>
  <c r="AR835" i="2"/>
  <c r="AR836" i="2"/>
  <c r="AR837" i="2"/>
  <c r="AR838" i="2"/>
  <c r="AR839" i="2"/>
  <c r="AR840" i="2"/>
  <c r="AR841" i="2"/>
  <c r="AR842" i="2"/>
  <c r="AR843" i="2"/>
  <c r="AR844" i="2"/>
  <c r="AR845" i="2"/>
  <c r="AR846" i="2"/>
  <c r="AR847" i="2"/>
  <c r="AR848" i="2"/>
  <c r="AR849" i="2"/>
  <c r="AR850" i="2"/>
  <c r="AR851" i="2"/>
  <c r="AR852" i="2"/>
  <c r="AR853" i="2"/>
  <c r="AR854" i="2"/>
  <c r="AS788" i="2"/>
  <c r="AS789" i="2"/>
  <c r="AS790" i="2"/>
  <c r="AS791" i="2"/>
  <c r="AS792" i="2"/>
  <c r="AS793" i="2"/>
  <c r="AS794" i="2"/>
  <c r="AS795" i="2"/>
  <c r="AS796" i="2"/>
  <c r="AS797" i="2"/>
  <c r="AS798" i="2"/>
  <c r="AS799" i="2"/>
  <c r="AS800" i="2"/>
  <c r="AS801" i="2"/>
  <c r="AS802" i="2"/>
  <c r="AS803" i="2"/>
  <c r="AS804" i="2"/>
  <c r="AS805" i="2"/>
  <c r="AS806" i="2"/>
  <c r="AS807" i="2"/>
  <c r="AS808" i="2"/>
  <c r="AS809" i="2"/>
  <c r="AS810" i="2"/>
  <c r="AS811" i="2"/>
  <c r="AS812" i="2"/>
  <c r="AS813" i="2"/>
  <c r="AS814" i="2"/>
  <c r="AS815" i="2"/>
  <c r="AS816" i="2"/>
  <c r="AS817" i="2"/>
  <c r="AS818" i="2"/>
  <c r="AS819" i="2"/>
  <c r="AS820" i="2"/>
  <c r="AS821" i="2"/>
  <c r="AS822" i="2"/>
  <c r="AS823" i="2"/>
  <c r="AS824" i="2"/>
  <c r="AS825" i="2"/>
  <c r="AS826" i="2"/>
  <c r="AS827" i="2"/>
  <c r="AS828" i="2"/>
  <c r="AS829" i="2"/>
  <c r="AS830" i="2"/>
  <c r="AS831" i="2"/>
  <c r="AS832" i="2"/>
  <c r="AS833" i="2"/>
  <c r="AS834" i="2"/>
  <c r="AS835" i="2"/>
  <c r="AS836" i="2"/>
  <c r="AS837" i="2"/>
  <c r="AS838" i="2"/>
  <c r="AS839" i="2"/>
  <c r="AS840" i="2"/>
  <c r="AS841" i="2"/>
  <c r="AS842" i="2"/>
  <c r="AS843" i="2"/>
  <c r="AS844" i="2"/>
  <c r="AS845" i="2"/>
  <c r="AS846" i="2"/>
  <c r="AS847" i="2"/>
  <c r="AS848" i="2"/>
  <c r="AS849" i="2"/>
  <c r="AS850" i="2"/>
  <c r="AS851" i="2"/>
  <c r="AS852" i="2"/>
  <c r="AS853" i="2"/>
  <c r="AS854" i="2"/>
  <c r="AT788" i="2"/>
  <c r="AT789" i="2"/>
  <c r="AT790" i="2"/>
  <c r="AT791" i="2"/>
  <c r="AT792" i="2"/>
  <c r="AT793" i="2"/>
  <c r="AT794" i="2"/>
  <c r="AT795" i="2"/>
  <c r="AT796" i="2"/>
  <c r="AT797" i="2"/>
  <c r="AT798" i="2"/>
  <c r="AT799" i="2"/>
  <c r="AT800" i="2"/>
  <c r="AT801" i="2"/>
  <c r="AT802" i="2"/>
  <c r="AT803" i="2"/>
  <c r="AT804" i="2"/>
  <c r="AT805" i="2"/>
  <c r="AT806" i="2"/>
  <c r="AT807" i="2"/>
  <c r="AT808" i="2"/>
  <c r="AT809" i="2"/>
  <c r="AT810" i="2"/>
  <c r="AT811" i="2"/>
  <c r="AT812" i="2"/>
  <c r="AT813" i="2"/>
  <c r="AT814" i="2"/>
  <c r="AT815" i="2"/>
  <c r="AT816" i="2"/>
  <c r="AT817" i="2"/>
  <c r="AT818" i="2"/>
  <c r="AT819" i="2"/>
  <c r="AT820" i="2"/>
  <c r="AT821" i="2"/>
  <c r="AT822" i="2"/>
  <c r="AT823" i="2"/>
  <c r="AT824" i="2"/>
  <c r="AT825" i="2"/>
  <c r="AT826" i="2"/>
  <c r="AT827" i="2"/>
  <c r="AT828" i="2"/>
  <c r="AT829" i="2"/>
  <c r="AT830" i="2"/>
  <c r="AT831" i="2"/>
  <c r="AT832" i="2"/>
  <c r="AT833" i="2"/>
  <c r="AT834" i="2"/>
  <c r="AT835" i="2"/>
  <c r="AT836" i="2"/>
  <c r="AT837" i="2"/>
  <c r="AT838" i="2"/>
  <c r="AT839" i="2"/>
  <c r="AT840" i="2"/>
  <c r="AT841" i="2"/>
  <c r="AT842" i="2"/>
  <c r="AT843" i="2"/>
  <c r="AT844" i="2"/>
  <c r="AT845" i="2"/>
  <c r="AT846" i="2"/>
  <c r="AT847" i="2"/>
  <c r="AT848" i="2"/>
  <c r="AT849" i="2"/>
  <c r="AT850" i="2"/>
  <c r="AT851" i="2"/>
  <c r="AT852" i="2"/>
  <c r="AT853" i="2"/>
  <c r="AT854" i="2"/>
  <c r="AO784" i="2"/>
  <c r="AO727" i="2"/>
  <c r="AO728" i="2"/>
  <c r="AO729" i="2"/>
  <c r="AO775" i="2"/>
  <c r="AO731" i="2"/>
  <c r="AO732" i="2"/>
  <c r="AO780" i="2"/>
  <c r="AO734" i="2"/>
  <c r="AO735" i="2"/>
  <c r="AO782" i="2"/>
  <c r="AO737" i="2"/>
  <c r="AO738" i="2"/>
  <c r="AO755" i="2"/>
  <c r="AO787" i="2"/>
  <c r="AO741" i="2"/>
  <c r="AO742" i="2"/>
  <c r="AO726" i="2"/>
  <c r="AO767" i="2"/>
  <c r="AO730" i="2"/>
  <c r="AO746" i="2"/>
  <c r="AO758" i="2"/>
  <c r="AO769" i="2"/>
  <c r="AO759" i="2"/>
  <c r="AO736" i="2"/>
  <c r="AO744" i="2"/>
  <c r="AO752" i="2"/>
  <c r="AO747" i="2"/>
  <c r="AO749" i="2"/>
  <c r="AO774" i="2"/>
  <c r="AO745" i="2"/>
  <c r="AO743" i="2"/>
  <c r="AO764" i="2"/>
  <c r="AO770" i="2"/>
  <c r="AO751" i="2"/>
  <c r="AO756" i="2"/>
  <c r="AO762" i="2"/>
  <c r="AO763" i="2"/>
  <c r="AO733" i="2"/>
  <c r="AO765" i="2"/>
  <c r="AO766" i="2"/>
  <c r="AO778" i="2"/>
  <c r="AO768" i="2"/>
  <c r="AO781" i="2"/>
  <c r="AO754" i="2"/>
  <c r="AO748" i="2"/>
  <c r="AO772" i="2"/>
  <c r="AO773" i="2"/>
  <c r="AO750" i="2"/>
  <c r="AO785" i="2"/>
  <c r="AO776" i="2"/>
  <c r="AO777" i="2"/>
  <c r="AO760" i="2"/>
  <c r="AO779" i="2"/>
  <c r="AO771" i="2"/>
  <c r="AO761" i="2"/>
  <c r="AO740" i="2"/>
  <c r="AO783" i="2"/>
  <c r="AO757" i="2"/>
  <c r="AO739" i="2"/>
  <c r="AO786" i="2"/>
  <c r="AO753" i="2"/>
  <c r="AP784" i="2"/>
  <c r="AP727" i="2"/>
  <c r="AP728" i="2"/>
  <c r="AP729" i="2"/>
  <c r="AP775" i="2"/>
  <c r="AP731" i="2"/>
  <c r="AP732" i="2"/>
  <c r="AP780" i="2"/>
  <c r="AP734" i="2"/>
  <c r="AP735" i="2"/>
  <c r="AP782" i="2"/>
  <c r="AP737" i="2"/>
  <c r="AP738" i="2"/>
  <c r="AP755" i="2"/>
  <c r="AP787" i="2"/>
  <c r="AP741" i="2"/>
  <c r="AP742" i="2"/>
  <c r="AP726" i="2"/>
  <c r="AP767" i="2"/>
  <c r="AP730" i="2"/>
  <c r="AP746" i="2"/>
  <c r="AP758" i="2"/>
  <c r="AP769" i="2"/>
  <c r="AP759" i="2"/>
  <c r="AP736" i="2"/>
  <c r="AP744" i="2"/>
  <c r="AP752" i="2"/>
  <c r="AP747" i="2"/>
  <c r="AP749" i="2"/>
  <c r="AP774" i="2"/>
  <c r="AP745" i="2"/>
  <c r="AP743" i="2"/>
  <c r="AP764" i="2"/>
  <c r="AP770" i="2"/>
  <c r="AP751" i="2"/>
  <c r="AP756" i="2"/>
  <c r="AP762" i="2"/>
  <c r="AP763" i="2"/>
  <c r="AP733" i="2"/>
  <c r="AP765" i="2"/>
  <c r="AP766" i="2"/>
  <c r="AP778" i="2"/>
  <c r="AP768" i="2"/>
  <c r="AP781" i="2"/>
  <c r="AP754" i="2"/>
  <c r="AP748" i="2"/>
  <c r="AP772" i="2"/>
  <c r="AP773" i="2"/>
  <c r="AP750" i="2"/>
  <c r="AP785" i="2"/>
  <c r="AP776" i="2"/>
  <c r="AP777" i="2"/>
  <c r="AP760" i="2"/>
  <c r="AP779" i="2"/>
  <c r="AP771" i="2"/>
  <c r="AP761" i="2"/>
  <c r="AP740" i="2"/>
  <c r="AP783" i="2"/>
  <c r="AP757" i="2"/>
  <c r="AP739" i="2"/>
  <c r="AP786" i="2"/>
  <c r="AP753" i="2"/>
  <c r="AQ784" i="2"/>
  <c r="AQ727" i="2"/>
  <c r="AQ728" i="2"/>
  <c r="AQ729" i="2"/>
  <c r="AQ775" i="2"/>
  <c r="AQ731" i="2"/>
  <c r="AQ732" i="2"/>
  <c r="AQ780" i="2"/>
  <c r="AQ734" i="2"/>
  <c r="AQ735" i="2"/>
  <c r="AQ782" i="2"/>
  <c r="AQ737" i="2"/>
  <c r="AQ738" i="2"/>
  <c r="AQ755" i="2"/>
  <c r="AQ787" i="2"/>
  <c r="AQ741" i="2"/>
  <c r="AQ742" i="2"/>
  <c r="AQ726" i="2"/>
  <c r="AQ767" i="2"/>
  <c r="AQ730" i="2"/>
  <c r="AQ746" i="2"/>
  <c r="AQ758" i="2"/>
  <c r="AQ769" i="2"/>
  <c r="AQ759" i="2"/>
  <c r="AQ736" i="2"/>
  <c r="AQ744" i="2"/>
  <c r="AQ752" i="2"/>
  <c r="AQ747" i="2"/>
  <c r="AQ749" i="2"/>
  <c r="AQ774" i="2"/>
  <c r="AQ745" i="2"/>
  <c r="AQ743" i="2"/>
  <c r="AQ764" i="2"/>
  <c r="AQ770" i="2"/>
  <c r="AQ751" i="2"/>
  <c r="AQ756" i="2"/>
  <c r="AQ762" i="2"/>
  <c r="AQ763" i="2"/>
  <c r="AQ733" i="2"/>
  <c r="AQ765" i="2"/>
  <c r="AQ766" i="2"/>
  <c r="AQ778" i="2"/>
  <c r="AQ768" i="2"/>
  <c r="AQ781" i="2"/>
  <c r="AQ754" i="2"/>
  <c r="AQ748" i="2"/>
  <c r="AQ772" i="2"/>
  <c r="AQ773" i="2"/>
  <c r="AQ750" i="2"/>
  <c r="AQ785" i="2"/>
  <c r="AQ776" i="2"/>
  <c r="AQ777" i="2"/>
  <c r="AQ760" i="2"/>
  <c r="AQ779" i="2"/>
  <c r="AQ771" i="2"/>
  <c r="AQ761" i="2"/>
  <c r="AQ740" i="2"/>
  <c r="AQ783" i="2"/>
  <c r="AQ757" i="2"/>
  <c r="AQ739" i="2"/>
  <c r="AQ786" i="2"/>
  <c r="AQ753" i="2"/>
  <c r="AR784" i="2"/>
  <c r="AR727" i="2"/>
  <c r="AR728" i="2"/>
  <c r="AR729" i="2"/>
  <c r="AR775" i="2"/>
  <c r="AR731" i="2"/>
  <c r="AR732" i="2"/>
  <c r="AR780" i="2"/>
  <c r="AR734" i="2"/>
  <c r="AR735" i="2"/>
  <c r="AR782" i="2"/>
  <c r="AR737" i="2"/>
  <c r="AR738" i="2"/>
  <c r="AR755" i="2"/>
  <c r="AR787" i="2"/>
  <c r="AR741" i="2"/>
  <c r="AR742" i="2"/>
  <c r="AR726" i="2"/>
  <c r="AR767" i="2"/>
  <c r="AR730" i="2"/>
  <c r="AR746" i="2"/>
  <c r="AR758" i="2"/>
  <c r="AR769" i="2"/>
  <c r="AR759" i="2"/>
  <c r="AR736" i="2"/>
  <c r="AR744" i="2"/>
  <c r="AR752" i="2"/>
  <c r="AR747" i="2"/>
  <c r="AR749" i="2"/>
  <c r="AR774" i="2"/>
  <c r="AR745" i="2"/>
  <c r="AR743" i="2"/>
  <c r="AR764" i="2"/>
  <c r="AR770" i="2"/>
  <c r="AR751" i="2"/>
  <c r="AR756" i="2"/>
  <c r="AR762" i="2"/>
  <c r="AR763" i="2"/>
  <c r="AR733" i="2"/>
  <c r="AR765" i="2"/>
  <c r="AR766" i="2"/>
  <c r="AR778" i="2"/>
  <c r="AR768" i="2"/>
  <c r="AR781" i="2"/>
  <c r="AR754" i="2"/>
  <c r="AR748" i="2"/>
  <c r="AR772" i="2"/>
  <c r="AR773" i="2"/>
  <c r="AR750" i="2"/>
  <c r="AR785" i="2"/>
  <c r="AR776" i="2"/>
  <c r="AR777" i="2"/>
  <c r="AR760" i="2"/>
  <c r="AR779" i="2"/>
  <c r="AR771" i="2"/>
  <c r="AR761" i="2"/>
  <c r="AR740" i="2"/>
  <c r="AR783" i="2"/>
  <c r="AR757" i="2"/>
  <c r="AR739" i="2"/>
  <c r="AR786" i="2"/>
  <c r="AR753" i="2"/>
  <c r="AS784" i="2"/>
  <c r="AS727" i="2"/>
  <c r="AS728" i="2"/>
  <c r="AS729" i="2"/>
  <c r="AS775" i="2"/>
  <c r="AS731" i="2"/>
  <c r="AS732" i="2"/>
  <c r="AS780" i="2"/>
  <c r="AS734" i="2"/>
  <c r="AS735" i="2"/>
  <c r="AS782" i="2"/>
  <c r="AS737" i="2"/>
  <c r="AS738" i="2"/>
  <c r="AS755" i="2"/>
  <c r="AS787" i="2"/>
  <c r="AS741" i="2"/>
  <c r="AS742" i="2"/>
  <c r="AS726" i="2"/>
  <c r="AS767" i="2"/>
  <c r="AS730" i="2"/>
  <c r="AS746" i="2"/>
  <c r="AS758" i="2"/>
  <c r="AS769" i="2"/>
  <c r="AS759" i="2"/>
  <c r="AS736" i="2"/>
  <c r="AS744" i="2"/>
  <c r="AS752" i="2"/>
  <c r="AS747" i="2"/>
  <c r="AS749" i="2"/>
  <c r="AS774" i="2"/>
  <c r="AS745" i="2"/>
  <c r="AS743" i="2"/>
  <c r="AS764" i="2"/>
  <c r="AS770" i="2"/>
  <c r="AS751" i="2"/>
  <c r="AS756" i="2"/>
  <c r="AS762" i="2"/>
  <c r="AS763" i="2"/>
  <c r="AS733" i="2"/>
  <c r="AS765" i="2"/>
  <c r="AS766" i="2"/>
  <c r="AS778" i="2"/>
  <c r="AS768" i="2"/>
  <c r="AS781" i="2"/>
  <c r="AS754" i="2"/>
  <c r="AS748" i="2"/>
  <c r="AS772" i="2"/>
  <c r="AS773" i="2"/>
  <c r="AS750" i="2"/>
  <c r="AS785" i="2"/>
  <c r="AS776" i="2"/>
  <c r="AS777" i="2"/>
  <c r="AS760" i="2"/>
  <c r="AS779" i="2"/>
  <c r="AS771" i="2"/>
  <c r="AS761" i="2"/>
  <c r="AS740" i="2"/>
  <c r="AS783" i="2"/>
  <c r="AS757" i="2"/>
  <c r="AS739" i="2"/>
  <c r="AS786" i="2"/>
  <c r="AS753" i="2"/>
  <c r="AT784" i="2"/>
  <c r="AT727" i="2"/>
  <c r="AT728" i="2"/>
  <c r="AT729" i="2"/>
  <c r="AT775" i="2"/>
  <c r="AT731" i="2"/>
  <c r="AT732" i="2"/>
  <c r="AT780" i="2"/>
  <c r="AT734" i="2"/>
  <c r="AT735" i="2"/>
  <c r="AT782" i="2"/>
  <c r="AT737" i="2"/>
  <c r="AT738" i="2"/>
  <c r="AT755" i="2"/>
  <c r="AT787" i="2"/>
  <c r="AT741" i="2"/>
  <c r="AT742" i="2"/>
  <c r="AT726" i="2"/>
  <c r="AT767" i="2"/>
  <c r="AT730" i="2"/>
  <c r="AT746" i="2"/>
  <c r="AT758" i="2"/>
  <c r="AT769" i="2"/>
  <c r="AT759" i="2"/>
  <c r="AT736" i="2"/>
  <c r="AT744" i="2"/>
  <c r="AT752" i="2"/>
  <c r="AT747" i="2"/>
  <c r="AT749" i="2"/>
  <c r="AT774" i="2"/>
  <c r="AT745" i="2"/>
  <c r="AT743" i="2"/>
  <c r="AT764" i="2"/>
  <c r="AT770" i="2"/>
  <c r="AT751" i="2"/>
  <c r="AT756" i="2"/>
  <c r="AT762" i="2"/>
  <c r="AT763" i="2"/>
  <c r="AT733" i="2"/>
  <c r="AT765" i="2"/>
  <c r="AT766" i="2"/>
  <c r="AT778" i="2"/>
  <c r="AT768" i="2"/>
  <c r="AT781" i="2"/>
  <c r="AT754" i="2"/>
  <c r="AT748" i="2"/>
  <c r="AT772" i="2"/>
  <c r="AT773" i="2"/>
  <c r="AT750" i="2"/>
  <c r="AT785" i="2"/>
  <c r="AT776" i="2"/>
  <c r="AT777" i="2"/>
  <c r="AT760" i="2"/>
  <c r="AT779" i="2"/>
  <c r="AT771" i="2"/>
  <c r="AT761" i="2"/>
  <c r="AT740" i="2"/>
  <c r="AT783" i="2"/>
  <c r="AT757" i="2"/>
  <c r="AT739" i="2"/>
  <c r="AT786" i="2"/>
  <c r="AT753" i="2"/>
  <c r="G44" i="7"/>
  <c r="AL49" i="2" s="1"/>
  <c r="G45" i="7"/>
  <c r="AL734" i="2" s="1"/>
  <c r="G46" i="7"/>
  <c r="AL299" i="2" s="1"/>
  <c r="G43" i="7"/>
  <c r="AL621" i="2" s="1"/>
  <c r="O3" i="3"/>
  <c r="O4" i="3"/>
  <c r="O5" i="3"/>
  <c r="O2" i="3"/>
  <c r="AO532" i="2"/>
  <c r="AO624" i="2"/>
  <c r="AO702" i="2"/>
  <c r="AO666" i="2"/>
  <c r="AO611" i="2"/>
  <c r="AO607" i="2"/>
  <c r="AO675" i="2"/>
  <c r="AO614" i="2"/>
  <c r="AO709" i="2"/>
  <c r="AO621" i="2"/>
  <c r="AO529" i="2"/>
  <c r="AO562" i="2"/>
  <c r="AO531" i="2"/>
  <c r="AO523" i="2"/>
  <c r="AO722" i="2"/>
  <c r="AO664" i="2"/>
  <c r="AO535" i="2"/>
  <c r="AO536" i="2"/>
  <c r="AO594" i="2"/>
  <c r="AO587" i="2"/>
  <c r="AO683" i="2"/>
  <c r="AO681" i="2"/>
  <c r="AO704" i="2"/>
  <c r="AO546" i="2"/>
  <c r="AO543" i="2"/>
  <c r="AO551" i="2"/>
  <c r="AO545" i="2"/>
  <c r="AO669" i="2"/>
  <c r="AO547" i="2"/>
  <c r="AO682" i="2"/>
  <c r="AO645" i="2"/>
  <c r="AO684" i="2"/>
  <c r="AO647" i="2"/>
  <c r="AO585" i="2"/>
  <c r="AO553" i="2"/>
  <c r="AO554" i="2"/>
  <c r="AO555" i="2"/>
  <c r="AO556" i="2"/>
  <c r="AO652" i="2"/>
  <c r="AO558" i="2"/>
  <c r="AO613" i="2"/>
  <c r="AO626" i="2"/>
  <c r="AO561" i="2"/>
  <c r="AO665" i="2"/>
  <c r="AO721" i="2"/>
  <c r="AO564" i="2"/>
  <c r="AO642" i="2"/>
  <c r="AO566" i="2"/>
  <c r="AO567" i="2"/>
  <c r="AO687" i="2"/>
  <c r="AO589" i="2"/>
  <c r="AO713" i="2"/>
  <c r="AO571" i="2"/>
  <c r="AO627" i="2"/>
  <c r="AO573" i="2"/>
  <c r="AO574" i="2"/>
  <c r="AO603" i="2"/>
  <c r="AO602" i="2"/>
  <c r="AO582" i="2"/>
  <c r="AO717" i="2"/>
  <c r="AO670" i="2"/>
  <c r="AO580" i="2"/>
  <c r="AO636" i="2"/>
  <c r="AO530" i="2"/>
  <c r="AO604" i="2"/>
  <c r="AO584" i="2"/>
  <c r="AO524" i="2"/>
  <c r="AO538" i="2"/>
  <c r="AO649" i="2"/>
  <c r="AO569" i="2"/>
  <c r="AO651" i="2"/>
  <c r="AO590" i="2"/>
  <c r="AO637" i="2"/>
  <c r="AO671" i="2"/>
  <c r="AO593" i="2"/>
  <c r="AO565" i="2"/>
  <c r="AO595" i="2"/>
  <c r="AO596" i="2"/>
  <c r="AO597" i="2"/>
  <c r="AO689" i="2"/>
  <c r="AO605" i="2"/>
  <c r="AO560" i="2"/>
  <c r="AO601" i="2"/>
  <c r="AO537" i="2"/>
  <c r="AO676" i="2"/>
  <c r="AO525" i="2"/>
  <c r="AO539" i="2"/>
  <c r="AO606" i="2"/>
  <c r="AO552" i="2"/>
  <c r="AO695" i="2"/>
  <c r="AO609" i="2"/>
  <c r="AO610" i="2"/>
  <c r="AO720" i="2"/>
  <c r="AO719" i="2"/>
  <c r="AO563" i="2"/>
  <c r="AO619" i="2"/>
  <c r="AO615" i="2"/>
  <c r="AO540" i="2"/>
  <c r="AO635" i="2"/>
  <c r="AO618" i="2"/>
  <c r="AO575" i="2"/>
  <c r="AO620" i="2"/>
  <c r="AO586" i="2"/>
  <c r="AO710" i="2"/>
  <c r="AO623" i="2"/>
  <c r="AO548" i="2"/>
  <c r="AO598" i="2"/>
  <c r="AO690" i="2"/>
  <c r="AO716" i="2"/>
  <c r="AO628" i="2"/>
  <c r="AO629" i="2"/>
  <c r="AO630" i="2"/>
  <c r="AO631" i="2"/>
  <c r="AO632" i="2"/>
  <c r="AO541" i="2"/>
  <c r="AO699" i="2"/>
  <c r="AO688" i="2"/>
  <c r="AO559" i="2"/>
  <c r="AO633" i="2"/>
  <c r="AO519" i="2"/>
  <c r="AO667" i="2"/>
  <c r="AO522" i="2"/>
  <c r="AO698" i="2"/>
  <c r="AO557" i="2"/>
  <c r="AO643" i="2"/>
  <c r="AO644" i="2"/>
  <c r="AO534" i="2"/>
  <c r="AO646" i="2"/>
  <c r="AO616" i="2"/>
  <c r="AO648" i="2"/>
  <c r="AO706" i="2"/>
  <c r="AO678" i="2"/>
  <c r="AO715" i="2"/>
  <c r="AO528" i="2"/>
  <c r="AO625" i="2"/>
  <c r="AO654" i="2"/>
  <c r="AO655" i="2"/>
  <c r="AO656" i="2"/>
  <c r="AO657" i="2"/>
  <c r="AO658" i="2"/>
  <c r="AO617" i="2"/>
  <c r="AO660" i="2"/>
  <c r="AO527" i="2"/>
  <c r="AO708" i="2"/>
  <c r="AO663" i="2"/>
  <c r="AO650" i="2"/>
  <c r="AO542" i="2"/>
  <c r="AO576" i="2"/>
  <c r="AO661" i="2"/>
  <c r="AO668" i="2"/>
  <c r="AO588" i="2"/>
  <c r="AO662" i="2"/>
  <c r="AO568" i="2"/>
  <c r="AO723" i="2"/>
  <c r="AO673" i="2"/>
  <c r="AO696" i="2"/>
  <c r="AO691" i="2"/>
  <c r="AO707" i="2"/>
  <c r="AO591" i="2"/>
  <c r="AO570" i="2"/>
  <c r="AO679" i="2"/>
  <c r="AO680" i="2"/>
  <c r="AO608" i="2"/>
  <c r="AO599" i="2"/>
  <c r="AO612" i="2"/>
  <c r="AO526" i="2"/>
  <c r="AO685" i="2"/>
  <c r="AO686" i="2"/>
  <c r="AO639" i="2"/>
  <c r="AO583" i="2"/>
  <c r="AO572" i="2"/>
  <c r="AO544" i="2"/>
  <c r="AO672" i="2"/>
  <c r="AO692" i="2"/>
  <c r="AO693" i="2"/>
  <c r="AO694" i="2"/>
  <c r="AO640" i="2"/>
  <c r="AO550" i="2"/>
  <c r="AO697" i="2"/>
  <c r="AO549" i="2"/>
  <c r="AO600" i="2"/>
  <c r="AO700" i="2"/>
  <c r="AO701" i="2"/>
  <c r="AO622" i="2"/>
  <c r="AO703" i="2"/>
  <c r="AO578" i="2"/>
  <c r="AO641" i="2"/>
  <c r="AO581" i="2"/>
  <c r="AO714" i="2"/>
  <c r="AO718" i="2"/>
  <c r="AO592" i="2"/>
  <c r="AO520" i="2"/>
  <c r="AO711" i="2"/>
  <c r="AO712" i="2"/>
  <c r="AO521" i="2"/>
  <c r="AO533" i="2"/>
  <c r="AO659" i="2"/>
  <c r="AO725" i="2"/>
  <c r="AO579" i="2"/>
  <c r="AO634" i="2"/>
  <c r="AO638" i="2"/>
  <c r="AO653" i="2"/>
  <c r="AO577" i="2"/>
  <c r="AO705" i="2"/>
  <c r="AO677" i="2"/>
  <c r="AO724" i="2"/>
  <c r="AO674" i="2"/>
  <c r="AP532" i="2"/>
  <c r="AP624" i="2"/>
  <c r="AP702" i="2"/>
  <c r="AP666" i="2"/>
  <c r="AP611" i="2"/>
  <c r="AP607" i="2"/>
  <c r="AP675" i="2"/>
  <c r="AP614" i="2"/>
  <c r="AP709" i="2"/>
  <c r="AP621" i="2"/>
  <c r="AP529" i="2"/>
  <c r="AP562" i="2"/>
  <c r="AP531" i="2"/>
  <c r="AP523" i="2"/>
  <c r="AP722" i="2"/>
  <c r="AP664" i="2"/>
  <c r="AP535" i="2"/>
  <c r="AP536" i="2"/>
  <c r="AP594" i="2"/>
  <c r="AP587" i="2"/>
  <c r="AP683" i="2"/>
  <c r="AP681" i="2"/>
  <c r="AP704" i="2"/>
  <c r="AP546" i="2"/>
  <c r="AP543" i="2"/>
  <c r="AP551" i="2"/>
  <c r="AP545" i="2"/>
  <c r="AP669" i="2"/>
  <c r="AP547" i="2"/>
  <c r="AP682" i="2"/>
  <c r="AP645" i="2"/>
  <c r="AP684" i="2"/>
  <c r="AP647" i="2"/>
  <c r="AP585" i="2"/>
  <c r="AP553" i="2"/>
  <c r="AP554" i="2"/>
  <c r="AP555" i="2"/>
  <c r="AP556" i="2"/>
  <c r="AP652" i="2"/>
  <c r="AP558" i="2"/>
  <c r="AP613" i="2"/>
  <c r="AP626" i="2"/>
  <c r="AP561" i="2"/>
  <c r="AP665" i="2"/>
  <c r="AP721" i="2"/>
  <c r="AP564" i="2"/>
  <c r="AP642" i="2"/>
  <c r="AP566" i="2"/>
  <c r="AP567" i="2"/>
  <c r="AP687" i="2"/>
  <c r="AP589" i="2"/>
  <c r="AP713" i="2"/>
  <c r="AP571" i="2"/>
  <c r="AP627" i="2"/>
  <c r="AP573" i="2"/>
  <c r="AP574" i="2"/>
  <c r="AP603" i="2"/>
  <c r="AP602" i="2"/>
  <c r="AP582" i="2"/>
  <c r="AP717" i="2"/>
  <c r="AP670" i="2"/>
  <c r="AP580" i="2"/>
  <c r="AP636" i="2"/>
  <c r="AP530" i="2"/>
  <c r="AP604" i="2"/>
  <c r="AP584" i="2"/>
  <c r="AP524" i="2"/>
  <c r="AP538" i="2"/>
  <c r="AP649" i="2"/>
  <c r="AP569" i="2"/>
  <c r="AP651" i="2"/>
  <c r="AP590" i="2"/>
  <c r="AP637" i="2"/>
  <c r="AP671" i="2"/>
  <c r="AP593" i="2"/>
  <c r="AP565" i="2"/>
  <c r="AP595" i="2"/>
  <c r="AP596" i="2"/>
  <c r="AP597" i="2"/>
  <c r="AP689" i="2"/>
  <c r="AP605" i="2"/>
  <c r="AP560" i="2"/>
  <c r="AP601" i="2"/>
  <c r="AP537" i="2"/>
  <c r="AP676" i="2"/>
  <c r="AP525" i="2"/>
  <c r="AP539" i="2"/>
  <c r="AP606" i="2"/>
  <c r="AP552" i="2"/>
  <c r="AP695" i="2"/>
  <c r="AP609" i="2"/>
  <c r="AP610" i="2"/>
  <c r="AP720" i="2"/>
  <c r="AP719" i="2"/>
  <c r="AP563" i="2"/>
  <c r="AP619" i="2"/>
  <c r="AP615" i="2"/>
  <c r="AP540" i="2"/>
  <c r="AP635" i="2"/>
  <c r="AP618" i="2"/>
  <c r="AP575" i="2"/>
  <c r="AP620" i="2"/>
  <c r="AP586" i="2"/>
  <c r="AP710" i="2"/>
  <c r="AP623" i="2"/>
  <c r="AP548" i="2"/>
  <c r="AP598" i="2"/>
  <c r="AP690" i="2"/>
  <c r="AP716" i="2"/>
  <c r="AP628" i="2"/>
  <c r="AP629" i="2"/>
  <c r="AP630" i="2"/>
  <c r="AP631" i="2"/>
  <c r="AP632" i="2"/>
  <c r="AP541" i="2"/>
  <c r="AP699" i="2"/>
  <c r="AP688" i="2"/>
  <c r="AP559" i="2"/>
  <c r="AP633" i="2"/>
  <c r="AP519" i="2"/>
  <c r="AP667" i="2"/>
  <c r="AP522" i="2"/>
  <c r="AP698" i="2"/>
  <c r="AP557" i="2"/>
  <c r="AP643" i="2"/>
  <c r="AP644" i="2"/>
  <c r="AP534" i="2"/>
  <c r="AP646" i="2"/>
  <c r="AP616" i="2"/>
  <c r="AP648" i="2"/>
  <c r="AP706" i="2"/>
  <c r="AP678" i="2"/>
  <c r="AP715" i="2"/>
  <c r="AP528" i="2"/>
  <c r="AP625" i="2"/>
  <c r="AP654" i="2"/>
  <c r="AP655" i="2"/>
  <c r="AP656" i="2"/>
  <c r="AP657" i="2"/>
  <c r="AP658" i="2"/>
  <c r="AP617" i="2"/>
  <c r="AP660" i="2"/>
  <c r="AP527" i="2"/>
  <c r="AP708" i="2"/>
  <c r="AP663" i="2"/>
  <c r="AP650" i="2"/>
  <c r="AP542" i="2"/>
  <c r="AP576" i="2"/>
  <c r="AP661" i="2"/>
  <c r="AP668" i="2"/>
  <c r="AP588" i="2"/>
  <c r="AP662" i="2"/>
  <c r="AP568" i="2"/>
  <c r="AP723" i="2"/>
  <c r="AP673" i="2"/>
  <c r="AP696" i="2"/>
  <c r="AP691" i="2"/>
  <c r="AP707" i="2"/>
  <c r="AP591" i="2"/>
  <c r="AP570" i="2"/>
  <c r="AP679" i="2"/>
  <c r="AP680" i="2"/>
  <c r="AP608" i="2"/>
  <c r="AP599" i="2"/>
  <c r="AP612" i="2"/>
  <c r="AP526" i="2"/>
  <c r="AP685" i="2"/>
  <c r="AP686" i="2"/>
  <c r="AP639" i="2"/>
  <c r="AP583" i="2"/>
  <c r="AP572" i="2"/>
  <c r="AP544" i="2"/>
  <c r="AP672" i="2"/>
  <c r="AP692" i="2"/>
  <c r="AP693" i="2"/>
  <c r="AP694" i="2"/>
  <c r="AP640" i="2"/>
  <c r="AP550" i="2"/>
  <c r="AP697" i="2"/>
  <c r="AP549" i="2"/>
  <c r="AP600" i="2"/>
  <c r="AP700" i="2"/>
  <c r="AP701" i="2"/>
  <c r="AP622" i="2"/>
  <c r="AP703" i="2"/>
  <c r="AP578" i="2"/>
  <c r="AP641" i="2"/>
  <c r="AP581" i="2"/>
  <c r="AP714" i="2"/>
  <c r="AP718" i="2"/>
  <c r="AP592" i="2"/>
  <c r="AP520" i="2"/>
  <c r="AP711" i="2"/>
  <c r="AP712" i="2"/>
  <c r="AP521" i="2"/>
  <c r="AP533" i="2"/>
  <c r="AP659" i="2"/>
  <c r="AP725" i="2"/>
  <c r="AP579" i="2"/>
  <c r="AP634" i="2"/>
  <c r="AP638" i="2"/>
  <c r="AP653" i="2"/>
  <c r="AP577" i="2"/>
  <c r="AP705" i="2"/>
  <c r="AP677" i="2"/>
  <c r="AP724" i="2"/>
  <c r="AP674" i="2"/>
  <c r="AQ532" i="2"/>
  <c r="AQ624" i="2"/>
  <c r="AQ702" i="2"/>
  <c r="AQ666" i="2"/>
  <c r="AQ611" i="2"/>
  <c r="AQ607" i="2"/>
  <c r="AQ675" i="2"/>
  <c r="AQ614" i="2"/>
  <c r="AQ709" i="2"/>
  <c r="AQ621" i="2"/>
  <c r="AQ529" i="2"/>
  <c r="AQ562" i="2"/>
  <c r="AQ531" i="2"/>
  <c r="AQ523" i="2"/>
  <c r="AQ722" i="2"/>
  <c r="AQ664" i="2"/>
  <c r="AQ535" i="2"/>
  <c r="AQ536" i="2"/>
  <c r="AQ594" i="2"/>
  <c r="AQ587" i="2"/>
  <c r="AQ683" i="2"/>
  <c r="AQ681" i="2"/>
  <c r="AQ704" i="2"/>
  <c r="AQ546" i="2"/>
  <c r="AQ543" i="2"/>
  <c r="AQ551" i="2"/>
  <c r="AQ545" i="2"/>
  <c r="AQ669" i="2"/>
  <c r="AQ547" i="2"/>
  <c r="AQ682" i="2"/>
  <c r="AQ645" i="2"/>
  <c r="AQ684" i="2"/>
  <c r="AQ647" i="2"/>
  <c r="AQ585" i="2"/>
  <c r="AQ553" i="2"/>
  <c r="AQ554" i="2"/>
  <c r="AQ555" i="2"/>
  <c r="AQ556" i="2"/>
  <c r="AQ652" i="2"/>
  <c r="AQ558" i="2"/>
  <c r="AQ613" i="2"/>
  <c r="AQ626" i="2"/>
  <c r="AQ561" i="2"/>
  <c r="AQ665" i="2"/>
  <c r="AQ721" i="2"/>
  <c r="AQ564" i="2"/>
  <c r="AQ642" i="2"/>
  <c r="AQ566" i="2"/>
  <c r="AQ567" i="2"/>
  <c r="AQ687" i="2"/>
  <c r="AQ589" i="2"/>
  <c r="AQ713" i="2"/>
  <c r="AQ571" i="2"/>
  <c r="AQ627" i="2"/>
  <c r="AQ573" i="2"/>
  <c r="AQ574" i="2"/>
  <c r="AQ603" i="2"/>
  <c r="AQ602" i="2"/>
  <c r="AQ582" i="2"/>
  <c r="AQ717" i="2"/>
  <c r="AQ670" i="2"/>
  <c r="AQ580" i="2"/>
  <c r="AQ636" i="2"/>
  <c r="AQ530" i="2"/>
  <c r="AQ604" i="2"/>
  <c r="AQ584" i="2"/>
  <c r="AQ524" i="2"/>
  <c r="AQ538" i="2"/>
  <c r="AQ649" i="2"/>
  <c r="AQ569" i="2"/>
  <c r="AQ651" i="2"/>
  <c r="AQ590" i="2"/>
  <c r="AQ637" i="2"/>
  <c r="AQ671" i="2"/>
  <c r="AQ593" i="2"/>
  <c r="AQ565" i="2"/>
  <c r="AQ595" i="2"/>
  <c r="AQ596" i="2"/>
  <c r="AQ597" i="2"/>
  <c r="AQ689" i="2"/>
  <c r="AQ605" i="2"/>
  <c r="AQ560" i="2"/>
  <c r="AQ601" i="2"/>
  <c r="AQ537" i="2"/>
  <c r="AQ676" i="2"/>
  <c r="AQ525" i="2"/>
  <c r="AQ539" i="2"/>
  <c r="AQ606" i="2"/>
  <c r="AQ552" i="2"/>
  <c r="AQ695" i="2"/>
  <c r="AQ609" i="2"/>
  <c r="AQ610" i="2"/>
  <c r="AQ720" i="2"/>
  <c r="AQ719" i="2"/>
  <c r="AQ563" i="2"/>
  <c r="AQ619" i="2"/>
  <c r="AQ615" i="2"/>
  <c r="AQ540" i="2"/>
  <c r="AQ635" i="2"/>
  <c r="AQ618" i="2"/>
  <c r="AQ575" i="2"/>
  <c r="AQ620" i="2"/>
  <c r="AQ586" i="2"/>
  <c r="AQ710" i="2"/>
  <c r="AQ623" i="2"/>
  <c r="AQ548" i="2"/>
  <c r="AQ598" i="2"/>
  <c r="AQ690" i="2"/>
  <c r="AQ716" i="2"/>
  <c r="AQ628" i="2"/>
  <c r="AQ629" i="2"/>
  <c r="AQ630" i="2"/>
  <c r="AQ631" i="2"/>
  <c r="AQ632" i="2"/>
  <c r="AQ541" i="2"/>
  <c r="AQ699" i="2"/>
  <c r="AQ688" i="2"/>
  <c r="AQ559" i="2"/>
  <c r="AQ633" i="2"/>
  <c r="AQ519" i="2"/>
  <c r="AQ667" i="2"/>
  <c r="AQ522" i="2"/>
  <c r="AQ698" i="2"/>
  <c r="AQ557" i="2"/>
  <c r="AQ643" i="2"/>
  <c r="AQ644" i="2"/>
  <c r="AQ534" i="2"/>
  <c r="AQ646" i="2"/>
  <c r="AQ616" i="2"/>
  <c r="AQ648" i="2"/>
  <c r="AQ706" i="2"/>
  <c r="AQ678" i="2"/>
  <c r="AQ715" i="2"/>
  <c r="AQ528" i="2"/>
  <c r="AQ625" i="2"/>
  <c r="AQ654" i="2"/>
  <c r="AQ655" i="2"/>
  <c r="AQ656" i="2"/>
  <c r="AQ657" i="2"/>
  <c r="AQ658" i="2"/>
  <c r="AQ617" i="2"/>
  <c r="AQ660" i="2"/>
  <c r="AQ527" i="2"/>
  <c r="AQ708" i="2"/>
  <c r="AQ663" i="2"/>
  <c r="AQ650" i="2"/>
  <c r="AQ542" i="2"/>
  <c r="AQ576" i="2"/>
  <c r="AQ661" i="2"/>
  <c r="AQ668" i="2"/>
  <c r="AQ588" i="2"/>
  <c r="AQ662" i="2"/>
  <c r="AQ568" i="2"/>
  <c r="AQ723" i="2"/>
  <c r="AQ673" i="2"/>
  <c r="AQ696" i="2"/>
  <c r="AQ691" i="2"/>
  <c r="AQ707" i="2"/>
  <c r="AQ591" i="2"/>
  <c r="AQ570" i="2"/>
  <c r="AQ679" i="2"/>
  <c r="AQ680" i="2"/>
  <c r="AQ608" i="2"/>
  <c r="AQ599" i="2"/>
  <c r="AQ612" i="2"/>
  <c r="AQ526" i="2"/>
  <c r="AQ685" i="2"/>
  <c r="AQ686" i="2"/>
  <c r="AQ639" i="2"/>
  <c r="AQ583" i="2"/>
  <c r="AQ572" i="2"/>
  <c r="AQ544" i="2"/>
  <c r="AQ672" i="2"/>
  <c r="AQ692" i="2"/>
  <c r="AQ693" i="2"/>
  <c r="AQ694" i="2"/>
  <c r="AQ640" i="2"/>
  <c r="AQ550" i="2"/>
  <c r="AQ697" i="2"/>
  <c r="AQ549" i="2"/>
  <c r="AQ600" i="2"/>
  <c r="AQ700" i="2"/>
  <c r="AQ701" i="2"/>
  <c r="AQ622" i="2"/>
  <c r="AQ703" i="2"/>
  <c r="AQ578" i="2"/>
  <c r="AQ641" i="2"/>
  <c r="AQ581" i="2"/>
  <c r="AQ714" i="2"/>
  <c r="AQ718" i="2"/>
  <c r="AQ592" i="2"/>
  <c r="AQ520" i="2"/>
  <c r="AQ711" i="2"/>
  <c r="AQ712" i="2"/>
  <c r="AQ521" i="2"/>
  <c r="AQ533" i="2"/>
  <c r="AQ659" i="2"/>
  <c r="AQ725" i="2"/>
  <c r="AQ579" i="2"/>
  <c r="AQ634" i="2"/>
  <c r="AQ638" i="2"/>
  <c r="AQ653" i="2"/>
  <c r="AQ577" i="2"/>
  <c r="AQ705" i="2"/>
  <c r="AQ677" i="2"/>
  <c r="AQ724" i="2"/>
  <c r="AQ674" i="2"/>
  <c r="AR532" i="2"/>
  <c r="AR624" i="2"/>
  <c r="AR702" i="2"/>
  <c r="AR666" i="2"/>
  <c r="AR611" i="2"/>
  <c r="AR607" i="2"/>
  <c r="AR675" i="2"/>
  <c r="AR614" i="2"/>
  <c r="AR709" i="2"/>
  <c r="AR621" i="2"/>
  <c r="AR529" i="2"/>
  <c r="AR562" i="2"/>
  <c r="AR531" i="2"/>
  <c r="AR523" i="2"/>
  <c r="AR722" i="2"/>
  <c r="AR664" i="2"/>
  <c r="AR535" i="2"/>
  <c r="AR536" i="2"/>
  <c r="AR594" i="2"/>
  <c r="AR587" i="2"/>
  <c r="AR683" i="2"/>
  <c r="AR681" i="2"/>
  <c r="AR704" i="2"/>
  <c r="AR546" i="2"/>
  <c r="AR543" i="2"/>
  <c r="AR551" i="2"/>
  <c r="AR545" i="2"/>
  <c r="AR669" i="2"/>
  <c r="AR547" i="2"/>
  <c r="AR682" i="2"/>
  <c r="AR645" i="2"/>
  <c r="AR684" i="2"/>
  <c r="AR647" i="2"/>
  <c r="AR585" i="2"/>
  <c r="AR553" i="2"/>
  <c r="AR554" i="2"/>
  <c r="AR555" i="2"/>
  <c r="AR556" i="2"/>
  <c r="AR652" i="2"/>
  <c r="AR558" i="2"/>
  <c r="AR613" i="2"/>
  <c r="AR626" i="2"/>
  <c r="AR561" i="2"/>
  <c r="AR665" i="2"/>
  <c r="AR721" i="2"/>
  <c r="AR564" i="2"/>
  <c r="AR642" i="2"/>
  <c r="AR566" i="2"/>
  <c r="AR567" i="2"/>
  <c r="AR687" i="2"/>
  <c r="AR589" i="2"/>
  <c r="AR713" i="2"/>
  <c r="AR571" i="2"/>
  <c r="AR627" i="2"/>
  <c r="AR573" i="2"/>
  <c r="AR574" i="2"/>
  <c r="AR603" i="2"/>
  <c r="AR602" i="2"/>
  <c r="AR582" i="2"/>
  <c r="AR717" i="2"/>
  <c r="AR670" i="2"/>
  <c r="AR580" i="2"/>
  <c r="AR636" i="2"/>
  <c r="AR530" i="2"/>
  <c r="AR604" i="2"/>
  <c r="AR584" i="2"/>
  <c r="AR524" i="2"/>
  <c r="AR538" i="2"/>
  <c r="AR649" i="2"/>
  <c r="AR569" i="2"/>
  <c r="AR651" i="2"/>
  <c r="AR590" i="2"/>
  <c r="AR637" i="2"/>
  <c r="AR671" i="2"/>
  <c r="AR593" i="2"/>
  <c r="AR565" i="2"/>
  <c r="AR595" i="2"/>
  <c r="AR596" i="2"/>
  <c r="AR597" i="2"/>
  <c r="AR689" i="2"/>
  <c r="AR605" i="2"/>
  <c r="AR560" i="2"/>
  <c r="AR601" i="2"/>
  <c r="AR537" i="2"/>
  <c r="AR676" i="2"/>
  <c r="AR525" i="2"/>
  <c r="AR539" i="2"/>
  <c r="AR606" i="2"/>
  <c r="AR552" i="2"/>
  <c r="AR695" i="2"/>
  <c r="AR609" i="2"/>
  <c r="AR610" i="2"/>
  <c r="AR720" i="2"/>
  <c r="AR719" i="2"/>
  <c r="AR563" i="2"/>
  <c r="AR619" i="2"/>
  <c r="AR615" i="2"/>
  <c r="AR540" i="2"/>
  <c r="AR635" i="2"/>
  <c r="AR618" i="2"/>
  <c r="AR575" i="2"/>
  <c r="AR620" i="2"/>
  <c r="AR586" i="2"/>
  <c r="AR710" i="2"/>
  <c r="AR623" i="2"/>
  <c r="AR548" i="2"/>
  <c r="AR598" i="2"/>
  <c r="AR690" i="2"/>
  <c r="AR716" i="2"/>
  <c r="AR628" i="2"/>
  <c r="AR629" i="2"/>
  <c r="AR630" i="2"/>
  <c r="AR631" i="2"/>
  <c r="AR632" i="2"/>
  <c r="AR541" i="2"/>
  <c r="AR699" i="2"/>
  <c r="AR688" i="2"/>
  <c r="AR559" i="2"/>
  <c r="AR633" i="2"/>
  <c r="AR519" i="2"/>
  <c r="AR667" i="2"/>
  <c r="AR522" i="2"/>
  <c r="AR698" i="2"/>
  <c r="AR557" i="2"/>
  <c r="AR643" i="2"/>
  <c r="AR644" i="2"/>
  <c r="AR534" i="2"/>
  <c r="AR646" i="2"/>
  <c r="AR616" i="2"/>
  <c r="AR648" i="2"/>
  <c r="AR706" i="2"/>
  <c r="AR678" i="2"/>
  <c r="AR715" i="2"/>
  <c r="AR528" i="2"/>
  <c r="AR625" i="2"/>
  <c r="AR654" i="2"/>
  <c r="AR655" i="2"/>
  <c r="AR656" i="2"/>
  <c r="AR657" i="2"/>
  <c r="AR658" i="2"/>
  <c r="AR617" i="2"/>
  <c r="AR660" i="2"/>
  <c r="AR527" i="2"/>
  <c r="AR708" i="2"/>
  <c r="AR663" i="2"/>
  <c r="AR650" i="2"/>
  <c r="AR542" i="2"/>
  <c r="AR576" i="2"/>
  <c r="AR661" i="2"/>
  <c r="AR668" i="2"/>
  <c r="AR588" i="2"/>
  <c r="AR662" i="2"/>
  <c r="AR568" i="2"/>
  <c r="AR723" i="2"/>
  <c r="AR673" i="2"/>
  <c r="AR696" i="2"/>
  <c r="AR691" i="2"/>
  <c r="AR707" i="2"/>
  <c r="AR591" i="2"/>
  <c r="AR570" i="2"/>
  <c r="AR679" i="2"/>
  <c r="AR680" i="2"/>
  <c r="AR608" i="2"/>
  <c r="AR599" i="2"/>
  <c r="AR612" i="2"/>
  <c r="AR526" i="2"/>
  <c r="AR685" i="2"/>
  <c r="AR686" i="2"/>
  <c r="AR639" i="2"/>
  <c r="AR583" i="2"/>
  <c r="AR572" i="2"/>
  <c r="AR544" i="2"/>
  <c r="AR672" i="2"/>
  <c r="AR692" i="2"/>
  <c r="AR693" i="2"/>
  <c r="AR694" i="2"/>
  <c r="AR640" i="2"/>
  <c r="AR550" i="2"/>
  <c r="AR697" i="2"/>
  <c r="AR549" i="2"/>
  <c r="AR600" i="2"/>
  <c r="AR700" i="2"/>
  <c r="AR701" i="2"/>
  <c r="AR622" i="2"/>
  <c r="AR703" i="2"/>
  <c r="AR578" i="2"/>
  <c r="AR641" i="2"/>
  <c r="AR581" i="2"/>
  <c r="AR714" i="2"/>
  <c r="AR718" i="2"/>
  <c r="AR592" i="2"/>
  <c r="AR520" i="2"/>
  <c r="AR711" i="2"/>
  <c r="AR712" i="2"/>
  <c r="AR521" i="2"/>
  <c r="AR533" i="2"/>
  <c r="AR659" i="2"/>
  <c r="AR725" i="2"/>
  <c r="AR579" i="2"/>
  <c r="AR634" i="2"/>
  <c r="AR638" i="2"/>
  <c r="AR653" i="2"/>
  <c r="AR577" i="2"/>
  <c r="AR705" i="2"/>
  <c r="AR677" i="2"/>
  <c r="AR724" i="2"/>
  <c r="AR674" i="2"/>
  <c r="AS532" i="2"/>
  <c r="AS624" i="2"/>
  <c r="AS702" i="2"/>
  <c r="AS666" i="2"/>
  <c r="AS611" i="2"/>
  <c r="AS607" i="2"/>
  <c r="AS675" i="2"/>
  <c r="AS614" i="2"/>
  <c r="AS709" i="2"/>
  <c r="AS621" i="2"/>
  <c r="AS529" i="2"/>
  <c r="AS562" i="2"/>
  <c r="AS531" i="2"/>
  <c r="AS523" i="2"/>
  <c r="AS722" i="2"/>
  <c r="AS664" i="2"/>
  <c r="AS535" i="2"/>
  <c r="AS536" i="2"/>
  <c r="AS594" i="2"/>
  <c r="AS587" i="2"/>
  <c r="AS683" i="2"/>
  <c r="AS681" i="2"/>
  <c r="AS704" i="2"/>
  <c r="AS546" i="2"/>
  <c r="AS543" i="2"/>
  <c r="AS551" i="2"/>
  <c r="AS545" i="2"/>
  <c r="AS669" i="2"/>
  <c r="AS547" i="2"/>
  <c r="AS682" i="2"/>
  <c r="AS645" i="2"/>
  <c r="AS684" i="2"/>
  <c r="AS647" i="2"/>
  <c r="AS585" i="2"/>
  <c r="AS553" i="2"/>
  <c r="AS554" i="2"/>
  <c r="AS555" i="2"/>
  <c r="AS556" i="2"/>
  <c r="AS652" i="2"/>
  <c r="AS558" i="2"/>
  <c r="AS613" i="2"/>
  <c r="AS626" i="2"/>
  <c r="AS561" i="2"/>
  <c r="AS665" i="2"/>
  <c r="AS721" i="2"/>
  <c r="AS564" i="2"/>
  <c r="AS642" i="2"/>
  <c r="AS566" i="2"/>
  <c r="AS567" i="2"/>
  <c r="AS687" i="2"/>
  <c r="AS589" i="2"/>
  <c r="AS713" i="2"/>
  <c r="AS571" i="2"/>
  <c r="AS627" i="2"/>
  <c r="AS573" i="2"/>
  <c r="AS574" i="2"/>
  <c r="AS603" i="2"/>
  <c r="AS602" i="2"/>
  <c r="AS582" i="2"/>
  <c r="AS717" i="2"/>
  <c r="AS670" i="2"/>
  <c r="AS580" i="2"/>
  <c r="AS636" i="2"/>
  <c r="AS530" i="2"/>
  <c r="AS604" i="2"/>
  <c r="AS584" i="2"/>
  <c r="AS524" i="2"/>
  <c r="AS538" i="2"/>
  <c r="AS649" i="2"/>
  <c r="AS569" i="2"/>
  <c r="AS651" i="2"/>
  <c r="AS590" i="2"/>
  <c r="AS637" i="2"/>
  <c r="AS671" i="2"/>
  <c r="AS593" i="2"/>
  <c r="AS565" i="2"/>
  <c r="AS595" i="2"/>
  <c r="AS596" i="2"/>
  <c r="AS597" i="2"/>
  <c r="AS689" i="2"/>
  <c r="AS605" i="2"/>
  <c r="AS560" i="2"/>
  <c r="AS601" i="2"/>
  <c r="AS537" i="2"/>
  <c r="AS676" i="2"/>
  <c r="AS525" i="2"/>
  <c r="AS539" i="2"/>
  <c r="AS606" i="2"/>
  <c r="AS552" i="2"/>
  <c r="AS695" i="2"/>
  <c r="AS609" i="2"/>
  <c r="AS610" i="2"/>
  <c r="AS720" i="2"/>
  <c r="AS719" i="2"/>
  <c r="AS563" i="2"/>
  <c r="AS619" i="2"/>
  <c r="AS615" i="2"/>
  <c r="AS540" i="2"/>
  <c r="AS635" i="2"/>
  <c r="AS618" i="2"/>
  <c r="AS575" i="2"/>
  <c r="AS620" i="2"/>
  <c r="AS586" i="2"/>
  <c r="AS710" i="2"/>
  <c r="AS623" i="2"/>
  <c r="AS548" i="2"/>
  <c r="AS598" i="2"/>
  <c r="AS690" i="2"/>
  <c r="AS716" i="2"/>
  <c r="AS628" i="2"/>
  <c r="AS629" i="2"/>
  <c r="AS630" i="2"/>
  <c r="AS631" i="2"/>
  <c r="AS632" i="2"/>
  <c r="AS541" i="2"/>
  <c r="AS699" i="2"/>
  <c r="AS688" i="2"/>
  <c r="AS559" i="2"/>
  <c r="AS633" i="2"/>
  <c r="AS519" i="2"/>
  <c r="AS667" i="2"/>
  <c r="AS522" i="2"/>
  <c r="AS698" i="2"/>
  <c r="AS557" i="2"/>
  <c r="AS643" i="2"/>
  <c r="AS644" i="2"/>
  <c r="AS534" i="2"/>
  <c r="AS646" i="2"/>
  <c r="AS616" i="2"/>
  <c r="AS648" i="2"/>
  <c r="AS706" i="2"/>
  <c r="AS678" i="2"/>
  <c r="AS715" i="2"/>
  <c r="AS528" i="2"/>
  <c r="AS625" i="2"/>
  <c r="AS654" i="2"/>
  <c r="AS655" i="2"/>
  <c r="AS656" i="2"/>
  <c r="AS657" i="2"/>
  <c r="AS658" i="2"/>
  <c r="AS617" i="2"/>
  <c r="AS660" i="2"/>
  <c r="AS527" i="2"/>
  <c r="AS708" i="2"/>
  <c r="AS663" i="2"/>
  <c r="AS650" i="2"/>
  <c r="AS542" i="2"/>
  <c r="AS576" i="2"/>
  <c r="AS661" i="2"/>
  <c r="AS668" i="2"/>
  <c r="AS588" i="2"/>
  <c r="AS662" i="2"/>
  <c r="AS568" i="2"/>
  <c r="AS723" i="2"/>
  <c r="AS673" i="2"/>
  <c r="AS696" i="2"/>
  <c r="AS691" i="2"/>
  <c r="AS707" i="2"/>
  <c r="AS591" i="2"/>
  <c r="AS570" i="2"/>
  <c r="AS679" i="2"/>
  <c r="AS680" i="2"/>
  <c r="AS608" i="2"/>
  <c r="AS599" i="2"/>
  <c r="AS612" i="2"/>
  <c r="AS526" i="2"/>
  <c r="AS685" i="2"/>
  <c r="AS686" i="2"/>
  <c r="AS639" i="2"/>
  <c r="AS583" i="2"/>
  <c r="AS572" i="2"/>
  <c r="AS544" i="2"/>
  <c r="AS672" i="2"/>
  <c r="AS692" i="2"/>
  <c r="AS693" i="2"/>
  <c r="AS694" i="2"/>
  <c r="AS640" i="2"/>
  <c r="AS550" i="2"/>
  <c r="AS697" i="2"/>
  <c r="AS549" i="2"/>
  <c r="AS600" i="2"/>
  <c r="AS700" i="2"/>
  <c r="AS701" i="2"/>
  <c r="AS622" i="2"/>
  <c r="AS703" i="2"/>
  <c r="AS578" i="2"/>
  <c r="AS641" i="2"/>
  <c r="AS581" i="2"/>
  <c r="AS714" i="2"/>
  <c r="AS718" i="2"/>
  <c r="AS592" i="2"/>
  <c r="AS520" i="2"/>
  <c r="AS711" i="2"/>
  <c r="AS712" i="2"/>
  <c r="AS521" i="2"/>
  <c r="AS533" i="2"/>
  <c r="AS659" i="2"/>
  <c r="AS725" i="2"/>
  <c r="AS579" i="2"/>
  <c r="AS634" i="2"/>
  <c r="AS638" i="2"/>
  <c r="AS653" i="2"/>
  <c r="AS577" i="2"/>
  <c r="AS705" i="2"/>
  <c r="AS677" i="2"/>
  <c r="AS724" i="2"/>
  <c r="AS674" i="2"/>
  <c r="AT532" i="2"/>
  <c r="AT624" i="2"/>
  <c r="AT702" i="2"/>
  <c r="AT666" i="2"/>
  <c r="AT611" i="2"/>
  <c r="AT607" i="2"/>
  <c r="AT675" i="2"/>
  <c r="AT614" i="2"/>
  <c r="AT709" i="2"/>
  <c r="AT621" i="2"/>
  <c r="AT529" i="2"/>
  <c r="AT562" i="2"/>
  <c r="AT531" i="2"/>
  <c r="AT523" i="2"/>
  <c r="AT722" i="2"/>
  <c r="AT664" i="2"/>
  <c r="AT535" i="2"/>
  <c r="AT536" i="2"/>
  <c r="AT594" i="2"/>
  <c r="AT587" i="2"/>
  <c r="AT683" i="2"/>
  <c r="AT681" i="2"/>
  <c r="AT704" i="2"/>
  <c r="AT546" i="2"/>
  <c r="AT543" i="2"/>
  <c r="AT551" i="2"/>
  <c r="AT545" i="2"/>
  <c r="AT669" i="2"/>
  <c r="AT547" i="2"/>
  <c r="AT682" i="2"/>
  <c r="AT645" i="2"/>
  <c r="AT684" i="2"/>
  <c r="AT647" i="2"/>
  <c r="AT585" i="2"/>
  <c r="AT553" i="2"/>
  <c r="AT554" i="2"/>
  <c r="AT555" i="2"/>
  <c r="AT556" i="2"/>
  <c r="AT652" i="2"/>
  <c r="AT558" i="2"/>
  <c r="AT613" i="2"/>
  <c r="AT626" i="2"/>
  <c r="AT561" i="2"/>
  <c r="AT665" i="2"/>
  <c r="AT721" i="2"/>
  <c r="AT564" i="2"/>
  <c r="AT642" i="2"/>
  <c r="AT566" i="2"/>
  <c r="AT567" i="2"/>
  <c r="AT687" i="2"/>
  <c r="AT589" i="2"/>
  <c r="AT713" i="2"/>
  <c r="AT571" i="2"/>
  <c r="AT627" i="2"/>
  <c r="AT573" i="2"/>
  <c r="AT574" i="2"/>
  <c r="AT603" i="2"/>
  <c r="AT602" i="2"/>
  <c r="AT582" i="2"/>
  <c r="AT717" i="2"/>
  <c r="AT670" i="2"/>
  <c r="AT580" i="2"/>
  <c r="AT636" i="2"/>
  <c r="AT530" i="2"/>
  <c r="AT604" i="2"/>
  <c r="AT584" i="2"/>
  <c r="AT524" i="2"/>
  <c r="AT538" i="2"/>
  <c r="AT649" i="2"/>
  <c r="AT569" i="2"/>
  <c r="AT651" i="2"/>
  <c r="AT590" i="2"/>
  <c r="AT637" i="2"/>
  <c r="AT671" i="2"/>
  <c r="AT593" i="2"/>
  <c r="AT565" i="2"/>
  <c r="AT595" i="2"/>
  <c r="AT596" i="2"/>
  <c r="AT597" i="2"/>
  <c r="AT689" i="2"/>
  <c r="AT605" i="2"/>
  <c r="AT560" i="2"/>
  <c r="AT601" i="2"/>
  <c r="AT537" i="2"/>
  <c r="AT676" i="2"/>
  <c r="AT525" i="2"/>
  <c r="AT539" i="2"/>
  <c r="AT606" i="2"/>
  <c r="AT552" i="2"/>
  <c r="AT695" i="2"/>
  <c r="AT609" i="2"/>
  <c r="AT610" i="2"/>
  <c r="AT720" i="2"/>
  <c r="AT719" i="2"/>
  <c r="AT563" i="2"/>
  <c r="AT619" i="2"/>
  <c r="AT615" i="2"/>
  <c r="AT540" i="2"/>
  <c r="AT635" i="2"/>
  <c r="AT618" i="2"/>
  <c r="AT575" i="2"/>
  <c r="AT620" i="2"/>
  <c r="AT586" i="2"/>
  <c r="AT710" i="2"/>
  <c r="AT623" i="2"/>
  <c r="AT548" i="2"/>
  <c r="AT598" i="2"/>
  <c r="AT690" i="2"/>
  <c r="AT716" i="2"/>
  <c r="AT628" i="2"/>
  <c r="AT629" i="2"/>
  <c r="AT630" i="2"/>
  <c r="AT631" i="2"/>
  <c r="AT632" i="2"/>
  <c r="AT541" i="2"/>
  <c r="AT699" i="2"/>
  <c r="AT688" i="2"/>
  <c r="AT559" i="2"/>
  <c r="AT633" i="2"/>
  <c r="AT519" i="2"/>
  <c r="AT667" i="2"/>
  <c r="AT522" i="2"/>
  <c r="AT698" i="2"/>
  <c r="AT557" i="2"/>
  <c r="AT643" i="2"/>
  <c r="AT644" i="2"/>
  <c r="AT534" i="2"/>
  <c r="AT646" i="2"/>
  <c r="AT616" i="2"/>
  <c r="AT648" i="2"/>
  <c r="AT706" i="2"/>
  <c r="AT678" i="2"/>
  <c r="AT715" i="2"/>
  <c r="AT528" i="2"/>
  <c r="AT625" i="2"/>
  <c r="AT654" i="2"/>
  <c r="AT655" i="2"/>
  <c r="AT656" i="2"/>
  <c r="AT657" i="2"/>
  <c r="AT658" i="2"/>
  <c r="AT617" i="2"/>
  <c r="AT660" i="2"/>
  <c r="AT527" i="2"/>
  <c r="AT708" i="2"/>
  <c r="AT663" i="2"/>
  <c r="AT650" i="2"/>
  <c r="AT542" i="2"/>
  <c r="AT576" i="2"/>
  <c r="AT661" i="2"/>
  <c r="AT668" i="2"/>
  <c r="AT588" i="2"/>
  <c r="AT662" i="2"/>
  <c r="AT568" i="2"/>
  <c r="AT723" i="2"/>
  <c r="AT673" i="2"/>
  <c r="AT696" i="2"/>
  <c r="AT691" i="2"/>
  <c r="AT707" i="2"/>
  <c r="AT591" i="2"/>
  <c r="AT570" i="2"/>
  <c r="AT679" i="2"/>
  <c r="AT680" i="2"/>
  <c r="AT608" i="2"/>
  <c r="AT599" i="2"/>
  <c r="AT612" i="2"/>
  <c r="AT526" i="2"/>
  <c r="AT685" i="2"/>
  <c r="AT686" i="2"/>
  <c r="AT639" i="2"/>
  <c r="AT583" i="2"/>
  <c r="AT572" i="2"/>
  <c r="AT544" i="2"/>
  <c r="AT672" i="2"/>
  <c r="AT692" i="2"/>
  <c r="AT693" i="2"/>
  <c r="AT694" i="2"/>
  <c r="AT640" i="2"/>
  <c r="AT550" i="2"/>
  <c r="AT697" i="2"/>
  <c r="AT549" i="2"/>
  <c r="AT600" i="2"/>
  <c r="AT700" i="2"/>
  <c r="AT701" i="2"/>
  <c r="AT622" i="2"/>
  <c r="AT703" i="2"/>
  <c r="AT578" i="2"/>
  <c r="AT641" i="2"/>
  <c r="AT581" i="2"/>
  <c r="AT714" i="2"/>
  <c r="AT718" i="2"/>
  <c r="AT592" i="2"/>
  <c r="AT520" i="2"/>
  <c r="AT711" i="2"/>
  <c r="AT712" i="2"/>
  <c r="AT521" i="2"/>
  <c r="AT533" i="2"/>
  <c r="AT659" i="2"/>
  <c r="AT725" i="2"/>
  <c r="AT579" i="2"/>
  <c r="AT634" i="2"/>
  <c r="AT638" i="2"/>
  <c r="AT653" i="2"/>
  <c r="AT577" i="2"/>
  <c r="AT705" i="2"/>
  <c r="AT677" i="2"/>
  <c r="AT724" i="2"/>
  <c r="AT674" i="2"/>
  <c r="AK512" i="2"/>
  <c r="AM512" i="2"/>
  <c r="AN512" i="2"/>
  <c r="AO350" i="2"/>
  <c r="AO359" i="2"/>
  <c r="AO369" i="2"/>
  <c r="AO383" i="2"/>
  <c r="AO353" i="2"/>
  <c r="AO396" i="2"/>
  <c r="AO355" i="2"/>
  <c r="AO356" i="2"/>
  <c r="AO360" i="2"/>
  <c r="AO372" i="2"/>
  <c r="AO384" i="2"/>
  <c r="AO392" i="2"/>
  <c r="AO361" i="2"/>
  <c r="AO399" i="2"/>
  <c r="AO407" i="2"/>
  <c r="AO364" i="2"/>
  <c r="AO424" i="2"/>
  <c r="AO351" i="2"/>
  <c r="AO362" i="2"/>
  <c r="AO373" i="2"/>
  <c r="AO385" i="2"/>
  <c r="AO370" i="2"/>
  <c r="AO371" i="2"/>
  <c r="AO401" i="2"/>
  <c r="AO408" i="2"/>
  <c r="AO418" i="2"/>
  <c r="AO375" i="2"/>
  <c r="AO376" i="2"/>
  <c r="AO377" i="2"/>
  <c r="AO363" i="2"/>
  <c r="AO374" i="2"/>
  <c r="AO386" i="2"/>
  <c r="AO393" i="2"/>
  <c r="AO382" i="2"/>
  <c r="AO402" i="2"/>
  <c r="AO409" i="2"/>
  <c r="AO419" i="2"/>
  <c r="AO352" i="2"/>
  <c r="AO365" i="2"/>
  <c r="AO378" i="2"/>
  <c r="AO387" i="2"/>
  <c r="AO394" i="2"/>
  <c r="AO391" i="2"/>
  <c r="AO403" i="2"/>
  <c r="AO411" i="2"/>
  <c r="AO420" i="2"/>
  <c r="AO425" i="2"/>
  <c r="AO354" i="2"/>
  <c r="AO366" i="2"/>
  <c r="AO379" i="2"/>
  <c r="AO388" i="2"/>
  <c r="AO400" i="2"/>
  <c r="AO397" i="2"/>
  <c r="AO404" i="2"/>
  <c r="AO412" i="2"/>
  <c r="AO422" i="2"/>
  <c r="AO357" i="2"/>
  <c r="AO367" i="2"/>
  <c r="AO380" i="2"/>
  <c r="AO389" i="2"/>
  <c r="AO395" i="2"/>
  <c r="AO410" i="2"/>
  <c r="AO405" i="2"/>
  <c r="AO416" i="2"/>
  <c r="AO413" i="2"/>
  <c r="AO414" i="2"/>
  <c r="AO415" i="2"/>
  <c r="AO349" i="2"/>
  <c r="AO358" i="2"/>
  <c r="AO368" i="2"/>
  <c r="AO381" i="2"/>
  <c r="AO390" i="2"/>
  <c r="AO421" i="2"/>
  <c r="AO398" i="2"/>
  <c r="AO406" i="2"/>
  <c r="AO417" i="2"/>
  <c r="AO423" i="2"/>
  <c r="AO426" i="2"/>
  <c r="AO427" i="2"/>
  <c r="AO428" i="2"/>
  <c r="AO429" i="2"/>
  <c r="AO430" i="2"/>
  <c r="AO431" i="2"/>
  <c r="AO432" i="2"/>
  <c r="AO433" i="2"/>
  <c r="AO434" i="2"/>
  <c r="AO435" i="2"/>
  <c r="AO436" i="2"/>
  <c r="AO437" i="2"/>
  <c r="AO438" i="2"/>
  <c r="AO439" i="2"/>
  <c r="AO440" i="2"/>
  <c r="AO441" i="2"/>
  <c r="AO442" i="2"/>
  <c r="AO443" i="2"/>
  <c r="AO444" i="2"/>
  <c r="AO445" i="2"/>
  <c r="AO446" i="2"/>
  <c r="AO447" i="2"/>
  <c r="AO448" i="2"/>
  <c r="AO449" i="2"/>
  <c r="AO450" i="2"/>
  <c r="AO451" i="2"/>
  <c r="AO452" i="2"/>
  <c r="AO453" i="2"/>
  <c r="AO454" i="2"/>
  <c r="AO455" i="2"/>
  <c r="AO456" i="2"/>
  <c r="AO457" i="2"/>
  <c r="AO458" i="2"/>
  <c r="AO459" i="2"/>
  <c r="AO460" i="2"/>
  <c r="AO461" i="2"/>
  <c r="AO462" i="2"/>
  <c r="AO463" i="2"/>
  <c r="AO464" i="2"/>
  <c r="AO465" i="2"/>
  <c r="AO466" i="2"/>
  <c r="AO467" i="2"/>
  <c r="AO468" i="2"/>
  <c r="AO469" i="2"/>
  <c r="AO470" i="2"/>
  <c r="AO471" i="2"/>
  <c r="AO472" i="2"/>
  <c r="AO489" i="2"/>
  <c r="AO474" i="2"/>
  <c r="AO475" i="2"/>
  <c r="AO473" i="2"/>
  <c r="AO476" i="2"/>
  <c r="AO478" i="2"/>
  <c r="AO477" i="2"/>
  <c r="AO480" i="2"/>
  <c r="AO481" i="2"/>
  <c r="AO482" i="2"/>
  <c r="AO479" i="2"/>
  <c r="AO484" i="2"/>
  <c r="AO485" i="2"/>
  <c r="AO486" i="2"/>
  <c r="AO487" i="2"/>
  <c r="AO488" i="2"/>
  <c r="AO483" i="2"/>
  <c r="AO490" i="2"/>
  <c r="AO491" i="2"/>
  <c r="AO492" i="2"/>
  <c r="AO493" i="2"/>
  <c r="AO494" i="2"/>
  <c r="AO495" i="2"/>
  <c r="AO496" i="2"/>
  <c r="AO497" i="2"/>
  <c r="AO498" i="2"/>
  <c r="AO499" i="2"/>
  <c r="AO500" i="2"/>
  <c r="AO501" i="2"/>
  <c r="AO502" i="2"/>
  <c r="AO503" i="2"/>
  <c r="AO504" i="2"/>
  <c r="AO505" i="2"/>
  <c r="AO506" i="2"/>
  <c r="AO507" i="2"/>
  <c r="AO508" i="2"/>
  <c r="AO509" i="2"/>
  <c r="AO510" i="2"/>
  <c r="AO511" i="2"/>
  <c r="AO512" i="2"/>
  <c r="AO513" i="2"/>
  <c r="AO514" i="2"/>
  <c r="AO515" i="2"/>
  <c r="AO516" i="2"/>
  <c r="AO517" i="2"/>
  <c r="AO518" i="2"/>
  <c r="AP350" i="2"/>
  <c r="AP359" i="2"/>
  <c r="AP369" i="2"/>
  <c r="AP383" i="2"/>
  <c r="AP353" i="2"/>
  <c r="AP396" i="2"/>
  <c r="AP355" i="2"/>
  <c r="AP356" i="2"/>
  <c r="AP360" i="2"/>
  <c r="AP372" i="2"/>
  <c r="AP384" i="2"/>
  <c r="AP392" i="2"/>
  <c r="AP361" i="2"/>
  <c r="AP399" i="2"/>
  <c r="AP407" i="2"/>
  <c r="AP364" i="2"/>
  <c r="AP424" i="2"/>
  <c r="AP351" i="2"/>
  <c r="AP362" i="2"/>
  <c r="AP373" i="2"/>
  <c r="AP385" i="2"/>
  <c r="AP370" i="2"/>
  <c r="AP371" i="2"/>
  <c r="AP401" i="2"/>
  <c r="AP408" i="2"/>
  <c r="AP418" i="2"/>
  <c r="AP375" i="2"/>
  <c r="AP376" i="2"/>
  <c r="AP377" i="2"/>
  <c r="AP363" i="2"/>
  <c r="AP374" i="2"/>
  <c r="AP386" i="2"/>
  <c r="AP393" i="2"/>
  <c r="AP382" i="2"/>
  <c r="AP402" i="2"/>
  <c r="AP409" i="2"/>
  <c r="AP419" i="2"/>
  <c r="AP352" i="2"/>
  <c r="AP365" i="2"/>
  <c r="AP378" i="2"/>
  <c r="AP387" i="2"/>
  <c r="AP394" i="2"/>
  <c r="AP391" i="2"/>
  <c r="AP403" i="2"/>
  <c r="AP411" i="2"/>
  <c r="AP420" i="2"/>
  <c r="AP425" i="2"/>
  <c r="AP354" i="2"/>
  <c r="AP366" i="2"/>
  <c r="AP379" i="2"/>
  <c r="AP388" i="2"/>
  <c r="AP400" i="2"/>
  <c r="AP397" i="2"/>
  <c r="AP404" i="2"/>
  <c r="AP412" i="2"/>
  <c r="AP422" i="2"/>
  <c r="AP357" i="2"/>
  <c r="AP367" i="2"/>
  <c r="AP380" i="2"/>
  <c r="AP389" i="2"/>
  <c r="AP395" i="2"/>
  <c r="AP410" i="2"/>
  <c r="AP405" i="2"/>
  <c r="AP416" i="2"/>
  <c r="AP413" i="2"/>
  <c r="AP414" i="2"/>
  <c r="AP415" i="2"/>
  <c r="AP349" i="2"/>
  <c r="AP358" i="2"/>
  <c r="AP368" i="2"/>
  <c r="AP381" i="2"/>
  <c r="AP390" i="2"/>
  <c r="AP421" i="2"/>
  <c r="AP398" i="2"/>
  <c r="AP406" i="2"/>
  <c r="AP417" i="2"/>
  <c r="AP423" i="2"/>
  <c r="AP426" i="2"/>
  <c r="AP427" i="2"/>
  <c r="AP428" i="2"/>
  <c r="AP429" i="2"/>
  <c r="AP430" i="2"/>
  <c r="AP431" i="2"/>
  <c r="AP432" i="2"/>
  <c r="AP433" i="2"/>
  <c r="AP434" i="2"/>
  <c r="AP435" i="2"/>
  <c r="AP436" i="2"/>
  <c r="AP437" i="2"/>
  <c r="AP438" i="2"/>
  <c r="AP439" i="2"/>
  <c r="AP440" i="2"/>
  <c r="AP441" i="2"/>
  <c r="AP442" i="2"/>
  <c r="AP443" i="2"/>
  <c r="AP444" i="2"/>
  <c r="AP445" i="2"/>
  <c r="AP446" i="2"/>
  <c r="AP447" i="2"/>
  <c r="AP448" i="2"/>
  <c r="AP449" i="2"/>
  <c r="AP450" i="2"/>
  <c r="AP451" i="2"/>
  <c r="AP452" i="2"/>
  <c r="AP453" i="2"/>
  <c r="AP454" i="2"/>
  <c r="AP455" i="2"/>
  <c r="AP456" i="2"/>
  <c r="AP457" i="2"/>
  <c r="AP458" i="2"/>
  <c r="AP459" i="2"/>
  <c r="AP460" i="2"/>
  <c r="AP461" i="2"/>
  <c r="AP462" i="2"/>
  <c r="AP463" i="2"/>
  <c r="AP464" i="2"/>
  <c r="AP465" i="2"/>
  <c r="AP466" i="2"/>
  <c r="AP467" i="2"/>
  <c r="AP468" i="2"/>
  <c r="AP469" i="2"/>
  <c r="AP470" i="2"/>
  <c r="AP471" i="2"/>
  <c r="AP472" i="2"/>
  <c r="AP489" i="2"/>
  <c r="AP474" i="2"/>
  <c r="AP475" i="2"/>
  <c r="AP473" i="2"/>
  <c r="AP476" i="2"/>
  <c r="AP478" i="2"/>
  <c r="AP477" i="2"/>
  <c r="AP480" i="2"/>
  <c r="AP481" i="2"/>
  <c r="AP482" i="2"/>
  <c r="AP479" i="2"/>
  <c r="AP484" i="2"/>
  <c r="AP485" i="2"/>
  <c r="AP486" i="2"/>
  <c r="AP487" i="2"/>
  <c r="AP488" i="2"/>
  <c r="AP483" i="2"/>
  <c r="AP490" i="2"/>
  <c r="AP491" i="2"/>
  <c r="AP492" i="2"/>
  <c r="AP493" i="2"/>
  <c r="AP494" i="2"/>
  <c r="AP495" i="2"/>
  <c r="AP496" i="2"/>
  <c r="AP497" i="2"/>
  <c r="AP498" i="2"/>
  <c r="AP499" i="2"/>
  <c r="AP500" i="2"/>
  <c r="AP501" i="2"/>
  <c r="AP502" i="2"/>
  <c r="AP503" i="2"/>
  <c r="AP504" i="2"/>
  <c r="AP505" i="2"/>
  <c r="AP506" i="2"/>
  <c r="AP507" i="2"/>
  <c r="AP508" i="2"/>
  <c r="AP509" i="2"/>
  <c r="AP510" i="2"/>
  <c r="AP511" i="2"/>
  <c r="AP512" i="2"/>
  <c r="AP513" i="2"/>
  <c r="AP514" i="2"/>
  <c r="AP515" i="2"/>
  <c r="AP516" i="2"/>
  <c r="AP517" i="2"/>
  <c r="AP518" i="2"/>
  <c r="AQ350" i="2"/>
  <c r="AQ359" i="2"/>
  <c r="AQ369" i="2"/>
  <c r="AQ383" i="2"/>
  <c r="AQ353" i="2"/>
  <c r="AQ396" i="2"/>
  <c r="AQ355" i="2"/>
  <c r="AQ356" i="2"/>
  <c r="AQ360" i="2"/>
  <c r="AQ372" i="2"/>
  <c r="AQ384" i="2"/>
  <c r="AQ392" i="2"/>
  <c r="AQ361" i="2"/>
  <c r="AQ399" i="2"/>
  <c r="AQ407" i="2"/>
  <c r="AQ364" i="2"/>
  <c r="AQ424" i="2"/>
  <c r="AQ351" i="2"/>
  <c r="AQ362" i="2"/>
  <c r="AQ373" i="2"/>
  <c r="AQ385" i="2"/>
  <c r="AQ370" i="2"/>
  <c r="AQ371" i="2"/>
  <c r="AQ401" i="2"/>
  <c r="AQ408" i="2"/>
  <c r="AQ418" i="2"/>
  <c r="AQ375" i="2"/>
  <c r="AQ376" i="2"/>
  <c r="AQ377" i="2"/>
  <c r="AQ363" i="2"/>
  <c r="AQ374" i="2"/>
  <c r="AQ386" i="2"/>
  <c r="AQ393" i="2"/>
  <c r="AQ382" i="2"/>
  <c r="AQ402" i="2"/>
  <c r="AQ409" i="2"/>
  <c r="AQ419" i="2"/>
  <c r="AQ352" i="2"/>
  <c r="AQ365" i="2"/>
  <c r="AQ378" i="2"/>
  <c r="AQ387" i="2"/>
  <c r="AQ394" i="2"/>
  <c r="AQ391" i="2"/>
  <c r="AQ403" i="2"/>
  <c r="AQ411" i="2"/>
  <c r="AQ420" i="2"/>
  <c r="AQ425" i="2"/>
  <c r="AQ354" i="2"/>
  <c r="AQ366" i="2"/>
  <c r="AQ379" i="2"/>
  <c r="AQ388" i="2"/>
  <c r="AQ400" i="2"/>
  <c r="AQ397" i="2"/>
  <c r="AQ404" i="2"/>
  <c r="AQ412" i="2"/>
  <c r="AQ422" i="2"/>
  <c r="AQ357" i="2"/>
  <c r="AQ367" i="2"/>
  <c r="AQ380" i="2"/>
  <c r="AQ389" i="2"/>
  <c r="AQ395" i="2"/>
  <c r="AQ410" i="2"/>
  <c r="AQ405" i="2"/>
  <c r="AQ416" i="2"/>
  <c r="AQ413" i="2"/>
  <c r="AQ414" i="2"/>
  <c r="AQ415" i="2"/>
  <c r="AQ349" i="2"/>
  <c r="AQ358" i="2"/>
  <c r="AQ368" i="2"/>
  <c r="AQ381" i="2"/>
  <c r="AQ390" i="2"/>
  <c r="AQ421" i="2"/>
  <c r="AQ398" i="2"/>
  <c r="AQ406" i="2"/>
  <c r="AQ417" i="2"/>
  <c r="AQ423" i="2"/>
  <c r="AQ426" i="2"/>
  <c r="AQ427" i="2"/>
  <c r="AQ428" i="2"/>
  <c r="AQ429" i="2"/>
  <c r="AQ430" i="2"/>
  <c r="AQ431" i="2"/>
  <c r="AQ432" i="2"/>
  <c r="AQ433" i="2"/>
  <c r="AQ434" i="2"/>
  <c r="AQ435" i="2"/>
  <c r="AQ436" i="2"/>
  <c r="AQ437" i="2"/>
  <c r="AQ438" i="2"/>
  <c r="AQ439" i="2"/>
  <c r="AQ440" i="2"/>
  <c r="AQ441" i="2"/>
  <c r="AQ442" i="2"/>
  <c r="AQ443" i="2"/>
  <c r="AQ444" i="2"/>
  <c r="AQ445" i="2"/>
  <c r="AQ446" i="2"/>
  <c r="AQ447" i="2"/>
  <c r="AQ448" i="2"/>
  <c r="AQ449" i="2"/>
  <c r="AQ450" i="2"/>
  <c r="AQ451" i="2"/>
  <c r="AQ452" i="2"/>
  <c r="AQ453" i="2"/>
  <c r="AQ454" i="2"/>
  <c r="AQ455" i="2"/>
  <c r="AQ456" i="2"/>
  <c r="AQ457" i="2"/>
  <c r="AQ458" i="2"/>
  <c r="AQ459" i="2"/>
  <c r="AQ460" i="2"/>
  <c r="AQ461" i="2"/>
  <c r="AQ462" i="2"/>
  <c r="AQ463" i="2"/>
  <c r="AQ464" i="2"/>
  <c r="AQ465" i="2"/>
  <c r="AQ466" i="2"/>
  <c r="AQ467" i="2"/>
  <c r="AQ468" i="2"/>
  <c r="AQ469" i="2"/>
  <c r="AQ470" i="2"/>
  <c r="AQ471" i="2"/>
  <c r="AQ472" i="2"/>
  <c r="AQ489" i="2"/>
  <c r="AQ474" i="2"/>
  <c r="AQ475" i="2"/>
  <c r="AQ473" i="2"/>
  <c r="AQ476" i="2"/>
  <c r="AQ478" i="2"/>
  <c r="AQ477" i="2"/>
  <c r="AQ480" i="2"/>
  <c r="AQ481" i="2"/>
  <c r="AQ482" i="2"/>
  <c r="AQ479" i="2"/>
  <c r="AQ484" i="2"/>
  <c r="AQ485" i="2"/>
  <c r="AQ486" i="2"/>
  <c r="AQ487" i="2"/>
  <c r="AQ488" i="2"/>
  <c r="AQ483" i="2"/>
  <c r="AQ490" i="2"/>
  <c r="AQ491" i="2"/>
  <c r="AQ492" i="2"/>
  <c r="AQ493" i="2"/>
  <c r="AQ494" i="2"/>
  <c r="AQ495" i="2"/>
  <c r="AQ496" i="2"/>
  <c r="AQ497" i="2"/>
  <c r="AQ498" i="2"/>
  <c r="AQ499" i="2"/>
  <c r="AQ500" i="2"/>
  <c r="AQ501" i="2"/>
  <c r="AQ502" i="2"/>
  <c r="AQ503" i="2"/>
  <c r="AQ504" i="2"/>
  <c r="AQ505" i="2"/>
  <c r="AQ506" i="2"/>
  <c r="AQ507" i="2"/>
  <c r="AQ508" i="2"/>
  <c r="AQ509" i="2"/>
  <c r="AQ510" i="2"/>
  <c r="AQ511" i="2"/>
  <c r="AQ512" i="2"/>
  <c r="AQ513" i="2"/>
  <c r="AQ514" i="2"/>
  <c r="AQ515" i="2"/>
  <c r="AQ516" i="2"/>
  <c r="AQ517" i="2"/>
  <c r="AQ518" i="2"/>
  <c r="AR350" i="2"/>
  <c r="AR359" i="2"/>
  <c r="AR369" i="2"/>
  <c r="AR383" i="2"/>
  <c r="AR353" i="2"/>
  <c r="AR396" i="2"/>
  <c r="AR355" i="2"/>
  <c r="AR356" i="2"/>
  <c r="AR360" i="2"/>
  <c r="AR372" i="2"/>
  <c r="AR384" i="2"/>
  <c r="AR392" i="2"/>
  <c r="AR361" i="2"/>
  <c r="AR399" i="2"/>
  <c r="AR407" i="2"/>
  <c r="AR364" i="2"/>
  <c r="AR424" i="2"/>
  <c r="AR351" i="2"/>
  <c r="AR362" i="2"/>
  <c r="AR373" i="2"/>
  <c r="AR385" i="2"/>
  <c r="AR370" i="2"/>
  <c r="AR371" i="2"/>
  <c r="AR401" i="2"/>
  <c r="AR408" i="2"/>
  <c r="AR418" i="2"/>
  <c r="AR375" i="2"/>
  <c r="AR376" i="2"/>
  <c r="AR377" i="2"/>
  <c r="AR363" i="2"/>
  <c r="AR374" i="2"/>
  <c r="AR386" i="2"/>
  <c r="AR393" i="2"/>
  <c r="AR382" i="2"/>
  <c r="AR402" i="2"/>
  <c r="AR409" i="2"/>
  <c r="AR419" i="2"/>
  <c r="AR352" i="2"/>
  <c r="AR365" i="2"/>
  <c r="AR378" i="2"/>
  <c r="AR387" i="2"/>
  <c r="AR394" i="2"/>
  <c r="AR391" i="2"/>
  <c r="AR403" i="2"/>
  <c r="AR411" i="2"/>
  <c r="AR420" i="2"/>
  <c r="AR425" i="2"/>
  <c r="AR354" i="2"/>
  <c r="AR366" i="2"/>
  <c r="AR379" i="2"/>
  <c r="AR388" i="2"/>
  <c r="AR400" i="2"/>
  <c r="AR397" i="2"/>
  <c r="AR404" i="2"/>
  <c r="AR412" i="2"/>
  <c r="AR422" i="2"/>
  <c r="AR357" i="2"/>
  <c r="AR367" i="2"/>
  <c r="AR380" i="2"/>
  <c r="AR389" i="2"/>
  <c r="AR395" i="2"/>
  <c r="AR410" i="2"/>
  <c r="AR405" i="2"/>
  <c r="AR416" i="2"/>
  <c r="AR413" i="2"/>
  <c r="AR414" i="2"/>
  <c r="AR415" i="2"/>
  <c r="AR349" i="2"/>
  <c r="AR358" i="2"/>
  <c r="AR368" i="2"/>
  <c r="AR381" i="2"/>
  <c r="AR390" i="2"/>
  <c r="AR421" i="2"/>
  <c r="AR398" i="2"/>
  <c r="AR406" i="2"/>
  <c r="AR417" i="2"/>
  <c r="AR423" i="2"/>
  <c r="AR426" i="2"/>
  <c r="AR427" i="2"/>
  <c r="AR428" i="2"/>
  <c r="AR429" i="2"/>
  <c r="AR430" i="2"/>
  <c r="AR431" i="2"/>
  <c r="AR432" i="2"/>
  <c r="AR433" i="2"/>
  <c r="AR434" i="2"/>
  <c r="AR435" i="2"/>
  <c r="AR436" i="2"/>
  <c r="AR437" i="2"/>
  <c r="AR438" i="2"/>
  <c r="AR439" i="2"/>
  <c r="AR440" i="2"/>
  <c r="AR441" i="2"/>
  <c r="AR442" i="2"/>
  <c r="AR443" i="2"/>
  <c r="AR444" i="2"/>
  <c r="AR445" i="2"/>
  <c r="AR446" i="2"/>
  <c r="AR447" i="2"/>
  <c r="AR448" i="2"/>
  <c r="AR449" i="2"/>
  <c r="AR450" i="2"/>
  <c r="AR451" i="2"/>
  <c r="AR452" i="2"/>
  <c r="AR453" i="2"/>
  <c r="AR454" i="2"/>
  <c r="AR455" i="2"/>
  <c r="AR456" i="2"/>
  <c r="AR457" i="2"/>
  <c r="AR458" i="2"/>
  <c r="AR459" i="2"/>
  <c r="AR460" i="2"/>
  <c r="AR461" i="2"/>
  <c r="AR462" i="2"/>
  <c r="AR463" i="2"/>
  <c r="AR464" i="2"/>
  <c r="AR465" i="2"/>
  <c r="AR466" i="2"/>
  <c r="AR467" i="2"/>
  <c r="AR468" i="2"/>
  <c r="AR469" i="2"/>
  <c r="AR470" i="2"/>
  <c r="AR471" i="2"/>
  <c r="AR472" i="2"/>
  <c r="AR489" i="2"/>
  <c r="AR474" i="2"/>
  <c r="AR475" i="2"/>
  <c r="AR473" i="2"/>
  <c r="AR476" i="2"/>
  <c r="AR478" i="2"/>
  <c r="AR477" i="2"/>
  <c r="AR480" i="2"/>
  <c r="AR481" i="2"/>
  <c r="AR482" i="2"/>
  <c r="AR479" i="2"/>
  <c r="AR484" i="2"/>
  <c r="AR485" i="2"/>
  <c r="AR486" i="2"/>
  <c r="AR487" i="2"/>
  <c r="AR488" i="2"/>
  <c r="AR483" i="2"/>
  <c r="AR490" i="2"/>
  <c r="AR491" i="2"/>
  <c r="AR492" i="2"/>
  <c r="AR493" i="2"/>
  <c r="AR494" i="2"/>
  <c r="AR495" i="2"/>
  <c r="AR496" i="2"/>
  <c r="AR497" i="2"/>
  <c r="AR498" i="2"/>
  <c r="AR499" i="2"/>
  <c r="AR500" i="2"/>
  <c r="AR501" i="2"/>
  <c r="AR502" i="2"/>
  <c r="AR503" i="2"/>
  <c r="AR504" i="2"/>
  <c r="AR505" i="2"/>
  <c r="AR506" i="2"/>
  <c r="AR507" i="2"/>
  <c r="AR508" i="2"/>
  <c r="AR509" i="2"/>
  <c r="AR510" i="2"/>
  <c r="AR511" i="2"/>
  <c r="AR512" i="2"/>
  <c r="AR513" i="2"/>
  <c r="AR514" i="2"/>
  <c r="AR515" i="2"/>
  <c r="AR516" i="2"/>
  <c r="AR517" i="2"/>
  <c r="AR518" i="2"/>
  <c r="AS350" i="2"/>
  <c r="AS359" i="2"/>
  <c r="AS369" i="2"/>
  <c r="AS383" i="2"/>
  <c r="AS353" i="2"/>
  <c r="AS396" i="2"/>
  <c r="AS355" i="2"/>
  <c r="AS356" i="2"/>
  <c r="AS360" i="2"/>
  <c r="AS372" i="2"/>
  <c r="AS384" i="2"/>
  <c r="AS392" i="2"/>
  <c r="AS361" i="2"/>
  <c r="AS399" i="2"/>
  <c r="AS407" i="2"/>
  <c r="AS364" i="2"/>
  <c r="AS424" i="2"/>
  <c r="AS351" i="2"/>
  <c r="AS362" i="2"/>
  <c r="AS373" i="2"/>
  <c r="AS385" i="2"/>
  <c r="AS370" i="2"/>
  <c r="AS371" i="2"/>
  <c r="AS401" i="2"/>
  <c r="AS408" i="2"/>
  <c r="AS418" i="2"/>
  <c r="AS375" i="2"/>
  <c r="AS376" i="2"/>
  <c r="AS377" i="2"/>
  <c r="AS363" i="2"/>
  <c r="AS374" i="2"/>
  <c r="AS386" i="2"/>
  <c r="AS393" i="2"/>
  <c r="AS382" i="2"/>
  <c r="AS402" i="2"/>
  <c r="AS409" i="2"/>
  <c r="AS419" i="2"/>
  <c r="AS352" i="2"/>
  <c r="AS365" i="2"/>
  <c r="AS378" i="2"/>
  <c r="AS387" i="2"/>
  <c r="AS394" i="2"/>
  <c r="AS391" i="2"/>
  <c r="AS403" i="2"/>
  <c r="AS411" i="2"/>
  <c r="AS420" i="2"/>
  <c r="AS425" i="2"/>
  <c r="AS354" i="2"/>
  <c r="AS366" i="2"/>
  <c r="AS379" i="2"/>
  <c r="AS388" i="2"/>
  <c r="AS400" i="2"/>
  <c r="AS397" i="2"/>
  <c r="AS404" i="2"/>
  <c r="AS412" i="2"/>
  <c r="AS422" i="2"/>
  <c r="AS357" i="2"/>
  <c r="AS367" i="2"/>
  <c r="AS380" i="2"/>
  <c r="AS389" i="2"/>
  <c r="AS395" i="2"/>
  <c r="AS410" i="2"/>
  <c r="AS405" i="2"/>
  <c r="AS416" i="2"/>
  <c r="AS413" i="2"/>
  <c r="AS414" i="2"/>
  <c r="AS415" i="2"/>
  <c r="AS349" i="2"/>
  <c r="AS358" i="2"/>
  <c r="AS368" i="2"/>
  <c r="AS381" i="2"/>
  <c r="AS390" i="2"/>
  <c r="AS421" i="2"/>
  <c r="AS398" i="2"/>
  <c r="AS406" i="2"/>
  <c r="AS417" i="2"/>
  <c r="AS423" i="2"/>
  <c r="AS426" i="2"/>
  <c r="AS427" i="2"/>
  <c r="AS428" i="2"/>
  <c r="AS429" i="2"/>
  <c r="AS430" i="2"/>
  <c r="AS431" i="2"/>
  <c r="AS432" i="2"/>
  <c r="AS433" i="2"/>
  <c r="AS434" i="2"/>
  <c r="AS435" i="2"/>
  <c r="AS436" i="2"/>
  <c r="AS437" i="2"/>
  <c r="AS438" i="2"/>
  <c r="AS439" i="2"/>
  <c r="AS440" i="2"/>
  <c r="AS441" i="2"/>
  <c r="AS442" i="2"/>
  <c r="AS443" i="2"/>
  <c r="AS444" i="2"/>
  <c r="AS445" i="2"/>
  <c r="AS446" i="2"/>
  <c r="AS447" i="2"/>
  <c r="AS448" i="2"/>
  <c r="AS449" i="2"/>
  <c r="AS450" i="2"/>
  <c r="AS451" i="2"/>
  <c r="AS452" i="2"/>
  <c r="AS453" i="2"/>
  <c r="AS454" i="2"/>
  <c r="AS455" i="2"/>
  <c r="AS456" i="2"/>
  <c r="AS457" i="2"/>
  <c r="AS458" i="2"/>
  <c r="AS459" i="2"/>
  <c r="AS460" i="2"/>
  <c r="AS461" i="2"/>
  <c r="AS462" i="2"/>
  <c r="AS463" i="2"/>
  <c r="AS464" i="2"/>
  <c r="AS465" i="2"/>
  <c r="AS466" i="2"/>
  <c r="AS467" i="2"/>
  <c r="AS468" i="2"/>
  <c r="AS469" i="2"/>
  <c r="AS470" i="2"/>
  <c r="AS471" i="2"/>
  <c r="AS472" i="2"/>
  <c r="AS489" i="2"/>
  <c r="AS474" i="2"/>
  <c r="AS475" i="2"/>
  <c r="AS473" i="2"/>
  <c r="AS476" i="2"/>
  <c r="AS478" i="2"/>
  <c r="AS477" i="2"/>
  <c r="AS480" i="2"/>
  <c r="AS481" i="2"/>
  <c r="AS482" i="2"/>
  <c r="AS479" i="2"/>
  <c r="AS484" i="2"/>
  <c r="AS485" i="2"/>
  <c r="AS486" i="2"/>
  <c r="AS487" i="2"/>
  <c r="AS488" i="2"/>
  <c r="AS483" i="2"/>
  <c r="AS490" i="2"/>
  <c r="AS491" i="2"/>
  <c r="AS492" i="2"/>
  <c r="AS493" i="2"/>
  <c r="AS494" i="2"/>
  <c r="AS495" i="2"/>
  <c r="AS496" i="2"/>
  <c r="AS497" i="2"/>
  <c r="AS498" i="2"/>
  <c r="AS499" i="2"/>
  <c r="AS500" i="2"/>
  <c r="AS501" i="2"/>
  <c r="AS502" i="2"/>
  <c r="AS503" i="2"/>
  <c r="AS504" i="2"/>
  <c r="AS505" i="2"/>
  <c r="AS506" i="2"/>
  <c r="AS507" i="2"/>
  <c r="AS508" i="2"/>
  <c r="AS509" i="2"/>
  <c r="AS510" i="2"/>
  <c r="AS511" i="2"/>
  <c r="AS512" i="2"/>
  <c r="AS513" i="2"/>
  <c r="AS514" i="2"/>
  <c r="AS515" i="2"/>
  <c r="AS516" i="2"/>
  <c r="AS517" i="2"/>
  <c r="AS518" i="2"/>
  <c r="AT350" i="2"/>
  <c r="AT359" i="2"/>
  <c r="AT369" i="2"/>
  <c r="AT383" i="2"/>
  <c r="AT353" i="2"/>
  <c r="AT396" i="2"/>
  <c r="AT355" i="2"/>
  <c r="AT356" i="2"/>
  <c r="AT360" i="2"/>
  <c r="AT372" i="2"/>
  <c r="AT384" i="2"/>
  <c r="AT392" i="2"/>
  <c r="AT361" i="2"/>
  <c r="AT399" i="2"/>
  <c r="AT407" i="2"/>
  <c r="AT364" i="2"/>
  <c r="AT424" i="2"/>
  <c r="AT351" i="2"/>
  <c r="AT362" i="2"/>
  <c r="AT373" i="2"/>
  <c r="AT385" i="2"/>
  <c r="AT370" i="2"/>
  <c r="AT371" i="2"/>
  <c r="AT401" i="2"/>
  <c r="AT408" i="2"/>
  <c r="AT418" i="2"/>
  <c r="AT375" i="2"/>
  <c r="AT376" i="2"/>
  <c r="AT377" i="2"/>
  <c r="AT363" i="2"/>
  <c r="AT374" i="2"/>
  <c r="AT386" i="2"/>
  <c r="AT393" i="2"/>
  <c r="AT382" i="2"/>
  <c r="AT402" i="2"/>
  <c r="AT409" i="2"/>
  <c r="AT419" i="2"/>
  <c r="AT352" i="2"/>
  <c r="AT365" i="2"/>
  <c r="AT378" i="2"/>
  <c r="AT387" i="2"/>
  <c r="AT394" i="2"/>
  <c r="AT391" i="2"/>
  <c r="AT403" i="2"/>
  <c r="AT411" i="2"/>
  <c r="AT420" i="2"/>
  <c r="AT425" i="2"/>
  <c r="AT354" i="2"/>
  <c r="AT366" i="2"/>
  <c r="AT379" i="2"/>
  <c r="AT388" i="2"/>
  <c r="AT400" i="2"/>
  <c r="AT397" i="2"/>
  <c r="AT404" i="2"/>
  <c r="AT412" i="2"/>
  <c r="AT422" i="2"/>
  <c r="AT357" i="2"/>
  <c r="AT367" i="2"/>
  <c r="AT380" i="2"/>
  <c r="AT389" i="2"/>
  <c r="AT395" i="2"/>
  <c r="AT410" i="2"/>
  <c r="AT405" i="2"/>
  <c r="AT416" i="2"/>
  <c r="AT413" i="2"/>
  <c r="AT414" i="2"/>
  <c r="AT415" i="2"/>
  <c r="AT349" i="2"/>
  <c r="AT358" i="2"/>
  <c r="AT368" i="2"/>
  <c r="AT381" i="2"/>
  <c r="AT390" i="2"/>
  <c r="AT421" i="2"/>
  <c r="AT398" i="2"/>
  <c r="AT406" i="2"/>
  <c r="AT417" i="2"/>
  <c r="AT423" i="2"/>
  <c r="AT426" i="2"/>
  <c r="AT427" i="2"/>
  <c r="AT428" i="2"/>
  <c r="AT429" i="2"/>
  <c r="AT430" i="2"/>
  <c r="AT431" i="2"/>
  <c r="AT432" i="2"/>
  <c r="AT433" i="2"/>
  <c r="AT434" i="2"/>
  <c r="AT435" i="2"/>
  <c r="AT436" i="2"/>
  <c r="AT437" i="2"/>
  <c r="AT438" i="2"/>
  <c r="AT439" i="2"/>
  <c r="AT440" i="2"/>
  <c r="AT441" i="2"/>
  <c r="AT442" i="2"/>
  <c r="AT443" i="2"/>
  <c r="AT444" i="2"/>
  <c r="AT445" i="2"/>
  <c r="AT446" i="2"/>
  <c r="AT447" i="2"/>
  <c r="AT448" i="2"/>
  <c r="AT449" i="2"/>
  <c r="AT450" i="2"/>
  <c r="AT451" i="2"/>
  <c r="AT452" i="2"/>
  <c r="AT453" i="2"/>
  <c r="AT454" i="2"/>
  <c r="AT455" i="2"/>
  <c r="AT456" i="2"/>
  <c r="AT457" i="2"/>
  <c r="AT458" i="2"/>
  <c r="AT459" i="2"/>
  <c r="AT460" i="2"/>
  <c r="AT461" i="2"/>
  <c r="AT462" i="2"/>
  <c r="AT463" i="2"/>
  <c r="AT464" i="2"/>
  <c r="AT465" i="2"/>
  <c r="AT466" i="2"/>
  <c r="AT467" i="2"/>
  <c r="AT468" i="2"/>
  <c r="AT469" i="2"/>
  <c r="AT470" i="2"/>
  <c r="AT471" i="2"/>
  <c r="AT472" i="2"/>
  <c r="AT489" i="2"/>
  <c r="AT474" i="2"/>
  <c r="AT475" i="2"/>
  <c r="AT473" i="2"/>
  <c r="AT476" i="2"/>
  <c r="AT478" i="2"/>
  <c r="AT477" i="2"/>
  <c r="AT480" i="2"/>
  <c r="AT481" i="2"/>
  <c r="AT482" i="2"/>
  <c r="AT479" i="2"/>
  <c r="AT484" i="2"/>
  <c r="AT485" i="2"/>
  <c r="AT486" i="2"/>
  <c r="AT487" i="2"/>
  <c r="AT488" i="2"/>
  <c r="AT483" i="2"/>
  <c r="AT490" i="2"/>
  <c r="AT491" i="2"/>
  <c r="AT492" i="2"/>
  <c r="AT493" i="2"/>
  <c r="AT494" i="2"/>
  <c r="AT495" i="2"/>
  <c r="AT496" i="2"/>
  <c r="AT497" i="2"/>
  <c r="AT498" i="2"/>
  <c r="AT499" i="2"/>
  <c r="AT500" i="2"/>
  <c r="AT501" i="2"/>
  <c r="AT502" i="2"/>
  <c r="AT503" i="2"/>
  <c r="AT504" i="2"/>
  <c r="AT505" i="2"/>
  <c r="AT506" i="2"/>
  <c r="AT507" i="2"/>
  <c r="AT508" i="2"/>
  <c r="AT509" i="2"/>
  <c r="AT510" i="2"/>
  <c r="AT511" i="2"/>
  <c r="AT512" i="2"/>
  <c r="AT513" i="2"/>
  <c r="AT514" i="2"/>
  <c r="AT515" i="2"/>
  <c r="AT516" i="2"/>
  <c r="AT517" i="2"/>
  <c r="AT518" i="2"/>
  <c r="AN192" i="2"/>
  <c r="AM192" i="2"/>
  <c r="AK51" i="7"/>
  <c r="AK52" i="7"/>
  <c r="AK53" i="7"/>
  <c r="AK54" i="7"/>
  <c r="AK55" i="7"/>
  <c r="AK56" i="7"/>
  <c r="AK57" i="7"/>
  <c r="AK58" i="7"/>
  <c r="AK59" i="7"/>
  <c r="AK60" i="7"/>
  <c r="AK61" i="7"/>
  <c r="AK62" i="7"/>
  <c r="AK63" i="7"/>
  <c r="AK64" i="7"/>
  <c r="AK65" i="7"/>
  <c r="AK66" i="7"/>
  <c r="AK67" i="7"/>
  <c r="AK68" i="7"/>
  <c r="AK69" i="7"/>
  <c r="AK70" i="7"/>
  <c r="AK71" i="7"/>
  <c r="AK72" i="7"/>
  <c r="AK73" i="7"/>
  <c r="AK74" i="7"/>
  <c r="AK75" i="7"/>
  <c r="AK76" i="7"/>
  <c r="AK77" i="7"/>
  <c r="AK78" i="7"/>
  <c r="AK79" i="7"/>
  <c r="AK80" i="7"/>
  <c r="AK81" i="7"/>
  <c r="AK82" i="7"/>
  <c r="AK83" i="7"/>
  <c r="AK84" i="7"/>
  <c r="AK85" i="7"/>
  <c r="AK86" i="7"/>
  <c r="AK87" i="7"/>
  <c r="AK88" i="7"/>
  <c r="AK89" i="7"/>
  <c r="AK90" i="7"/>
  <c r="AK91" i="7"/>
  <c r="AK92" i="7"/>
  <c r="AK93" i="7"/>
  <c r="AK50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Z37" i="7"/>
  <c r="Z38" i="7"/>
  <c r="Z39" i="7"/>
  <c r="Z40" i="7"/>
  <c r="Z41" i="7"/>
  <c r="Z42" i="7"/>
  <c r="Z43" i="7"/>
  <c r="Z44" i="7"/>
  <c r="Z5" i="7"/>
  <c r="AK6" i="7"/>
  <c r="AK7" i="7"/>
  <c r="AK8" i="7"/>
  <c r="AK9" i="7"/>
  <c r="AK10" i="7"/>
  <c r="AK11" i="7"/>
  <c r="AK12" i="7"/>
  <c r="AK13" i="7"/>
  <c r="AK14" i="7"/>
  <c r="AK15" i="7"/>
  <c r="AK16" i="7"/>
  <c r="AK17" i="7"/>
  <c r="AK18" i="7"/>
  <c r="AK19" i="7"/>
  <c r="AK20" i="7"/>
  <c r="AK21" i="7"/>
  <c r="AK22" i="7"/>
  <c r="AK23" i="7"/>
  <c r="AK24" i="7"/>
  <c r="AK25" i="7"/>
  <c r="AK26" i="7"/>
  <c r="AK27" i="7"/>
  <c r="AK28" i="7"/>
  <c r="AK29" i="7"/>
  <c r="AK30" i="7"/>
  <c r="AK31" i="7"/>
  <c r="AK32" i="7"/>
  <c r="AK33" i="7"/>
  <c r="AK34" i="7"/>
  <c r="AK35" i="7"/>
  <c r="AK36" i="7"/>
  <c r="AK37" i="7"/>
  <c r="AK38" i="7"/>
  <c r="AK39" i="7"/>
  <c r="AK40" i="7"/>
  <c r="AK41" i="7"/>
  <c r="AK42" i="7"/>
  <c r="AK43" i="7"/>
  <c r="AK44" i="7"/>
  <c r="AK45" i="7"/>
  <c r="AK46" i="7"/>
  <c r="AK47" i="7"/>
  <c r="AK48" i="7"/>
  <c r="AK5" i="7"/>
  <c r="AG31" i="7"/>
  <c r="AG32" i="7"/>
  <c r="AG33" i="7"/>
  <c r="AG34" i="7"/>
  <c r="AG35" i="7"/>
  <c r="AG36" i="7"/>
  <c r="AG37" i="7"/>
  <c r="AG38" i="7"/>
  <c r="AG39" i="7"/>
  <c r="AG40" i="7"/>
  <c r="AG41" i="7"/>
  <c r="AG42" i="7"/>
  <c r="AG43" i="7"/>
  <c r="AF44" i="7"/>
  <c r="AG44" i="7" s="1"/>
  <c r="AG6" i="7"/>
  <c r="AG7" i="7"/>
  <c r="AG8" i="7"/>
  <c r="AG9" i="7"/>
  <c r="AG10" i="7"/>
  <c r="AG11" i="7"/>
  <c r="AG12" i="7"/>
  <c r="AG13" i="7"/>
  <c r="AG14" i="7"/>
  <c r="AG15" i="7"/>
  <c r="AG16" i="7"/>
  <c r="AG17" i="7"/>
  <c r="AG18" i="7"/>
  <c r="AG19" i="7"/>
  <c r="AG20" i="7"/>
  <c r="AG21" i="7"/>
  <c r="AG22" i="7"/>
  <c r="AG23" i="7"/>
  <c r="AG24" i="7"/>
  <c r="AG25" i="7"/>
  <c r="AG26" i="7"/>
  <c r="AG27" i="7"/>
  <c r="AG28" i="7"/>
  <c r="AG29" i="7"/>
  <c r="AG30" i="7"/>
  <c r="AG5" i="7"/>
  <c r="AU908" i="2" l="1"/>
  <c r="AU905" i="2"/>
  <c r="AW905" i="2"/>
  <c r="AU907" i="2"/>
  <c r="AY908" i="2"/>
  <c r="AX911" i="2"/>
  <c r="AY905" i="2"/>
  <c r="AY911" i="2"/>
  <c r="AV911" i="2"/>
  <c r="AU911" i="2"/>
  <c r="AY906" i="2"/>
  <c r="AX905" i="2"/>
  <c r="AU909" i="2"/>
  <c r="AY909" i="2"/>
  <c r="AX909" i="2"/>
  <c r="AV909" i="2"/>
  <c r="AX906" i="2"/>
  <c r="AU906" i="2"/>
  <c r="AV906" i="2"/>
  <c r="AV905" i="2"/>
  <c r="AZ905" i="2" s="1"/>
  <c r="AX904" i="2"/>
  <c r="AW904" i="2"/>
  <c r="AW906" i="2"/>
  <c r="AX907" i="2"/>
  <c r="AY907" i="2"/>
  <c r="AX908" i="2"/>
  <c r="AW908" i="2"/>
  <c r="AW909" i="2"/>
  <c r="AY904" i="2"/>
  <c r="AV904" i="2"/>
  <c r="AY910" i="2"/>
  <c r="AU910" i="2"/>
  <c r="AV907" i="2"/>
  <c r="AZ907" i="2" s="1"/>
  <c r="AW907" i="2"/>
  <c r="AV908" i="2"/>
  <c r="AZ908" i="2" s="1"/>
  <c r="AX910" i="2"/>
  <c r="AV910" i="2"/>
  <c r="AZ910" i="2" s="1"/>
  <c r="AW910" i="2"/>
  <c r="AY876" i="2"/>
  <c r="AY443" i="2"/>
  <c r="AU901" i="2"/>
  <c r="AX897" i="2"/>
  <c r="AX880" i="2"/>
  <c r="AX875" i="2"/>
  <c r="AW902" i="2"/>
  <c r="AY886" i="2"/>
  <c r="AV861" i="2"/>
  <c r="AY881" i="2"/>
  <c r="AY895" i="2"/>
  <c r="AV898" i="2"/>
  <c r="AZ898" i="2" s="1"/>
  <c r="AW893" i="2"/>
  <c r="AY885" i="2"/>
  <c r="AY860" i="2"/>
  <c r="AX898" i="2"/>
  <c r="AY880" i="2"/>
  <c r="AY875" i="2"/>
  <c r="AX870" i="2"/>
  <c r="AY487" i="2"/>
  <c r="AX901" i="2"/>
  <c r="AY890" i="2"/>
  <c r="AX864" i="2"/>
  <c r="AX887" i="2"/>
  <c r="AW855" i="2"/>
  <c r="AU858" i="2"/>
  <c r="AX896" i="2"/>
  <c r="AX877" i="2"/>
  <c r="AV874" i="2"/>
  <c r="AZ874" i="2" s="1"/>
  <c r="AW865" i="2"/>
  <c r="AU872" i="2"/>
  <c r="AY859" i="2"/>
  <c r="AV894" i="2"/>
  <c r="AZ894" i="2" s="1"/>
  <c r="AX884" i="2"/>
  <c r="AX862" i="2"/>
  <c r="AX861" i="2"/>
  <c r="AX888" i="2"/>
  <c r="AX868" i="2"/>
  <c r="AW873" i="2"/>
  <c r="AV864" i="2"/>
  <c r="AU887" i="2"/>
  <c r="AU871" i="2"/>
  <c r="AU865" i="2"/>
  <c r="AY874" i="2"/>
  <c r="AW878" i="2"/>
  <c r="AW886" i="2"/>
  <c r="AX879" i="2"/>
  <c r="AX855" i="2"/>
  <c r="AW866" i="2"/>
  <c r="AW880" i="2"/>
  <c r="AY902" i="2"/>
  <c r="AY894" i="2"/>
  <c r="AY862" i="2"/>
  <c r="AY740" i="2"/>
  <c r="AY893" i="2"/>
  <c r="AX890" i="2"/>
  <c r="AW877" i="2"/>
  <c r="AU890" i="2"/>
  <c r="AV899" i="2"/>
  <c r="AU878" i="2"/>
  <c r="AV869" i="2"/>
  <c r="AZ869" i="2" s="1"/>
  <c r="AY867" i="2"/>
  <c r="AX895" i="2"/>
  <c r="AX856" i="2"/>
  <c r="AU868" i="2"/>
  <c r="AV896" i="2"/>
  <c r="AU877" i="2"/>
  <c r="AV865" i="2"/>
  <c r="AU517" i="2"/>
  <c r="AV868" i="2"/>
  <c r="AZ868" i="2" s="1"/>
  <c r="AU879" i="2"/>
  <c r="AY897" i="2"/>
  <c r="AY892" i="2"/>
  <c r="AX894" i="2"/>
  <c r="AX886" i="2"/>
  <c r="AU898" i="2"/>
  <c r="AV890" i="2"/>
  <c r="AZ890" i="2" s="1"/>
  <c r="AW868" i="2"/>
  <c r="AY873" i="2"/>
  <c r="AU864" i="2"/>
  <c r="AV858" i="2"/>
  <c r="AV871" i="2"/>
  <c r="AY857" i="2"/>
  <c r="AX902" i="2"/>
  <c r="AX903" i="2"/>
  <c r="AU873" i="2"/>
  <c r="AV887" i="2"/>
  <c r="AZ887" i="2" s="1"/>
  <c r="AV866" i="2"/>
  <c r="AY858" i="2"/>
  <c r="AW864" i="2"/>
  <c r="AV873" i="2"/>
  <c r="AZ873" i="2" s="1"/>
  <c r="AY899" i="2"/>
  <c r="AW889" i="2"/>
  <c r="AW874" i="2"/>
  <c r="AV878" i="2"/>
  <c r="AY869" i="2"/>
  <c r="AY863" i="2"/>
  <c r="AY901" i="2"/>
  <c r="AU891" i="2"/>
  <c r="AX883" i="2"/>
  <c r="AY882" i="2"/>
  <c r="AY872" i="2"/>
  <c r="AU859" i="2"/>
  <c r="AW897" i="2"/>
  <c r="AX892" i="2"/>
  <c r="AU876" i="2"/>
  <c r="AW875" i="2"/>
  <c r="AX867" i="2"/>
  <c r="AX900" i="2"/>
  <c r="AX893" i="2"/>
  <c r="AW885" i="2"/>
  <c r="AW881" i="2"/>
  <c r="AW857" i="2"/>
  <c r="AX860" i="2"/>
  <c r="AV902" i="2"/>
  <c r="AV886" i="2"/>
  <c r="AV862" i="2"/>
  <c r="AW903" i="2"/>
  <c r="AV895" i="2"/>
  <c r="AY888" i="2"/>
  <c r="AY879" i="2"/>
  <c r="AU870" i="2"/>
  <c r="AV856" i="2"/>
  <c r="AZ856" i="2" s="1"/>
  <c r="AV855" i="2"/>
  <c r="AY435" i="2"/>
  <c r="AU896" i="2"/>
  <c r="AW871" i="2"/>
  <c r="AU866" i="2"/>
  <c r="AY889" i="2"/>
  <c r="AV863" i="2"/>
  <c r="AU882" i="2"/>
  <c r="AW876" i="2"/>
  <c r="AY898" i="2"/>
  <c r="AY868" i="2"/>
  <c r="AX873" i="2"/>
  <c r="AW858" i="2"/>
  <c r="AX871" i="2"/>
  <c r="AX866" i="2"/>
  <c r="AX865" i="2"/>
  <c r="AU889" i="2"/>
  <c r="AU874" i="2"/>
  <c r="AW869" i="2"/>
  <c r="AU863" i="2"/>
  <c r="AU897" i="2"/>
  <c r="AU892" i="2"/>
  <c r="AU880" i="2"/>
  <c r="AU875" i="2"/>
  <c r="AU867" i="2"/>
  <c r="AL904" i="2"/>
  <c r="AL911" i="2"/>
  <c r="AL910" i="2"/>
  <c r="AL909" i="2"/>
  <c r="AL906" i="2"/>
  <c r="AL907" i="2"/>
  <c r="AL908" i="2"/>
  <c r="AL905" i="2"/>
  <c r="AL900" i="2"/>
  <c r="AL893" i="2"/>
  <c r="AL885" i="2"/>
  <c r="AL881" i="2"/>
  <c r="AL857" i="2"/>
  <c r="AL860" i="2"/>
  <c r="AL892" i="2"/>
  <c r="AL876" i="2"/>
  <c r="AL867" i="2"/>
  <c r="AL820" i="2"/>
  <c r="AL901" i="2"/>
  <c r="AL891" i="2"/>
  <c r="AL883" i="2"/>
  <c r="AL882" i="2"/>
  <c r="AL872" i="2"/>
  <c r="AL859" i="2"/>
  <c r="AL897" i="2"/>
  <c r="AL880" i="2"/>
  <c r="AL875" i="2"/>
  <c r="AL899" i="2"/>
  <c r="AL889" i="2"/>
  <c r="AL874" i="2"/>
  <c r="AL878" i="2"/>
  <c r="AL869" i="2"/>
  <c r="AL863" i="2"/>
  <c r="AL896" i="2"/>
  <c r="AL887" i="2"/>
  <c r="AL871" i="2"/>
  <c r="AL877" i="2"/>
  <c r="AL866" i="2"/>
  <c r="AL865" i="2"/>
  <c r="AL898" i="2"/>
  <c r="AL890" i="2"/>
  <c r="AL868" i="2"/>
  <c r="AL873" i="2"/>
  <c r="AL864" i="2"/>
  <c r="AL858" i="2"/>
  <c r="AL903" i="2"/>
  <c r="AL895" i="2"/>
  <c r="AL888" i="2"/>
  <c r="AL879" i="2"/>
  <c r="AL870" i="2"/>
  <c r="AL856" i="2"/>
  <c r="AL855" i="2"/>
  <c r="AL902" i="2"/>
  <c r="AL894" i="2"/>
  <c r="AL886" i="2"/>
  <c r="AL884" i="2"/>
  <c r="AL862" i="2"/>
  <c r="AL861" i="2"/>
  <c r="AY903" i="2"/>
  <c r="AW900" i="2"/>
  <c r="AW892" i="2"/>
  <c r="AV903" i="2"/>
  <c r="AV891" i="2"/>
  <c r="AZ891" i="2" s="1"/>
  <c r="AV870" i="2"/>
  <c r="AV859" i="2"/>
  <c r="AU899" i="2"/>
  <c r="AU869" i="2"/>
  <c r="AW867" i="2"/>
  <c r="AU902" i="2"/>
  <c r="AU894" i="2"/>
  <c r="AU886" i="2"/>
  <c r="AU884" i="2"/>
  <c r="AU862" i="2"/>
  <c r="AU861" i="2"/>
  <c r="AX857" i="2"/>
  <c r="AW856" i="2"/>
  <c r="AV889" i="2"/>
  <c r="AZ889" i="2" s="1"/>
  <c r="AU888" i="2"/>
  <c r="AU855" i="2"/>
  <c r="AW901" i="2"/>
  <c r="AW891" i="2"/>
  <c r="AW883" i="2"/>
  <c r="AW882" i="2"/>
  <c r="AW872" i="2"/>
  <c r="AW859" i="2"/>
  <c r="AU900" i="2"/>
  <c r="AV900" i="2"/>
  <c r="AZ900" i="2" s="1"/>
  <c r="AU893" i="2"/>
  <c r="AV893" i="2"/>
  <c r="AU885" i="2"/>
  <c r="AV885" i="2"/>
  <c r="AU881" i="2"/>
  <c r="AV881" i="2"/>
  <c r="AU857" i="2"/>
  <c r="AV857" i="2"/>
  <c r="AU860" i="2"/>
  <c r="AV860" i="2"/>
  <c r="AY900" i="2"/>
  <c r="AY883" i="2"/>
  <c r="AY878" i="2"/>
  <c r="AY864" i="2"/>
  <c r="AY855" i="2"/>
  <c r="AX881" i="2"/>
  <c r="AX859" i="2"/>
  <c r="AW899" i="2"/>
  <c r="AW887" i="2"/>
  <c r="AW870" i="2"/>
  <c r="AW861" i="2"/>
  <c r="AV901" i="2"/>
  <c r="AV879" i="2"/>
  <c r="AZ879" i="2" s="1"/>
  <c r="AV872" i="2"/>
  <c r="AX899" i="2"/>
  <c r="AX889" i="2"/>
  <c r="AX874" i="2"/>
  <c r="AX878" i="2"/>
  <c r="AX869" i="2"/>
  <c r="AX863" i="2"/>
  <c r="AV897" i="2"/>
  <c r="AZ897" i="2" s="1"/>
  <c r="AV892" i="2"/>
  <c r="AZ892" i="2" s="1"/>
  <c r="AV880" i="2"/>
  <c r="AZ880" i="2" s="1"/>
  <c r="AV876" i="2"/>
  <c r="AV875" i="2"/>
  <c r="AZ875" i="2" s="1"/>
  <c r="AV867" i="2"/>
  <c r="AY891" i="2"/>
  <c r="AY856" i="2"/>
  <c r="AX885" i="2"/>
  <c r="AX876" i="2"/>
  <c r="AX872" i="2"/>
  <c r="AW896" i="2"/>
  <c r="AW890" i="2"/>
  <c r="AW879" i="2"/>
  <c r="AW862" i="2"/>
  <c r="AW860" i="2"/>
  <c r="AV884" i="2"/>
  <c r="AU895" i="2"/>
  <c r="AU883" i="2"/>
  <c r="AU856" i="2"/>
  <c r="AY870" i="2"/>
  <c r="AY861" i="2"/>
  <c r="AX882" i="2"/>
  <c r="AX858" i="2"/>
  <c r="AW898" i="2"/>
  <c r="AW888" i="2"/>
  <c r="AW884" i="2"/>
  <c r="AW863" i="2"/>
  <c r="AV888" i="2"/>
  <c r="AZ888" i="2" s="1"/>
  <c r="AV882" i="2"/>
  <c r="AW895" i="2"/>
  <c r="AU903" i="2"/>
  <c r="AY896" i="2"/>
  <c r="AY887" i="2"/>
  <c r="AY871" i="2"/>
  <c r="AY877" i="2"/>
  <c r="AY866" i="2"/>
  <c r="AY865" i="2"/>
  <c r="AY884" i="2"/>
  <c r="AX891" i="2"/>
  <c r="AW894" i="2"/>
  <c r="AV883" i="2"/>
  <c r="AV877" i="2"/>
  <c r="AZ877" i="2" s="1"/>
  <c r="AY850" i="2"/>
  <c r="AY842" i="2"/>
  <c r="AY834" i="2"/>
  <c r="AY826" i="2"/>
  <c r="AY818" i="2"/>
  <c r="AY802" i="2"/>
  <c r="AY794" i="2"/>
  <c r="AY376" i="2"/>
  <c r="AY810" i="2"/>
  <c r="AX511" i="2"/>
  <c r="AY439" i="2"/>
  <c r="AY415" i="2"/>
  <c r="AY391" i="2"/>
  <c r="AY362" i="2"/>
  <c r="AX507" i="2"/>
  <c r="AW405" i="2"/>
  <c r="AX485" i="2"/>
  <c r="AV360" i="2"/>
  <c r="AY361" i="2"/>
  <c r="AX659" i="2"/>
  <c r="AX691" i="2"/>
  <c r="AX716" i="2"/>
  <c r="AW595" i="2"/>
  <c r="AX670" i="2"/>
  <c r="AY783" i="2"/>
  <c r="AX721" i="2"/>
  <c r="AY429" i="2"/>
  <c r="AY413" i="2"/>
  <c r="AY357" i="2"/>
  <c r="AY387" i="2"/>
  <c r="AY408" i="2"/>
  <c r="AW511" i="2"/>
  <c r="AY388" i="2"/>
  <c r="AV369" i="2"/>
  <c r="AZ369" i="2" s="1"/>
  <c r="AX649" i="2"/>
  <c r="AY500" i="2"/>
  <c r="AY473" i="2"/>
  <c r="AY460" i="2"/>
  <c r="AY436" i="2"/>
  <c r="AX417" i="2"/>
  <c r="AY806" i="2"/>
  <c r="AY412" i="2"/>
  <c r="AY365" i="2"/>
  <c r="AY419" i="2"/>
  <c r="AY777" i="2"/>
  <c r="AY737" i="2"/>
  <c r="AY846" i="2"/>
  <c r="AY798" i="2"/>
  <c r="AX821" i="2"/>
  <c r="AX797" i="2"/>
  <c r="AX789" i="2"/>
  <c r="AU843" i="2"/>
  <c r="AV827" i="2"/>
  <c r="AU819" i="2"/>
  <c r="AV811" i="2"/>
  <c r="AZ811" i="2" s="1"/>
  <c r="AU838" i="2"/>
  <c r="AU830" i="2"/>
  <c r="AU822" i="2"/>
  <c r="AU806" i="2"/>
  <c r="AY833" i="2"/>
  <c r="AY793" i="2"/>
  <c r="AY495" i="2"/>
  <c r="AY455" i="2"/>
  <c r="AY406" i="2"/>
  <c r="AY465" i="2"/>
  <c r="AY503" i="2"/>
  <c r="AW380" i="2"/>
  <c r="AW470" i="2"/>
  <c r="AX406" i="2"/>
  <c r="AY718" i="2"/>
  <c r="AY707" i="2"/>
  <c r="AY644" i="2"/>
  <c r="AY580" i="2"/>
  <c r="AY682" i="2"/>
  <c r="AW746" i="2"/>
  <c r="AY483" i="2"/>
  <c r="AY397" i="2"/>
  <c r="AY477" i="2"/>
  <c r="AY402" i="2"/>
  <c r="AX395" i="2"/>
  <c r="AV475" i="2"/>
  <c r="AZ475" i="2" s="1"/>
  <c r="AY445" i="2"/>
  <c r="AY526" i="2"/>
  <c r="AY719" i="2"/>
  <c r="AY754" i="2"/>
  <c r="AY746" i="2"/>
  <c r="AY423" i="2"/>
  <c r="AY395" i="2"/>
  <c r="AY385" i="2"/>
  <c r="AX447" i="2"/>
  <c r="AV485" i="2"/>
  <c r="AZ485" i="2" s="1"/>
  <c r="AY471" i="2"/>
  <c r="AY375" i="2"/>
  <c r="AV405" i="2"/>
  <c r="AZ405" i="2" s="1"/>
  <c r="AY350" i="2"/>
  <c r="AY725" i="2"/>
  <c r="AY528" i="2"/>
  <c r="AY569" i="2"/>
  <c r="AY556" i="2"/>
  <c r="AY407" i="2"/>
  <c r="AX672" i="2"/>
  <c r="AX720" i="2"/>
  <c r="AY641" i="2"/>
  <c r="AY828" i="2"/>
  <c r="AW820" i="2"/>
  <c r="AW804" i="2"/>
  <c r="AY796" i="2"/>
  <c r="AX788" i="2"/>
  <c r="AX847" i="2"/>
  <c r="AX839" i="2"/>
  <c r="AW513" i="2"/>
  <c r="AY489" i="2"/>
  <c r="AY513" i="2"/>
  <c r="AY761" i="2"/>
  <c r="AX763" i="2"/>
  <c r="AX737" i="2"/>
  <c r="AW735" i="2"/>
  <c r="AY639" i="2"/>
  <c r="AX750" i="2"/>
  <c r="AY449" i="2"/>
  <c r="AY780" i="2"/>
  <c r="AW748" i="2"/>
  <c r="AU730" i="2"/>
  <c r="AX785" i="2"/>
  <c r="AU727" i="2"/>
  <c r="AW465" i="2"/>
  <c r="AY433" i="2"/>
  <c r="AY353" i="2"/>
  <c r="AW415" i="2"/>
  <c r="AY729" i="2"/>
  <c r="AY481" i="2"/>
  <c r="AY384" i="2"/>
  <c r="AW758" i="2"/>
  <c r="AX739" i="2"/>
  <c r="AX756" i="2"/>
  <c r="AX783" i="2"/>
  <c r="AU744" i="2"/>
  <c r="AU497" i="2"/>
  <c r="AY358" i="2"/>
  <c r="AW362" i="2"/>
  <c r="AY512" i="2"/>
  <c r="AY504" i="2"/>
  <c r="AY496" i="2"/>
  <c r="AY488" i="2"/>
  <c r="AY480" i="2"/>
  <c r="AY464" i="2"/>
  <c r="AY456" i="2"/>
  <c r="AY448" i="2"/>
  <c r="AY440" i="2"/>
  <c r="AY417" i="2"/>
  <c r="AY349" i="2"/>
  <c r="AY389" i="2"/>
  <c r="AY403" i="2"/>
  <c r="AY409" i="2"/>
  <c r="AY392" i="2"/>
  <c r="AY383" i="2"/>
  <c r="AX514" i="2"/>
  <c r="AX484" i="2"/>
  <c r="AX452" i="2"/>
  <c r="AW390" i="2"/>
  <c r="AV416" i="2"/>
  <c r="AX378" i="2"/>
  <c r="AX386" i="2"/>
  <c r="AW364" i="2"/>
  <c r="AX382" i="2"/>
  <c r="AX359" i="2"/>
  <c r="AV480" i="2"/>
  <c r="AZ480" i="2" s="1"/>
  <c r="AY506" i="2"/>
  <c r="AY458" i="2"/>
  <c r="AY521" i="2"/>
  <c r="AY572" i="2"/>
  <c r="AY673" i="2"/>
  <c r="AY657" i="2"/>
  <c r="AY706" i="2"/>
  <c r="AY698" i="2"/>
  <c r="AY541" i="2"/>
  <c r="AY589" i="2"/>
  <c r="AY553" i="2"/>
  <c r="AX568" i="2"/>
  <c r="AX613" i="2"/>
  <c r="AY505" i="2"/>
  <c r="AY631" i="2"/>
  <c r="AY552" i="2"/>
  <c r="AY603" i="2"/>
  <c r="AX625" i="2"/>
  <c r="AX629" i="2"/>
  <c r="AX651" i="2"/>
  <c r="AW677" i="2"/>
  <c r="AW714" i="2"/>
  <c r="AY600" i="2"/>
  <c r="AW672" i="2"/>
  <c r="AU612" i="2"/>
  <c r="AW661" i="2"/>
  <c r="AW716" i="2"/>
  <c r="AY676" i="2"/>
  <c r="AW670" i="2"/>
  <c r="AY571" i="2"/>
  <c r="AY683" i="2"/>
  <c r="AW531" i="2"/>
  <c r="AW788" i="2"/>
  <c r="AY474" i="2"/>
  <c r="AY497" i="2"/>
  <c r="AY457" i="2"/>
  <c r="AY441" i="2"/>
  <c r="AV423" i="2"/>
  <c r="AV395" i="2"/>
  <c r="AY411" i="2"/>
  <c r="AY377" i="2"/>
  <c r="AW361" i="2"/>
  <c r="AV529" i="2"/>
  <c r="AZ529" i="2" s="1"/>
  <c r="AX635" i="2"/>
  <c r="AY774" i="2"/>
  <c r="AV489" i="2"/>
  <c r="AZ489" i="2" s="1"/>
  <c r="AY447" i="2"/>
  <c r="AY431" i="2"/>
  <c r="AY380" i="2"/>
  <c r="AY369" i="2"/>
  <c r="AY511" i="2"/>
  <c r="AY463" i="2"/>
  <c r="AW730" i="2"/>
  <c r="AY514" i="2"/>
  <c r="AX410" i="2"/>
  <c r="AY697" i="2"/>
  <c r="AY635" i="2"/>
  <c r="AY582" i="2"/>
  <c r="AY561" i="2"/>
  <c r="AY545" i="2"/>
  <c r="AY529" i="2"/>
  <c r="AW462" i="2"/>
  <c r="AU577" i="2"/>
  <c r="AX641" i="2"/>
  <c r="AY608" i="2"/>
  <c r="AY542" i="2"/>
  <c r="AU698" i="2"/>
  <c r="AY598" i="2"/>
  <c r="AY601" i="2"/>
  <c r="AY524" i="2"/>
  <c r="AW594" i="2"/>
  <c r="AY498" i="2"/>
  <c r="AY490" i="2"/>
  <c r="AY482" i="2"/>
  <c r="AY466" i="2"/>
  <c r="AY450" i="2"/>
  <c r="AY442" i="2"/>
  <c r="AY434" i="2"/>
  <c r="AY426" i="2"/>
  <c r="AY368" i="2"/>
  <c r="AY410" i="2"/>
  <c r="AY404" i="2"/>
  <c r="AY420" i="2"/>
  <c r="AY352" i="2"/>
  <c r="AY363" i="2"/>
  <c r="AY370" i="2"/>
  <c r="AY399" i="2"/>
  <c r="AY396" i="2"/>
  <c r="AX492" i="2"/>
  <c r="AX364" i="2"/>
  <c r="AX462" i="2"/>
  <c r="AX379" i="2"/>
  <c r="AV504" i="2"/>
  <c r="AX496" i="2"/>
  <c r="AW440" i="2"/>
  <c r="AV376" i="2"/>
  <c r="AZ376" i="2" s="1"/>
  <c r="AW376" i="2"/>
  <c r="AY492" i="2"/>
  <c r="AX487" i="2"/>
  <c r="AX455" i="2"/>
  <c r="AW507" i="2"/>
  <c r="AX653" i="2"/>
  <c r="AX550" i="2"/>
  <c r="AX723" i="2"/>
  <c r="AX540" i="2"/>
  <c r="AX560" i="2"/>
  <c r="AX536" i="2"/>
  <c r="AX655" i="2"/>
  <c r="AW667" i="2"/>
  <c r="AX535" i="2"/>
  <c r="AW634" i="2"/>
  <c r="AX622" i="2"/>
  <c r="AU694" i="2"/>
  <c r="AW686" i="2"/>
  <c r="AW662" i="2"/>
  <c r="AX646" i="2"/>
  <c r="AW630" i="2"/>
  <c r="AU689" i="2"/>
  <c r="AX590" i="2"/>
  <c r="AW530" i="2"/>
  <c r="AW546" i="2"/>
  <c r="AX664" i="2"/>
  <c r="AV579" i="2"/>
  <c r="AU588" i="2"/>
  <c r="AV527" i="2"/>
  <c r="AW534" i="2"/>
  <c r="AV586" i="2"/>
  <c r="AZ586" i="2" s="1"/>
  <c r="AU722" i="2"/>
  <c r="AV596" i="2"/>
  <c r="AZ596" i="2" s="1"/>
  <c r="AX849" i="2"/>
  <c r="AX809" i="2"/>
  <c r="AY847" i="2"/>
  <c r="AY831" i="2"/>
  <c r="AY823" i="2"/>
  <c r="AY807" i="2"/>
  <c r="AY799" i="2"/>
  <c r="AW712" i="2"/>
  <c r="AV520" i="2"/>
  <c r="AX638" i="2"/>
  <c r="AY640" i="2"/>
  <c r="AX567" i="2"/>
  <c r="AW613" i="2"/>
  <c r="AY532" i="2"/>
  <c r="AY634" i="2"/>
  <c r="AY694" i="2"/>
  <c r="AY686" i="2"/>
  <c r="AV662" i="2"/>
  <c r="AY708" i="2"/>
  <c r="AV654" i="2"/>
  <c r="AZ654" i="2" s="1"/>
  <c r="AY646" i="2"/>
  <c r="AY519" i="2"/>
  <c r="AY630" i="2"/>
  <c r="AY710" i="2"/>
  <c r="AY619" i="2"/>
  <c r="AY606" i="2"/>
  <c r="AY689" i="2"/>
  <c r="AY590" i="2"/>
  <c r="AY530" i="2"/>
  <c r="AY574" i="2"/>
  <c r="AY546" i="2"/>
  <c r="AY664" i="2"/>
  <c r="AY614" i="2"/>
  <c r="AW591" i="2"/>
  <c r="AW539" i="2"/>
  <c r="AU597" i="2"/>
  <c r="AX700" i="2"/>
  <c r="AX526" i="2"/>
  <c r="AX660" i="2"/>
  <c r="AV564" i="2"/>
  <c r="AU716" i="2"/>
  <c r="AV683" i="2"/>
  <c r="AZ683" i="2" s="1"/>
  <c r="AY533" i="2"/>
  <c r="AY581" i="2"/>
  <c r="AY549" i="2"/>
  <c r="AY696" i="2"/>
  <c r="AY576" i="2"/>
  <c r="AV658" i="2"/>
  <c r="AZ658" i="2" s="1"/>
  <c r="AY678" i="2"/>
  <c r="AY699" i="2"/>
  <c r="AU690" i="2"/>
  <c r="AY618" i="2"/>
  <c r="AY537" i="2"/>
  <c r="AY538" i="2"/>
  <c r="AY717" i="2"/>
  <c r="AY713" i="2"/>
  <c r="AY665" i="2"/>
  <c r="AY554" i="2"/>
  <c r="AY669" i="2"/>
  <c r="AY562" i="2"/>
  <c r="AY666" i="2"/>
  <c r="AY854" i="2"/>
  <c r="AY838" i="2"/>
  <c r="AY830" i="2"/>
  <c r="AY822" i="2"/>
  <c r="AY790" i="2"/>
  <c r="AX373" i="2"/>
  <c r="AW466" i="2"/>
  <c r="AX442" i="2"/>
  <c r="AW404" i="2"/>
  <c r="AW370" i="2"/>
  <c r="AV516" i="2"/>
  <c r="AZ516" i="2" s="1"/>
  <c r="AU468" i="2"/>
  <c r="AV430" i="2"/>
  <c r="AY661" i="2"/>
  <c r="AY757" i="2"/>
  <c r="AW776" i="2"/>
  <c r="AW460" i="2"/>
  <c r="AY416" i="2"/>
  <c r="AW506" i="2"/>
  <c r="AX474" i="2"/>
  <c r="AX450" i="2"/>
  <c r="AW434" i="2"/>
  <c r="AW363" i="2"/>
  <c r="AX396" i="2"/>
  <c r="AV378" i="2"/>
  <c r="AY515" i="2"/>
  <c r="AY507" i="2"/>
  <c r="AX479" i="2"/>
  <c r="AX467" i="2"/>
  <c r="AX443" i="2"/>
  <c r="AX381" i="2"/>
  <c r="AX405" i="2"/>
  <c r="AX412" i="2"/>
  <c r="AX365" i="2"/>
  <c r="AX374" i="2"/>
  <c r="AY371" i="2"/>
  <c r="AX355" i="2"/>
  <c r="AX501" i="2"/>
  <c r="AX493" i="2"/>
  <c r="AX476" i="2"/>
  <c r="AX469" i="2"/>
  <c r="AX461" i="2"/>
  <c r="AX453" i="2"/>
  <c r="AX445" i="2"/>
  <c r="AX429" i="2"/>
  <c r="AX421" i="2"/>
  <c r="AX413" i="2"/>
  <c r="AX357" i="2"/>
  <c r="AX366" i="2"/>
  <c r="AX387" i="2"/>
  <c r="AX393" i="2"/>
  <c r="AX360" i="2"/>
  <c r="AX350" i="2"/>
  <c r="AV511" i="2"/>
  <c r="AZ511" i="2" s="1"/>
  <c r="AV503" i="2"/>
  <c r="AZ503" i="2" s="1"/>
  <c r="AW495" i="2"/>
  <c r="AV471" i="2"/>
  <c r="AV447" i="2"/>
  <c r="AZ447" i="2" s="1"/>
  <c r="AV439" i="2"/>
  <c r="AW431" i="2"/>
  <c r="AV415" i="2"/>
  <c r="AV380" i="2"/>
  <c r="AZ380" i="2" s="1"/>
  <c r="AX391" i="2"/>
  <c r="AV402" i="2"/>
  <c r="AZ402" i="2" s="1"/>
  <c r="AX384" i="2"/>
  <c r="AU513" i="2"/>
  <c r="AW483" i="2"/>
  <c r="AX489" i="2"/>
  <c r="AW449" i="2"/>
  <c r="AV433" i="2"/>
  <c r="AZ433" i="2" s="1"/>
  <c r="AU358" i="2"/>
  <c r="AW395" i="2"/>
  <c r="AW397" i="2"/>
  <c r="AX411" i="2"/>
  <c r="AX377" i="2"/>
  <c r="AV361" i="2"/>
  <c r="AY453" i="2"/>
  <c r="AV445" i="2"/>
  <c r="AY437" i="2"/>
  <c r="AY421" i="2"/>
  <c r="AY393" i="2"/>
  <c r="AY360" i="2"/>
  <c r="AX688" i="2"/>
  <c r="AV500" i="2"/>
  <c r="AW492" i="2"/>
  <c r="AV444" i="2"/>
  <c r="AZ444" i="2" s="1"/>
  <c r="AU416" i="2"/>
  <c r="AY386" i="2"/>
  <c r="AW784" i="2"/>
  <c r="AX772" i="2"/>
  <c r="AX762" i="2"/>
  <c r="AX837" i="2"/>
  <c r="AW837" i="2"/>
  <c r="AV803" i="2"/>
  <c r="AZ803" i="2" s="1"/>
  <c r="AU803" i="2"/>
  <c r="AW599" i="2"/>
  <c r="AV599" i="2"/>
  <c r="AZ599" i="2" s="1"/>
  <c r="AY599" i="2"/>
  <c r="AY557" i="2"/>
  <c r="AW557" i="2"/>
  <c r="AW587" i="2"/>
  <c r="AY587" i="2"/>
  <c r="AX829" i="2"/>
  <c r="AW829" i="2"/>
  <c r="AX805" i="2"/>
  <c r="AU805" i="2"/>
  <c r="AW367" i="2"/>
  <c r="AX451" i="2"/>
  <c r="AW451" i="2"/>
  <c r="AW457" i="2"/>
  <c r="AV457" i="2"/>
  <c r="AX457" i="2"/>
  <c r="AU501" i="2"/>
  <c r="AU558" i="2"/>
  <c r="AY558" i="2"/>
  <c r="AX363" i="2"/>
  <c r="AX475" i="2"/>
  <c r="AW475" i="2"/>
  <c r="AX419" i="2"/>
  <c r="AW419" i="2"/>
  <c r="AV467" i="2"/>
  <c r="AV493" i="2"/>
  <c r="AV461" i="2"/>
  <c r="AV366" i="2"/>
  <c r="AZ366" i="2" s="1"/>
  <c r="AV424" i="2"/>
  <c r="AZ424" i="2" s="1"/>
  <c r="AX439" i="2"/>
  <c r="AW447" i="2"/>
  <c r="AV453" i="2"/>
  <c r="AZ453" i="2" s="1"/>
  <c r="AU480" i="2"/>
  <c r="AV349" i="2"/>
  <c r="AZ349" i="2" s="1"/>
  <c r="AX349" i="2"/>
  <c r="AX403" i="2"/>
  <c r="AV466" i="2"/>
  <c r="AZ466" i="2" s="1"/>
  <c r="AV368" i="2"/>
  <c r="AZ368" i="2" s="1"/>
  <c r="AV399" i="2"/>
  <c r="AZ399" i="2" s="1"/>
  <c r="AU508" i="2"/>
  <c r="AY508" i="2"/>
  <c r="AV484" i="2"/>
  <c r="AU460" i="2"/>
  <c r="AU436" i="2"/>
  <c r="AY422" i="2"/>
  <c r="AW354" i="2"/>
  <c r="AY378" i="2"/>
  <c r="AU378" i="2"/>
  <c r="AW356" i="2"/>
  <c r="AY484" i="2"/>
  <c r="AY405" i="2"/>
  <c r="AY366" i="2"/>
  <c r="AY355" i="2"/>
  <c r="AX466" i="2"/>
  <c r="AX434" i="2"/>
  <c r="AW411" i="2"/>
  <c r="AV508" i="2"/>
  <c r="AZ508" i="2" s="1"/>
  <c r="AV393" i="2"/>
  <c r="AX517" i="2"/>
  <c r="AX509" i="2"/>
  <c r="AX437" i="2"/>
  <c r="AX408" i="2"/>
  <c r="AX424" i="2"/>
  <c r="AW503" i="2"/>
  <c r="AX471" i="2"/>
  <c r="AX380" i="2"/>
  <c r="AW402" i="2"/>
  <c r="AV513" i="2"/>
  <c r="AU483" i="2"/>
  <c r="AV449" i="2"/>
  <c r="AZ449" i="2" s="1"/>
  <c r="AU419" i="2"/>
  <c r="AY451" i="2"/>
  <c r="AW443" i="2"/>
  <c r="AV427" i="2"/>
  <c r="AZ427" i="2" s="1"/>
  <c r="AY381" i="2"/>
  <c r="AW412" i="2"/>
  <c r="AY425" i="2"/>
  <c r="AY374" i="2"/>
  <c r="AV355" i="2"/>
  <c r="AZ355" i="2" s="1"/>
  <c r="AX853" i="2"/>
  <c r="AV853" i="2"/>
  <c r="AU851" i="2"/>
  <c r="AV851" i="2"/>
  <c r="AZ851" i="2" s="1"/>
  <c r="AV835" i="2"/>
  <c r="AU835" i="2"/>
  <c r="AY622" i="2"/>
  <c r="AV622" i="2"/>
  <c r="AZ622" i="2" s="1"/>
  <c r="AW494" i="2"/>
  <c r="AW398" i="2"/>
  <c r="AV394" i="2"/>
  <c r="AU664" i="2"/>
  <c r="AV477" i="2"/>
  <c r="AZ477" i="2" s="1"/>
  <c r="AW477" i="2"/>
  <c r="AX477" i="2"/>
  <c r="AW369" i="2"/>
  <c r="AX369" i="2"/>
  <c r="AV497" i="2"/>
  <c r="AZ497" i="2" s="1"/>
  <c r="AX497" i="2"/>
  <c r="AU423" i="2"/>
  <c r="AW423" i="2"/>
  <c r="AV385" i="2"/>
  <c r="AZ385" i="2" s="1"/>
  <c r="AX385" i="2"/>
  <c r="AV517" i="2"/>
  <c r="AZ517" i="2" s="1"/>
  <c r="AU485" i="2"/>
  <c r="AV819" i="2"/>
  <c r="AX503" i="2"/>
  <c r="AX460" i="2"/>
  <c r="AX428" i="2"/>
  <c r="AX354" i="2"/>
  <c r="AX488" i="2"/>
  <c r="AW448" i="2"/>
  <c r="AW392" i="2"/>
  <c r="AV458" i="2"/>
  <c r="AZ458" i="2" s="1"/>
  <c r="AV434" i="2"/>
  <c r="AV404" i="2"/>
  <c r="AZ404" i="2" s="1"/>
  <c r="AV370" i="2"/>
  <c r="AW516" i="2"/>
  <c r="AY516" i="2"/>
  <c r="AW473" i="2"/>
  <c r="AV390" i="2"/>
  <c r="AU401" i="2"/>
  <c r="AY401" i="2"/>
  <c r="AV401" i="2"/>
  <c r="AX433" i="2"/>
  <c r="AX361" i="2"/>
  <c r="AW378" i="2"/>
  <c r="AV386" i="2"/>
  <c r="AZ386" i="2" s="1"/>
  <c r="AW813" i="2"/>
  <c r="AX813" i="2"/>
  <c r="AY520" i="2"/>
  <c r="AW520" i="2"/>
  <c r="AY570" i="2"/>
  <c r="AX570" i="2"/>
  <c r="AV610" i="2"/>
  <c r="AY610" i="2"/>
  <c r="AW498" i="2"/>
  <c r="AX498" i="2"/>
  <c r="AV379" i="2"/>
  <c r="AZ379" i="2" s="1"/>
  <c r="AW622" i="2"/>
  <c r="AX483" i="2"/>
  <c r="AV483" i="2"/>
  <c r="AV499" i="2"/>
  <c r="AZ499" i="2" s="1"/>
  <c r="AV429" i="2"/>
  <c r="AX397" i="2"/>
  <c r="AX473" i="2"/>
  <c r="AX390" i="2"/>
  <c r="AX518" i="2"/>
  <c r="AX438" i="2"/>
  <c r="AV464" i="2"/>
  <c r="AZ464" i="2" s="1"/>
  <c r="AV400" i="2"/>
  <c r="AW383" i="2"/>
  <c r="AX383" i="2"/>
  <c r="AV490" i="2"/>
  <c r="AV426" i="2"/>
  <c r="AU492" i="2"/>
  <c r="AY468" i="2"/>
  <c r="AY444" i="2"/>
  <c r="AW416" i="2"/>
  <c r="AY424" i="2"/>
  <c r="AX423" i="2"/>
  <c r="AW484" i="2"/>
  <c r="AW433" i="2"/>
  <c r="AW365" i="2"/>
  <c r="AU354" i="2"/>
  <c r="AY427" i="2"/>
  <c r="AX402" i="2"/>
  <c r="AW381" i="2"/>
  <c r="AV419" i="2"/>
  <c r="AZ419" i="2" s="1"/>
  <c r="AX634" i="2"/>
  <c r="AX546" i="2"/>
  <c r="AV689" i="2"/>
  <c r="AZ689" i="2" s="1"/>
  <c r="AW375" i="2"/>
  <c r="AU457" i="2"/>
  <c r="AV358" i="2"/>
  <c r="AZ358" i="2" s="1"/>
  <c r="AU385" i="2"/>
  <c r="AU361" i="2"/>
  <c r="AV443" i="2"/>
  <c r="AV435" i="2"/>
  <c r="AZ435" i="2" s="1"/>
  <c r="AV371" i="2"/>
  <c r="AZ371" i="2" s="1"/>
  <c r="AY705" i="2"/>
  <c r="AY544" i="2"/>
  <c r="AY658" i="2"/>
  <c r="AY690" i="2"/>
  <c r="AW653" i="2"/>
  <c r="AW583" i="2"/>
  <c r="AX680" i="2"/>
  <c r="AV723" i="2"/>
  <c r="AZ723" i="2" s="1"/>
  <c r="AX650" i="2"/>
  <c r="AX632" i="2"/>
  <c r="AX695" i="2"/>
  <c r="AX584" i="2"/>
  <c r="AX602" i="2"/>
  <c r="AX585" i="2"/>
  <c r="AX551" i="2"/>
  <c r="AY621" i="2"/>
  <c r="AY624" i="2"/>
  <c r="AX639" i="2"/>
  <c r="AW663" i="2"/>
  <c r="AW655" i="2"/>
  <c r="AX552" i="2"/>
  <c r="AW567" i="2"/>
  <c r="AW535" i="2"/>
  <c r="AX709" i="2"/>
  <c r="AU622" i="2"/>
  <c r="AW646" i="2"/>
  <c r="AU590" i="2"/>
  <c r="AU530" i="2"/>
  <c r="AV566" i="2"/>
  <c r="AV685" i="2"/>
  <c r="AZ685" i="2" s="1"/>
  <c r="AU625" i="2"/>
  <c r="AV534" i="2"/>
  <c r="AV633" i="2"/>
  <c r="AU629" i="2"/>
  <c r="AW620" i="2"/>
  <c r="AY638" i="2"/>
  <c r="AY703" i="2"/>
  <c r="AY568" i="2"/>
  <c r="AY663" i="2"/>
  <c r="AY655" i="2"/>
  <c r="AY605" i="2"/>
  <c r="AY637" i="2"/>
  <c r="AY567" i="2"/>
  <c r="AY613" i="2"/>
  <c r="AY543" i="2"/>
  <c r="AY535" i="2"/>
  <c r="AX694" i="2"/>
  <c r="AX686" i="2"/>
  <c r="AW570" i="2"/>
  <c r="AX662" i="2"/>
  <c r="AV708" i="2"/>
  <c r="AZ708" i="2" s="1"/>
  <c r="AX654" i="2"/>
  <c r="AX630" i="2"/>
  <c r="AX710" i="2"/>
  <c r="AX606" i="2"/>
  <c r="AX689" i="2"/>
  <c r="AW590" i="2"/>
  <c r="AX530" i="2"/>
  <c r="AW566" i="2"/>
  <c r="AX566" i="2"/>
  <c r="AX684" i="2"/>
  <c r="AV684" i="2"/>
  <c r="AZ684" i="2" s="1"/>
  <c r="AW664" i="2"/>
  <c r="AX674" i="2"/>
  <c r="AX579" i="2"/>
  <c r="AX592" i="2"/>
  <c r="AW701" i="2"/>
  <c r="AX701" i="2"/>
  <c r="AX693" i="2"/>
  <c r="AW693" i="2"/>
  <c r="AU693" i="2"/>
  <c r="AX685" i="2"/>
  <c r="AX591" i="2"/>
  <c r="AX588" i="2"/>
  <c r="AX527" i="2"/>
  <c r="AX534" i="2"/>
  <c r="AX633" i="2"/>
  <c r="AX586" i="2"/>
  <c r="AW586" i="2"/>
  <c r="AU586" i="2"/>
  <c r="AX563" i="2"/>
  <c r="AX539" i="2"/>
  <c r="AX597" i="2"/>
  <c r="AW597" i="2"/>
  <c r="AX636" i="2"/>
  <c r="AX573" i="2"/>
  <c r="AW573" i="2"/>
  <c r="AX652" i="2"/>
  <c r="AX645" i="2"/>
  <c r="AU645" i="2"/>
  <c r="AW645" i="2"/>
  <c r="AX704" i="2"/>
  <c r="AX722" i="2"/>
  <c r="AX675" i="2"/>
  <c r="AV719" i="2"/>
  <c r="AZ719" i="2" s="1"/>
  <c r="AV659" i="2"/>
  <c r="AZ659" i="2" s="1"/>
  <c r="AV688" i="2"/>
  <c r="AZ688" i="2" s="1"/>
  <c r="AU595" i="2"/>
  <c r="AU721" i="2"/>
  <c r="AW676" i="2"/>
  <c r="AW550" i="2"/>
  <c r="AX616" i="2"/>
  <c r="AW631" i="2"/>
  <c r="AX623" i="2"/>
  <c r="AX605" i="2"/>
  <c r="AV634" i="2"/>
  <c r="AX520" i="2"/>
  <c r="AW694" i="2"/>
  <c r="AV694" i="2"/>
  <c r="AU570" i="2"/>
  <c r="AU708" i="2"/>
  <c r="AX519" i="2"/>
  <c r="AX619" i="2"/>
  <c r="AV619" i="2"/>
  <c r="AU606" i="2"/>
  <c r="AV574" i="2"/>
  <c r="AW558" i="2"/>
  <c r="AX614" i="2"/>
  <c r="AV614" i="2"/>
  <c r="AZ614" i="2" s="1"/>
  <c r="AU579" i="2"/>
  <c r="AU636" i="2"/>
  <c r="AV642" i="2"/>
  <c r="AW724" i="2"/>
  <c r="AW668" i="2"/>
  <c r="AV660" i="2"/>
  <c r="AZ660" i="2" s="1"/>
  <c r="AX730" i="2"/>
  <c r="AU737" i="2"/>
  <c r="AY743" i="2"/>
  <c r="AY741" i="2"/>
  <c r="AV843" i="2"/>
  <c r="AZ843" i="2" s="1"/>
  <c r="AU827" i="2"/>
  <c r="AU811" i="2"/>
  <c r="AU795" i="2"/>
  <c r="AU846" i="2"/>
  <c r="AU798" i="2"/>
  <c r="AY839" i="2"/>
  <c r="AW839" i="2"/>
  <c r="AY815" i="2"/>
  <c r="AV815" i="2"/>
  <c r="AV791" i="2"/>
  <c r="AZ791" i="2" s="1"/>
  <c r="AY791" i="2"/>
  <c r="AY577" i="2"/>
  <c r="AX558" i="2"/>
  <c r="AV697" i="2"/>
  <c r="AZ697" i="2" s="1"/>
  <c r="AV590" i="2"/>
  <c r="AZ590" i="2" s="1"/>
  <c r="AV621" i="2"/>
  <c r="AU531" i="2"/>
  <c r="AU778" i="2"/>
  <c r="AX778" i="2"/>
  <c r="AV741" i="2"/>
  <c r="AW753" i="2"/>
  <c r="AU753" i="2"/>
  <c r="AU779" i="2"/>
  <c r="AV758" i="2"/>
  <c r="AY731" i="2"/>
  <c r="AY620" i="2"/>
  <c r="AX663" i="2"/>
  <c r="AX698" i="2"/>
  <c r="AW574" i="2"/>
  <c r="AV519" i="2"/>
  <c r="AV569" i="2"/>
  <c r="AZ569" i="2" s="1"/>
  <c r="AW799" i="2"/>
  <c r="AU395" i="2"/>
  <c r="AX708" i="2"/>
  <c r="AV680" i="2"/>
  <c r="AV530" i="2"/>
  <c r="AZ530" i="2" s="1"/>
  <c r="AU520" i="2"/>
  <c r="AU519" i="2"/>
  <c r="AU724" i="2"/>
  <c r="AX718" i="2"/>
  <c r="AY700" i="2"/>
  <c r="AW692" i="2"/>
  <c r="AU526" i="2"/>
  <c r="AY668" i="2"/>
  <c r="AY660" i="2"/>
  <c r="AX644" i="2"/>
  <c r="AU559" i="2"/>
  <c r="AU628" i="2"/>
  <c r="AX620" i="2"/>
  <c r="AY525" i="2"/>
  <c r="AY596" i="2"/>
  <c r="AX569" i="2"/>
  <c r="AX580" i="2"/>
  <c r="AY627" i="2"/>
  <c r="AY564" i="2"/>
  <c r="AW556" i="2"/>
  <c r="AW682" i="2"/>
  <c r="AY681" i="2"/>
  <c r="AY518" i="2"/>
  <c r="AY510" i="2"/>
  <c r="AY502" i="2"/>
  <c r="AY486" i="2"/>
  <c r="AY478" i="2"/>
  <c r="AY462" i="2"/>
  <c r="AX430" i="2"/>
  <c r="AY398" i="2"/>
  <c r="AY414" i="2"/>
  <c r="AY379" i="2"/>
  <c r="AY394" i="2"/>
  <c r="AY382" i="2"/>
  <c r="AV512" i="2"/>
  <c r="AZ512" i="2" s="1"/>
  <c r="AW504" i="2"/>
  <c r="AW488" i="2"/>
  <c r="AW480" i="2"/>
  <c r="AV472" i="2"/>
  <c r="AZ472" i="2" s="1"/>
  <c r="AX464" i="2"/>
  <c r="AU456" i="2"/>
  <c r="AU448" i="2"/>
  <c r="AV440" i="2"/>
  <c r="AZ440" i="2" s="1"/>
  <c r="AY432" i="2"/>
  <c r="AU417" i="2"/>
  <c r="AW349" i="2"/>
  <c r="AY400" i="2"/>
  <c r="AW403" i="2"/>
  <c r="AU409" i="2"/>
  <c r="AY373" i="2"/>
  <c r="AW514" i="2"/>
  <c r="AX506" i="2"/>
  <c r="AV498" i="2"/>
  <c r="AW482" i="2"/>
  <c r="AW474" i="2"/>
  <c r="AX458" i="2"/>
  <c r="AW450" i="2"/>
  <c r="AW442" i="2"/>
  <c r="AW368" i="2"/>
  <c r="AW410" i="2"/>
  <c r="AX404" i="2"/>
  <c r="AX420" i="2"/>
  <c r="AW352" i="2"/>
  <c r="AX370" i="2"/>
  <c r="AW396" i="2"/>
  <c r="AX516" i="2"/>
  <c r="AX508" i="2"/>
  <c r="AX500" i="2"/>
  <c r="AX468" i="2"/>
  <c r="AX444" i="2"/>
  <c r="AX436" i="2"/>
  <c r="AX416" i="2"/>
  <c r="AX422" i="2"/>
  <c r="AX401" i="2"/>
  <c r="AX356" i="2"/>
  <c r="AY688" i="2"/>
  <c r="AW619" i="2"/>
  <c r="AW614" i="2"/>
  <c r="AY758" i="2"/>
  <c r="AY523" i="2"/>
  <c r="AV607" i="2"/>
  <c r="AZ607" i="2" s="1"/>
  <c r="AU677" i="2"/>
  <c r="AY659" i="2"/>
  <c r="AV714" i="2"/>
  <c r="AZ714" i="2" s="1"/>
  <c r="AU600" i="2"/>
  <c r="AY672" i="2"/>
  <c r="AW612" i="2"/>
  <c r="AU691" i="2"/>
  <c r="AU661" i="2"/>
  <c r="AY617" i="2"/>
  <c r="AV715" i="2"/>
  <c r="AV643" i="2"/>
  <c r="AZ643" i="2" s="1"/>
  <c r="AV716" i="2"/>
  <c r="AV575" i="2"/>
  <c r="AZ575" i="2" s="1"/>
  <c r="AW720" i="2"/>
  <c r="AY595" i="2"/>
  <c r="AW649" i="2"/>
  <c r="AV670" i="2"/>
  <c r="AV571" i="2"/>
  <c r="AW721" i="2"/>
  <c r="AV555" i="2"/>
  <c r="AV547" i="2"/>
  <c r="AW683" i="2"/>
  <c r="AV705" i="2"/>
  <c r="AW533" i="2"/>
  <c r="AV581" i="2"/>
  <c r="AV549" i="2"/>
  <c r="AU544" i="2"/>
  <c r="AU599" i="2"/>
  <c r="AV696" i="2"/>
  <c r="AZ696" i="2" s="1"/>
  <c r="AV576" i="2"/>
  <c r="AU557" i="2"/>
  <c r="AW699" i="2"/>
  <c r="AW610" i="2"/>
  <c r="AV537" i="2"/>
  <c r="AW565" i="2"/>
  <c r="AV717" i="2"/>
  <c r="AW713" i="2"/>
  <c r="AV665" i="2"/>
  <c r="AZ665" i="2" s="1"/>
  <c r="AU554" i="2"/>
  <c r="AU669" i="2"/>
  <c r="AV587" i="2"/>
  <c r="AZ587" i="2" s="1"/>
  <c r="AV562" i="2"/>
  <c r="AZ562" i="2" s="1"/>
  <c r="AW666" i="2"/>
  <c r="AW641" i="2"/>
  <c r="AW572" i="2"/>
  <c r="AX572" i="2"/>
  <c r="AW608" i="2"/>
  <c r="AW673" i="2"/>
  <c r="AX673" i="2"/>
  <c r="AW542" i="2"/>
  <c r="AX657" i="2"/>
  <c r="AV706" i="2"/>
  <c r="AZ706" i="2" s="1"/>
  <c r="AW698" i="2"/>
  <c r="AX541" i="2"/>
  <c r="AW598" i="2"/>
  <c r="AW609" i="2"/>
  <c r="AW582" i="2"/>
  <c r="AX561" i="2"/>
  <c r="AU561" i="2"/>
  <c r="AW545" i="2"/>
  <c r="AX545" i="2"/>
  <c r="AX594" i="2"/>
  <c r="AW702" i="2"/>
  <c r="AU712" i="2"/>
  <c r="AU550" i="2"/>
  <c r="AU723" i="2"/>
  <c r="AY849" i="2"/>
  <c r="AX817" i="2"/>
  <c r="AX801" i="2"/>
  <c r="AX852" i="2"/>
  <c r="AW852" i="2"/>
  <c r="AY836" i="2"/>
  <c r="AX836" i="2"/>
  <c r="AY812" i="2"/>
  <c r="AW812" i="2"/>
  <c r="AV823" i="2"/>
  <c r="AX823" i="2"/>
  <c r="AV807" i="2"/>
  <c r="AW791" i="2"/>
  <c r="AX850" i="2"/>
  <c r="AW842" i="2"/>
  <c r="AV842" i="2"/>
  <c r="AW834" i="2"/>
  <c r="AX834" i="2"/>
  <c r="AX826" i="2"/>
  <c r="AW826" i="2"/>
  <c r="AW818" i="2"/>
  <c r="AU818" i="2"/>
  <c r="AU810" i="2"/>
  <c r="AX810" i="2"/>
  <c r="AW802" i="2"/>
  <c r="AV802" i="2"/>
  <c r="AZ802" i="2" s="1"/>
  <c r="AV794" i="2"/>
  <c r="AZ794" i="2" s="1"/>
  <c r="AU794" i="2"/>
  <c r="AV845" i="2"/>
  <c r="AZ845" i="2" s="1"/>
  <c r="AU813" i="2"/>
  <c r="AU797" i="2"/>
  <c r="AV789" i="2"/>
  <c r="AY848" i="2"/>
  <c r="AY840" i="2"/>
  <c r="AV840" i="2"/>
  <c r="AZ840" i="2" s="1"/>
  <c r="AY832" i="2"/>
  <c r="AU832" i="2"/>
  <c r="AY824" i="2"/>
  <c r="AW824" i="2"/>
  <c r="AY816" i="2"/>
  <c r="AY808" i="2"/>
  <c r="AY800" i="2"/>
  <c r="AW800" i="2"/>
  <c r="AY792" i="2"/>
  <c r="AU792" i="2"/>
  <c r="AW783" i="2"/>
  <c r="AY778" i="2"/>
  <c r="AV816" i="2"/>
  <c r="AZ816" i="2" s="1"/>
  <c r="AX766" i="2"/>
  <c r="AX742" i="2"/>
  <c r="AY734" i="2"/>
  <c r="AX771" i="2"/>
  <c r="AU745" i="2"/>
  <c r="AX732" i="2"/>
  <c r="AX786" i="2"/>
  <c r="AX738" i="2"/>
  <c r="AU757" i="2"/>
  <c r="AU751" i="2"/>
  <c r="AU782" i="2"/>
  <c r="AV766" i="2"/>
  <c r="AY764" i="2"/>
  <c r="AU742" i="2"/>
  <c r="AU784" i="2"/>
  <c r="AW850" i="2"/>
  <c r="AU785" i="2"/>
  <c r="AY765" i="2"/>
  <c r="AW741" i="2"/>
  <c r="AX779" i="2"/>
  <c r="AV774" i="2"/>
  <c r="AZ774" i="2" s="1"/>
  <c r="AX731" i="2"/>
  <c r="AV739" i="2"/>
  <c r="AZ739" i="2" s="1"/>
  <c r="AX781" i="2"/>
  <c r="AU783" i="2"/>
  <c r="AU770" i="2"/>
  <c r="AV726" i="2"/>
  <c r="AZ726" i="2" s="1"/>
  <c r="AU735" i="2"/>
  <c r="AW761" i="2"/>
  <c r="AW773" i="2"/>
  <c r="AY773" i="2"/>
  <c r="AW765" i="2"/>
  <c r="AV765" i="2"/>
  <c r="AW743" i="2"/>
  <c r="AW759" i="2"/>
  <c r="AU845" i="2"/>
  <c r="AX757" i="2"/>
  <c r="AW752" i="2"/>
  <c r="AX782" i="2"/>
  <c r="AW728" i="2"/>
  <c r="AV742" i="2"/>
  <c r="AZ742" i="2" s="1"/>
  <c r="AU771" i="2"/>
  <c r="AY769" i="2"/>
  <c r="AU732" i="2"/>
  <c r="AV577" i="2"/>
  <c r="AZ577" i="2" s="1"/>
  <c r="AW578" i="2"/>
  <c r="AY550" i="2"/>
  <c r="AY680" i="2"/>
  <c r="AY723" i="2"/>
  <c r="AY632" i="2"/>
  <c r="AY548" i="2"/>
  <c r="AY540" i="2"/>
  <c r="AY695" i="2"/>
  <c r="AY560" i="2"/>
  <c r="AY584" i="2"/>
  <c r="AY687" i="2"/>
  <c r="AY585" i="2"/>
  <c r="AY551" i="2"/>
  <c r="AY536" i="2"/>
  <c r="AW733" i="2"/>
  <c r="AX760" i="2"/>
  <c r="AX749" i="2"/>
  <c r="AX775" i="2"/>
  <c r="AX768" i="2"/>
  <c r="AX751" i="2"/>
  <c r="AU767" i="2"/>
  <c r="AW740" i="2"/>
  <c r="AX736" i="2"/>
  <c r="AX784" i="2"/>
  <c r="AU772" i="2"/>
  <c r="AU769" i="2"/>
  <c r="AV787" i="2"/>
  <c r="AZ787" i="2" s="1"/>
  <c r="AW786" i="2"/>
  <c r="AV760" i="2"/>
  <c r="AU762" i="2"/>
  <c r="AY749" i="2"/>
  <c r="AU814" i="2"/>
  <c r="AY841" i="2"/>
  <c r="AX833" i="2"/>
  <c r="AY825" i="2"/>
  <c r="AY817" i="2"/>
  <c r="AY809" i="2"/>
  <c r="AX793" i="2"/>
  <c r="AW844" i="2"/>
  <c r="AW836" i="2"/>
  <c r="AW828" i="2"/>
  <c r="AX820" i="2"/>
  <c r="AX812" i="2"/>
  <c r="AW796" i="2"/>
  <c r="AV847" i="2"/>
  <c r="AV839" i="2"/>
  <c r="AV831" i="2"/>
  <c r="AW823" i="2"/>
  <c r="AW815" i="2"/>
  <c r="AX807" i="2"/>
  <c r="AX799" i="2"/>
  <c r="AU850" i="2"/>
  <c r="AU842" i="2"/>
  <c r="AU834" i="2"/>
  <c r="AV826" i="2"/>
  <c r="AZ826" i="2" s="1"/>
  <c r="AV818" i="2"/>
  <c r="AZ818" i="2" s="1"/>
  <c r="AU802" i="2"/>
  <c r="AY853" i="2"/>
  <c r="AY845" i="2"/>
  <c r="AW845" i="2"/>
  <c r="AY837" i="2"/>
  <c r="AY829" i="2"/>
  <c r="AV829" i="2"/>
  <c r="AZ829" i="2" s="1"/>
  <c r="AY821" i="2"/>
  <c r="AY813" i="2"/>
  <c r="AY805" i="2"/>
  <c r="AY797" i="2"/>
  <c r="AY789" i="2"/>
  <c r="AV648" i="2"/>
  <c r="AZ648" i="2" s="1"/>
  <c r="AU522" i="2"/>
  <c r="AV548" i="2"/>
  <c r="AV695" i="2"/>
  <c r="AZ695" i="2" s="1"/>
  <c r="AU560" i="2"/>
  <c r="AV602" i="2"/>
  <c r="AZ602" i="2" s="1"/>
  <c r="AU687" i="2"/>
  <c r="AV626" i="2"/>
  <c r="AZ626" i="2" s="1"/>
  <c r="AV585" i="2"/>
  <c r="AZ585" i="2" s="1"/>
  <c r="AY667" i="2"/>
  <c r="AY623" i="2"/>
  <c r="AW637" i="2"/>
  <c r="AU763" i="2"/>
  <c r="AV777" i="2"/>
  <c r="AW747" i="2"/>
  <c r="AU726" i="2"/>
  <c r="AX761" i="2"/>
  <c r="AX773" i="2"/>
  <c r="AU743" i="2"/>
  <c r="AW780" i="2"/>
  <c r="AU748" i="2"/>
  <c r="AU758" i="2"/>
  <c r="AW739" i="2"/>
  <c r="AW756" i="2"/>
  <c r="AW737" i="2"/>
  <c r="AX796" i="2"/>
  <c r="AY844" i="2"/>
  <c r="AY820" i="2"/>
  <c r="AX656" i="2"/>
  <c r="AX687" i="2"/>
  <c r="AY662" i="2"/>
  <c r="AU654" i="2"/>
  <c r="AW654" i="2"/>
  <c r="AY654" i="2"/>
  <c r="AV630" i="2"/>
  <c r="AW710" i="2"/>
  <c r="AU619" i="2"/>
  <c r="AU574" i="2"/>
  <c r="AY566" i="2"/>
  <c r="AW684" i="2"/>
  <c r="AY684" i="2"/>
  <c r="AU614" i="2"/>
  <c r="AX845" i="2"/>
  <c r="AY851" i="2"/>
  <c r="AY843" i="2"/>
  <c r="AY835" i="2"/>
  <c r="AY827" i="2"/>
  <c r="AY819" i="2"/>
  <c r="AY811" i="2"/>
  <c r="AY803" i="2"/>
  <c r="AY795" i="2"/>
  <c r="AY565" i="2"/>
  <c r="AY609" i="2"/>
  <c r="AY593" i="2"/>
  <c r="AY594" i="2"/>
  <c r="AY702" i="2"/>
  <c r="AX712" i="2"/>
  <c r="AX578" i="2"/>
  <c r="AX583" i="2"/>
  <c r="AX648" i="2"/>
  <c r="AX522" i="2"/>
  <c r="AX548" i="2"/>
  <c r="AX626" i="2"/>
  <c r="AX624" i="2"/>
  <c r="AX711" i="2"/>
  <c r="AX703" i="2"/>
  <c r="AX640" i="2"/>
  <c r="AX679" i="2"/>
  <c r="AX667" i="2"/>
  <c r="AX631" i="2"/>
  <c r="AX615" i="2"/>
  <c r="AX637" i="2"/>
  <c r="AX603" i="2"/>
  <c r="AX647" i="2"/>
  <c r="AX543" i="2"/>
  <c r="AU630" i="2"/>
  <c r="AV606" i="2"/>
  <c r="AV664" i="2"/>
  <c r="AU592" i="2"/>
  <c r="AY701" i="2"/>
  <c r="AY693" i="2"/>
  <c r="AV693" i="2"/>
  <c r="AZ693" i="2" s="1"/>
  <c r="AU685" i="2"/>
  <c r="AY633" i="2"/>
  <c r="AY629" i="2"/>
  <c r="AY586" i="2"/>
  <c r="AY597" i="2"/>
  <c r="AV651" i="2"/>
  <c r="AY636" i="2"/>
  <c r="AY652" i="2"/>
  <c r="AV704" i="2"/>
  <c r="AZ704" i="2" s="1"/>
  <c r="AY781" i="2"/>
  <c r="AY730" i="2"/>
  <c r="AY770" i="2"/>
  <c r="AY735" i="2"/>
  <c r="AX759" i="2"/>
  <c r="AX753" i="2"/>
  <c r="AU755" i="2"/>
  <c r="AY814" i="2"/>
  <c r="AU511" i="2"/>
  <c r="AU503" i="2"/>
  <c r="AU495" i="2"/>
  <c r="AU487" i="2"/>
  <c r="AU477" i="2"/>
  <c r="AU471" i="2"/>
  <c r="AU463" i="2"/>
  <c r="AU455" i="2"/>
  <c r="AU447" i="2"/>
  <c r="AU439" i="2"/>
  <c r="AU431" i="2"/>
  <c r="AU406" i="2"/>
  <c r="AU415" i="2"/>
  <c r="AU380" i="2"/>
  <c r="AU388" i="2"/>
  <c r="AU391" i="2"/>
  <c r="AU402" i="2"/>
  <c r="AU375" i="2"/>
  <c r="AU362" i="2"/>
  <c r="AU384" i="2"/>
  <c r="AU369" i="2"/>
  <c r="AY751" i="2"/>
  <c r="AY782" i="2"/>
  <c r="AV733" i="2"/>
  <c r="AZ733" i="2" s="1"/>
  <c r="AW787" i="2"/>
  <c r="AU749" i="2"/>
  <c r="AL473" i="2"/>
  <c r="AL836" i="2"/>
  <c r="AL453" i="2"/>
  <c r="AL41" i="2"/>
  <c r="AL828" i="2"/>
  <c r="AL812" i="2"/>
  <c r="AL804" i="2"/>
  <c r="AL525" i="2"/>
  <c r="AL726" i="2"/>
  <c r="AL796" i="2"/>
  <c r="AL627" i="2"/>
  <c r="AL852" i="2"/>
  <c r="AL788" i="2"/>
  <c r="AL844" i="2"/>
  <c r="AL846" i="2"/>
  <c r="AL838" i="2"/>
  <c r="AL830" i="2"/>
  <c r="AL822" i="2"/>
  <c r="AL814" i="2"/>
  <c r="AL806" i="2"/>
  <c r="AL798" i="2"/>
  <c r="AL790" i="2"/>
  <c r="AL745" i="2"/>
  <c r="AL854" i="2"/>
  <c r="AL169" i="2"/>
  <c r="AL774" i="2"/>
  <c r="AL853" i="2"/>
  <c r="AL845" i="2"/>
  <c r="AL837" i="2"/>
  <c r="AL829" i="2"/>
  <c r="AL821" i="2"/>
  <c r="AL813" i="2"/>
  <c r="AL805" i="2"/>
  <c r="AL797" i="2"/>
  <c r="AL789" i="2"/>
  <c r="AL755" i="2"/>
  <c r="AL835" i="2"/>
  <c r="AL803" i="2"/>
  <c r="AL571" i="2"/>
  <c r="AL780" i="2"/>
  <c r="AL850" i="2"/>
  <c r="AL842" i="2"/>
  <c r="AL834" i="2"/>
  <c r="AL826" i="2"/>
  <c r="AL818" i="2"/>
  <c r="AL810" i="2"/>
  <c r="AL802" i="2"/>
  <c r="AL794" i="2"/>
  <c r="AL827" i="2"/>
  <c r="AL795" i="2"/>
  <c r="AL508" i="2"/>
  <c r="AL849" i="2"/>
  <c r="AL841" i="2"/>
  <c r="AL833" i="2"/>
  <c r="AL825" i="2"/>
  <c r="AL817" i="2"/>
  <c r="AL809" i="2"/>
  <c r="AL801" i="2"/>
  <c r="AL793" i="2"/>
  <c r="AL851" i="2"/>
  <c r="AL819" i="2"/>
  <c r="AL753" i="2"/>
  <c r="AL848" i="2"/>
  <c r="AL840" i="2"/>
  <c r="AL832" i="2"/>
  <c r="AL824" i="2"/>
  <c r="AL816" i="2"/>
  <c r="AL808" i="2"/>
  <c r="AL800" i="2"/>
  <c r="AL792" i="2"/>
  <c r="AL843" i="2"/>
  <c r="AL811" i="2"/>
  <c r="AL475" i="2"/>
  <c r="AL761" i="2"/>
  <c r="AL847" i="2"/>
  <c r="AL839" i="2"/>
  <c r="AL831" i="2"/>
  <c r="AL823" i="2"/>
  <c r="AL815" i="2"/>
  <c r="AL807" i="2"/>
  <c r="AL799" i="2"/>
  <c r="AL791" i="2"/>
  <c r="AY804" i="2"/>
  <c r="AX794" i="2"/>
  <c r="AW848" i="2"/>
  <c r="AW810" i="2"/>
  <c r="AW797" i="2"/>
  <c r="AV813" i="2"/>
  <c r="AZ813" i="2" s="1"/>
  <c r="AV800" i="2"/>
  <c r="AZ800" i="2" s="1"/>
  <c r="AU854" i="2"/>
  <c r="AU829" i="2"/>
  <c r="AU816" i="2"/>
  <c r="AU790" i="2"/>
  <c r="AW849" i="2"/>
  <c r="AW841" i="2"/>
  <c r="AW833" i="2"/>
  <c r="AW825" i="2"/>
  <c r="AW817" i="2"/>
  <c r="AW809" i="2"/>
  <c r="AW801" i="2"/>
  <c r="AW793" i="2"/>
  <c r="AU847" i="2"/>
  <c r="AU839" i="2"/>
  <c r="AU831" i="2"/>
  <c r="AU823" i="2"/>
  <c r="AU815" i="2"/>
  <c r="AU807" i="2"/>
  <c r="AU799" i="2"/>
  <c r="AU791" i="2"/>
  <c r="AX844" i="2"/>
  <c r="AX831" i="2"/>
  <c r="AX818" i="2"/>
  <c r="AW847" i="2"/>
  <c r="AW821" i="2"/>
  <c r="AW808" i="2"/>
  <c r="AV850" i="2"/>
  <c r="AV837" i="2"/>
  <c r="AV824" i="2"/>
  <c r="AV799" i="2"/>
  <c r="AZ799" i="2" s="1"/>
  <c r="AU853" i="2"/>
  <c r="AU840" i="2"/>
  <c r="AU789" i="2"/>
  <c r="AX848" i="2"/>
  <c r="AX840" i="2"/>
  <c r="AX832" i="2"/>
  <c r="AX824" i="2"/>
  <c r="AX816" i="2"/>
  <c r="AX808" i="2"/>
  <c r="AX800" i="2"/>
  <c r="AX792" i="2"/>
  <c r="AV854" i="2"/>
  <c r="AZ854" i="2" s="1"/>
  <c r="AV846" i="2"/>
  <c r="AZ846" i="2" s="1"/>
  <c r="AV838" i="2"/>
  <c r="AZ838" i="2" s="1"/>
  <c r="AV830" i="2"/>
  <c r="AZ830" i="2" s="1"/>
  <c r="AV822" i="2"/>
  <c r="AV814" i="2"/>
  <c r="AZ814" i="2" s="1"/>
  <c r="AV806" i="2"/>
  <c r="AV798" i="2"/>
  <c r="AZ798" i="2" s="1"/>
  <c r="AV790" i="2"/>
  <c r="AY852" i="2"/>
  <c r="AY801" i="2"/>
  <c r="AX842" i="2"/>
  <c r="AX804" i="2"/>
  <c r="AW832" i="2"/>
  <c r="AW794" i="2"/>
  <c r="AV810" i="2"/>
  <c r="AZ810" i="2" s="1"/>
  <c r="AU800" i="2"/>
  <c r="AY788" i="2"/>
  <c r="AX791" i="2"/>
  <c r="AW807" i="2"/>
  <c r="AV848" i="2"/>
  <c r="AV797" i="2"/>
  <c r="AU826" i="2"/>
  <c r="AX841" i="2"/>
  <c r="AX828" i="2"/>
  <c r="AX815" i="2"/>
  <c r="AX802" i="2"/>
  <c r="AW831" i="2"/>
  <c r="AW805" i="2"/>
  <c r="AW792" i="2"/>
  <c r="AV834" i="2"/>
  <c r="AZ834" i="2" s="1"/>
  <c r="AV821" i="2"/>
  <c r="AZ821" i="2" s="1"/>
  <c r="AV808" i="2"/>
  <c r="AZ808" i="2" s="1"/>
  <c r="AV795" i="2"/>
  <c r="AZ795" i="2" s="1"/>
  <c r="AU837" i="2"/>
  <c r="AU824" i="2"/>
  <c r="AW851" i="2"/>
  <c r="AX851" i="2"/>
  <c r="AW843" i="2"/>
  <c r="AX843" i="2"/>
  <c r="AW835" i="2"/>
  <c r="AX835" i="2"/>
  <c r="AW827" i="2"/>
  <c r="AX827" i="2"/>
  <c r="AW819" i="2"/>
  <c r="AX819" i="2"/>
  <c r="AW811" i="2"/>
  <c r="AX811" i="2"/>
  <c r="AW803" i="2"/>
  <c r="AX803" i="2"/>
  <c r="AW795" i="2"/>
  <c r="AX795" i="2"/>
  <c r="AW854" i="2"/>
  <c r="AX854" i="2"/>
  <c r="AW846" i="2"/>
  <c r="AX846" i="2"/>
  <c r="AW838" i="2"/>
  <c r="AX838" i="2"/>
  <c r="AW830" i="2"/>
  <c r="AX830" i="2"/>
  <c r="AW822" i="2"/>
  <c r="AX822" i="2"/>
  <c r="AW814" i="2"/>
  <c r="AX814" i="2"/>
  <c r="AW806" i="2"/>
  <c r="AX806" i="2"/>
  <c r="AW798" i="2"/>
  <c r="AX798" i="2"/>
  <c r="AW790" i="2"/>
  <c r="AX790" i="2"/>
  <c r="AU849" i="2"/>
  <c r="AV849" i="2"/>
  <c r="AZ849" i="2" s="1"/>
  <c r="AU841" i="2"/>
  <c r="AV841" i="2"/>
  <c r="AU833" i="2"/>
  <c r="AV833" i="2"/>
  <c r="AZ833" i="2" s="1"/>
  <c r="AU825" i="2"/>
  <c r="AV825" i="2"/>
  <c r="AU817" i="2"/>
  <c r="AV817" i="2"/>
  <c r="AU809" i="2"/>
  <c r="AV809" i="2"/>
  <c r="AZ809" i="2" s="1"/>
  <c r="AU801" i="2"/>
  <c r="AV801" i="2"/>
  <c r="AU793" i="2"/>
  <c r="AV793" i="2"/>
  <c r="AU852" i="2"/>
  <c r="AV852" i="2"/>
  <c r="AZ852" i="2" s="1"/>
  <c r="AU844" i="2"/>
  <c r="AV844" i="2"/>
  <c r="AZ844" i="2" s="1"/>
  <c r="AU836" i="2"/>
  <c r="AV836" i="2"/>
  <c r="AZ836" i="2" s="1"/>
  <c r="AU828" i="2"/>
  <c r="AV828" i="2"/>
  <c r="AU820" i="2"/>
  <c r="AV820" i="2"/>
  <c r="AZ820" i="2" s="1"/>
  <c r="AU812" i="2"/>
  <c r="AV812" i="2"/>
  <c r="AZ812" i="2" s="1"/>
  <c r="AU804" i="2"/>
  <c r="AV804" i="2"/>
  <c r="AZ804" i="2" s="1"/>
  <c r="AU796" i="2"/>
  <c r="AV796" i="2"/>
  <c r="AU788" i="2"/>
  <c r="AV788" i="2"/>
  <c r="AW816" i="2"/>
  <c r="AV832" i="2"/>
  <c r="AZ832" i="2" s="1"/>
  <c r="AU848" i="2"/>
  <c r="AX825" i="2"/>
  <c r="AW853" i="2"/>
  <c r="AW840" i="2"/>
  <c r="AW789" i="2"/>
  <c r="AV805" i="2"/>
  <c r="AV792" i="2"/>
  <c r="AU821" i="2"/>
  <c r="AU808" i="2"/>
  <c r="AL451" i="2"/>
  <c r="AL421" i="2"/>
  <c r="AL786" i="2"/>
  <c r="AL732" i="2"/>
  <c r="AL376" i="2"/>
  <c r="AL408" i="2"/>
  <c r="AL750" i="2"/>
  <c r="AL355" i="2"/>
  <c r="AL781" i="2"/>
  <c r="AL268" i="2"/>
  <c r="AL768" i="2"/>
  <c r="AL193" i="2"/>
  <c r="AL778" i="2"/>
  <c r="AL743" i="2"/>
  <c r="AL348" i="2"/>
  <c r="AL611" i="2"/>
  <c r="AL437" i="2"/>
  <c r="AL325" i="2"/>
  <c r="AL763" i="2"/>
  <c r="AL731" i="2"/>
  <c r="AL675" i="2"/>
  <c r="AL448" i="2"/>
  <c r="AL518" i="2"/>
  <c r="AL433" i="2"/>
  <c r="AL323" i="2"/>
  <c r="AL762" i="2"/>
  <c r="AL727" i="2"/>
  <c r="AL507" i="2"/>
  <c r="AL319" i="2"/>
  <c r="AL493" i="2"/>
  <c r="AL416" i="2"/>
  <c r="AL308" i="2"/>
  <c r="AL714" i="2"/>
  <c r="AL578" i="2"/>
  <c r="AL656" i="2"/>
  <c r="AL491" i="2"/>
  <c r="AL400" i="2"/>
  <c r="AL204" i="2"/>
  <c r="AL771" i="2"/>
  <c r="AL744" i="2"/>
  <c r="AL381" i="2"/>
  <c r="AL650" i="2"/>
  <c r="AL619" i="2"/>
  <c r="AL486" i="2"/>
  <c r="AL366" i="2"/>
  <c r="AL324" i="2"/>
  <c r="AL779" i="2"/>
  <c r="AL730" i="2"/>
  <c r="AL720" i="2"/>
  <c r="AL374" i="2"/>
  <c r="AL252" i="2"/>
  <c r="AL785" i="2"/>
  <c r="AL767" i="2"/>
  <c r="AL550" i="2"/>
  <c r="AL534" i="2"/>
  <c r="AL676" i="2"/>
  <c r="AL652" i="2"/>
  <c r="AL517" i="2"/>
  <c r="AL485" i="2"/>
  <c r="AL444" i="2"/>
  <c r="AL405" i="2"/>
  <c r="AL385" i="2"/>
  <c r="AL338" i="2"/>
  <c r="AL241" i="2"/>
  <c r="AL760" i="2"/>
  <c r="AL766" i="2"/>
  <c r="AL749" i="2"/>
  <c r="AL742" i="2"/>
  <c r="AL775" i="2"/>
  <c r="AL703" i="2"/>
  <c r="AL561" i="2"/>
  <c r="AL640" i="2"/>
  <c r="AL643" i="2"/>
  <c r="AL560" i="2"/>
  <c r="AL555" i="2"/>
  <c r="AL515" i="2"/>
  <c r="AL479" i="2"/>
  <c r="AL443" i="2"/>
  <c r="AL389" i="2"/>
  <c r="AL364" i="2"/>
  <c r="AL310" i="2"/>
  <c r="AL250" i="2"/>
  <c r="AL777" i="2"/>
  <c r="AL765" i="2"/>
  <c r="AL747" i="2"/>
  <c r="AL741" i="2"/>
  <c r="AL729" i="2"/>
  <c r="AL715" i="2"/>
  <c r="AL693" i="2"/>
  <c r="AL522" i="2"/>
  <c r="AL597" i="2"/>
  <c r="AL645" i="2"/>
  <c r="AL512" i="2"/>
  <c r="AL480" i="2"/>
  <c r="AL440" i="2"/>
  <c r="AL397" i="2"/>
  <c r="AL361" i="2"/>
  <c r="AL265" i="2"/>
  <c r="AL264" i="2"/>
  <c r="AL776" i="2"/>
  <c r="AL733" i="2"/>
  <c r="AL752" i="2"/>
  <c r="AL787" i="2"/>
  <c r="AL728" i="2"/>
  <c r="AL638" i="2"/>
  <c r="AL583" i="2"/>
  <c r="AL632" i="2"/>
  <c r="AL671" i="2"/>
  <c r="AL681" i="2"/>
  <c r="AL736" i="2"/>
  <c r="AL738" i="2"/>
  <c r="AL784" i="2"/>
  <c r="AL559" i="2"/>
  <c r="AL579" i="2"/>
  <c r="AL612" i="2"/>
  <c r="AL629" i="2"/>
  <c r="AL651" i="2"/>
  <c r="AL683" i="2"/>
  <c r="AL504" i="2"/>
  <c r="AL472" i="2"/>
  <c r="AL432" i="2"/>
  <c r="AL394" i="2"/>
  <c r="AL341" i="2"/>
  <c r="AL300" i="2"/>
  <c r="AL129" i="2"/>
  <c r="AL739" i="2"/>
  <c r="AL773" i="2"/>
  <c r="AL756" i="2"/>
  <c r="AL759" i="2"/>
  <c r="AL737" i="2"/>
  <c r="AL593" i="2"/>
  <c r="AL659" i="2"/>
  <c r="AL570" i="2"/>
  <c r="AL598" i="2"/>
  <c r="AL530" i="2"/>
  <c r="AL536" i="2"/>
  <c r="AL501" i="2"/>
  <c r="AL469" i="2"/>
  <c r="AL429" i="2"/>
  <c r="AL387" i="2"/>
  <c r="AL339" i="2"/>
  <c r="AL288" i="2"/>
  <c r="AL105" i="2"/>
  <c r="AL757" i="2"/>
  <c r="AL772" i="2"/>
  <c r="AL751" i="2"/>
  <c r="AL769" i="2"/>
  <c r="AL782" i="2"/>
  <c r="AL672" i="2"/>
  <c r="AL712" i="2"/>
  <c r="AL591" i="2"/>
  <c r="AL548" i="2"/>
  <c r="AL670" i="2"/>
  <c r="AL529" i="2"/>
  <c r="AL497" i="2"/>
  <c r="AL465" i="2"/>
  <c r="AL427" i="2"/>
  <c r="AL365" i="2"/>
  <c r="AL336" i="2"/>
  <c r="AL284" i="2"/>
  <c r="AL97" i="2"/>
  <c r="AL783" i="2"/>
  <c r="AL748" i="2"/>
  <c r="AL770" i="2"/>
  <c r="AL758" i="2"/>
  <c r="AL735" i="2"/>
  <c r="AL653" i="2"/>
  <c r="AL551" i="2"/>
  <c r="AL711" i="2"/>
  <c r="AL723" i="2"/>
  <c r="AL586" i="2"/>
  <c r="AL602" i="2"/>
  <c r="AL496" i="2"/>
  <c r="AL454" i="2"/>
  <c r="AL398" i="2"/>
  <c r="AL386" i="2"/>
  <c r="AL331" i="2"/>
  <c r="AL276" i="2"/>
  <c r="AL65" i="2"/>
  <c r="AL740" i="2"/>
  <c r="AL754" i="2"/>
  <c r="AL764" i="2"/>
  <c r="AL746" i="2"/>
  <c r="AU786" i="2"/>
  <c r="AX726" i="2"/>
  <c r="AY748" i="2"/>
  <c r="AX755" i="2"/>
  <c r="AW762" i="2"/>
  <c r="AV783" i="2"/>
  <c r="AV756" i="2"/>
  <c r="AZ756" i="2" s="1"/>
  <c r="AU761" i="2"/>
  <c r="AX740" i="2"/>
  <c r="AV740" i="2"/>
  <c r="AX746" i="2"/>
  <c r="AV746" i="2"/>
  <c r="AZ746" i="2" s="1"/>
  <c r="AV750" i="2"/>
  <c r="AY750" i="2"/>
  <c r="AV738" i="2"/>
  <c r="AY738" i="2"/>
  <c r="AX767" i="2"/>
  <c r="AY772" i="2"/>
  <c r="AW763" i="2"/>
  <c r="AV757" i="2"/>
  <c r="AU739" i="2"/>
  <c r="AU740" i="2"/>
  <c r="AU754" i="2"/>
  <c r="AU764" i="2"/>
  <c r="AU746" i="2"/>
  <c r="AY747" i="2"/>
  <c r="AW770" i="2"/>
  <c r="AW755" i="2"/>
  <c r="AV779" i="2"/>
  <c r="AZ779" i="2" s="1"/>
  <c r="AV751" i="2"/>
  <c r="AZ751" i="2" s="1"/>
  <c r="AU756" i="2"/>
  <c r="AX764" i="2"/>
  <c r="AV764" i="2"/>
  <c r="AX734" i="2"/>
  <c r="AU734" i="2"/>
  <c r="AV734" i="2"/>
  <c r="AZ734" i="2" s="1"/>
  <c r="AV762" i="2"/>
  <c r="AZ762" i="2" s="1"/>
  <c r="AY762" i="2"/>
  <c r="AV736" i="2"/>
  <c r="AZ736" i="2" s="1"/>
  <c r="AY736" i="2"/>
  <c r="AV784" i="2"/>
  <c r="AZ784" i="2" s="1"/>
  <c r="AY784" i="2"/>
  <c r="AU766" i="2"/>
  <c r="AY739" i="2"/>
  <c r="AY759" i="2"/>
  <c r="AX743" i="2"/>
  <c r="AW777" i="2"/>
  <c r="AW764" i="2"/>
  <c r="AW738" i="2"/>
  <c r="AV770" i="2"/>
  <c r="AZ770" i="2" s="1"/>
  <c r="AV737" i="2"/>
  <c r="AZ737" i="2" s="1"/>
  <c r="AU738" i="2"/>
  <c r="AX777" i="2"/>
  <c r="AX765" i="2"/>
  <c r="AX747" i="2"/>
  <c r="AX741" i="2"/>
  <c r="AX729" i="2"/>
  <c r="AV761" i="2"/>
  <c r="AV781" i="2"/>
  <c r="AZ781" i="2" s="1"/>
  <c r="AV743" i="2"/>
  <c r="AZ743" i="2" s="1"/>
  <c r="AV730" i="2"/>
  <c r="AZ730" i="2" s="1"/>
  <c r="AV780" i="2"/>
  <c r="AZ780" i="2" s="1"/>
  <c r="AV782" i="2"/>
  <c r="AZ782" i="2" s="1"/>
  <c r="AX776" i="2"/>
  <c r="AX787" i="2"/>
  <c r="AY766" i="2"/>
  <c r="AY775" i="2"/>
  <c r="AX774" i="2"/>
  <c r="AX780" i="2"/>
  <c r="AW785" i="2"/>
  <c r="AW734" i="2"/>
  <c r="AV776" i="2"/>
  <c r="AV749" i="2"/>
  <c r="AV735" i="2"/>
  <c r="AZ735" i="2" s="1"/>
  <c r="AU774" i="2"/>
  <c r="AU780" i="2"/>
  <c r="AU777" i="2"/>
  <c r="AU765" i="2"/>
  <c r="AU747" i="2"/>
  <c r="AU741" i="2"/>
  <c r="AU729" i="2"/>
  <c r="AW779" i="2"/>
  <c r="AW778" i="2"/>
  <c r="AW774" i="2"/>
  <c r="AW726" i="2"/>
  <c r="AW731" i="2"/>
  <c r="AX754" i="2"/>
  <c r="AV754" i="2"/>
  <c r="AZ754" i="2" s="1"/>
  <c r="AX744" i="2"/>
  <c r="AW750" i="2"/>
  <c r="AV773" i="2"/>
  <c r="AV747" i="2"/>
  <c r="AZ747" i="2" s="1"/>
  <c r="AV731" i="2"/>
  <c r="AZ731" i="2" s="1"/>
  <c r="AU750" i="2"/>
  <c r="AW757" i="2"/>
  <c r="AW772" i="2"/>
  <c r="AW751" i="2"/>
  <c r="AW782" i="2"/>
  <c r="AU776" i="2"/>
  <c r="AU733" i="2"/>
  <c r="AU752" i="2"/>
  <c r="AU787" i="2"/>
  <c r="AU728" i="2"/>
  <c r="AW760" i="2"/>
  <c r="AW766" i="2"/>
  <c r="AW749" i="2"/>
  <c r="AW742" i="2"/>
  <c r="AW775" i="2"/>
  <c r="AX745" i="2"/>
  <c r="AY756" i="2"/>
  <c r="AX748" i="2"/>
  <c r="AW744" i="2"/>
  <c r="AW729" i="2"/>
  <c r="AV772" i="2"/>
  <c r="AZ772" i="2" s="1"/>
  <c r="AV752" i="2"/>
  <c r="AV775" i="2"/>
  <c r="AZ775" i="2" s="1"/>
  <c r="AU773" i="2"/>
  <c r="AU731" i="2"/>
  <c r="AX752" i="2"/>
  <c r="AY779" i="2"/>
  <c r="AY726" i="2"/>
  <c r="AX727" i="2"/>
  <c r="AW754" i="2"/>
  <c r="AW736" i="2"/>
  <c r="AV748" i="2"/>
  <c r="AV759" i="2"/>
  <c r="AV729" i="2"/>
  <c r="AU781" i="2"/>
  <c r="AU736" i="2"/>
  <c r="AU775" i="2"/>
  <c r="AY776" i="2"/>
  <c r="AY733" i="2"/>
  <c r="AY752" i="2"/>
  <c r="AY787" i="2"/>
  <c r="AY728" i="2"/>
  <c r="AV786" i="2"/>
  <c r="AY786" i="2"/>
  <c r="AU760" i="2"/>
  <c r="AX733" i="2"/>
  <c r="AX728" i="2"/>
  <c r="AY771" i="2"/>
  <c r="AV771" i="2"/>
  <c r="AW771" i="2"/>
  <c r="AY768" i="2"/>
  <c r="AV768" i="2"/>
  <c r="AZ768" i="2" s="1"/>
  <c r="AW768" i="2"/>
  <c r="AY745" i="2"/>
  <c r="AV745" i="2"/>
  <c r="AW745" i="2"/>
  <c r="AY767" i="2"/>
  <c r="AV767" i="2"/>
  <c r="AW767" i="2"/>
  <c r="AY732" i="2"/>
  <c r="AV732" i="2"/>
  <c r="AW732" i="2"/>
  <c r="AW769" i="2"/>
  <c r="AY760" i="2"/>
  <c r="AY742" i="2"/>
  <c r="AX769" i="2"/>
  <c r="AW781" i="2"/>
  <c r="AW727" i="2"/>
  <c r="AV778" i="2"/>
  <c r="AZ778" i="2" s="1"/>
  <c r="AV769" i="2"/>
  <c r="AZ769" i="2" s="1"/>
  <c r="AV728" i="2"/>
  <c r="AU768" i="2"/>
  <c r="AU759" i="2"/>
  <c r="AX770" i="2"/>
  <c r="AX758" i="2"/>
  <c r="AX735" i="2"/>
  <c r="AV753" i="2"/>
  <c r="AZ753" i="2" s="1"/>
  <c r="AY753" i="2"/>
  <c r="AV785" i="2"/>
  <c r="AY785" i="2"/>
  <c r="AV763" i="2"/>
  <c r="AY763" i="2"/>
  <c r="AV744" i="2"/>
  <c r="AY744" i="2"/>
  <c r="AV755" i="2"/>
  <c r="AY755" i="2"/>
  <c r="AV727" i="2"/>
  <c r="AZ727" i="2" s="1"/>
  <c r="AY727" i="2"/>
  <c r="AL266" i="2"/>
  <c r="AL209" i="2"/>
  <c r="AL4" i="2"/>
  <c r="AL280" i="2"/>
  <c r="AL251" i="2"/>
  <c r="AL263" i="2"/>
  <c r="AL272" i="2"/>
  <c r="AL228" i="2"/>
  <c r="AL359" i="2"/>
  <c r="AL351" i="2"/>
  <c r="AL281" i="2"/>
  <c r="AL221" i="2"/>
  <c r="AL237" i="2"/>
  <c r="AL647" i="2"/>
  <c r="AL637" i="2"/>
  <c r="AL615" i="2"/>
  <c r="AL623" i="2"/>
  <c r="AL631" i="2"/>
  <c r="AL667" i="2"/>
  <c r="AL655" i="2"/>
  <c r="AL277" i="2"/>
  <c r="AL210" i="2"/>
  <c r="AL283" i="2"/>
  <c r="AL216" i="2"/>
  <c r="AL240" i="2"/>
  <c r="AL297" i="2"/>
  <c r="AL225" i="2"/>
  <c r="AL234" i="2"/>
  <c r="AL666" i="2"/>
  <c r="AL554" i="2"/>
  <c r="AL618" i="2"/>
  <c r="AL699" i="2"/>
  <c r="AL658" i="2"/>
  <c r="AL696" i="2"/>
  <c r="AL527" i="2"/>
  <c r="AL575" i="2"/>
  <c r="AL357" i="2"/>
  <c r="AL409" i="2"/>
  <c r="AL532" i="2"/>
  <c r="AL709" i="2"/>
  <c r="AL535" i="2"/>
  <c r="AL543" i="2"/>
  <c r="AL613" i="2"/>
  <c r="AL567" i="2"/>
  <c r="AL603" i="2"/>
  <c r="AL605" i="2"/>
  <c r="AL616" i="2"/>
  <c r="AL663" i="2"/>
  <c r="AL679" i="2"/>
  <c r="AL587" i="2"/>
  <c r="AL669" i="2"/>
  <c r="AL665" i="2"/>
  <c r="AL538" i="2"/>
  <c r="AL565" i="2"/>
  <c r="AL537" i="2"/>
  <c r="AL610" i="2"/>
  <c r="AL690" i="2"/>
  <c r="AL678" i="2"/>
  <c r="AL576" i="2"/>
  <c r="AL599" i="2"/>
  <c r="AL705" i="2"/>
  <c r="AL533" i="2"/>
  <c r="AL581" i="2"/>
  <c r="AL549" i="2"/>
  <c r="AL544" i="2"/>
  <c r="AL608" i="2"/>
  <c r="AL662" i="2"/>
  <c r="AL660" i="2"/>
  <c r="AL706" i="2"/>
  <c r="AL519" i="2"/>
  <c r="AL628" i="2"/>
  <c r="AL635" i="2"/>
  <c r="AL606" i="2"/>
  <c r="AL596" i="2"/>
  <c r="AL524" i="2"/>
  <c r="AL574" i="2"/>
  <c r="AL564" i="2"/>
  <c r="AL553" i="2"/>
  <c r="AL546" i="2"/>
  <c r="AL523" i="2"/>
  <c r="AL702" i="2"/>
  <c r="AL510" i="2"/>
  <c r="AL500" i="2"/>
  <c r="AL483" i="2"/>
  <c r="AL478" i="2"/>
  <c r="AL468" i="2"/>
  <c r="AL457" i="2"/>
  <c r="AL446" i="2"/>
  <c r="AL436" i="2"/>
  <c r="AL423" i="2"/>
  <c r="AL414" i="2"/>
  <c r="AL422" i="2"/>
  <c r="AL411" i="2"/>
  <c r="AL382" i="2"/>
  <c r="AL401" i="2"/>
  <c r="AL392" i="2"/>
  <c r="AL273" i="2"/>
  <c r="AL333" i="2"/>
  <c r="AL313" i="2"/>
  <c r="AL347" i="2"/>
  <c r="AL318" i="2"/>
  <c r="AL218" i="2"/>
  <c r="AL260" i="2"/>
  <c r="AL185" i="2"/>
  <c r="AL121" i="2"/>
  <c r="AL57" i="2"/>
  <c r="AL239" i="2"/>
  <c r="AL677" i="2"/>
  <c r="AL600" i="2"/>
  <c r="AL695" i="2"/>
  <c r="AL649" i="2"/>
  <c r="AL642" i="2"/>
  <c r="AL722" i="2"/>
  <c r="AL459" i="2"/>
  <c r="AL349" i="2"/>
  <c r="AL425" i="2"/>
  <c r="AL274" i="2"/>
  <c r="AL67" i="2"/>
  <c r="AL83" i="2"/>
  <c r="AL115" i="2"/>
  <c r="AL123" i="2"/>
  <c r="AL139" i="2"/>
  <c r="AL147" i="2"/>
  <c r="AL163" i="2"/>
  <c r="AL171" i="2"/>
  <c r="AL187" i="2"/>
  <c r="AL195" i="2"/>
  <c r="AL203" i="2"/>
  <c r="AL211" i="2"/>
  <c r="AL212" i="2"/>
  <c r="AL227" i="2"/>
  <c r="AL292" i="2"/>
  <c r="AL219" i="2"/>
  <c r="AL259" i="2"/>
  <c r="AL267" i="2"/>
  <c r="AL275" i="2"/>
  <c r="AL68" i="2"/>
  <c r="AL76" i="2"/>
  <c r="AL92" i="2"/>
  <c r="AL100" i="2"/>
  <c r="AL108" i="2"/>
  <c r="AL116" i="2"/>
  <c r="AL132" i="2"/>
  <c r="AL140" i="2"/>
  <c r="AL148" i="2"/>
  <c r="AL156" i="2"/>
  <c r="AL164" i="2"/>
  <c r="AL172" i="2"/>
  <c r="AL188" i="2"/>
  <c r="AL196" i="2"/>
  <c r="AL243" i="2"/>
  <c r="AL220" i="2"/>
  <c r="AL69" i="2"/>
  <c r="AL109" i="2"/>
  <c r="AL117" i="2"/>
  <c r="AL133" i="2"/>
  <c r="AL141" i="2"/>
  <c r="AL157" i="2"/>
  <c r="AL173" i="2"/>
  <c r="AL181" i="2"/>
  <c r="AL197" i="2"/>
  <c r="AL213" i="2"/>
  <c r="AL229" i="2"/>
  <c r="AL315" i="2"/>
  <c r="AL70" i="2"/>
  <c r="AL86" i="2"/>
  <c r="AL94" i="2"/>
  <c r="AL102" i="2"/>
  <c r="AL142" i="2"/>
  <c r="AL150" i="2"/>
  <c r="AL158" i="2"/>
  <c r="AL166" i="2"/>
  <c r="AL174" i="2"/>
  <c r="AL253" i="2"/>
  <c r="AL298" i="2"/>
  <c r="AL222" i="2"/>
  <c r="AL230" i="2"/>
  <c r="AL238" i="2"/>
  <c r="AL246" i="2"/>
  <c r="AL296" i="2"/>
  <c r="AL262" i="2"/>
  <c r="AL327" i="2"/>
  <c r="AL278" i="2"/>
  <c r="AL307" i="2"/>
  <c r="AL294" i="2"/>
  <c r="AL302" i="2"/>
  <c r="AL270" i="2"/>
  <c r="AL326" i="2"/>
  <c r="AL236" i="2"/>
  <c r="AL372" i="2"/>
  <c r="AL71" i="2"/>
  <c r="AL87" i="2"/>
  <c r="AL95" i="2"/>
  <c r="AL103" i="2"/>
  <c r="AL111" i="2"/>
  <c r="AL119" i="2"/>
  <c r="AL135" i="2"/>
  <c r="AL143" i="2"/>
  <c r="AL159" i="2"/>
  <c r="AL175" i="2"/>
  <c r="AL183" i="2"/>
  <c r="AL199" i="2"/>
  <c r="AL207" i="2"/>
  <c r="AL309" i="2"/>
  <c r="AL231" i="2"/>
  <c r="AL329" i="2"/>
  <c r="AL247" i="2"/>
  <c r="AL255" i="2"/>
  <c r="AL343" i="2"/>
  <c r="AL271" i="2"/>
  <c r="AL279" i="2"/>
  <c r="AL317" i="2"/>
  <c r="AL295" i="2"/>
  <c r="AL303" i="2"/>
  <c r="AL311" i="2"/>
  <c r="AL287" i="2"/>
  <c r="AL335" i="2"/>
  <c r="AL369" i="2"/>
  <c r="AL384" i="2"/>
  <c r="AL362" i="2"/>
  <c r="AL402" i="2"/>
  <c r="AL391" i="2"/>
  <c r="AL388" i="2"/>
  <c r="AL380" i="2"/>
  <c r="AL406" i="2"/>
  <c r="AL431" i="2"/>
  <c r="AL439" i="2"/>
  <c r="AL447" i="2"/>
  <c r="AL455" i="2"/>
  <c r="AL463" i="2"/>
  <c r="AL471" i="2"/>
  <c r="AL477" i="2"/>
  <c r="AL495" i="2"/>
  <c r="AL503" i="2"/>
  <c r="AL511" i="2"/>
  <c r="AL72" i="2"/>
  <c r="AL80" i="2"/>
  <c r="AL120" i="2"/>
  <c r="AL128" i="2"/>
  <c r="AL136" i="2"/>
  <c r="AL144" i="2"/>
  <c r="AL152" i="2"/>
  <c r="AL160" i="2"/>
  <c r="AL176" i="2"/>
  <c r="AL184" i="2"/>
  <c r="AL192" i="2"/>
  <c r="AL321" i="2"/>
  <c r="AL291" i="2"/>
  <c r="AL232" i="2"/>
  <c r="AL342" i="2"/>
  <c r="AL248" i="2"/>
  <c r="AL256" i="2"/>
  <c r="AL202" i="2"/>
  <c r="AL344" i="2"/>
  <c r="AL330" i="2"/>
  <c r="AL66" i="2"/>
  <c r="AL74" i="2"/>
  <c r="AL82" i="2"/>
  <c r="AL98" i="2"/>
  <c r="AL130" i="2"/>
  <c r="AL138" i="2"/>
  <c r="AL154" i="2"/>
  <c r="AL162" i="2"/>
  <c r="AL170" i="2"/>
  <c r="AL194" i="2"/>
  <c r="AL242" i="2"/>
  <c r="AL261" i="2"/>
  <c r="AL226" i="2"/>
  <c r="AL286" i="2"/>
  <c r="AL206" i="2"/>
  <c r="AL282" i="2"/>
  <c r="AL290" i="2"/>
  <c r="AL334" i="2"/>
  <c r="AL306" i="2"/>
  <c r="AL314" i="2"/>
  <c r="AL322" i="2"/>
  <c r="AL205" i="2"/>
  <c r="AL396" i="2"/>
  <c r="AL399" i="2"/>
  <c r="AL370" i="2"/>
  <c r="AL363" i="2"/>
  <c r="AL352" i="2"/>
  <c r="AL404" i="2"/>
  <c r="AL410" i="2"/>
  <c r="AL368" i="2"/>
  <c r="AL434" i="2"/>
  <c r="AL442" i="2"/>
  <c r="AL450" i="2"/>
  <c r="AL458" i="2"/>
  <c r="AL466" i="2"/>
  <c r="AL474" i="2"/>
  <c r="AL482" i="2"/>
  <c r="AL498" i="2"/>
  <c r="AL506" i="2"/>
  <c r="AL514" i="2"/>
  <c r="AL577" i="2"/>
  <c r="AL521" i="2"/>
  <c r="AL641" i="2"/>
  <c r="AL697" i="2"/>
  <c r="AL572" i="2"/>
  <c r="AL680" i="2"/>
  <c r="AL588" i="2"/>
  <c r="AL617" i="2"/>
  <c r="AL648" i="2"/>
  <c r="AL633" i="2"/>
  <c r="AL716" i="2"/>
  <c r="AL540" i="2"/>
  <c r="AL539" i="2"/>
  <c r="AL595" i="2"/>
  <c r="AL584" i="2"/>
  <c r="AL573" i="2"/>
  <c r="AL721" i="2"/>
  <c r="AL585" i="2"/>
  <c r="AL704" i="2"/>
  <c r="AL531" i="2"/>
  <c r="AL624" i="2"/>
  <c r="AL509" i="2"/>
  <c r="AL499" i="2"/>
  <c r="AL488" i="2"/>
  <c r="AL476" i="2"/>
  <c r="AL467" i="2"/>
  <c r="AL456" i="2"/>
  <c r="AL445" i="2"/>
  <c r="AL435" i="2"/>
  <c r="AL417" i="2"/>
  <c r="AL413" i="2"/>
  <c r="AL412" i="2"/>
  <c r="AL403" i="2"/>
  <c r="AL393" i="2"/>
  <c r="AL371" i="2"/>
  <c r="AL360" i="2"/>
  <c r="AL345" i="2"/>
  <c r="AL332" i="2"/>
  <c r="AL320" i="2"/>
  <c r="AL337" i="2"/>
  <c r="AL293" i="2"/>
  <c r="AL305" i="2"/>
  <c r="AL257" i="2"/>
  <c r="AL215" i="2"/>
  <c r="AL177" i="2"/>
  <c r="AL113" i="2"/>
  <c r="AL684" i="2"/>
  <c r="AL356" i="2"/>
  <c r="AL214" i="2"/>
  <c r="AL285" i="2"/>
  <c r="AL668" i="2"/>
  <c r="AL6" i="2"/>
  <c r="AL11" i="2"/>
  <c r="AL19" i="2"/>
  <c r="AL28" i="2"/>
  <c r="AL37" i="2"/>
  <c r="AL20" i="2"/>
  <c r="AL51" i="2"/>
  <c r="AL59" i="2"/>
  <c r="AL75" i="2"/>
  <c r="AL91" i="2"/>
  <c r="AL99" i="2"/>
  <c r="AL107" i="2"/>
  <c r="AL131" i="2"/>
  <c r="AL155" i="2"/>
  <c r="AL179" i="2"/>
  <c r="AL12" i="2"/>
  <c r="AL43" i="2"/>
  <c r="AL29" i="2"/>
  <c r="AL36" i="2"/>
  <c r="AL44" i="2"/>
  <c r="AL52" i="2"/>
  <c r="AL60" i="2"/>
  <c r="AL84" i="2"/>
  <c r="AL124" i="2"/>
  <c r="AL180" i="2"/>
  <c r="AL5" i="2"/>
  <c r="AL13" i="2"/>
  <c r="AL21" i="2"/>
  <c r="AL30" i="2"/>
  <c r="AL38" i="2"/>
  <c r="AL23" i="2"/>
  <c r="AL53" i="2"/>
  <c r="AL61" i="2"/>
  <c r="AL77" i="2"/>
  <c r="AL85" i="2"/>
  <c r="AL93" i="2"/>
  <c r="AL101" i="2"/>
  <c r="AL125" i="2"/>
  <c r="AL149" i="2"/>
  <c r="AL165" i="2"/>
  <c r="AL189" i="2"/>
  <c r="AL2" i="2"/>
  <c r="AL14" i="2"/>
  <c r="AL22" i="2"/>
  <c r="AL31" i="2"/>
  <c r="AL39" i="2"/>
  <c r="AL46" i="2"/>
  <c r="AL54" i="2"/>
  <c r="AL62" i="2"/>
  <c r="AL78" i="2"/>
  <c r="AL110" i="2"/>
  <c r="AL118" i="2"/>
  <c r="AL126" i="2"/>
  <c r="AL134" i="2"/>
  <c r="AL182" i="2"/>
  <c r="AL190" i="2"/>
  <c r="AL198" i="2"/>
  <c r="AL7" i="2"/>
  <c r="AL15" i="2"/>
  <c r="AL24" i="2"/>
  <c r="AL35" i="2"/>
  <c r="AL40" i="2"/>
  <c r="AL47" i="2"/>
  <c r="AL55" i="2"/>
  <c r="AL63" i="2"/>
  <c r="AL79" i="2"/>
  <c r="AL127" i="2"/>
  <c r="AL151" i="2"/>
  <c r="AL167" i="2"/>
  <c r="AL191" i="2"/>
  <c r="AL375" i="2"/>
  <c r="AL415" i="2"/>
  <c r="AL487" i="2"/>
  <c r="AL604" i="2"/>
  <c r="AL552" i="2"/>
  <c r="AL568" i="2"/>
  <c r="AL8" i="2"/>
  <c r="AL16" i="2"/>
  <c r="AL25" i="2"/>
  <c r="AL32" i="2"/>
  <c r="AL45" i="2"/>
  <c r="AL48" i="2"/>
  <c r="AL56" i="2"/>
  <c r="AL64" i="2"/>
  <c r="AL88" i="2"/>
  <c r="AL96" i="2"/>
  <c r="AL104" i="2"/>
  <c r="AL112" i="2"/>
  <c r="AL168" i="2"/>
  <c r="AL200" i="2"/>
  <c r="AL10" i="2"/>
  <c r="AL18" i="2"/>
  <c r="AL27" i="2"/>
  <c r="AL34" i="2"/>
  <c r="AL42" i="2"/>
  <c r="AL50" i="2"/>
  <c r="AL58" i="2"/>
  <c r="AL90" i="2"/>
  <c r="AL106" i="2"/>
  <c r="AL114" i="2"/>
  <c r="AL122" i="2"/>
  <c r="AL146" i="2"/>
  <c r="AL178" i="2"/>
  <c r="AL186" i="2"/>
  <c r="AL420" i="2"/>
  <c r="AL426" i="2"/>
  <c r="AL490" i="2"/>
  <c r="AL562" i="2"/>
  <c r="AL713" i="2"/>
  <c r="AL717" i="2"/>
  <c r="AL557" i="2"/>
  <c r="AL639" i="2"/>
  <c r="AL661" i="2"/>
  <c r="AL688" i="2"/>
  <c r="AL563" i="2"/>
  <c r="AL636" i="2"/>
  <c r="AL626" i="2"/>
  <c r="AL464" i="2"/>
  <c r="AL373" i="2"/>
  <c r="AL224" i="2"/>
  <c r="AL258" i="2"/>
  <c r="AL161" i="2"/>
  <c r="AL33" i="2"/>
  <c r="AL646" i="2"/>
  <c r="AL3" i="2"/>
  <c r="AL634" i="2"/>
  <c r="AL520" i="2"/>
  <c r="AL622" i="2"/>
  <c r="AL694" i="2"/>
  <c r="AL686" i="2"/>
  <c r="AL707" i="2"/>
  <c r="AL542" i="2"/>
  <c r="AL654" i="2"/>
  <c r="AL644" i="2"/>
  <c r="AL541" i="2"/>
  <c r="AL710" i="2"/>
  <c r="AL719" i="2"/>
  <c r="AL601" i="2"/>
  <c r="AL590" i="2"/>
  <c r="AL580" i="2"/>
  <c r="AL589" i="2"/>
  <c r="AL558" i="2"/>
  <c r="AL682" i="2"/>
  <c r="AL594" i="2"/>
  <c r="AL614" i="2"/>
  <c r="AL516" i="2"/>
  <c r="AL505" i="2"/>
  <c r="AL494" i="2"/>
  <c r="AL484" i="2"/>
  <c r="AL489" i="2"/>
  <c r="AL462" i="2"/>
  <c r="AL452" i="2"/>
  <c r="AL441" i="2"/>
  <c r="AL430" i="2"/>
  <c r="AL390" i="2"/>
  <c r="AL395" i="2"/>
  <c r="AL379" i="2"/>
  <c r="AL378" i="2"/>
  <c r="AL377" i="2"/>
  <c r="AL424" i="2"/>
  <c r="AL353" i="2"/>
  <c r="AL235" i="2"/>
  <c r="AL223" i="2"/>
  <c r="AL328" i="2"/>
  <c r="AL301" i="2"/>
  <c r="AL289" i="2"/>
  <c r="AL316" i="2"/>
  <c r="AL249" i="2"/>
  <c r="AL217" i="2"/>
  <c r="AL153" i="2"/>
  <c r="AL89" i="2"/>
  <c r="AL26" i="2"/>
  <c r="AL674" i="2"/>
  <c r="AL592" i="2"/>
  <c r="AL701" i="2"/>
  <c r="AL685" i="2"/>
  <c r="AL691" i="2"/>
  <c r="AL625" i="2"/>
  <c r="AL687" i="2"/>
  <c r="AL547" i="2"/>
  <c r="AL461" i="2"/>
  <c r="AL383" i="2"/>
  <c r="AL304" i="2"/>
  <c r="AL245" i="2"/>
  <c r="AL254" i="2"/>
  <c r="AL145" i="2"/>
  <c r="AL81" i="2"/>
  <c r="AL17" i="2"/>
  <c r="AL657" i="2"/>
  <c r="AL724" i="2"/>
  <c r="AL725" i="2"/>
  <c r="AL718" i="2"/>
  <c r="AL700" i="2"/>
  <c r="AL692" i="2"/>
  <c r="AL526" i="2"/>
  <c r="AL673" i="2"/>
  <c r="AL708" i="2"/>
  <c r="AL528" i="2"/>
  <c r="AL698" i="2"/>
  <c r="AL630" i="2"/>
  <c r="AL620" i="2"/>
  <c r="AL609" i="2"/>
  <c r="AL689" i="2"/>
  <c r="AL569" i="2"/>
  <c r="AL582" i="2"/>
  <c r="AL566" i="2"/>
  <c r="AL556" i="2"/>
  <c r="AL545" i="2"/>
  <c r="AL664" i="2"/>
  <c r="AL607" i="2"/>
  <c r="AL513" i="2"/>
  <c r="AL502" i="2"/>
  <c r="AL492" i="2"/>
  <c r="AL481" i="2"/>
  <c r="AL470" i="2"/>
  <c r="AL460" i="2"/>
  <c r="AL449" i="2"/>
  <c r="AL438" i="2"/>
  <c r="AL428" i="2"/>
  <c r="AL358" i="2"/>
  <c r="AL367" i="2"/>
  <c r="AL354" i="2"/>
  <c r="AL419" i="2"/>
  <c r="AL418" i="2"/>
  <c r="AL407" i="2"/>
  <c r="AL350" i="2"/>
  <c r="AL233" i="2"/>
  <c r="AL340" i="2"/>
  <c r="AL312" i="2"/>
  <c r="AL346" i="2"/>
  <c r="AL208" i="2"/>
  <c r="AL269" i="2"/>
  <c r="AL244" i="2"/>
  <c r="AL201" i="2"/>
  <c r="AL137" i="2"/>
  <c r="AL73" i="2"/>
  <c r="AL9" i="2"/>
  <c r="AL51" i="7"/>
  <c r="AN424" i="2" s="1"/>
  <c r="AY714" i="2"/>
  <c r="AY691" i="2"/>
  <c r="AY643" i="2"/>
  <c r="AY720" i="2"/>
  <c r="AY670" i="2"/>
  <c r="AY547" i="2"/>
  <c r="AX628" i="2"/>
  <c r="AX682" i="2"/>
  <c r="AX523" i="2"/>
  <c r="AW705" i="2"/>
  <c r="AW576" i="2"/>
  <c r="AW643" i="2"/>
  <c r="AV673" i="2"/>
  <c r="AV699" i="2"/>
  <c r="AZ699" i="2" s="1"/>
  <c r="AV720" i="2"/>
  <c r="AZ720" i="2" s="1"/>
  <c r="AU715" i="2"/>
  <c r="AW725" i="2"/>
  <c r="AW526" i="2"/>
  <c r="AX707" i="2"/>
  <c r="AX668" i="2"/>
  <c r="AW660" i="2"/>
  <c r="AW528" i="2"/>
  <c r="AW559" i="2"/>
  <c r="AW719" i="2"/>
  <c r="AX525" i="2"/>
  <c r="AX596" i="2"/>
  <c r="AW569" i="2"/>
  <c r="AX627" i="2"/>
  <c r="AW564" i="2"/>
  <c r="AW681" i="2"/>
  <c r="AW523" i="2"/>
  <c r="AY607" i="2"/>
  <c r="AX677" i="2"/>
  <c r="AX714" i="2"/>
  <c r="AX661" i="2"/>
  <c r="AX617" i="2"/>
  <c r="AX643" i="2"/>
  <c r="AX676" i="2"/>
  <c r="AX571" i="2"/>
  <c r="AX531" i="2"/>
  <c r="AX611" i="2"/>
  <c r="AU533" i="2"/>
  <c r="AW581" i="2"/>
  <c r="AW549" i="2"/>
  <c r="AV544" i="2"/>
  <c r="AU696" i="2"/>
  <c r="AW678" i="2"/>
  <c r="AV557" i="2"/>
  <c r="AZ557" i="2" s="1"/>
  <c r="AU618" i="2"/>
  <c r="AU537" i="2"/>
  <c r="AU538" i="2"/>
  <c r="AW717" i="2"/>
  <c r="AU713" i="2"/>
  <c r="AW554" i="2"/>
  <c r="AV669" i="2"/>
  <c r="AU587" i="2"/>
  <c r="AW562" i="2"/>
  <c r="AU521" i="2"/>
  <c r="AU641" i="2"/>
  <c r="AV608" i="2"/>
  <c r="AZ608" i="2" s="1"/>
  <c r="AU673" i="2"/>
  <c r="AV542" i="2"/>
  <c r="AU541" i="2"/>
  <c r="AV635" i="2"/>
  <c r="AU609" i="2"/>
  <c r="AV593" i="2"/>
  <c r="AZ593" i="2" s="1"/>
  <c r="AV524" i="2"/>
  <c r="AV589" i="2"/>
  <c r="AZ589" i="2" s="1"/>
  <c r="AV561" i="2"/>
  <c r="AZ561" i="2" s="1"/>
  <c r="AV545" i="2"/>
  <c r="AV594" i="2"/>
  <c r="AZ594" i="2" s="1"/>
  <c r="AU529" i="2"/>
  <c r="AU702" i="2"/>
  <c r="AU653" i="2"/>
  <c r="AV712" i="2"/>
  <c r="AZ712" i="2" s="1"/>
  <c r="AV583" i="2"/>
  <c r="AZ583" i="2" s="1"/>
  <c r="AV650" i="2"/>
  <c r="AV656" i="2"/>
  <c r="AZ656" i="2" s="1"/>
  <c r="AU648" i="2"/>
  <c r="AV522" i="2"/>
  <c r="AZ522" i="2" s="1"/>
  <c r="AV671" i="2"/>
  <c r="AU602" i="2"/>
  <c r="AU626" i="2"/>
  <c r="AU658" i="2"/>
  <c r="AW658" i="2"/>
  <c r="AW577" i="2"/>
  <c r="AX577" i="2"/>
  <c r="AW521" i="2"/>
  <c r="AX521" i="2"/>
  <c r="AW697" i="2"/>
  <c r="AX697" i="2"/>
  <c r="AW706" i="2"/>
  <c r="AX706" i="2"/>
  <c r="AU706" i="2"/>
  <c r="AW635" i="2"/>
  <c r="AU635" i="2"/>
  <c r="AX601" i="2"/>
  <c r="AW601" i="2"/>
  <c r="AX593" i="2"/>
  <c r="AW593" i="2"/>
  <c r="AU524" i="2"/>
  <c r="AX524" i="2"/>
  <c r="AU589" i="2"/>
  <c r="AW589" i="2"/>
  <c r="AW553" i="2"/>
  <c r="AX553" i="2"/>
  <c r="AW529" i="2"/>
  <c r="AX529" i="2"/>
  <c r="AV551" i="2"/>
  <c r="AU551" i="2"/>
  <c r="AU536" i="2"/>
  <c r="AV536" i="2"/>
  <c r="AU638" i="2"/>
  <c r="AV638" i="2"/>
  <c r="AZ638" i="2" s="1"/>
  <c r="AW638" i="2"/>
  <c r="AU711" i="2"/>
  <c r="AV711" i="2"/>
  <c r="AZ711" i="2" s="1"/>
  <c r="AU703" i="2"/>
  <c r="AV703" i="2"/>
  <c r="AZ703" i="2" s="1"/>
  <c r="AW703" i="2"/>
  <c r="AU640" i="2"/>
  <c r="AV640" i="2"/>
  <c r="AZ640" i="2" s="1"/>
  <c r="AW640" i="2"/>
  <c r="AU639" i="2"/>
  <c r="AV639" i="2"/>
  <c r="AZ639" i="2" s="1"/>
  <c r="AW639" i="2"/>
  <c r="AU679" i="2"/>
  <c r="AV679" i="2"/>
  <c r="AZ679" i="2" s="1"/>
  <c r="AW679" i="2"/>
  <c r="AU568" i="2"/>
  <c r="AV568" i="2"/>
  <c r="AZ568" i="2" s="1"/>
  <c r="AW568" i="2"/>
  <c r="AU663" i="2"/>
  <c r="AV663" i="2"/>
  <c r="AU655" i="2"/>
  <c r="AV655" i="2"/>
  <c r="AZ655" i="2" s="1"/>
  <c r="AU616" i="2"/>
  <c r="AV616" i="2"/>
  <c r="AZ616" i="2" s="1"/>
  <c r="AW616" i="2"/>
  <c r="AU667" i="2"/>
  <c r="AV667" i="2"/>
  <c r="AZ667" i="2" s="1"/>
  <c r="AU631" i="2"/>
  <c r="AV631" i="2"/>
  <c r="AU623" i="2"/>
  <c r="AV623" i="2"/>
  <c r="AW623" i="2"/>
  <c r="AU615" i="2"/>
  <c r="AV615" i="2"/>
  <c r="AW615" i="2"/>
  <c r="AU552" i="2"/>
  <c r="AV552" i="2"/>
  <c r="AZ552" i="2" s="1"/>
  <c r="AW552" i="2"/>
  <c r="AU605" i="2"/>
  <c r="AV605" i="2"/>
  <c r="AZ605" i="2" s="1"/>
  <c r="AW605" i="2"/>
  <c r="AU637" i="2"/>
  <c r="AV637" i="2"/>
  <c r="AU604" i="2"/>
  <c r="AV604" i="2"/>
  <c r="AU603" i="2"/>
  <c r="AV603" i="2"/>
  <c r="AZ603" i="2" s="1"/>
  <c r="AW603" i="2"/>
  <c r="AU567" i="2"/>
  <c r="AV567" i="2"/>
  <c r="AU613" i="2"/>
  <c r="AV613" i="2"/>
  <c r="AZ613" i="2" s="1"/>
  <c r="AU647" i="2"/>
  <c r="AV647" i="2"/>
  <c r="AZ647" i="2" s="1"/>
  <c r="AW647" i="2"/>
  <c r="AU543" i="2"/>
  <c r="AV543" i="2"/>
  <c r="AZ543" i="2" s="1"/>
  <c r="AW543" i="2"/>
  <c r="AU535" i="2"/>
  <c r="AV535" i="2"/>
  <c r="AZ535" i="2" s="1"/>
  <c r="AU709" i="2"/>
  <c r="AV709" i="2"/>
  <c r="AZ709" i="2" s="1"/>
  <c r="AW709" i="2"/>
  <c r="AY709" i="2"/>
  <c r="AU532" i="2"/>
  <c r="AV532" i="2"/>
  <c r="AZ532" i="2" s="1"/>
  <c r="AY612" i="2"/>
  <c r="AY715" i="2"/>
  <c r="AY575" i="2"/>
  <c r="AY649" i="2"/>
  <c r="AY555" i="2"/>
  <c r="AX600" i="2"/>
  <c r="AX612" i="2"/>
  <c r="AX598" i="2"/>
  <c r="AX609" i="2"/>
  <c r="AX595" i="2"/>
  <c r="AX582" i="2"/>
  <c r="AW700" i="2"/>
  <c r="AW657" i="2"/>
  <c r="AW575" i="2"/>
  <c r="AW627" i="2"/>
  <c r="AV672" i="2"/>
  <c r="AV598" i="2"/>
  <c r="AZ598" i="2" s="1"/>
  <c r="AV649" i="2"/>
  <c r="AZ649" i="2" s="1"/>
  <c r="AU581" i="2"/>
  <c r="AU720" i="2"/>
  <c r="AU547" i="2"/>
  <c r="AY724" i="2"/>
  <c r="AY692" i="2"/>
  <c r="AY628" i="2"/>
  <c r="AX608" i="2"/>
  <c r="AX542" i="2"/>
  <c r="AW541" i="2"/>
  <c r="AW607" i="2"/>
  <c r="AV718" i="2"/>
  <c r="AZ718" i="2" s="1"/>
  <c r="AV601" i="2"/>
  <c r="AV554" i="2"/>
  <c r="AZ554" i="2" s="1"/>
  <c r="AU610" i="2"/>
  <c r="AU717" i="2"/>
  <c r="AY677" i="2"/>
  <c r="AY716" i="2"/>
  <c r="AY721" i="2"/>
  <c r="AX724" i="2"/>
  <c r="AX715" i="2"/>
  <c r="AX559" i="2"/>
  <c r="AX683" i="2"/>
  <c r="AX607" i="2"/>
  <c r="AW691" i="2"/>
  <c r="AW524" i="2"/>
  <c r="AW547" i="2"/>
  <c r="AV526" i="2"/>
  <c r="AV560" i="2"/>
  <c r="AU542" i="2"/>
  <c r="AY711" i="2"/>
  <c r="AY679" i="2"/>
  <c r="AY616" i="2"/>
  <c r="AY559" i="2"/>
  <c r="AY615" i="2"/>
  <c r="AY604" i="2"/>
  <c r="AY647" i="2"/>
  <c r="AX692" i="2"/>
  <c r="AX575" i="2"/>
  <c r="AX589" i="2"/>
  <c r="AX555" i="2"/>
  <c r="AX702" i="2"/>
  <c r="AW711" i="2"/>
  <c r="AW715" i="2"/>
  <c r="AW604" i="2"/>
  <c r="AW561" i="2"/>
  <c r="AW532" i="2"/>
  <c r="AV612" i="2"/>
  <c r="AZ612" i="2" s="1"/>
  <c r="AU705" i="2"/>
  <c r="AV724" i="2"/>
  <c r="AZ724" i="2" s="1"/>
  <c r="AV725" i="2"/>
  <c r="AU700" i="2"/>
  <c r="AV692" i="2"/>
  <c r="AU660" i="2"/>
  <c r="AV644" i="2"/>
  <c r="AV628" i="2"/>
  <c r="AV620" i="2"/>
  <c r="AZ620" i="2" s="1"/>
  <c r="AV627" i="2"/>
  <c r="AV682" i="2"/>
  <c r="AZ682" i="2" s="1"/>
  <c r="AU672" i="2"/>
  <c r="AV691" i="2"/>
  <c r="AZ691" i="2" s="1"/>
  <c r="AU575" i="2"/>
  <c r="AV676" i="2"/>
  <c r="AZ676" i="2" s="1"/>
  <c r="AU649" i="2"/>
  <c r="AX671" i="2"/>
  <c r="AX621" i="2"/>
  <c r="AX604" i="2"/>
  <c r="AX532" i="2"/>
  <c r="AU634" i="2"/>
  <c r="AU686" i="2"/>
  <c r="AV686" i="2"/>
  <c r="AV570" i="2"/>
  <c r="AU662" i="2"/>
  <c r="AV646" i="2"/>
  <c r="AZ646" i="2" s="1"/>
  <c r="AV710" i="2"/>
  <c r="AZ710" i="2" s="1"/>
  <c r="AU566" i="2"/>
  <c r="AV558" i="2"/>
  <c r="AZ558" i="2" s="1"/>
  <c r="AU684" i="2"/>
  <c r="AV546" i="2"/>
  <c r="AU674" i="2"/>
  <c r="AW579" i="2"/>
  <c r="AV592" i="2"/>
  <c r="AV591" i="2"/>
  <c r="AW588" i="2"/>
  <c r="AU527" i="2"/>
  <c r="AW625" i="2"/>
  <c r="AU534" i="2"/>
  <c r="AU563" i="2"/>
  <c r="AV563" i="2"/>
  <c r="AZ563" i="2" s="1"/>
  <c r="AU539" i="2"/>
  <c r="AV539" i="2"/>
  <c r="AU651" i="2"/>
  <c r="AW651" i="2"/>
  <c r="AU573" i="2"/>
  <c r="AV573" i="2"/>
  <c r="AU642" i="2"/>
  <c r="AW642" i="2"/>
  <c r="AV645" i="2"/>
  <c r="AZ645" i="2" s="1"/>
  <c r="AU704" i="2"/>
  <c r="AW722" i="2"/>
  <c r="AW675" i="2"/>
  <c r="AY653" i="2"/>
  <c r="AY712" i="2"/>
  <c r="AY578" i="2"/>
  <c r="AY583" i="2"/>
  <c r="AY650" i="2"/>
  <c r="AY656" i="2"/>
  <c r="AY648" i="2"/>
  <c r="AY522" i="2"/>
  <c r="AY671" i="2"/>
  <c r="AY602" i="2"/>
  <c r="AY626" i="2"/>
  <c r="AX725" i="2"/>
  <c r="AX528" i="2"/>
  <c r="AX564" i="2"/>
  <c r="AW592" i="2"/>
  <c r="AW707" i="2"/>
  <c r="AW629" i="2"/>
  <c r="AW525" i="2"/>
  <c r="AW636" i="2"/>
  <c r="AW652" i="2"/>
  <c r="AW669" i="2"/>
  <c r="AV578" i="2"/>
  <c r="AZ578" i="2" s="1"/>
  <c r="AV588" i="2"/>
  <c r="AZ588" i="2" s="1"/>
  <c r="AV541" i="2"/>
  <c r="AV609" i="2"/>
  <c r="AZ609" i="2" s="1"/>
  <c r="AV597" i="2"/>
  <c r="AZ597" i="2" s="1"/>
  <c r="AV675" i="2"/>
  <c r="AU591" i="2"/>
  <c r="AU650" i="2"/>
  <c r="AU678" i="2"/>
  <c r="AU633" i="2"/>
  <c r="AU710" i="2"/>
  <c r="AU671" i="2"/>
  <c r="AU545" i="2"/>
  <c r="AW708" i="2"/>
  <c r="AW519" i="2"/>
  <c r="AW606" i="2"/>
  <c r="AZ606" i="2" s="1"/>
  <c r="AW689" i="2"/>
  <c r="AX574" i="2"/>
  <c r="AX642" i="2"/>
  <c r="AU725" i="2"/>
  <c r="AU718" i="2"/>
  <c r="AU692" i="2"/>
  <c r="AU707" i="2"/>
  <c r="AV668" i="2"/>
  <c r="AZ668" i="2" s="1"/>
  <c r="AU668" i="2"/>
  <c r="AU528" i="2"/>
  <c r="AU644" i="2"/>
  <c r="AV559" i="2"/>
  <c r="AU620" i="2"/>
  <c r="AU719" i="2"/>
  <c r="AU525" i="2"/>
  <c r="AV525" i="2"/>
  <c r="AZ525" i="2" s="1"/>
  <c r="AU596" i="2"/>
  <c r="AU569" i="2"/>
  <c r="AU580" i="2"/>
  <c r="AU627" i="2"/>
  <c r="AU564" i="2"/>
  <c r="AU556" i="2"/>
  <c r="AU682" i="2"/>
  <c r="AU681" i="2"/>
  <c r="AV681" i="2"/>
  <c r="AZ681" i="2" s="1"/>
  <c r="AU523" i="2"/>
  <c r="AV523" i="2"/>
  <c r="AZ523" i="2" s="1"/>
  <c r="AU607" i="2"/>
  <c r="AV677" i="2"/>
  <c r="AZ677" i="2" s="1"/>
  <c r="AU659" i="2"/>
  <c r="AU714" i="2"/>
  <c r="AV600" i="2"/>
  <c r="AZ600" i="2" s="1"/>
  <c r="AW600" i="2"/>
  <c r="AV661" i="2"/>
  <c r="AV617" i="2"/>
  <c r="AZ617" i="2" s="1"/>
  <c r="AW617" i="2"/>
  <c r="AU643" i="2"/>
  <c r="AU688" i="2"/>
  <c r="AW688" i="2"/>
  <c r="AV595" i="2"/>
  <c r="AZ595" i="2" s="1"/>
  <c r="AU670" i="2"/>
  <c r="AW571" i="2"/>
  <c r="AV721" i="2"/>
  <c r="AZ721" i="2" s="1"/>
  <c r="AW555" i="2"/>
  <c r="AU683" i="2"/>
  <c r="AV531" i="2"/>
  <c r="AY531" i="2"/>
  <c r="AU611" i="2"/>
  <c r="AW611" i="2"/>
  <c r="AY611" i="2"/>
  <c r="AY675" i="2"/>
  <c r="AW685" i="2"/>
  <c r="AW696" i="2"/>
  <c r="AW527" i="2"/>
  <c r="AW633" i="2"/>
  <c r="AW563" i="2"/>
  <c r="AW537" i="2"/>
  <c r="AW704" i="2"/>
  <c r="AV674" i="2"/>
  <c r="AZ674" i="2" s="1"/>
  <c r="AV521" i="2"/>
  <c r="AZ521" i="2" s="1"/>
  <c r="AV701" i="2"/>
  <c r="AV707" i="2"/>
  <c r="AV625" i="2"/>
  <c r="AZ625" i="2" s="1"/>
  <c r="AV629" i="2"/>
  <c r="AZ629" i="2" s="1"/>
  <c r="AV618" i="2"/>
  <c r="AZ618" i="2" s="1"/>
  <c r="AV636" i="2"/>
  <c r="AV713" i="2"/>
  <c r="AV652" i="2"/>
  <c r="AZ652" i="2" s="1"/>
  <c r="AV611" i="2"/>
  <c r="AZ611" i="2" s="1"/>
  <c r="AU701" i="2"/>
  <c r="AU583" i="2"/>
  <c r="AU676" i="2"/>
  <c r="AU571" i="2"/>
  <c r="AU652" i="2"/>
  <c r="AU546" i="2"/>
  <c r="AU675" i="2"/>
  <c r="AY674" i="2"/>
  <c r="AY579" i="2"/>
  <c r="AY592" i="2"/>
  <c r="AY685" i="2"/>
  <c r="AY591" i="2"/>
  <c r="AY588" i="2"/>
  <c r="AY527" i="2"/>
  <c r="AY625" i="2"/>
  <c r="AY534" i="2"/>
  <c r="AY563" i="2"/>
  <c r="AY539" i="2"/>
  <c r="AY651" i="2"/>
  <c r="AY573" i="2"/>
  <c r="AY642" i="2"/>
  <c r="AY645" i="2"/>
  <c r="AY704" i="2"/>
  <c r="AY722" i="2"/>
  <c r="AX719" i="2"/>
  <c r="AX681" i="2"/>
  <c r="AW674" i="2"/>
  <c r="AW659" i="2"/>
  <c r="AV700" i="2"/>
  <c r="AV528" i="2"/>
  <c r="AZ528" i="2" s="1"/>
  <c r="AV580" i="2"/>
  <c r="AZ580" i="2" s="1"/>
  <c r="AV556" i="2"/>
  <c r="AV722" i="2"/>
  <c r="AZ722" i="2" s="1"/>
  <c r="AU617" i="2"/>
  <c r="AU646" i="2"/>
  <c r="AU555" i="2"/>
  <c r="AW718" i="2"/>
  <c r="AW644" i="2"/>
  <c r="AW628" i="2"/>
  <c r="AW596" i="2"/>
  <c r="AW580" i="2"/>
  <c r="AX556" i="2"/>
  <c r="AX547" i="2"/>
  <c r="AX705" i="2"/>
  <c r="AV533" i="2"/>
  <c r="AX533" i="2"/>
  <c r="AX581" i="2"/>
  <c r="AU549" i="2"/>
  <c r="AX549" i="2"/>
  <c r="AW544" i="2"/>
  <c r="AX544" i="2"/>
  <c r="AX599" i="2"/>
  <c r="AX696" i="2"/>
  <c r="AU576" i="2"/>
  <c r="AX576" i="2"/>
  <c r="AX658" i="2"/>
  <c r="AV678" i="2"/>
  <c r="AZ678" i="2" s="1"/>
  <c r="AX678" i="2"/>
  <c r="AX557" i="2"/>
  <c r="AU699" i="2"/>
  <c r="AX699" i="2"/>
  <c r="AW690" i="2"/>
  <c r="AV690" i="2"/>
  <c r="AZ690" i="2" s="1"/>
  <c r="AX690" i="2"/>
  <c r="AW618" i="2"/>
  <c r="AX618" i="2"/>
  <c r="AX610" i="2"/>
  <c r="AX537" i="2"/>
  <c r="AU565" i="2"/>
  <c r="AX565" i="2"/>
  <c r="AV565" i="2"/>
  <c r="AZ565" i="2" s="1"/>
  <c r="AV538" i="2"/>
  <c r="AZ538" i="2" s="1"/>
  <c r="AX538" i="2"/>
  <c r="AW538" i="2"/>
  <c r="AX717" i="2"/>
  <c r="AX713" i="2"/>
  <c r="AU665" i="2"/>
  <c r="AW665" i="2"/>
  <c r="AX665" i="2"/>
  <c r="AX554" i="2"/>
  <c r="AX669" i="2"/>
  <c r="AX587" i="2"/>
  <c r="AU562" i="2"/>
  <c r="AX562" i="2"/>
  <c r="AU666" i="2"/>
  <c r="AV666" i="2"/>
  <c r="AX666" i="2"/>
  <c r="AV641" i="2"/>
  <c r="AU697" i="2"/>
  <c r="AU572" i="2"/>
  <c r="AV572" i="2"/>
  <c r="AZ572" i="2" s="1"/>
  <c r="AU608" i="2"/>
  <c r="AU657" i="2"/>
  <c r="AV657" i="2"/>
  <c r="AZ657" i="2" s="1"/>
  <c r="AV698" i="2"/>
  <c r="AU598" i="2"/>
  <c r="AU601" i="2"/>
  <c r="AU593" i="2"/>
  <c r="AU582" i="2"/>
  <c r="AV582" i="2"/>
  <c r="AU553" i="2"/>
  <c r="AV553" i="2"/>
  <c r="AZ553" i="2" s="1"/>
  <c r="AU594" i="2"/>
  <c r="AV702" i="2"/>
  <c r="AV653" i="2"/>
  <c r="AZ653" i="2" s="1"/>
  <c r="AU578" i="2"/>
  <c r="AV550" i="2"/>
  <c r="AZ550" i="2" s="1"/>
  <c r="AU680" i="2"/>
  <c r="AW680" i="2"/>
  <c r="AW723" i="2"/>
  <c r="AW650" i="2"/>
  <c r="AW656" i="2"/>
  <c r="AU656" i="2"/>
  <c r="AW648" i="2"/>
  <c r="AW522" i="2"/>
  <c r="AW632" i="2"/>
  <c r="AV632" i="2"/>
  <c r="AZ632" i="2" s="1"/>
  <c r="AU632" i="2"/>
  <c r="AW548" i="2"/>
  <c r="AU548" i="2"/>
  <c r="AU540" i="2"/>
  <c r="AW540" i="2"/>
  <c r="AV540" i="2"/>
  <c r="AW695" i="2"/>
  <c r="AU695" i="2"/>
  <c r="AW560" i="2"/>
  <c r="AW671" i="2"/>
  <c r="AU584" i="2"/>
  <c r="AW584" i="2"/>
  <c r="AV584" i="2"/>
  <c r="AZ584" i="2" s="1"/>
  <c r="AW602" i="2"/>
  <c r="AW687" i="2"/>
  <c r="AV687" i="2"/>
  <c r="AZ687" i="2" s="1"/>
  <c r="AW626" i="2"/>
  <c r="AU585" i="2"/>
  <c r="AW585" i="2"/>
  <c r="AW551" i="2"/>
  <c r="AW536" i="2"/>
  <c r="AW621" i="2"/>
  <c r="AU621" i="2"/>
  <c r="AV624" i="2"/>
  <c r="AZ624" i="2" s="1"/>
  <c r="AU624" i="2"/>
  <c r="AW624" i="2"/>
  <c r="AL75" i="7"/>
  <c r="AN506" i="2" s="1"/>
  <c r="AL18" i="7"/>
  <c r="AN911" i="2" s="1"/>
  <c r="AL14" i="7"/>
  <c r="AN36" i="2" s="1"/>
  <c r="AL67" i="7"/>
  <c r="AN277" i="2" s="1"/>
  <c r="AL77" i="7"/>
  <c r="AN494" i="2" s="1"/>
  <c r="AL55" i="7"/>
  <c r="AL71" i="7"/>
  <c r="AL16" i="7"/>
  <c r="AL26" i="7"/>
  <c r="AN245" i="2" s="1"/>
  <c r="AL40" i="7"/>
  <c r="AL38" i="7"/>
  <c r="AL93" i="7"/>
  <c r="AL34" i="7"/>
  <c r="AN332" i="2" s="1"/>
  <c r="AL87" i="7"/>
  <c r="AN609" i="2" s="1"/>
  <c r="AL30" i="7"/>
  <c r="AN87" i="2" s="1"/>
  <c r="AY472" i="2"/>
  <c r="AX448" i="2"/>
  <c r="AW456" i="2"/>
  <c r="AX494" i="2"/>
  <c r="AY494" i="2"/>
  <c r="AX470" i="2"/>
  <c r="AY470" i="2"/>
  <c r="AV470" i="2"/>
  <c r="AZ470" i="2" s="1"/>
  <c r="AY454" i="2"/>
  <c r="AV454" i="2"/>
  <c r="AZ454" i="2" s="1"/>
  <c r="AY446" i="2"/>
  <c r="AX446" i="2"/>
  <c r="AY438" i="2"/>
  <c r="AV438" i="2"/>
  <c r="AY430" i="2"/>
  <c r="AW430" i="2"/>
  <c r="AY367" i="2"/>
  <c r="AX367" i="2"/>
  <c r="AY418" i="2"/>
  <c r="AW418" i="2"/>
  <c r="AY351" i="2"/>
  <c r="AV351" i="2"/>
  <c r="AZ351" i="2" s="1"/>
  <c r="AY372" i="2"/>
  <c r="AW372" i="2"/>
  <c r="AY359" i="2"/>
  <c r="AV359" i="2"/>
  <c r="AZ359" i="2" s="1"/>
  <c r="AU504" i="2"/>
  <c r="AV448" i="2"/>
  <c r="AZ448" i="2" s="1"/>
  <c r="AW409" i="2"/>
  <c r="AX510" i="2"/>
  <c r="AV502" i="2"/>
  <c r="AZ502" i="2" s="1"/>
  <c r="AX414" i="2"/>
  <c r="AW438" i="2"/>
  <c r="AV518" i="2"/>
  <c r="AZ518" i="2" s="1"/>
  <c r="AV367" i="2"/>
  <c r="AZ367" i="2" s="1"/>
  <c r="AV409" i="2"/>
  <c r="AZ409" i="2" s="1"/>
  <c r="AU432" i="2"/>
  <c r="AX502" i="2"/>
  <c r="AW379" i="2"/>
  <c r="AX418" i="2"/>
  <c r="AX480" i="2"/>
  <c r="AX456" i="2"/>
  <c r="AX432" i="2"/>
  <c r="AX400" i="2"/>
  <c r="AX392" i="2"/>
  <c r="AX490" i="2"/>
  <c r="AW490" i="2"/>
  <c r="AX426" i="2"/>
  <c r="AW426" i="2"/>
  <c r="AX399" i="2"/>
  <c r="AW399" i="2"/>
  <c r="AU518" i="2"/>
  <c r="AU510" i="2"/>
  <c r="AV510" i="2"/>
  <c r="AZ510" i="2" s="1"/>
  <c r="AU502" i="2"/>
  <c r="AU494" i="2"/>
  <c r="AU486" i="2"/>
  <c r="AV486" i="2"/>
  <c r="AU478" i="2"/>
  <c r="AV478" i="2"/>
  <c r="AU470" i="2"/>
  <c r="AU462" i="2"/>
  <c r="AU454" i="2"/>
  <c r="AU446" i="2"/>
  <c r="AV446" i="2"/>
  <c r="AU438" i="2"/>
  <c r="AU430" i="2"/>
  <c r="AU398" i="2"/>
  <c r="AV398" i="2"/>
  <c r="AU414" i="2"/>
  <c r="AV414" i="2"/>
  <c r="AU367" i="2"/>
  <c r="AU379" i="2"/>
  <c r="AU394" i="2"/>
  <c r="AU382" i="2"/>
  <c r="AV382" i="2"/>
  <c r="AZ382" i="2" s="1"/>
  <c r="AU418" i="2"/>
  <c r="AU351" i="2"/>
  <c r="AU372" i="2"/>
  <c r="AV372" i="2"/>
  <c r="AU359" i="2"/>
  <c r="AU512" i="2"/>
  <c r="AU496" i="2"/>
  <c r="AW496" i="2"/>
  <c r="AV496" i="2"/>
  <c r="AV488" i="2"/>
  <c r="AZ488" i="2" s="1"/>
  <c r="AU488" i="2"/>
  <c r="AW472" i="2"/>
  <c r="AU464" i="2"/>
  <c r="AW464" i="2"/>
  <c r="AV456" i="2"/>
  <c r="AU440" i="2"/>
  <c r="AW432" i="2"/>
  <c r="AV432" i="2"/>
  <c r="AZ432" i="2" s="1"/>
  <c r="AV417" i="2"/>
  <c r="AU349" i="2"/>
  <c r="AW389" i="2"/>
  <c r="AU400" i="2"/>
  <c r="AW400" i="2"/>
  <c r="AU403" i="2"/>
  <c r="AV403" i="2"/>
  <c r="AU376" i="2"/>
  <c r="AU373" i="2"/>
  <c r="AW373" i="2"/>
  <c r="AV373" i="2"/>
  <c r="AZ373" i="2" s="1"/>
  <c r="AV392" i="2"/>
  <c r="AZ392" i="2" s="1"/>
  <c r="AV383" i="2"/>
  <c r="AZ383" i="2" s="1"/>
  <c r="AU383" i="2"/>
  <c r="AX499" i="2"/>
  <c r="AW499" i="2"/>
  <c r="AX491" i="2"/>
  <c r="AW491" i="2"/>
  <c r="AX459" i="2"/>
  <c r="AW459" i="2"/>
  <c r="AX435" i="2"/>
  <c r="AW435" i="2"/>
  <c r="AX427" i="2"/>
  <c r="AW427" i="2"/>
  <c r="AX425" i="2"/>
  <c r="AW425" i="2"/>
  <c r="AX371" i="2"/>
  <c r="AW371" i="2"/>
  <c r="AX407" i="2"/>
  <c r="AW407" i="2"/>
  <c r="AV495" i="2"/>
  <c r="AX495" i="2"/>
  <c r="AV487" i="2"/>
  <c r="AW487" i="2"/>
  <c r="AV463" i="2"/>
  <c r="AZ463" i="2" s="1"/>
  <c r="AX463" i="2"/>
  <c r="AW463" i="2"/>
  <c r="AV455" i="2"/>
  <c r="AW455" i="2"/>
  <c r="AV431" i="2"/>
  <c r="AZ431" i="2" s="1"/>
  <c r="AX431" i="2"/>
  <c r="AV406" i="2"/>
  <c r="AZ406" i="2" s="1"/>
  <c r="AW406" i="2"/>
  <c r="AV388" i="2"/>
  <c r="AZ388" i="2" s="1"/>
  <c r="AX388" i="2"/>
  <c r="AW388" i="2"/>
  <c r="AV391" i="2"/>
  <c r="AZ391" i="2" s="1"/>
  <c r="AW391" i="2"/>
  <c r="AV375" i="2"/>
  <c r="AX375" i="2"/>
  <c r="AV362" i="2"/>
  <c r="AX362" i="2"/>
  <c r="AV384" i="2"/>
  <c r="AW384" i="2"/>
  <c r="AU505" i="2"/>
  <c r="AW505" i="2"/>
  <c r="AV505" i="2"/>
  <c r="AX481" i="2"/>
  <c r="AW481" i="2"/>
  <c r="AW489" i="2"/>
  <c r="AU489" i="2"/>
  <c r="AU465" i="2"/>
  <c r="AV465" i="2"/>
  <c r="AZ465" i="2" s="1"/>
  <c r="AX449" i="2"/>
  <c r="AU449" i="2"/>
  <c r="AU441" i="2"/>
  <c r="AW441" i="2"/>
  <c r="AV441" i="2"/>
  <c r="AZ441" i="2" s="1"/>
  <c r="AX358" i="2"/>
  <c r="AW358" i="2"/>
  <c r="AV397" i="2"/>
  <c r="AU397" i="2"/>
  <c r="AU377" i="2"/>
  <c r="AW377" i="2"/>
  <c r="AV377" i="2"/>
  <c r="AV353" i="2"/>
  <c r="AU353" i="2"/>
  <c r="AX353" i="2"/>
  <c r="AW353" i="2"/>
  <c r="AU515" i="2"/>
  <c r="AV515" i="2"/>
  <c r="AZ515" i="2" s="1"/>
  <c r="AU507" i="2"/>
  <c r="AU499" i="2"/>
  <c r="AU491" i="2"/>
  <c r="AU479" i="2"/>
  <c r="AV479" i="2"/>
  <c r="AZ479" i="2" s="1"/>
  <c r="AU475" i="2"/>
  <c r="AU467" i="2"/>
  <c r="AU459" i="2"/>
  <c r="AV459" i="2"/>
  <c r="AU451" i="2"/>
  <c r="AV451" i="2"/>
  <c r="AU443" i="2"/>
  <c r="AU435" i="2"/>
  <c r="AU427" i="2"/>
  <c r="AU381" i="2"/>
  <c r="AV381" i="2"/>
  <c r="AZ381" i="2" s="1"/>
  <c r="AU405" i="2"/>
  <c r="AU412" i="2"/>
  <c r="AU425" i="2"/>
  <c r="AV425" i="2"/>
  <c r="AU365" i="2"/>
  <c r="AV365" i="2"/>
  <c r="AZ365" i="2" s="1"/>
  <c r="AU374" i="2"/>
  <c r="AU371" i="2"/>
  <c r="AU407" i="2"/>
  <c r="AU355" i="2"/>
  <c r="AW517" i="2"/>
  <c r="AW509" i="2"/>
  <c r="AW501" i="2"/>
  <c r="AV501" i="2"/>
  <c r="AZ501" i="2" s="1"/>
  <c r="AW493" i="2"/>
  <c r="AU493" i="2"/>
  <c r="AW485" i="2"/>
  <c r="AU476" i="2"/>
  <c r="AW476" i="2"/>
  <c r="AV476" i="2"/>
  <c r="AU469" i="2"/>
  <c r="AW469" i="2"/>
  <c r="AV469" i="2"/>
  <c r="AZ469" i="2" s="1"/>
  <c r="AU461" i="2"/>
  <c r="AW461" i="2"/>
  <c r="AU453" i="2"/>
  <c r="AW453" i="2"/>
  <c r="AU445" i="2"/>
  <c r="AW445" i="2"/>
  <c r="AU437" i="2"/>
  <c r="AW437" i="2"/>
  <c r="AV437" i="2"/>
  <c r="AU429" i="2"/>
  <c r="AW429" i="2"/>
  <c r="AU421" i="2"/>
  <c r="AW421" i="2"/>
  <c r="AU413" i="2"/>
  <c r="AW413" i="2"/>
  <c r="AV413" i="2"/>
  <c r="AU357" i="2"/>
  <c r="AW357" i="2"/>
  <c r="AV357" i="2"/>
  <c r="AU366" i="2"/>
  <c r="AW366" i="2"/>
  <c r="AU387" i="2"/>
  <c r="AW387" i="2"/>
  <c r="AU393" i="2"/>
  <c r="AW393" i="2"/>
  <c r="AU408" i="2"/>
  <c r="AW408" i="2"/>
  <c r="AV408" i="2"/>
  <c r="AZ408" i="2" s="1"/>
  <c r="AU424" i="2"/>
  <c r="AW424" i="2"/>
  <c r="AU360" i="2"/>
  <c r="AW360" i="2"/>
  <c r="AU350" i="2"/>
  <c r="AV350" i="2"/>
  <c r="AW350" i="2"/>
  <c r="AW458" i="2"/>
  <c r="AV482" i="2"/>
  <c r="AZ482" i="2" s="1"/>
  <c r="AW518" i="2"/>
  <c r="AX486" i="2"/>
  <c r="AW446" i="2"/>
  <c r="AX398" i="2"/>
  <c r="AX394" i="2"/>
  <c r="AW394" i="2"/>
  <c r="AX372" i="2"/>
  <c r="AX512" i="2"/>
  <c r="AX389" i="2"/>
  <c r="AX376" i="2"/>
  <c r="AV514" i="2"/>
  <c r="AZ514" i="2" s="1"/>
  <c r="AV450" i="2"/>
  <c r="AZ450" i="2" s="1"/>
  <c r="AV410" i="2"/>
  <c r="AZ410" i="2" s="1"/>
  <c r="AV363" i="2"/>
  <c r="AV396" i="2"/>
  <c r="AW508" i="2"/>
  <c r="AU500" i="2"/>
  <c r="AW500" i="2"/>
  <c r="AU484" i="2"/>
  <c r="AW468" i="2"/>
  <c r="AV468" i="2"/>
  <c r="AU452" i="2"/>
  <c r="AW444" i="2"/>
  <c r="AU428" i="2"/>
  <c r="AV428" i="2"/>
  <c r="AU390" i="2"/>
  <c r="AU422" i="2"/>
  <c r="AW422" i="2"/>
  <c r="AV422" i="2"/>
  <c r="AU386" i="2"/>
  <c r="AW386" i="2"/>
  <c r="AW401" i="2"/>
  <c r="AV364" i="2"/>
  <c r="AV356" i="2"/>
  <c r="AU356" i="2"/>
  <c r="AX482" i="2"/>
  <c r="AV420" i="2"/>
  <c r="AZ420" i="2" s="1"/>
  <c r="AW510" i="2"/>
  <c r="AW478" i="2"/>
  <c r="AX454" i="2"/>
  <c r="AW454" i="2"/>
  <c r="AW414" i="2"/>
  <c r="AW382" i="2"/>
  <c r="AX351" i="2"/>
  <c r="AW359" i="2"/>
  <c r="AX504" i="2"/>
  <c r="AX472" i="2"/>
  <c r="AX440" i="2"/>
  <c r="AX409" i="2"/>
  <c r="AV506" i="2"/>
  <c r="AZ506" i="2" s="1"/>
  <c r="AV474" i="2"/>
  <c r="AZ474" i="2" s="1"/>
  <c r="AV442" i="2"/>
  <c r="AV352" i="2"/>
  <c r="AU516" i="2"/>
  <c r="AV492" i="2"/>
  <c r="AU473" i="2"/>
  <c r="AV460" i="2"/>
  <c r="AW436" i="2"/>
  <c r="AV354" i="2"/>
  <c r="AY517" i="2"/>
  <c r="AY509" i="2"/>
  <c r="AY501" i="2"/>
  <c r="AY493" i="2"/>
  <c r="AY485" i="2"/>
  <c r="AY476" i="2"/>
  <c r="AY469" i="2"/>
  <c r="AY461" i="2"/>
  <c r="AY452" i="2"/>
  <c r="AY390" i="2"/>
  <c r="AY356" i="2"/>
  <c r="AX515" i="2"/>
  <c r="AX505" i="2"/>
  <c r="AX368" i="2"/>
  <c r="AW515" i="2"/>
  <c r="AW502" i="2"/>
  <c r="AW486" i="2"/>
  <c r="AW471" i="2"/>
  <c r="AW428" i="2"/>
  <c r="AW385" i="2"/>
  <c r="AW355" i="2"/>
  <c r="AV509" i="2"/>
  <c r="AZ509" i="2" s="1"/>
  <c r="AV494" i="2"/>
  <c r="AV481" i="2"/>
  <c r="AV452" i="2"/>
  <c r="AZ452" i="2" s="1"/>
  <c r="AV436" i="2"/>
  <c r="AV421" i="2"/>
  <c r="AV389" i="2"/>
  <c r="AV411" i="2"/>
  <c r="AZ411" i="2" s="1"/>
  <c r="AV374" i="2"/>
  <c r="AZ374" i="2" s="1"/>
  <c r="AV407" i="2"/>
  <c r="AZ407" i="2" s="1"/>
  <c r="AU509" i="2"/>
  <c r="AU481" i="2"/>
  <c r="AU444" i="2"/>
  <c r="AU389" i="2"/>
  <c r="AU364" i="2"/>
  <c r="AY499" i="2"/>
  <c r="AY491" i="2"/>
  <c r="AY479" i="2"/>
  <c r="AY475" i="2"/>
  <c r="AY467" i="2"/>
  <c r="AY459" i="2"/>
  <c r="AY428" i="2"/>
  <c r="AY354" i="2"/>
  <c r="AY364" i="2"/>
  <c r="AX513" i="2"/>
  <c r="AX478" i="2"/>
  <c r="AX465" i="2"/>
  <c r="AX441" i="2"/>
  <c r="AX415" i="2"/>
  <c r="AX352" i="2"/>
  <c r="AW512" i="2"/>
  <c r="AW497" i="2"/>
  <c r="AW479" i="2"/>
  <c r="AW467" i="2"/>
  <c r="AW452" i="2"/>
  <c r="AW439" i="2"/>
  <c r="AW417" i="2"/>
  <c r="AW420" i="2"/>
  <c r="AW374" i="2"/>
  <c r="AW351" i="2"/>
  <c r="AV507" i="2"/>
  <c r="AV491" i="2"/>
  <c r="AZ491" i="2" s="1"/>
  <c r="AV473" i="2"/>
  <c r="AV462" i="2"/>
  <c r="AZ462" i="2" s="1"/>
  <c r="AV412" i="2"/>
  <c r="AZ412" i="2" s="1"/>
  <c r="AV387" i="2"/>
  <c r="AZ387" i="2" s="1"/>
  <c r="AV418" i="2"/>
  <c r="AU472" i="2"/>
  <c r="AU433" i="2"/>
  <c r="AU411" i="2"/>
  <c r="AU392" i="2"/>
  <c r="AU514" i="2"/>
  <c r="AU506" i="2"/>
  <c r="AU498" i="2"/>
  <c r="AU490" i="2"/>
  <c r="AU482" i="2"/>
  <c r="AU474" i="2"/>
  <c r="AU466" i="2"/>
  <c r="AU458" i="2"/>
  <c r="AU450" i="2"/>
  <c r="AU442" i="2"/>
  <c r="AU434" i="2"/>
  <c r="AU426" i="2"/>
  <c r="AU368" i="2"/>
  <c r="AU410" i="2"/>
  <c r="AU404" i="2"/>
  <c r="AU420" i="2"/>
  <c r="AU352" i="2"/>
  <c r="AU363" i="2"/>
  <c r="AU370" i="2"/>
  <c r="AU399" i="2"/>
  <c r="AU396" i="2"/>
  <c r="AL8" i="7"/>
  <c r="AN564" i="2" s="1"/>
  <c r="AL53" i="7"/>
  <c r="AN712" i="2" s="1"/>
  <c r="AL32" i="7"/>
  <c r="AL10" i="7"/>
  <c r="AL91" i="7"/>
  <c r="AL69" i="7"/>
  <c r="AL56" i="7"/>
  <c r="AL64" i="7"/>
  <c r="AL72" i="7"/>
  <c r="AL80" i="7"/>
  <c r="AL88" i="7"/>
  <c r="AL11" i="7"/>
  <c r="AL19" i="7"/>
  <c r="AL27" i="7"/>
  <c r="AL35" i="7"/>
  <c r="AN467" i="2" s="1"/>
  <c r="AL43" i="7"/>
  <c r="AL57" i="7"/>
  <c r="AL65" i="7"/>
  <c r="AL73" i="7"/>
  <c r="AN108" i="2" s="1"/>
  <c r="AL81" i="7"/>
  <c r="AL89" i="7"/>
  <c r="AL12" i="7"/>
  <c r="AN14" i="2" s="1"/>
  <c r="AL20" i="7"/>
  <c r="AL28" i="7"/>
  <c r="AL36" i="7"/>
  <c r="AL44" i="7"/>
  <c r="AL58" i="7"/>
  <c r="AL66" i="7"/>
  <c r="AL74" i="7"/>
  <c r="AL82" i="7"/>
  <c r="AL90" i="7"/>
  <c r="AN663" i="2" s="1"/>
  <c r="AL13" i="7"/>
  <c r="AL21" i="7"/>
  <c r="AN304" i="2" s="1"/>
  <c r="AL29" i="7"/>
  <c r="AL37" i="7"/>
  <c r="AL45" i="7"/>
  <c r="AN611" i="2" s="1"/>
  <c r="AL52" i="7"/>
  <c r="AL60" i="7"/>
  <c r="AL68" i="7"/>
  <c r="AL76" i="7"/>
  <c r="AL84" i="7"/>
  <c r="AL92" i="7"/>
  <c r="AL7" i="7"/>
  <c r="AL15" i="7"/>
  <c r="AL23" i="7"/>
  <c r="AN788" i="2" s="1"/>
  <c r="AL31" i="7"/>
  <c r="AN437" i="2" s="1"/>
  <c r="AL39" i="7"/>
  <c r="AL47" i="7"/>
  <c r="AL54" i="7"/>
  <c r="AL62" i="7"/>
  <c r="AL70" i="7"/>
  <c r="AL78" i="7"/>
  <c r="AL86" i="7"/>
  <c r="AL50" i="7"/>
  <c r="AN392" i="2" s="1"/>
  <c r="AL9" i="7"/>
  <c r="AL17" i="7"/>
  <c r="AL25" i="7"/>
  <c r="AL33" i="7"/>
  <c r="AL41" i="7"/>
  <c r="AL5" i="7"/>
  <c r="AL48" i="7"/>
  <c r="AL6" i="7"/>
  <c r="AN713" i="2" s="1"/>
  <c r="AL85" i="7"/>
  <c r="AL63" i="7"/>
  <c r="AL46" i="7"/>
  <c r="AL83" i="7"/>
  <c r="AL61" i="7"/>
  <c r="AL24" i="7"/>
  <c r="AN274" i="2" s="1"/>
  <c r="AL42" i="7"/>
  <c r="AL22" i="7"/>
  <c r="AL79" i="7"/>
  <c r="AL59" i="7"/>
  <c r="AO201" i="2"/>
  <c r="AO242" i="2"/>
  <c r="AO203" i="2"/>
  <c r="AO243" i="2"/>
  <c r="AO251" i="2"/>
  <c r="AO253" i="2"/>
  <c r="AO207" i="2"/>
  <c r="AO277" i="2"/>
  <c r="AO254" i="2"/>
  <c r="AO210" i="2"/>
  <c r="AO211" i="2"/>
  <c r="AO280" i="2"/>
  <c r="AO213" i="2"/>
  <c r="AO298" i="2"/>
  <c r="AO309" i="2"/>
  <c r="AO321" i="2"/>
  <c r="AO217" i="2"/>
  <c r="AO261" i="2"/>
  <c r="AO212" i="2"/>
  <c r="AO220" i="2"/>
  <c r="AO263" i="2"/>
  <c r="AO222" i="2"/>
  <c r="AO281" i="2"/>
  <c r="AO291" i="2"/>
  <c r="AO264" i="2"/>
  <c r="AO226" i="2"/>
  <c r="AO227" i="2"/>
  <c r="AO250" i="2"/>
  <c r="AO229" i="2"/>
  <c r="AO230" i="2"/>
  <c r="AO231" i="2"/>
  <c r="AO232" i="2"/>
  <c r="AO215" i="2"/>
  <c r="AO283" i="2"/>
  <c r="AO292" i="2"/>
  <c r="AO299" i="2"/>
  <c r="AO315" i="2"/>
  <c r="AO238" i="2"/>
  <c r="AO329" i="2"/>
  <c r="AO342" i="2"/>
  <c r="AO241" i="2"/>
  <c r="AO216" i="2"/>
  <c r="AO266" i="2"/>
  <c r="AO244" i="2"/>
  <c r="AO245" i="2"/>
  <c r="AO246" i="2"/>
  <c r="AO247" i="2"/>
  <c r="AO248" i="2"/>
  <c r="AO249" i="2"/>
  <c r="AO240" i="2"/>
  <c r="AO219" i="2"/>
  <c r="AO252" i="2"/>
  <c r="AO285" i="2"/>
  <c r="AO296" i="2"/>
  <c r="AO255" i="2"/>
  <c r="AO256" i="2"/>
  <c r="AO257" i="2"/>
  <c r="AO297" i="2"/>
  <c r="AO259" i="2"/>
  <c r="AO260" i="2"/>
  <c r="AO324" i="2"/>
  <c r="AO262" i="2"/>
  <c r="AO343" i="2"/>
  <c r="AO202" i="2"/>
  <c r="AO269" i="2"/>
  <c r="AO286" i="2"/>
  <c r="AO267" i="2"/>
  <c r="AO304" i="2"/>
  <c r="AO316" i="2"/>
  <c r="AO327" i="2"/>
  <c r="AO271" i="2"/>
  <c r="AO344" i="2"/>
  <c r="AO204" i="2"/>
  <c r="AO206" i="2"/>
  <c r="AO275" i="2"/>
  <c r="AO276" i="2"/>
  <c r="AO305" i="2"/>
  <c r="AO278" i="2"/>
  <c r="AO279" i="2"/>
  <c r="AO330" i="2"/>
  <c r="AO218" i="2"/>
  <c r="AO282" i="2"/>
  <c r="AO209" i="2"/>
  <c r="AO284" i="2"/>
  <c r="AO208" i="2"/>
  <c r="AO307" i="2"/>
  <c r="AO317" i="2"/>
  <c r="AO288" i="2"/>
  <c r="AO289" i="2"/>
  <c r="AO290" i="2"/>
  <c r="AO258" i="2"/>
  <c r="AO214" i="2"/>
  <c r="AO293" i="2"/>
  <c r="AO294" i="2"/>
  <c r="AO295" i="2"/>
  <c r="AO318" i="2"/>
  <c r="AO274" i="2"/>
  <c r="AO334" i="2"/>
  <c r="AO346" i="2"/>
  <c r="AO300" i="2"/>
  <c r="AO301" i="2"/>
  <c r="AO302" i="2"/>
  <c r="AO303" i="2"/>
  <c r="AO308" i="2"/>
  <c r="AO319" i="2"/>
  <c r="AO306" i="2"/>
  <c r="AO337" i="2"/>
  <c r="AO347" i="2"/>
  <c r="AO265" i="2"/>
  <c r="AO270" i="2"/>
  <c r="AO311" i="2"/>
  <c r="AO312" i="2"/>
  <c r="AO310" i="2"/>
  <c r="AO314" i="2"/>
  <c r="AO328" i="2"/>
  <c r="AO338" i="2"/>
  <c r="AO268" i="2"/>
  <c r="AO272" i="2"/>
  <c r="AO287" i="2"/>
  <c r="AO320" i="2"/>
  <c r="AO313" i="2"/>
  <c r="AO322" i="2"/>
  <c r="AO323" i="2"/>
  <c r="AO340" i="2"/>
  <c r="AO325" i="2"/>
  <c r="AO326" i="2"/>
  <c r="AO221" i="2"/>
  <c r="AO223" i="2"/>
  <c r="AO224" i="2"/>
  <c r="AO225" i="2"/>
  <c r="AO331" i="2"/>
  <c r="AO332" i="2"/>
  <c r="AO333" i="2"/>
  <c r="AO228" i="2"/>
  <c r="AO335" i="2"/>
  <c r="AO336" i="2"/>
  <c r="AO233" i="2"/>
  <c r="AO234" i="2"/>
  <c r="AO339" i="2"/>
  <c r="AO235" i="2"/>
  <c r="AO341" i="2"/>
  <c r="AO236" i="2"/>
  <c r="AO237" i="2"/>
  <c r="AO239" i="2"/>
  <c r="AO345" i="2"/>
  <c r="AO205" i="2"/>
  <c r="AO273" i="2"/>
  <c r="AO348" i="2"/>
  <c r="AP201" i="2"/>
  <c r="AP242" i="2"/>
  <c r="AP203" i="2"/>
  <c r="AP243" i="2"/>
  <c r="AP251" i="2"/>
  <c r="AP253" i="2"/>
  <c r="AP207" i="2"/>
  <c r="AP277" i="2"/>
  <c r="AP254" i="2"/>
  <c r="AP210" i="2"/>
  <c r="AP211" i="2"/>
  <c r="AP280" i="2"/>
  <c r="AP213" i="2"/>
  <c r="AP298" i="2"/>
  <c r="AP309" i="2"/>
  <c r="AP321" i="2"/>
  <c r="AP217" i="2"/>
  <c r="AP261" i="2"/>
  <c r="AP212" i="2"/>
  <c r="AP220" i="2"/>
  <c r="AP263" i="2"/>
  <c r="AP222" i="2"/>
  <c r="AP281" i="2"/>
  <c r="AP291" i="2"/>
  <c r="AP264" i="2"/>
  <c r="AP226" i="2"/>
  <c r="AP227" i="2"/>
  <c r="AP250" i="2"/>
  <c r="AP229" i="2"/>
  <c r="AP230" i="2"/>
  <c r="AP231" i="2"/>
  <c r="AP232" i="2"/>
  <c r="AP215" i="2"/>
  <c r="AP283" i="2"/>
  <c r="AP292" i="2"/>
  <c r="AP299" i="2"/>
  <c r="AP315" i="2"/>
  <c r="AP238" i="2"/>
  <c r="AP329" i="2"/>
  <c r="AP342" i="2"/>
  <c r="AP241" i="2"/>
  <c r="AP216" i="2"/>
  <c r="AP266" i="2"/>
  <c r="AP244" i="2"/>
  <c r="AP245" i="2"/>
  <c r="AP246" i="2"/>
  <c r="AP247" i="2"/>
  <c r="AP248" i="2"/>
  <c r="AP249" i="2"/>
  <c r="AP240" i="2"/>
  <c r="AP219" i="2"/>
  <c r="AP252" i="2"/>
  <c r="AP285" i="2"/>
  <c r="AP296" i="2"/>
  <c r="AP255" i="2"/>
  <c r="AP256" i="2"/>
  <c r="AP257" i="2"/>
  <c r="AP297" i="2"/>
  <c r="AP259" i="2"/>
  <c r="AP260" i="2"/>
  <c r="AP324" i="2"/>
  <c r="AP262" i="2"/>
  <c r="AP343" i="2"/>
  <c r="AP202" i="2"/>
  <c r="AP269" i="2"/>
  <c r="AP286" i="2"/>
  <c r="AP267" i="2"/>
  <c r="AP304" i="2"/>
  <c r="AP316" i="2"/>
  <c r="AP327" i="2"/>
  <c r="AP271" i="2"/>
  <c r="AP344" i="2"/>
  <c r="AP204" i="2"/>
  <c r="AP206" i="2"/>
  <c r="AP275" i="2"/>
  <c r="AP276" i="2"/>
  <c r="AP305" i="2"/>
  <c r="AP278" i="2"/>
  <c r="AP279" i="2"/>
  <c r="AP330" i="2"/>
  <c r="AP218" i="2"/>
  <c r="AP282" i="2"/>
  <c r="AP209" i="2"/>
  <c r="AP284" i="2"/>
  <c r="AP208" i="2"/>
  <c r="AP307" i="2"/>
  <c r="AP317" i="2"/>
  <c r="AP288" i="2"/>
  <c r="AP289" i="2"/>
  <c r="AP290" i="2"/>
  <c r="AP258" i="2"/>
  <c r="AP214" i="2"/>
  <c r="AP293" i="2"/>
  <c r="AP294" i="2"/>
  <c r="AP295" i="2"/>
  <c r="AP318" i="2"/>
  <c r="AP274" i="2"/>
  <c r="AP334" i="2"/>
  <c r="AP346" i="2"/>
  <c r="AP300" i="2"/>
  <c r="AP301" i="2"/>
  <c r="AP302" i="2"/>
  <c r="AP303" i="2"/>
  <c r="AP308" i="2"/>
  <c r="AP319" i="2"/>
  <c r="AP306" i="2"/>
  <c r="AP337" i="2"/>
  <c r="AP347" i="2"/>
  <c r="AP265" i="2"/>
  <c r="AP270" i="2"/>
  <c r="AP311" i="2"/>
  <c r="AP312" i="2"/>
  <c r="AP310" i="2"/>
  <c r="AP314" i="2"/>
  <c r="AP328" i="2"/>
  <c r="AP338" i="2"/>
  <c r="AP268" i="2"/>
  <c r="AP272" i="2"/>
  <c r="AP287" i="2"/>
  <c r="AP320" i="2"/>
  <c r="AP313" i="2"/>
  <c r="AP322" i="2"/>
  <c r="AP323" i="2"/>
  <c r="AP340" i="2"/>
  <c r="AP325" i="2"/>
  <c r="AP326" i="2"/>
  <c r="AP221" i="2"/>
  <c r="AP223" i="2"/>
  <c r="AP224" i="2"/>
  <c r="AP225" i="2"/>
  <c r="AP331" i="2"/>
  <c r="AP332" i="2"/>
  <c r="AP333" i="2"/>
  <c r="AP228" i="2"/>
  <c r="AP335" i="2"/>
  <c r="AP336" i="2"/>
  <c r="AP233" i="2"/>
  <c r="AP234" i="2"/>
  <c r="AP339" i="2"/>
  <c r="AP235" i="2"/>
  <c r="AP341" i="2"/>
  <c r="AP236" i="2"/>
  <c r="AP237" i="2"/>
  <c r="AP239" i="2"/>
  <c r="AP345" i="2"/>
  <c r="AP205" i="2"/>
  <c r="AP273" i="2"/>
  <c r="AP348" i="2"/>
  <c r="AQ201" i="2"/>
  <c r="AQ242" i="2"/>
  <c r="AQ203" i="2"/>
  <c r="AQ243" i="2"/>
  <c r="AQ251" i="2"/>
  <c r="AQ253" i="2"/>
  <c r="AQ207" i="2"/>
  <c r="AQ277" i="2"/>
  <c r="AQ254" i="2"/>
  <c r="AQ210" i="2"/>
  <c r="AQ211" i="2"/>
  <c r="AQ280" i="2"/>
  <c r="AQ213" i="2"/>
  <c r="AQ298" i="2"/>
  <c r="AQ309" i="2"/>
  <c r="AQ321" i="2"/>
  <c r="AQ217" i="2"/>
  <c r="AQ261" i="2"/>
  <c r="AQ212" i="2"/>
  <c r="AQ220" i="2"/>
  <c r="AQ263" i="2"/>
  <c r="AQ222" i="2"/>
  <c r="AQ281" i="2"/>
  <c r="AQ291" i="2"/>
  <c r="AQ264" i="2"/>
  <c r="AQ226" i="2"/>
  <c r="AQ227" i="2"/>
  <c r="AQ250" i="2"/>
  <c r="AQ229" i="2"/>
  <c r="AQ230" i="2"/>
  <c r="AQ231" i="2"/>
  <c r="AQ232" i="2"/>
  <c r="AQ215" i="2"/>
  <c r="AQ283" i="2"/>
  <c r="AQ292" i="2"/>
  <c r="AQ299" i="2"/>
  <c r="AQ315" i="2"/>
  <c r="AQ238" i="2"/>
  <c r="AQ329" i="2"/>
  <c r="AQ342" i="2"/>
  <c r="AQ241" i="2"/>
  <c r="AQ216" i="2"/>
  <c r="AQ266" i="2"/>
  <c r="AQ244" i="2"/>
  <c r="AQ245" i="2"/>
  <c r="AQ246" i="2"/>
  <c r="AQ247" i="2"/>
  <c r="AQ248" i="2"/>
  <c r="AQ249" i="2"/>
  <c r="AQ240" i="2"/>
  <c r="AQ219" i="2"/>
  <c r="AQ252" i="2"/>
  <c r="AQ285" i="2"/>
  <c r="AQ296" i="2"/>
  <c r="AQ255" i="2"/>
  <c r="AQ256" i="2"/>
  <c r="AQ257" i="2"/>
  <c r="AQ297" i="2"/>
  <c r="AQ259" i="2"/>
  <c r="AQ260" i="2"/>
  <c r="AQ324" i="2"/>
  <c r="AQ262" i="2"/>
  <c r="AQ343" i="2"/>
  <c r="AQ202" i="2"/>
  <c r="AQ269" i="2"/>
  <c r="AQ286" i="2"/>
  <c r="AQ267" i="2"/>
  <c r="AQ304" i="2"/>
  <c r="AQ316" i="2"/>
  <c r="AQ327" i="2"/>
  <c r="AQ271" i="2"/>
  <c r="AQ344" i="2"/>
  <c r="AQ204" i="2"/>
  <c r="AQ206" i="2"/>
  <c r="AQ275" i="2"/>
  <c r="AQ276" i="2"/>
  <c r="AQ305" i="2"/>
  <c r="AQ278" i="2"/>
  <c r="AQ279" i="2"/>
  <c r="AQ330" i="2"/>
  <c r="AQ218" i="2"/>
  <c r="AQ282" i="2"/>
  <c r="AQ209" i="2"/>
  <c r="AQ284" i="2"/>
  <c r="AQ208" i="2"/>
  <c r="AQ307" i="2"/>
  <c r="AQ317" i="2"/>
  <c r="AQ288" i="2"/>
  <c r="AQ289" i="2"/>
  <c r="AQ290" i="2"/>
  <c r="AQ258" i="2"/>
  <c r="AQ214" i="2"/>
  <c r="AQ293" i="2"/>
  <c r="AQ294" i="2"/>
  <c r="AQ295" i="2"/>
  <c r="AQ318" i="2"/>
  <c r="AQ274" i="2"/>
  <c r="AQ334" i="2"/>
  <c r="AQ346" i="2"/>
  <c r="AQ300" i="2"/>
  <c r="AQ301" i="2"/>
  <c r="AQ302" i="2"/>
  <c r="AQ303" i="2"/>
  <c r="AQ308" i="2"/>
  <c r="AQ319" i="2"/>
  <c r="AQ306" i="2"/>
  <c r="AQ337" i="2"/>
  <c r="AQ347" i="2"/>
  <c r="AQ265" i="2"/>
  <c r="AQ270" i="2"/>
  <c r="AQ311" i="2"/>
  <c r="AQ312" i="2"/>
  <c r="AQ310" i="2"/>
  <c r="AQ314" i="2"/>
  <c r="AQ328" i="2"/>
  <c r="AQ338" i="2"/>
  <c r="AQ268" i="2"/>
  <c r="AQ272" i="2"/>
  <c r="AQ287" i="2"/>
  <c r="AQ320" i="2"/>
  <c r="AQ313" i="2"/>
  <c r="AQ322" i="2"/>
  <c r="AQ323" i="2"/>
  <c r="AQ340" i="2"/>
  <c r="AQ325" i="2"/>
  <c r="AQ326" i="2"/>
  <c r="AQ221" i="2"/>
  <c r="AQ223" i="2"/>
  <c r="AQ224" i="2"/>
  <c r="AQ225" i="2"/>
  <c r="AQ331" i="2"/>
  <c r="AQ332" i="2"/>
  <c r="AQ333" i="2"/>
  <c r="AQ228" i="2"/>
  <c r="AQ335" i="2"/>
  <c r="AQ336" i="2"/>
  <c r="AQ233" i="2"/>
  <c r="AQ234" i="2"/>
  <c r="AQ339" i="2"/>
  <c r="AQ235" i="2"/>
  <c r="AQ341" i="2"/>
  <c r="AQ236" i="2"/>
  <c r="AQ237" i="2"/>
  <c r="AQ239" i="2"/>
  <c r="AQ345" i="2"/>
  <c r="AQ205" i="2"/>
  <c r="AQ273" i="2"/>
  <c r="AQ348" i="2"/>
  <c r="AR201" i="2"/>
  <c r="AR242" i="2"/>
  <c r="AR203" i="2"/>
  <c r="AR243" i="2"/>
  <c r="AR251" i="2"/>
  <c r="AR253" i="2"/>
  <c r="AR207" i="2"/>
  <c r="AR277" i="2"/>
  <c r="AR254" i="2"/>
  <c r="AR210" i="2"/>
  <c r="AR211" i="2"/>
  <c r="AR280" i="2"/>
  <c r="AR213" i="2"/>
  <c r="AR298" i="2"/>
  <c r="AR309" i="2"/>
  <c r="AR321" i="2"/>
  <c r="AR217" i="2"/>
  <c r="AR261" i="2"/>
  <c r="AR212" i="2"/>
  <c r="AR220" i="2"/>
  <c r="AR263" i="2"/>
  <c r="AR222" i="2"/>
  <c r="AR281" i="2"/>
  <c r="AR291" i="2"/>
  <c r="AR264" i="2"/>
  <c r="AR226" i="2"/>
  <c r="AR227" i="2"/>
  <c r="AR250" i="2"/>
  <c r="AR229" i="2"/>
  <c r="AR230" i="2"/>
  <c r="AR231" i="2"/>
  <c r="AR232" i="2"/>
  <c r="AR215" i="2"/>
  <c r="AR283" i="2"/>
  <c r="AR292" i="2"/>
  <c r="AR299" i="2"/>
  <c r="AR315" i="2"/>
  <c r="AR238" i="2"/>
  <c r="AR329" i="2"/>
  <c r="AR342" i="2"/>
  <c r="AR241" i="2"/>
  <c r="AR216" i="2"/>
  <c r="AR266" i="2"/>
  <c r="AR244" i="2"/>
  <c r="AR245" i="2"/>
  <c r="AR246" i="2"/>
  <c r="AR247" i="2"/>
  <c r="AR248" i="2"/>
  <c r="AR249" i="2"/>
  <c r="AR240" i="2"/>
  <c r="AR219" i="2"/>
  <c r="AR252" i="2"/>
  <c r="AR285" i="2"/>
  <c r="AR296" i="2"/>
  <c r="AR255" i="2"/>
  <c r="AR256" i="2"/>
  <c r="AR257" i="2"/>
  <c r="AR297" i="2"/>
  <c r="AR259" i="2"/>
  <c r="AR260" i="2"/>
  <c r="AR324" i="2"/>
  <c r="AR262" i="2"/>
  <c r="AR343" i="2"/>
  <c r="AR202" i="2"/>
  <c r="AR269" i="2"/>
  <c r="AR286" i="2"/>
  <c r="AR267" i="2"/>
  <c r="AR304" i="2"/>
  <c r="AR316" i="2"/>
  <c r="AR327" i="2"/>
  <c r="AR271" i="2"/>
  <c r="AR344" i="2"/>
  <c r="AR204" i="2"/>
  <c r="AR206" i="2"/>
  <c r="AR275" i="2"/>
  <c r="AR276" i="2"/>
  <c r="AR305" i="2"/>
  <c r="AR278" i="2"/>
  <c r="AR279" i="2"/>
  <c r="AR330" i="2"/>
  <c r="AR218" i="2"/>
  <c r="AR282" i="2"/>
  <c r="AR209" i="2"/>
  <c r="AR284" i="2"/>
  <c r="AR208" i="2"/>
  <c r="AR307" i="2"/>
  <c r="AR317" i="2"/>
  <c r="AR288" i="2"/>
  <c r="AR289" i="2"/>
  <c r="AR290" i="2"/>
  <c r="AR258" i="2"/>
  <c r="AR214" i="2"/>
  <c r="AR293" i="2"/>
  <c r="AR294" i="2"/>
  <c r="AR295" i="2"/>
  <c r="AR318" i="2"/>
  <c r="AR274" i="2"/>
  <c r="AR334" i="2"/>
  <c r="AR346" i="2"/>
  <c r="AR300" i="2"/>
  <c r="AR301" i="2"/>
  <c r="AR302" i="2"/>
  <c r="AR303" i="2"/>
  <c r="AR308" i="2"/>
  <c r="AR319" i="2"/>
  <c r="AR306" i="2"/>
  <c r="AR337" i="2"/>
  <c r="AR347" i="2"/>
  <c r="AR265" i="2"/>
  <c r="AR270" i="2"/>
  <c r="AR311" i="2"/>
  <c r="AR312" i="2"/>
  <c r="AR310" i="2"/>
  <c r="AR314" i="2"/>
  <c r="AR328" i="2"/>
  <c r="AR338" i="2"/>
  <c r="AR268" i="2"/>
  <c r="AR272" i="2"/>
  <c r="AR287" i="2"/>
  <c r="AR320" i="2"/>
  <c r="AR313" i="2"/>
  <c r="AR322" i="2"/>
  <c r="AR323" i="2"/>
  <c r="AR340" i="2"/>
  <c r="AR325" i="2"/>
  <c r="AR326" i="2"/>
  <c r="AR221" i="2"/>
  <c r="AR223" i="2"/>
  <c r="AR224" i="2"/>
  <c r="AR225" i="2"/>
  <c r="AR331" i="2"/>
  <c r="AR332" i="2"/>
  <c r="AR333" i="2"/>
  <c r="AR228" i="2"/>
  <c r="AR335" i="2"/>
  <c r="AR336" i="2"/>
  <c r="AR233" i="2"/>
  <c r="AR234" i="2"/>
  <c r="AR339" i="2"/>
  <c r="AR235" i="2"/>
  <c r="AR341" i="2"/>
  <c r="AR236" i="2"/>
  <c r="AR237" i="2"/>
  <c r="AR239" i="2"/>
  <c r="AR345" i="2"/>
  <c r="AR205" i="2"/>
  <c r="AR273" i="2"/>
  <c r="AR348" i="2"/>
  <c r="AS201" i="2"/>
  <c r="AS242" i="2"/>
  <c r="AS203" i="2"/>
  <c r="AS243" i="2"/>
  <c r="AS251" i="2"/>
  <c r="AS253" i="2"/>
  <c r="AS207" i="2"/>
  <c r="AS277" i="2"/>
  <c r="AS254" i="2"/>
  <c r="AS210" i="2"/>
  <c r="AS211" i="2"/>
  <c r="AS280" i="2"/>
  <c r="AS213" i="2"/>
  <c r="AS298" i="2"/>
  <c r="AS309" i="2"/>
  <c r="AS321" i="2"/>
  <c r="AS217" i="2"/>
  <c r="AS261" i="2"/>
  <c r="AS212" i="2"/>
  <c r="AS220" i="2"/>
  <c r="AS263" i="2"/>
  <c r="AS222" i="2"/>
  <c r="AS281" i="2"/>
  <c r="AS291" i="2"/>
  <c r="AS264" i="2"/>
  <c r="AS226" i="2"/>
  <c r="AS227" i="2"/>
  <c r="AS250" i="2"/>
  <c r="AS229" i="2"/>
  <c r="AS230" i="2"/>
  <c r="AS231" i="2"/>
  <c r="AS232" i="2"/>
  <c r="AS215" i="2"/>
  <c r="AS283" i="2"/>
  <c r="AS292" i="2"/>
  <c r="AS299" i="2"/>
  <c r="AS315" i="2"/>
  <c r="AS238" i="2"/>
  <c r="AS329" i="2"/>
  <c r="AS342" i="2"/>
  <c r="AS241" i="2"/>
  <c r="AS216" i="2"/>
  <c r="AS266" i="2"/>
  <c r="AS244" i="2"/>
  <c r="AS245" i="2"/>
  <c r="AS246" i="2"/>
  <c r="AS247" i="2"/>
  <c r="AS248" i="2"/>
  <c r="AS249" i="2"/>
  <c r="AS240" i="2"/>
  <c r="AS219" i="2"/>
  <c r="AS252" i="2"/>
  <c r="AS285" i="2"/>
  <c r="AS296" i="2"/>
  <c r="AS255" i="2"/>
  <c r="AS256" i="2"/>
  <c r="AS257" i="2"/>
  <c r="AS297" i="2"/>
  <c r="AS259" i="2"/>
  <c r="AS260" i="2"/>
  <c r="AS324" i="2"/>
  <c r="AS262" i="2"/>
  <c r="AS343" i="2"/>
  <c r="AS202" i="2"/>
  <c r="AS269" i="2"/>
  <c r="AS286" i="2"/>
  <c r="AS267" i="2"/>
  <c r="AS304" i="2"/>
  <c r="AS316" i="2"/>
  <c r="AS327" i="2"/>
  <c r="AS271" i="2"/>
  <c r="AS344" i="2"/>
  <c r="AS204" i="2"/>
  <c r="AS206" i="2"/>
  <c r="AS275" i="2"/>
  <c r="AS276" i="2"/>
  <c r="AS305" i="2"/>
  <c r="AS278" i="2"/>
  <c r="AS279" i="2"/>
  <c r="AS330" i="2"/>
  <c r="AS218" i="2"/>
  <c r="AS282" i="2"/>
  <c r="AS209" i="2"/>
  <c r="AS284" i="2"/>
  <c r="AS208" i="2"/>
  <c r="AS307" i="2"/>
  <c r="AS317" i="2"/>
  <c r="AS288" i="2"/>
  <c r="AS289" i="2"/>
  <c r="AS290" i="2"/>
  <c r="AS258" i="2"/>
  <c r="AS214" i="2"/>
  <c r="AS293" i="2"/>
  <c r="AS294" i="2"/>
  <c r="AS295" i="2"/>
  <c r="AS318" i="2"/>
  <c r="AS274" i="2"/>
  <c r="AS334" i="2"/>
  <c r="AS346" i="2"/>
  <c r="AS300" i="2"/>
  <c r="AS301" i="2"/>
  <c r="AS302" i="2"/>
  <c r="AS303" i="2"/>
  <c r="AS308" i="2"/>
  <c r="AS319" i="2"/>
  <c r="AS306" i="2"/>
  <c r="AS337" i="2"/>
  <c r="AS347" i="2"/>
  <c r="AS265" i="2"/>
  <c r="AS270" i="2"/>
  <c r="AS311" i="2"/>
  <c r="AS312" i="2"/>
  <c r="AS310" i="2"/>
  <c r="AS314" i="2"/>
  <c r="AS328" i="2"/>
  <c r="AS338" i="2"/>
  <c r="AS268" i="2"/>
  <c r="AS272" i="2"/>
  <c r="AS287" i="2"/>
  <c r="AS320" i="2"/>
  <c r="AS313" i="2"/>
  <c r="AS322" i="2"/>
  <c r="AS323" i="2"/>
  <c r="AS340" i="2"/>
  <c r="AS325" i="2"/>
  <c r="AS326" i="2"/>
  <c r="AS221" i="2"/>
  <c r="AS223" i="2"/>
  <c r="AS224" i="2"/>
  <c r="AS225" i="2"/>
  <c r="AS331" i="2"/>
  <c r="AS332" i="2"/>
  <c r="AS333" i="2"/>
  <c r="AS228" i="2"/>
  <c r="AS335" i="2"/>
  <c r="AS336" i="2"/>
  <c r="AS233" i="2"/>
  <c r="AS234" i="2"/>
  <c r="AS339" i="2"/>
  <c r="AS235" i="2"/>
  <c r="AS341" i="2"/>
  <c r="AS236" i="2"/>
  <c r="AS237" i="2"/>
  <c r="AS239" i="2"/>
  <c r="AS345" i="2"/>
  <c r="AS205" i="2"/>
  <c r="AS273" i="2"/>
  <c r="AS348" i="2"/>
  <c r="AT201" i="2"/>
  <c r="AT242" i="2"/>
  <c r="AT203" i="2"/>
  <c r="AT243" i="2"/>
  <c r="AT251" i="2"/>
  <c r="AT253" i="2"/>
  <c r="AT207" i="2"/>
  <c r="AT277" i="2"/>
  <c r="AT254" i="2"/>
  <c r="AT210" i="2"/>
  <c r="AT211" i="2"/>
  <c r="AT280" i="2"/>
  <c r="AT213" i="2"/>
  <c r="AT298" i="2"/>
  <c r="AT309" i="2"/>
  <c r="AT321" i="2"/>
  <c r="AT217" i="2"/>
  <c r="AT261" i="2"/>
  <c r="AT212" i="2"/>
  <c r="AT220" i="2"/>
  <c r="AT263" i="2"/>
  <c r="AT222" i="2"/>
  <c r="AT281" i="2"/>
  <c r="AT291" i="2"/>
  <c r="AT264" i="2"/>
  <c r="AT226" i="2"/>
  <c r="AT227" i="2"/>
  <c r="AT250" i="2"/>
  <c r="AT229" i="2"/>
  <c r="AT230" i="2"/>
  <c r="AT231" i="2"/>
  <c r="AT232" i="2"/>
  <c r="AT215" i="2"/>
  <c r="AT283" i="2"/>
  <c r="AT292" i="2"/>
  <c r="AT299" i="2"/>
  <c r="AT315" i="2"/>
  <c r="AT238" i="2"/>
  <c r="AT329" i="2"/>
  <c r="AT342" i="2"/>
  <c r="AT241" i="2"/>
  <c r="AT216" i="2"/>
  <c r="AT266" i="2"/>
  <c r="AT244" i="2"/>
  <c r="AT245" i="2"/>
  <c r="AT246" i="2"/>
  <c r="AT247" i="2"/>
  <c r="AT248" i="2"/>
  <c r="AT249" i="2"/>
  <c r="AT240" i="2"/>
  <c r="AT219" i="2"/>
  <c r="AT252" i="2"/>
  <c r="AT285" i="2"/>
  <c r="AT296" i="2"/>
  <c r="AT255" i="2"/>
  <c r="AT256" i="2"/>
  <c r="AT257" i="2"/>
  <c r="AT297" i="2"/>
  <c r="AT259" i="2"/>
  <c r="AT260" i="2"/>
  <c r="AT324" i="2"/>
  <c r="AT262" i="2"/>
  <c r="AT343" i="2"/>
  <c r="AT202" i="2"/>
  <c r="AT269" i="2"/>
  <c r="AT286" i="2"/>
  <c r="AT267" i="2"/>
  <c r="AT304" i="2"/>
  <c r="AT316" i="2"/>
  <c r="AT327" i="2"/>
  <c r="AT271" i="2"/>
  <c r="AT344" i="2"/>
  <c r="AT204" i="2"/>
  <c r="AT206" i="2"/>
  <c r="AT275" i="2"/>
  <c r="AT276" i="2"/>
  <c r="AT305" i="2"/>
  <c r="AT278" i="2"/>
  <c r="AT279" i="2"/>
  <c r="AT330" i="2"/>
  <c r="AT218" i="2"/>
  <c r="AT282" i="2"/>
  <c r="AT209" i="2"/>
  <c r="AT284" i="2"/>
  <c r="AT208" i="2"/>
  <c r="AT307" i="2"/>
  <c r="AT317" i="2"/>
  <c r="AT288" i="2"/>
  <c r="AT289" i="2"/>
  <c r="AT290" i="2"/>
  <c r="AT258" i="2"/>
  <c r="AT214" i="2"/>
  <c r="AT293" i="2"/>
  <c r="AT294" i="2"/>
  <c r="AT295" i="2"/>
  <c r="AT318" i="2"/>
  <c r="AT274" i="2"/>
  <c r="AT334" i="2"/>
  <c r="AT346" i="2"/>
  <c r="AT300" i="2"/>
  <c r="AT301" i="2"/>
  <c r="AT302" i="2"/>
  <c r="AT303" i="2"/>
  <c r="AT308" i="2"/>
  <c r="AT319" i="2"/>
  <c r="AT306" i="2"/>
  <c r="AT337" i="2"/>
  <c r="AT347" i="2"/>
  <c r="AT265" i="2"/>
  <c r="AT270" i="2"/>
  <c r="AT311" i="2"/>
  <c r="AT312" i="2"/>
  <c r="AT310" i="2"/>
  <c r="AT314" i="2"/>
  <c r="AT328" i="2"/>
  <c r="AT338" i="2"/>
  <c r="AT268" i="2"/>
  <c r="AT272" i="2"/>
  <c r="AT287" i="2"/>
  <c r="AT320" i="2"/>
  <c r="AT313" i="2"/>
  <c r="AT322" i="2"/>
  <c r="AT323" i="2"/>
  <c r="AT340" i="2"/>
  <c r="AT325" i="2"/>
  <c r="AT326" i="2"/>
  <c r="AT221" i="2"/>
  <c r="AT223" i="2"/>
  <c r="AT224" i="2"/>
  <c r="AT225" i="2"/>
  <c r="AT331" i="2"/>
  <c r="AT332" i="2"/>
  <c r="AT333" i="2"/>
  <c r="AT228" i="2"/>
  <c r="AT335" i="2"/>
  <c r="AT336" i="2"/>
  <c r="AT233" i="2"/>
  <c r="AT234" i="2"/>
  <c r="AT339" i="2"/>
  <c r="AT235" i="2"/>
  <c r="AT341" i="2"/>
  <c r="AT236" i="2"/>
  <c r="AT237" i="2"/>
  <c r="AT239" i="2"/>
  <c r="AT345" i="2"/>
  <c r="AT205" i="2"/>
  <c r="AT273" i="2"/>
  <c r="AT348" i="2"/>
  <c r="AK192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78" i="2"/>
  <c r="AO79" i="2"/>
  <c r="AO80" i="2"/>
  <c r="AO81" i="2"/>
  <c r="AO82" i="2"/>
  <c r="AO83" i="2"/>
  <c r="AO84" i="2"/>
  <c r="AO85" i="2"/>
  <c r="AO86" i="2"/>
  <c r="AO87" i="2"/>
  <c r="AO88" i="2"/>
  <c r="AO89" i="2"/>
  <c r="AO90" i="2"/>
  <c r="AO91" i="2"/>
  <c r="AO92" i="2"/>
  <c r="AO93" i="2"/>
  <c r="AO94" i="2"/>
  <c r="AO95" i="2"/>
  <c r="AO96" i="2"/>
  <c r="AO97" i="2"/>
  <c r="AO98" i="2"/>
  <c r="AO99" i="2"/>
  <c r="AO100" i="2"/>
  <c r="AO101" i="2"/>
  <c r="AO102" i="2"/>
  <c r="AO103" i="2"/>
  <c r="AO104" i="2"/>
  <c r="AO105" i="2"/>
  <c r="AO106" i="2"/>
  <c r="AO107" i="2"/>
  <c r="AO108" i="2"/>
  <c r="AO109" i="2"/>
  <c r="AO110" i="2"/>
  <c r="AO111" i="2"/>
  <c r="AO112" i="2"/>
  <c r="AO113" i="2"/>
  <c r="AO114" i="2"/>
  <c r="AO115" i="2"/>
  <c r="AO116" i="2"/>
  <c r="AO117" i="2"/>
  <c r="AO118" i="2"/>
  <c r="AO119" i="2"/>
  <c r="AO120" i="2"/>
  <c r="AO121" i="2"/>
  <c r="AO122" i="2"/>
  <c r="AO123" i="2"/>
  <c r="AO124" i="2"/>
  <c r="AO125" i="2"/>
  <c r="AO126" i="2"/>
  <c r="AO127" i="2"/>
  <c r="AO128" i="2"/>
  <c r="AO129" i="2"/>
  <c r="AO130" i="2"/>
  <c r="AO131" i="2"/>
  <c r="AO132" i="2"/>
  <c r="AO133" i="2"/>
  <c r="AO134" i="2"/>
  <c r="AO135" i="2"/>
  <c r="AO136" i="2"/>
  <c r="AO137" i="2"/>
  <c r="AO138" i="2"/>
  <c r="AO139" i="2"/>
  <c r="AO140" i="2"/>
  <c r="AO141" i="2"/>
  <c r="AO142" i="2"/>
  <c r="AO143" i="2"/>
  <c r="AO144" i="2"/>
  <c r="AO145" i="2"/>
  <c r="AO146" i="2"/>
  <c r="AO147" i="2"/>
  <c r="AO148" i="2"/>
  <c r="AO149" i="2"/>
  <c r="AO150" i="2"/>
  <c r="AO151" i="2"/>
  <c r="AO152" i="2"/>
  <c r="AO153" i="2"/>
  <c r="AO154" i="2"/>
  <c r="AO155" i="2"/>
  <c r="AO156" i="2"/>
  <c r="AO157" i="2"/>
  <c r="AO158" i="2"/>
  <c r="AO159" i="2"/>
  <c r="AO160" i="2"/>
  <c r="AO161" i="2"/>
  <c r="AO162" i="2"/>
  <c r="AO163" i="2"/>
  <c r="AO164" i="2"/>
  <c r="AO165" i="2"/>
  <c r="AO166" i="2"/>
  <c r="AO167" i="2"/>
  <c r="AO168" i="2"/>
  <c r="AO169" i="2"/>
  <c r="AO170" i="2"/>
  <c r="AO171" i="2"/>
  <c r="AO172" i="2"/>
  <c r="AO173" i="2"/>
  <c r="AO174" i="2"/>
  <c r="AO175" i="2"/>
  <c r="AO176" i="2"/>
  <c r="AO177" i="2"/>
  <c r="AO178" i="2"/>
  <c r="AO179" i="2"/>
  <c r="AO180" i="2"/>
  <c r="AO181" i="2"/>
  <c r="AO182" i="2"/>
  <c r="AO183" i="2"/>
  <c r="AO184" i="2"/>
  <c r="AO185" i="2"/>
  <c r="AO186" i="2"/>
  <c r="AO187" i="2"/>
  <c r="AO188" i="2"/>
  <c r="AO189" i="2"/>
  <c r="AO190" i="2"/>
  <c r="AO191" i="2"/>
  <c r="AO192" i="2"/>
  <c r="AO193" i="2"/>
  <c r="AO194" i="2"/>
  <c r="AO195" i="2"/>
  <c r="AO196" i="2"/>
  <c r="AO197" i="2"/>
  <c r="AO198" i="2"/>
  <c r="AO199" i="2"/>
  <c r="AO200" i="2"/>
  <c r="AP65" i="2"/>
  <c r="AP66" i="2"/>
  <c r="AP67" i="2"/>
  <c r="AP68" i="2"/>
  <c r="AP69" i="2"/>
  <c r="AP70" i="2"/>
  <c r="AP71" i="2"/>
  <c r="AP72" i="2"/>
  <c r="AP73" i="2"/>
  <c r="AP74" i="2"/>
  <c r="AP75" i="2"/>
  <c r="AP76" i="2"/>
  <c r="AP77" i="2"/>
  <c r="AP78" i="2"/>
  <c r="AP79" i="2"/>
  <c r="AP80" i="2"/>
  <c r="AP81" i="2"/>
  <c r="AP82" i="2"/>
  <c r="AP83" i="2"/>
  <c r="AP84" i="2"/>
  <c r="AP85" i="2"/>
  <c r="AP86" i="2"/>
  <c r="AP87" i="2"/>
  <c r="AP88" i="2"/>
  <c r="AP89" i="2"/>
  <c r="AP90" i="2"/>
  <c r="AP91" i="2"/>
  <c r="AP92" i="2"/>
  <c r="AP93" i="2"/>
  <c r="AP94" i="2"/>
  <c r="AP95" i="2"/>
  <c r="AP96" i="2"/>
  <c r="AP97" i="2"/>
  <c r="AP98" i="2"/>
  <c r="AP99" i="2"/>
  <c r="AP100" i="2"/>
  <c r="AP101" i="2"/>
  <c r="AP102" i="2"/>
  <c r="AP103" i="2"/>
  <c r="AP104" i="2"/>
  <c r="AP105" i="2"/>
  <c r="AP106" i="2"/>
  <c r="AP107" i="2"/>
  <c r="AP108" i="2"/>
  <c r="AP109" i="2"/>
  <c r="AP110" i="2"/>
  <c r="AP111" i="2"/>
  <c r="AP112" i="2"/>
  <c r="AP113" i="2"/>
  <c r="AP114" i="2"/>
  <c r="AP115" i="2"/>
  <c r="AP116" i="2"/>
  <c r="AP117" i="2"/>
  <c r="AP118" i="2"/>
  <c r="AP119" i="2"/>
  <c r="AP120" i="2"/>
  <c r="AP121" i="2"/>
  <c r="AP122" i="2"/>
  <c r="AP123" i="2"/>
  <c r="AP124" i="2"/>
  <c r="AP125" i="2"/>
  <c r="AP126" i="2"/>
  <c r="AP127" i="2"/>
  <c r="AP128" i="2"/>
  <c r="AP129" i="2"/>
  <c r="AP130" i="2"/>
  <c r="AP131" i="2"/>
  <c r="AP132" i="2"/>
  <c r="AP133" i="2"/>
  <c r="AP134" i="2"/>
  <c r="AP135" i="2"/>
  <c r="AP136" i="2"/>
  <c r="AP137" i="2"/>
  <c r="AP138" i="2"/>
  <c r="AP139" i="2"/>
  <c r="AP140" i="2"/>
  <c r="AP141" i="2"/>
  <c r="AP142" i="2"/>
  <c r="AP143" i="2"/>
  <c r="AP144" i="2"/>
  <c r="AP145" i="2"/>
  <c r="AP146" i="2"/>
  <c r="AP147" i="2"/>
  <c r="AP148" i="2"/>
  <c r="AP149" i="2"/>
  <c r="AP150" i="2"/>
  <c r="AP151" i="2"/>
  <c r="AP152" i="2"/>
  <c r="AP153" i="2"/>
  <c r="AP154" i="2"/>
  <c r="AP155" i="2"/>
  <c r="AP156" i="2"/>
  <c r="AP157" i="2"/>
  <c r="AP158" i="2"/>
  <c r="AP159" i="2"/>
  <c r="AP160" i="2"/>
  <c r="AP161" i="2"/>
  <c r="AP162" i="2"/>
  <c r="AP163" i="2"/>
  <c r="AP164" i="2"/>
  <c r="AP165" i="2"/>
  <c r="AP166" i="2"/>
  <c r="AP167" i="2"/>
  <c r="AP168" i="2"/>
  <c r="AP169" i="2"/>
  <c r="AP170" i="2"/>
  <c r="AP171" i="2"/>
  <c r="AP172" i="2"/>
  <c r="AP173" i="2"/>
  <c r="AP174" i="2"/>
  <c r="AP175" i="2"/>
  <c r="AP176" i="2"/>
  <c r="AP177" i="2"/>
  <c r="AP178" i="2"/>
  <c r="AP179" i="2"/>
  <c r="AP180" i="2"/>
  <c r="AP181" i="2"/>
  <c r="AP182" i="2"/>
  <c r="AP183" i="2"/>
  <c r="AP184" i="2"/>
  <c r="AP185" i="2"/>
  <c r="AP186" i="2"/>
  <c r="AP187" i="2"/>
  <c r="AP188" i="2"/>
  <c r="AP189" i="2"/>
  <c r="AP190" i="2"/>
  <c r="AP191" i="2"/>
  <c r="AP192" i="2"/>
  <c r="AP193" i="2"/>
  <c r="AP194" i="2"/>
  <c r="AP195" i="2"/>
  <c r="AP196" i="2"/>
  <c r="AP197" i="2"/>
  <c r="AP198" i="2"/>
  <c r="AP199" i="2"/>
  <c r="AP200" i="2"/>
  <c r="AQ65" i="2"/>
  <c r="AQ66" i="2"/>
  <c r="AQ67" i="2"/>
  <c r="AQ68" i="2"/>
  <c r="AQ69" i="2"/>
  <c r="AQ70" i="2"/>
  <c r="AQ71" i="2"/>
  <c r="AQ72" i="2"/>
  <c r="AQ73" i="2"/>
  <c r="AQ74" i="2"/>
  <c r="AQ75" i="2"/>
  <c r="AQ76" i="2"/>
  <c r="AQ77" i="2"/>
  <c r="AQ78" i="2"/>
  <c r="AQ79" i="2"/>
  <c r="AQ80" i="2"/>
  <c r="AQ81" i="2"/>
  <c r="AQ82" i="2"/>
  <c r="AQ83" i="2"/>
  <c r="AQ84" i="2"/>
  <c r="AQ85" i="2"/>
  <c r="AQ86" i="2"/>
  <c r="AQ87" i="2"/>
  <c r="AQ88" i="2"/>
  <c r="AQ89" i="2"/>
  <c r="AQ90" i="2"/>
  <c r="AQ91" i="2"/>
  <c r="AQ92" i="2"/>
  <c r="AQ93" i="2"/>
  <c r="AQ94" i="2"/>
  <c r="AQ95" i="2"/>
  <c r="AQ96" i="2"/>
  <c r="AQ97" i="2"/>
  <c r="AQ98" i="2"/>
  <c r="AQ99" i="2"/>
  <c r="AQ100" i="2"/>
  <c r="AQ101" i="2"/>
  <c r="AQ102" i="2"/>
  <c r="AQ103" i="2"/>
  <c r="AQ104" i="2"/>
  <c r="AQ105" i="2"/>
  <c r="AQ106" i="2"/>
  <c r="AQ107" i="2"/>
  <c r="AQ108" i="2"/>
  <c r="AQ109" i="2"/>
  <c r="AQ110" i="2"/>
  <c r="AQ111" i="2"/>
  <c r="AQ112" i="2"/>
  <c r="AQ113" i="2"/>
  <c r="AQ114" i="2"/>
  <c r="AQ115" i="2"/>
  <c r="AQ116" i="2"/>
  <c r="AQ117" i="2"/>
  <c r="AQ118" i="2"/>
  <c r="AQ119" i="2"/>
  <c r="AQ120" i="2"/>
  <c r="AQ121" i="2"/>
  <c r="AQ122" i="2"/>
  <c r="AQ123" i="2"/>
  <c r="AQ124" i="2"/>
  <c r="AQ125" i="2"/>
  <c r="AQ126" i="2"/>
  <c r="AQ127" i="2"/>
  <c r="AQ128" i="2"/>
  <c r="AQ129" i="2"/>
  <c r="AQ130" i="2"/>
  <c r="AQ131" i="2"/>
  <c r="AQ132" i="2"/>
  <c r="AQ133" i="2"/>
  <c r="AQ134" i="2"/>
  <c r="AQ135" i="2"/>
  <c r="AQ136" i="2"/>
  <c r="AQ137" i="2"/>
  <c r="AQ138" i="2"/>
  <c r="AQ139" i="2"/>
  <c r="AQ140" i="2"/>
  <c r="AQ141" i="2"/>
  <c r="AQ142" i="2"/>
  <c r="AQ143" i="2"/>
  <c r="AQ144" i="2"/>
  <c r="AQ145" i="2"/>
  <c r="AQ146" i="2"/>
  <c r="AQ147" i="2"/>
  <c r="AQ148" i="2"/>
  <c r="AQ149" i="2"/>
  <c r="AQ150" i="2"/>
  <c r="AQ151" i="2"/>
  <c r="AQ152" i="2"/>
  <c r="AQ153" i="2"/>
  <c r="AQ154" i="2"/>
  <c r="AQ155" i="2"/>
  <c r="AQ156" i="2"/>
  <c r="AQ157" i="2"/>
  <c r="AQ158" i="2"/>
  <c r="AQ159" i="2"/>
  <c r="AQ160" i="2"/>
  <c r="AQ161" i="2"/>
  <c r="AQ162" i="2"/>
  <c r="AQ163" i="2"/>
  <c r="AQ164" i="2"/>
  <c r="AQ165" i="2"/>
  <c r="AQ166" i="2"/>
  <c r="AQ167" i="2"/>
  <c r="AQ168" i="2"/>
  <c r="AQ169" i="2"/>
  <c r="AQ170" i="2"/>
  <c r="AQ171" i="2"/>
  <c r="AQ172" i="2"/>
  <c r="AQ173" i="2"/>
  <c r="AQ174" i="2"/>
  <c r="AQ175" i="2"/>
  <c r="AQ176" i="2"/>
  <c r="AQ177" i="2"/>
  <c r="AQ178" i="2"/>
  <c r="AQ179" i="2"/>
  <c r="AQ180" i="2"/>
  <c r="AQ181" i="2"/>
  <c r="AQ182" i="2"/>
  <c r="AQ183" i="2"/>
  <c r="AQ184" i="2"/>
  <c r="AQ185" i="2"/>
  <c r="AQ186" i="2"/>
  <c r="AQ187" i="2"/>
  <c r="AQ188" i="2"/>
  <c r="AQ189" i="2"/>
  <c r="AQ190" i="2"/>
  <c r="AQ191" i="2"/>
  <c r="AQ192" i="2"/>
  <c r="AQ193" i="2"/>
  <c r="AQ194" i="2"/>
  <c r="AQ195" i="2"/>
  <c r="AQ196" i="2"/>
  <c r="AQ197" i="2"/>
  <c r="AQ198" i="2"/>
  <c r="AQ199" i="2"/>
  <c r="AQ200" i="2"/>
  <c r="AR65" i="2"/>
  <c r="AR66" i="2"/>
  <c r="AR67" i="2"/>
  <c r="AR68" i="2"/>
  <c r="AR69" i="2"/>
  <c r="AR70" i="2"/>
  <c r="AR71" i="2"/>
  <c r="AR72" i="2"/>
  <c r="AR73" i="2"/>
  <c r="AR74" i="2"/>
  <c r="AR75" i="2"/>
  <c r="AR76" i="2"/>
  <c r="AR77" i="2"/>
  <c r="AR78" i="2"/>
  <c r="AR79" i="2"/>
  <c r="AR80" i="2"/>
  <c r="AR81" i="2"/>
  <c r="AR82" i="2"/>
  <c r="AR83" i="2"/>
  <c r="AR84" i="2"/>
  <c r="AR85" i="2"/>
  <c r="AR86" i="2"/>
  <c r="AR87" i="2"/>
  <c r="AR88" i="2"/>
  <c r="AR89" i="2"/>
  <c r="AR90" i="2"/>
  <c r="AR91" i="2"/>
  <c r="AR92" i="2"/>
  <c r="AR93" i="2"/>
  <c r="AR94" i="2"/>
  <c r="AR95" i="2"/>
  <c r="AR96" i="2"/>
  <c r="AR97" i="2"/>
  <c r="AR98" i="2"/>
  <c r="AR99" i="2"/>
  <c r="AR100" i="2"/>
  <c r="AR101" i="2"/>
  <c r="AR102" i="2"/>
  <c r="AR103" i="2"/>
  <c r="AR104" i="2"/>
  <c r="AR105" i="2"/>
  <c r="AR106" i="2"/>
  <c r="AR107" i="2"/>
  <c r="AR108" i="2"/>
  <c r="AR109" i="2"/>
  <c r="AR110" i="2"/>
  <c r="AR111" i="2"/>
  <c r="AR112" i="2"/>
  <c r="AR113" i="2"/>
  <c r="AR114" i="2"/>
  <c r="AR115" i="2"/>
  <c r="AR116" i="2"/>
  <c r="AR117" i="2"/>
  <c r="AR118" i="2"/>
  <c r="AR119" i="2"/>
  <c r="AR120" i="2"/>
  <c r="AR121" i="2"/>
  <c r="AR122" i="2"/>
  <c r="AR123" i="2"/>
  <c r="AR124" i="2"/>
  <c r="AR125" i="2"/>
  <c r="AR126" i="2"/>
  <c r="AR127" i="2"/>
  <c r="AR128" i="2"/>
  <c r="AR129" i="2"/>
  <c r="AR130" i="2"/>
  <c r="AR131" i="2"/>
  <c r="AR132" i="2"/>
  <c r="AR133" i="2"/>
  <c r="AR134" i="2"/>
  <c r="AR135" i="2"/>
  <c r="AR136" i="2"/>
  <c r="AR137" i="2"/>
  <c r="AR138" i="2"/>
  <c r="AR139" i="2"/>
  <c r="AR140" i="2"/>
  <c r="AR141" i="2"/>
  <c r="AR142" i="2"/>
  <c r="AR143" i="2"/>
  <c r="AR144" i="2"/>
  <c r="AR145" i="2"/>
  <c r="AR146" i="2"/>
  <c r="AR147" i="2"/>
  <c r="AR148" i="2"/>
  <c r="AR149" i="2"/>
  <c r="AR150" i="2"/>
  <c r="AR151" i="2"/>
  <c r="AR152" i="2"/>
  <c r="AR153" i="2"/>
  <c r="AR154" i="2"/>
  <c r="AR155" i="2"/>
  <c r="AR156" i="2"/>
  <c r="AR157" i="2"/>
  <c r="AR158" i="2"/>
  <c r="AR159" i="2"/>
  <c r="AR160" i="2"/>
  <c r="AR161" i="2"/>
  <c r="AR162" i="2"/>
  <c r="AR163" i="2"/>
  <c r="AR164" i="2"/>
  <c r="AR165" i="2"/>
  <c r="AR166" i="2"/>
  <c r="AR167" i="2"/>
  <c r="AR168" i="2"/>
  <c r="AR169" i="2"/>
  <c r="AR170" i="2"/>
  <c r="AR171" i="2"/>
  <c r="AR172" i="2"/>
  <c r="AR173" i="2"/>
  <c r="AR174" i="2"/>
  <c r="AR175" i="2"/>
  <c r="AR176" i="2"/>
  <c r="AR177" i="2"/>
  <c r="AR178" i="2"/>
  <c r="AR179" i="2"/>
  <c r="AR180" i="2"/>
  <c r="AR181" i="2"/>
  <c r="AR182" i="2"/>
  <c r="AR183" i="2"/>
  <c r="AR184" i="2"/>
  <c r="AR185" i="2"/>
  <c r="AR186" i="2"/>
  <c r="AR187" i="2"/>
  <c r="AR188" i="2"/>
  <c r="AR189" i="2"/>
  <c r="AR190" i="2"/>
  <c r="AR191" i="2"/>
  <c r="AR192" i="2"/>
  <c r="AR193" i="2"/>
  <c r="AR194" i="2"/>
  <c r="AR195" i="2"/>
  <c r="AR196" i="2"/>
  <c r="AR197" i="2"/>
  <c r="AR198" i="2"/>
  <c r="AR199" i="2"/>
  <c r="AR200" i="2"/>
  <c r="AS65" i="2"/>
  <c r="AS66" i="2"/>
  <c r="AS67" i="2"/>
  <c r="AS68" i="2"/>
  <c r="AS69" i="2"/>
  <c r="AS70" i="2"/>
  <c r="AS71" i="2"/>
  <c r="AS72" i="2"/>
  <c r="AS73" i="2"/>
  <c r="AS74" i="2"/>
  <c r="AS75" i="2"/>
  <c r="AS76" i="2"/>
  <c r="AS77" i="2"/>
  <c r="AS78" i="2"/>
  <c r="AS79" i="2"/>
  <c r="AS80" i="2"/>
  <c r="AS81" i="2"/>
  <c r="AS82" i="2"/>
  <c r="AS83" i="2"/>
  <c r="AS84" i="2"/>
  <c r="AS85" i="2"/>
  <c r="AS86" i="2"/>
  <c r="AS87" i="2"/>
  <c r="AS88" i="2"/>
  <c r="AS89" i="2"/>
  <c r="AS90" i="2"/>
  <c r="AS91" i="2"/>
  <c r="AS92" i="2"/>
  <c r="AS93" i="2"/>
  <c r="AS94" i="2"/>
  <c r="AS95" i="2"/>
  <c r="AS96" i="2"/>
  <c r="AS97" i="2"/>
  <c r="AS98" i="2"/>
  <c r="AS99" i="2"/>
  <c r="AS100" i="2"/>
  <c r="AS101" i="2"/>
  <c r="AS102" i="2"/>
  <c r="AS103" i="2"/>
  <c r="AS104" i="2"/>
  <c r="AS105" i="2"/>
  <c r="AS106" i="2"/>
  <c r="AS107" i="2"/>
  <c r="AS108" i="2"/>
  <c r="AS109" i="2"/>
  <c r="AS110" i="2"/>
  <c r="AS111" i="2"/>
  <c r="AS112" i="2"/>
  <c r="AS113" i="2"/>
  <c r="AS114" i="2"/>
  <c r="AS115" i="2"/>
  <c r="AS116" i="2"/>
  <c r="AS117" i="2"/>
  <c r="AS118" i="2"/>
  <c r="AS119" i="2"/>
  <c r="AS120" i="2"/>
  <c r="AS121" i="2"/>
  <c r="AS122" i="2"/>
  <c r="AS123" i="2"/>
  <c r="AS124" i="2"/>
  <c r="AS125" i="2"/>
  <c r="AS126" i="2"/>
  <c r="AS127" i="2"/>
  <c r="AS128" i="2"/>
  <c r="AS129" i="2"/>
  <c r="AS130" i="2"/>
  <c r="AS131" i="2"/>
  <c r="AS132" i="2"/>
  <c r="AS133" i="2"/>
  <c r="AS134" i="2"/>
  <c r="AS135" i="2"/>
  <c r="AS136" i="2"/>
  <c r="AS137" i="2"/>
  <c r="AS138" i="2"/>
  <c r="AS139" i="2"/>
  <c r="AS140" i="2"/>
  <c r="AS141" i="2"/>
  <c r="AS142" i="2"/>
  <c r="AS143" i="2"/>
  <c r="AS144" i="2"/>
  <c r="AS145" i="2"/>
  <c r="AS146" i="2"/>
  <c r="AS147" i="2"/>
  <c r="AS148" i="2"/>
  <c r="AS149" i="2"/>
  <c r="AS150" i="2"/>
  <c r="AS151" i="2"/>
  <c r="AS152" i="2"/>
  <c r="AS153" i="2"/>
  <c r="AS154" i="2"/>
  <c r="AS155" i="2"/>
  <c r="AS156" i="2"/>
  <c r="AS157" i="2"/>
  <c r="AS158" i="2"/>
  <c r="AS159" i="2"/>
  <c r="AS160" i="2"/>
  <c r="AS161" i="2"/>
  <c r="AS162" i="2"/>
  <c r="AS163" i="2"/>
  <c r="AS164" i="2"/>
  <c r="AS165" i="2"/>
  <c r="AS166" i="2"/>
  <c r="AS167" i="2"/>
  <c r="AS168" i="2"/>
  <c r="AS169" i="2"/>
  <c r="AS170" i="2"/>
  <c r="AS171" i="2"/>
  <c r="AS172" i="2"/>
  <c r="AS173" i="2"/>
  <c r="AS174" i="2"/>
  <c r="AS175" i="2"/>
  <c r="AS176" i="2"/>
  <c r="AS177" i="2"/>
  <c r="AS178" i="2"/>
  <c r="AS179" i="2"/>
  <c r="AS180" i="2"/>
  <c r="AS181" i="2"/>
  <c r="AS182" i="2"/>
  <c r="AS183" i="2"/>
  <c r="AS184" i="2"/>
  <c r="AS185" i="2"/>
  <c r="AS186" i="2"/>
  <c r="AS187" i="2"/>
  <c r="AS188" i="2"/>
  <c r="AS189" i="2"/>
  <c r="AS190" i="2"/>
  <c r="AS191" i="2"/>
  <c r="AS192" i="2"/>
  <c r="AS193" i="2"/>
  <c r="AS194" i="2"/>
  <c r="AS195" i="2"/>
  <c r="AS196" i="2"/>
  <c r="AS197" i="2"/>
  <c r="AS198" i="2"/>
  <c r="AS199" i="2"/>
  <c r="AS200" i="2"/>
  <c r="AT65" i="2"/>
  <c r="AT66" i="2"/>
  <c r="AU66" i="2" s="1"/>
  <c r="AT67" i="2"/>
  <c r="AT68" i="2"/>
  <c r="AT69" i="2"/>
  <c r="AT70" i="2"/>
  <c r="AT71" i="2"/>
  <c r="AT72" i="2"/>
  <c r="AT73" i="2"/>
  <c r="AT74" i="2"/>
  <c r="AT75" i="2"/>
  <c r="AU75" i="2" s="1"/>
  <c r="AT76" i="2"/>
  <c r="AT77" i="2"/>
  <c r="AT78" i="2"/>
  <c r="AT79" i="2"/>
  <c r="AT80" i="2"/>
  <c r="AT81" i="2"/>
  <c r="AT82" i="2"/>
  <c r="AT83" i="2"/>
  <c r="AU83" i="2" s="1"/>
  <c r="AT84" i="2"/>
  <c r="AT85" i="2"/>
  <c r="AT86" i="2"/>
  <c r="AT87" i="2"/>
  <c r="AT88" i="2"/>
  <c r="AT89" i="2"/>
  <c r="AT90" i="2"/>
  <c r="AT91" i="2"/>
  <c r="AU91" i="2" s="1"/>
  <c r="AT92" i="2"/>
  <c r="AT93" i="2"/>
  <c r="AT94" i="2"/>
  <c r="AT95" i="2"/>
  <c r="AT96" i="2"/>
  <c r="AT97" i="2"/>
  <c r="AT98" i="2"/>
  <c r="AT99" i="2"/>
  <c r="AU99" i="2" s="1"/>
  <c r="AT100" i="2"/>
  <c r="AT101" i="2"/>
  <c r="AT102" i="2"/>
  <c r="AT103" i="2"/>
  <c r="AT104" i="2"/>
  <c r="AT105" i="2"/>
  <c r="AT106" i="2"/>
  <c r="AT107" i="2"/>
  <c r="AT108" i="2"/>
  <c r="AX108" i="2" s="1"/>
  <c r="AT109" i="2"/>
  <c r="AT110" i="2"/>
  <c r="AT111" i="2"/>
  <c r="AT112" i="2"/>
  <c r="AT113" i="2"/>
  <c r="AT114" i="2"/>
  <c r="AT115" i="2"/>
  <c r="AT116" i="2"/>
  <c r="AT117" i="2"/>
  <c r="AU117" i="2" s="1"/>
  <c r="AT118" i="2"/>
  <c r="AT119" i="2"/>
  <c r="AT120" i="2"/>
  <c r="AT121" i="2"/>
  <c r="AT122" i="2"/>
  <c r="AT123" i="2"/>
  <c r="AT124" i="2"/>
  <c r="AT125" i="2"/>
  <c r="AT126" i="2"/>
  <c r="AT127" i="2"/>
  <c r="AT128" i="2"/>
  <c r="AT129" i="2"/>
  <c r="AT130" i="2"/>
  <c r="AT131" i="2"/>
  <c r="AT132" i="2"/>
  <c r="AT133" i="2"/>
  <c r="AT134" i="2"/>
  <c r="AT135" i="2"/>
  <c r="AT136" i="2"/>
  <c r="AT137" i="2"/>
  <c r="AT138" i="2"/>
  <c r="AT139" i="2"/>
  <c r="AT140" i="2"/>
  <c r="AW140" i="2" s="1"/>
  <c r="AT141" i="2"/>
  <c r="AT142" i="2"/>
  <c r="AT143" i="2"/>
  <c r="AT144" i="2"/>
  <c r="AT145" i="2"/>
  <c r="AT146" i="2"/>
  <c r="AT147" i="2"/>
  <c r="AT148" i="2"/>
  <c r="AT149" i="2"/>
  <c r="AT150" i="2"/>
  <c r="AT151" i="2"/>
  <c r="AT152" i="2"/>
  <c r="AT153" i="2"/>
  <c r="AU153" i="2" s="1"/>
  <c r="AT154" i="2"/>
  <c r="AT155" i="2"/>
  <c r="AT156" i="2"/>
  <c r="AT157" i="2"/>
  <c r="AT158" i="2"/>
  <c r="AT159" i="2"/>
  <c r="AT160" i="2"/>
  <c r="AT161" i="2"/>
  <c r="AT162" i="2"/>
  <c r="AT163" i="2"/>
  <c r="AT164" i="2"/>
  <c r="AX164" i="2" s="1"/>
  <c r="AT165" i="2"/>
  <c r="AW165" i="2" s="1"/>
  <c r="AT166" i="2"/>
  <c r="AT167" i="2"/>
  <c r="AT168" i="2"/>
  <c r="AT169" i="2"/>
  <c r="AT170" i="2"/>
  <c r="AT171" i="2"/>
  <c r="AT172" i="2"/>
  <c r="AX172" i="2" s="1"/>
  <c r="AT173" i="2"/>
  <c r="AV173" i="2" s="1"/>
  <c r="AT174" i="2"/>
  <c r="AT175" i="2"/>
  <c r="AT176" i="2"/>
  <c r="AT177" i="2"/>
  <c r="AT178" i="2"/>
  <c r="AT179" i="2"/>
  <c r="AT180" i="2"/>
  <c r="AT181" i="2"/>
  <c r="AU181" i="2" s="1"/>
  <c r="AT182" i="2"/>
  <c r="AT183" i="2"/>
  <c r="AT184" i="2"/>
  <c r="AT185" i="2"/>
  <c r="AT186" i="2"/>
  <c r="AT187" i="2"/>
  <c r="AT188" i="2"/>
  <c r="AT189" i="2"/>
  <c r="AT190" i="2"/>
  <c r="AT191" i="2"/>
  <c r="AT192" i="2"/>
  <c r="AT193" i="2"/>
  <c r="AT194" i="2"/>
  <c r="AT195" i="2"/>
  <c r="AT196" i="2"/>
  <c r="AX196" i="2" s="1"/>
  <c r="AT197" i="2"/>
  <c r="AT198" i="2"/>
  <c r="AT199" i="2"/>
  <c r="AT200" i="2"/>
  <c r="AU65" i="2"/>
  <c r="AT6" i="2"/>
  <c r="AT4" i="2"/>
  <c r="AT5" i="2"/>
  <c r="AT2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43" i="2"/>
  <c r="AT21" i="2"/>
  <c r="AT22" i="2"/>
  <c r="AT24" i="2"/>
  <c r="AT25" i="2"/>
  <c r="AT26" i="2"/>
  <c r="AT27" i="2"/>
  <c r="AT28" i="2"/>
  <c r="AT29" i="2"/>
  <c r="AT30" i="2"/>
  <c r="AT31" i="2"/>
  <c r="AT35" i="2"/>
  <c r="AT32" i="2"/>
  <c r="AT33" i="2"/>
  <c r="AT34" i="2"/>
  <c r="AT37" i="2"/>
  <c r="AT36" i="2"/>
  <c r="AT38" i="2"/>
  <c r="AT39" i="2"/>
  <c r="AT40" i="2"/>
  <c r="AT45" i="2"/>
  <c r="AT41" i="2"/>
  <c r="AT42" i="2"/>
  <c r="AT20" i="2"/>
  <c r="AT44" i="2"/>
  <c r="AT23" i="2"/>
  <c r="AT46" i="2"/>
  <c r="AT47" i="2"/>
  <c r="AT48" i="2"/>
  <c r="AT49" i="2"/>
  <c r="AT50" i="2"/>
  <c r="AT51" i="2"/>
  <c r="AT52" i="2"/>
  <c r="AT53" i="2"/>
  <c r="AT54" i="2"/>
  <c r="AT55" i="2"/>
  <c r="AT56" i="2"/>
  <c r="AT57" i="2"/>
  <c r="AT58" i="2"/>
  <c r="AT59" i="2"/>
  <c r="AT60" i="2"/>
  <c r="AT61" i="2"/>
  <c r="AT62" i="2"/>
  <c r="AT63" i="2"/>
  <c r="AT64" i="2"/>
  <c r="AT3" i="2"/>
  <c r="AS6" i="2"/>
  <c r="AS4" i="2"/>
  <c r="AS5" i="2"/>
  <c r="AS2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43" i="2"/>
  <c r="AS21" i="2"/>
  <c r="AS22" i="2"/>
  <c r="AS24" i="2"/>
  <c r="AS25" i="2"/>
  <c r="AS26" i="2"/>
  <c r="AS27" i="2"/>
  <c r="AS28" i="2"/>
  <c r="AS29" i="2"/>
  <c r="AS30" i="2"/>
  <c r="AS31" i="2"/>
  <c r="AS35" i="2"/>
  <c r="AS32" i="2"/>
  <c r="AS33" i="2"/>
  <c r="AS34" i="2"/>
  <c r="AS37" i="2"/>
  <c r="AS36" i="2"/>
  <c r="AS38" i="2"/>
  <c r="AS39" i="2"/>
  <c r="AS40" i="2"/>
  <c r="AS45" i="2"/>
  <c r="AS41" i="2"/>
  <c r="AS42" i="2"/>
  <c r="AS20" i="2"/>
  <c r="AS44" i="2"/>
  <c r="AS23" i="2"/>
  <c r="AS46" i="2"/>
  <c r="AS47" i="2"/>
  <c r="AS48" i="2"/>
  <c r="AS49" i="2"/>
  <c r="AS50" i="2"/>
  <c r="AS51" i="2"/>
  <c r="AS52" i="2"/>
  <c r="AS53" i="2"/>
  <c r="AS54" i="2"/>
  <c r="AS55" i="2"/>
  <c r="AS56" i="2"/>
  <c r="AS57" i="2"/>
  <c r="AS58" i="2"/>
  <c r="AS59" i="2"/>
  <c r="AS60" i="2"/>
  <c r="AS61" i="2"/>
  <c r="AS62" i="2"/>
  <c r="AS63" i="2"/>
  <c r="AS64" i="2"/>
  <c r="AS3" i="2"/>
  <c r="AR6" i="2"/>
  <c r="AR4" i="2"/>
  <c r="AR5" i="2"/>
  <c r="AR2" i="2"/>
  <c r="AR7" i="2"/>
  <c r="AR8" i="2"/>
  <c r="AR9" i="2"/>
  <c r="AR10" i="2"/>
  <c r="AR11" i="2"/>
  <c r="AR12" i="2"/>
  <c r="AR13" i="2"/>
  <c r="AR14" i="2"/>
  <c r="AR15" i="2"/>
  <c r="AR16" i="2"/>
  <c r="AR17" i="2"/>
  <c r="AR18" i="2"/>
  <c r="AR19" i="2"/>
  <c r="AR43" i="2"/>
  <c r="AR21" i="2"/>
  <c r="AR22" i="2"/>
  <c r="AR24" i="2"/>
  <c r="AR25" i="2"/>
  <c r="AR26" i="2"/>
  <c r="AR27" i="2"/>
  <c r="AR28" i="2"/>
  <c r="AR29" i="2"/>
  <c r="AR30" i="2"/>
  <c r="AR31" i="2"/>
  <c r="AR35" i="2"/>
  <c r="AR32" i="2"/>
  <c r="AR33" i="2"/>
  <c r="AR34" i="2"/>
  <c r="AR37" i="2"/>
  <c r="AR36" i="2"/>
  <c r="AR38" i="2"/>
  <c r="AR39" i="2"/>
  <c r="AR40" i="2"/>
  <c r="AR45" i="2"/>
  <c r="AR41" i="2"/>
  <c r="AR42" i="2"/>
  <c r="AR20" i="2"/>
  <c r="AR44" i="2"/>
  <c r="AR23" i="2"/>
  <c r="AR46" i="2"/>
  <c r="AR47" i="2"/>
  <c r="AR48" i="2"/>
  <c r="AR49" i="2"/>
  <c r="AR50" i="2"/>
  <c r="AR51" i="2"/>
  <c r="AR52" i="2"/>
  <c r="AR53" i="2"/>
  <c r="AR54" i="2"/>
  <c r="AR55" i="2"/>
  <c r="AR56" i="2"/>
  <c r="AR57" i="2"/>
  <c r="AR58" i="2"/>
  <c r="AR59" i="2"/>
  <c r="AR60" i="2"/>
  <c r="AR61" i="2"/>
  <c r="AR62" i="2"/>
  <c r="AR63" i="2"/>
  <c r="AR64" i="2"/>
  <c r="AR3" i="2"/>
  <c r="AQ6" i="2"/>
  <c r="AQ4" i="2"/>
  <c r="AQ5" i="2"/>
  <c r="AQ2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43" i="2"/>
  <c r="AQ21" i="2"/>
  <c r="AQ22" i="2"/>
  <c r="AQ24" i="2"/>
  <c r="AQ25" i="2"/>
  <c r="AQ26" i="2"/>
  <c r="AQ27" i="2"/>
  <c r="AQ28" i="2"/>
  <c r="AQ29" i="2"/>
  <c r="AQ30" i="2"/>
  <c r="AQ31" i="2"/>
  <c r="AQ35" i="2"/>
  <c r="AQ32" i="2"/>
  <c r="AQ33" i="2"/>
  <c r="AQ34" i="2"/>
  <c r="AQ37" i="2"/>
  <c r="AQ36" i="2"/>
  <c r="AQ38" i="2"/>
  <c r="AQ39" i="2"/>
  <c r="AQ40" i="2"/>
  <c r="AQ45" i="2"/>
  <c r="AQ41" i="2"/>
  <c r="AQ42" i="2"/>
  <c r="AQ20" i="2"/>
  <c r="AQ44" i="2"/>
  <c r="AQ23" i="2"/>
  <c r="AQ46" i="2"/>
  <c r="AQ47" i="2"/>
  <c r="AQ48" i="2"/>
  <c r="AQ49" i="2"/>
  <c r="AQ50" i="2"/>
  <c r="AQ51" i="2"/>
  <c r="AQ52" i="2"/>
  <c r="AQ53" i="2"/>
  <c r="AQ54" i="2"/>
  <c r="AQ55" i="2"/>
  <c r="AQ56" i="2"/>
  <c r="AQ57" i="2"/>
  <c r="AQ58" i="2"/>
  <c r="AQ59" i="2"/>
  <c r="AQ60" i="2"/>
  <c r="AQ61" i="2"/>
  <c r="AQ62" i="2"/>
  <c r="AQ63" i="2"/>
  <c r="AQ64" i="2"/>
  <c r="AQ3" i="2"/>
  <c r="AP6" i="2"/>
  <c r="AP4" i="2"/>
  <c r="AP5" i="2"/>
  <c r="AP2" i="2"/>
  <c r="AP7" i="2"/>
  <c r="AP8" i="2"/>
  <c r="AP9" i="2"/>
  <c r="AP10" i="2"/>
  <c r="AP11" i="2"/>
  <c r="AP12" i="2"/>
  <c r="AP13" i="2"/>
  <c r="AP14" i="2"/>
  <c r="AP15" i="2"/>
  <c r="AP16" i="2"/>
  <c r="AP17" i="2"/>
  <c r="AP18" i="2"/>
  <c r="AP19" i="2"/>
  <c r="AP43" i="2"/>
  <c r="AP21" i="2"/>
  <c r="AP22" i="2"/>
  <c r="AP24" i="2"/>
  <c r="AP25" i="2"/>
  <c r="AP26" i="2"/>
  <c r="AP27" i="2"/>
  <c r="AP28" i="2"/>
  <c r="AP29" i="2"/>
  <c r="AP30" i="2"/>
  <c r="AP31" i="2"/>
  <c r="AP35" i="2"/>
  <c r="AP32" i="2"/>
  <c r="AP33" i="2"/>
  <c r="AP34" i="2"/>
  <c r="AP37" i="2"/>
  <c r="AP36" i="2"/>
  <c r="AP38" i="2"/>
  <c r="AP39" i="2"/>
  <c r="AP40" i="2"/>
  <c r="AP45" i="2"/>
  <c r="AP41" i="2"/>
  <c r="AP42" i="2"/>
  <c r="AP20" i="2"/>
  <c r="AP44" i="2"/>
  <c r="AP23" i="2"/>
  <c r="AP46" i="2"/>
  <c r="AP47" i="2"/>
  <c r="AP48" i="2"/>
  <c r="AP49" i="2"/>
  <c r="AP50" i="2"/>
  <c r="AP51" i="2"/>
  <c r="AP52" i="2"/>
  <c r="AP53" i="2"/>
  <c r="AP54" i="2"/>
  <c r="AP55" i="2"/>
  <c r="AP56" i="2"/>
  <c r="AP57" i="2"/>
  <c r="AP58" i="2"/>
  <c r="AP59" i="2"/>
  <c r="AP60" i="2"/>
  <c r="AP61" i="2"/>
  <c r="AP62" i="2"/>
  <c r="AP63" i="2"/>
  <c r="AP64" i="2"/>
  <c r="AP3" i="2"/>
  <c r="AO6" i="2"/>
  <c r="AO4" i="2"/>
  <c r="AO5" i="2"/>
  <c r="AO2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43" i="2"/>
  <c r="AO21" i="2"/>
  <c r="AO22" i="2"/>
  <c r="AO24" i="2"/>
  <c r="AO25" i="2"/>
  <c r="AO26" i="2"/>
  <c r="AO27" i="2"/>
  <c r="AO28" i="2"/>
  <c r="AO29" i="2"/>
  <c r="AO30" i="2"/>
  <c r="AO31" i="2"/>
  <c r="AO35" i="2"/>
  <c r="AO32" i="2"/>
  <c r="AO33" i="2"/>
  <c r="AO34" i="2"/>
  <c r="AO37" i="2"/>
  <c r="AO36" i="2"/>
  <c r="AO38" i="2"/>
  <c r="AO39" i="2"/>
  <c r="AO40" i="2"/>
  <c r="AO45" i="2"/>
  <c r="AO41" i="2"/>
  <c r="AO42" i="2"/>
  <c r="AO20" i="2"/>
  <c r="AO44" i="2"/>
  <c r="AO23" i="2"/>
  <c r="AO46" i="2"/>
  <c r="AO47" i="2"/>
  <c r="AO48" i="2"/>
  <c r="AO49" i="2"/>
  <c r="AO50" i="2"/>
  <c r="AO51" i="2"/>
  <c r="AO52" i="2"/>
  <c r="AO53" i="2"/>
  <c r="AO54" i="2"/>
  <c r="AO55" i="2"/>
  <c r="AO56" i="2"/>
  <c r="AO57" i="2"/>
  <c r="AO58" i="2"/>
  <c r="AO59" i="2"/>
  <c r="AO60" i="2"/>
  <c r="AO61" i="2"/>
  <c r="AO62" i="2"/>
  <c r="AO63" i="2"/>
  <c r="AO64" i="2"/>
  <c r="AO3" i="2"/>
  <c r="AW76" i="2" l="1"/>
  <c r="AV81" i="2"/>
  <c r="AV145" i="2"/>
  <c r="AZ145" i="2" s="1"/>
  <c r="AU69" i="2"/>
  <c r="AU68" i="2"/>
  <c r="AU72" i="2"/>
  <c r="AU71" i="2"/>
  <c r="AN502" i="2"/>
  <c r="AU67" i="2"/>
  <c r="AU70" i="2"/>
  <c r="AU73" i="2"/>
  <c r="AZ911" i="2"/>
  <c r="AZ904" i="2"/>
  <c r="AU79" i="2"/>
  <c r="AZ539" i="2"/>
  <c r="AZ906" i="2"/>
  <c r="AZ909" i="2"/>
  <c r="AU97" i="2"/>
  <c r="AZ886" i="2"/>
  <c r="AZ759" i="2"/>
  <c r="AU81" i="2"/>
  <c r="AU78" i="2"/>
  <c r="AZ903" i="2"/>
  <c r="AU95" i="2"/>
  <c r="AU87" i="2"/>
  <c r="AZ871" i="2"/>
  <c r="AU89" i="2"/>
  <c r="AZ451" i="2"/>
  <c r="AZ701" i="2"/>
  <c r="AU94" i="2"/>
  <c r="AU86" i="2"/>
  <c r="AZ442" i="2"/>
  <c r="AZ893" i="2"/>
  <c r="AZ864" i="2"/>
  <c r="AZ494" i="2"/>
  <c r="AZ865" i="2"/>
  <c r="AZ902" i="2"/>
  <c r="AZ356" i="2"/>
  <c r="AZ397" i="2"/>
  <c r="AZ398" i="2"/>
  <c r="AZ855" i="2"/>
  <c r="AU96" i="2"/>
  <c r="AU88" i="2"/>
  <c r="AU80" i="2"/>
  <c r="AZ867" i="2"/>
  <c r="AU93" i="2"/>
  <c r="AU85" i="2"/>
  <c r="AU77" i="2"/>
  <c r="AU84" i="2"/>
  <c r="AU76" i="2"/>
  <c r="AU92" i="2"/>
  <c r="AU98" i="2"/>
  <c r="AU90" i="2"/>
  <c r="AU82" i="2"/>
  <c r="AZ899" i="2"/>
  <c r="AZ866" i="2"/>
  <c r="AU74" i="2"/>
  <c r="AZ861" i="2"/>
  <c r="AZ673" i="2"/>
  <c r="AX264" i="2"/>
  <c r="AZ396" i="2"/>
  <c r="AZ641" i="2"/>
  <c r="AZ672" i="2"/>
  <c r="AZ567" i="2"/>
  <c r="AZ504" i="2"/>
  <c r="AZ858" i="2"/>
  <c r="AZ901" i="2"/>
  <c r="AZ881" i="2"/>
  <c r="AZ895" i="2"/>
  <c r="AZ862" i="2"/>
  <c r="AZ773" i="2"/>
  <c r="AZ758" i="2"/>
  <c r="AZ634" i="2"/>
  <c r="AZ878" i="2"/>
  <c r="AY339" i="2"/>
  <c r="AY323" i="2"/>
  <c r="AY209" i="2"/>
  <c r="AY203" i="2"/>
  <c r="AY247" i="2"/>
  <c r="AZ363" i="2"/>
  <c r="AZ362" i="2"/>
  <c r="AZ698" i="2"/>
  <c r="AZ882" i="2"/>
  <c r="AZ664" i="2"/>
  <c r="AZ863" i="2"/>
  <c r="AZ896" i="2"/>
  <c r="AZ876" i="2"/>
  <c r="AZ403" i="2"/>
  <c r="AZ484" i="2"/>
  <c r="AZ883" i="2"/>
  <c r="AZ870" i="2"/>
  <c r="AZ378" i="2"/>
  <c r="AZ570" i="2"/>
  <c r="AZ637" i="2"/>
  <c r="AZ740" i="2"/>
  <c r="AZ630" i="2"/>
  <c r="AZ423" i="2"/>
  <c r="AN904" i="2"/>
  <c r="AN909" i="2"/>
  <c r="AN905" i="2"/>
  <c r="AN908" i="2"/>
  <c r="AN907" i="2"/>
  <c r="AN906" i="2"/>
  <c r="AN910" i="2"/>
  <c r="AZ680" i="2"/>
  <c r="AZ471" i="2"/>
  <c r="AZ393" i="2"/>
  <c r="AZ705" i="2"/>
  <c r="AN881" i="2"/>
  <c r="AN884" i="2"/>
  <c r="AN894" i="2"/>
  <c r="AN855" i="2"/>
  <c r="AN856" i="2"/>
  <c r="AN879" i="2"/>
  <c r="AN895" i="2"/>
  <c r="AN877" i="2"/>
  <c r="AN874" i="2"/>
  <c r="AN882" i="2"/>
  <c r="AN875" i="2"/>
  <c r="AN860" i="2"/>
  <c r="AN861" i="2"/>
  <c r="AN862" i="2"/>
  <c r="AN888" i="2"/>
  <c r="AN858" i="2"/>
  <c r="AN890" i="2"/>
  <c r="AN883" i="2"/>
  <c r="AN863" i="2"/>
  <c r="AN902" i="2"/>
  <c r="AN901" i="2"/>
  <c r="AN903" i="2"/>
  <c r="AN896" i="2"/>
  <c r="AN899" i="2"/>
  <c r="AN900" i="2"/>
  <c r="AN898" i="2"/>
  <c r="AN892" i="2"/>
  <c r="AN897" i="2"/>
  <c r="AN885" i="2"/>
  <c r="AN893" i="2"/>
  <c r="AN866" i="2"/>
  <c r="AN887" i="2"/>
  <c r="AN891" i="2"/>
  <c r="AN873" i="2"/>
  <c r="AN868" i="2"/>
  <c r="AN869" i="2"/>
  <c r="AN878" i="2"/>
  <c r="AN867" i="2"/>
  <c r="AN876" i="2"/>
  <c r="AN880" i="2"/>
  <c r="AN886" i="2"/>
  <c r="AN870" i="2"/>
  <c r="AN864" i="2"/>
  <c r="AN865" i="2"/>
  <c r="AN871" i="2"/>
  <c r="AN872" i="2"/>
  <c r="AN859" i="2"/>
  <c r="AN857" i="2"/>
  <c r="AN889" i="2"/>
  <c r="AZ360" i="2"/>
  <c r="AZ885" i="2"/>
  <c r="AZ574" i="2"/>
  <c r="AZ395" i="2"/>
  <c r="AZ860" i="2"/>
  <c r="AZ859" i="2"/>
  <c r="AZ429" i="2"/>
  <c r="AZ872" i="2"/>
  <c r="AZ857" i="2"/>
  <c r="AZ884" i="2"/>
  <c r="AN490" i="2"/>
  <c r="AZ439" i="2"/>
  <c r="AN114" i="2"/>
  <c r="AZ631" i="2"/>
  <c r="AZ853" i="2"/>
  <c r="AZ507" i="2"/>
  <c r="AZ460" i="2"/>
  <c r="AZ824" i="2"/>
  <c r="AU100" i="2"/>
  <c r="AZ546" i="2"/>
  <c r="AZ686" i="2"/>
  <c r="AZ766" i="2"/>
  <c r="AZ492" i="2"/>
  <c r="AZ548" i="2"/>
  <c r="AZ783" i="2"/>
  <c r="AZ519" i="2"/>
  <c r="AZ401" i="2"/>
  <c r="AZ534" i="2"/>
  <c r="AZ670" i="2"/>
  <c r="AZ621" i="2"/>
  <c r="AZ500" i="2"/>
  <c r="AZ633" i="2"/>
  <c r="AZ513" i="2"/>
  <c r="AZ549" i="2"/>
  <c r="AZ807" i="2"/>
  <c r="AZ445" i="2"/>
  <c r="AZ415" i="2"/>
  <c r="AZ760" i="2"/>
  <c r="AZ839" i="2"/>
  <c r="AZ707" i="2"/>
  <c r="AZ661" i="2"/>
  <c r="AZ434" i="2"/>
  <c r="AZ842" i="2"/>
  <c r="AZ837" i="2"/>
  <c r="AZ741" i="2"/>
  <c r="AZ850" i="2"/>
  <c r="AZ390" i="2"/>
  <c r="AZ835" i="2"/>
  <c r="AX234" i="2"/>
  <c r="AZ789" i="2"/>
  <c r="AZ483" i="2"/>
  <c r="AZ361" i="2"/>
  <c r="AZ437" i="2"/>
  <c r="AZ490" i="2"/>
  <c r="AZ755" i="2"/>
  <c r="AZ761" i="2"/>
  <c r="AZ801" i="2"/>
  <c r="AZ495" i="2"/>
  <c r="AZ642" i="2"/>
  <c r="AZ579" i="2"/>
  <c r="AZ694" i="2"/>
  <c r="AZ729" i="2"/>
  <c r="AZ457" i="2"/>
  <c r="AZ788" i="2"/>
  <c r="AZ823" i="2"/>
  <c r="AZ498" i="2"/>
  <c r="AZ815" i="2"/>
  <c r="AZ520" i="2"/>
  <c r="AZ416" i="2"/>
  <c r="AZ610" i="2"/>
  <c r="AZ662" i="2"/>
  <c r="AZ533" i="2"/>
  <c r="AZ819" i="2"/>
  <c r="AZ848" i="2"/>
  <c r="AZ418" i="2"/>
  <c r="AZ732" i="2"/>
  <c r="AZ847" i="2"/>
  <c r="AZ566" i="2"/>
  <c r="AY218" i="2"/>
  <c r="AZ394" i="2"/>
  <c r="AZ357" i="2"/>
  <c r="AZ377" i="2"/>
  <c r="AZ426" i="2"/>
  <c r="AZ536" i="2"/>
  <c r="AZ635" i="2"/>
  <c r="AZ796" i="2"/>
  <c r="AW114" i="2"/>
  <c r="AW267" i="2"/>
  <c r="AU273" i="2"/>
  <c r="AZ375" i="2"/>
  <c r="AZ487" i="2"/>
  <c r="AZ555" i="2"/>
  <c r="AZ559" i="2"/>
  <c r="AZ663" i="2"/>
  <c r="AZ545" i="2"/>
  <c r="AZ542" i="2"/>
  <c r="AZ831" i="2"/>
  <c r="AZ619" i="2"/>
  <c r="AW270" i="2"/>
  <c r="AZ473" i="2"/>
  <c r="AZ481" i="2"/>
  <c r="AZ430" i="2"/>
  <c r="AZ541" i="2"/>
  <c r="AZ560" i="2"/>
  <c r="AZ763" i="2"/>
  <c r="AZ765" i="2"/>
  <c r="AZ827" i="2"/>
  <c r="AY345" i="2"/>
  <c r="AY274" i="2"/>
  <c r="AY241" i="2"/>
  <c r="AY215" i="2"/>
  <c r="AY217" i="2"/>
  <c r="AZ467" i="2"/>
  <c r="AZ700" i="2"/>
  <c r="AZ636" i="2"/>
  <c r="AZ571" i="2"/>
  <c r="AZ715" i="2"/>
  <c r="AZ526" i="2"/>
  <c r="AZ717" i="2"/>
  <c r="AZ748" i="2"/>
  <c r="AZ777" i="2"/>
  <c r="AZ370" i="2"/>
  <c r="AW194" i="2"/>
  <c r="AU103" i="2"/>
  <c r="AY342" i="2"/>
  <c r="AX344" i="2"/>
  <c r="AZ364" i="2"/>
  <c r="AZ428" i="2"/>
  <c r="AZ455" i="2"/>
  <c r="AZ478" i="2"/>
  <c r="AZ438" i="2"/>
  <c r="AZ582" i="2"/>
  <c r="AZ601" i="2"/>
  <c r="AZ581" i="2"/>
  <c r="AZ576" i="2"/>
  <c r="AZ728" i="2"/>
  <c r="AZ792" i="2"/>
  <c r="AZ425" i="2"/>
  <c r="AZ456" i="2"/>
  <c r="AZ716" i="2"/>
  <c r="AZ752" i="2"/>
  <c r="AZ817" i="2"/>
  <c r="AZ443" i="2"/>
  <c r="AN836" i="2"/>
  <c r="AN789" i="2"/>
  <c r="AN805" i="2"/>
  <c r="AN809" i="2"/>
  <c r="AN791" i="2"/>
  <c r="AN818" i="2"/>
  <c r="AN819" i="2"/>
  <c r="AN214" i="2"/>
  <c r="AN38" i="2"/>
  <c r="AN4" i="2"/>
  <c r="AN820" i="2"/>
  <c r="AN821" i="2"/>
  <c r="AN837" i="2"/>
  <c r="AN822" i="2"/>
  <c r="AN854" i="2"/>
  <c r="AN823" i="2"/>
  <c r="AN831" i="2"/>
  <c r="AN793" i="2"/>
  <c r="AN841" i="2"/>
  <c r="AN794" i="2"/>
  <c r="AN842" i="2"/>
  <c r="AN851" i="2"/>
  <c r="AN835" i="2"/>
  <c r="AN606" i="2"/>
  <c r="AN800" i="2"/>
  <c r="AN839" i="2"/>
  <c r="AN817" i="2"/>
  <c r="AN838" i="2"/>
  <c r="AN802" i="2"/>
  <c r="AN850" i="2"/>
  <c r="AN803" i="2"/>
  <c r="AN215" i="2"/>
  <c r="AN434" i="2"/>
  <c r="AN813" i="2"/>
  <c r="AN853" i="2"/>
  <c r="AN814" i="2"/>
  <c r="AN848" i="2"/>
  <c r="AN847" i="2"/>
  <c r="AN249" i="2"/>
  <c r="AN852" i="2"/>
  <c r="AN808" i="2"/>
  <c r="AN829" i="2"/>
  <c r="AN816" i="2"/>
  <c r="AN840" i="2"/>
  <c r="AN825" i="2"/>
  <c r="AN790" i="2"/>
  <c r="AN806" i="2"/>
  <c r="AN807" i="2"/>
  <c r="AN824" i="2"/>
  <c r="AN826" i="2"/>
  <c r="AN843" i="2"/>
  <c r="AN777" i="2"/>
  <c r="AN799" i="2"/>
  <c r="AN804" i="2"/>
  <c r="AN828" i="2"/>
  <c r="AN844" i="2"/>
  <c r="AN832" i="2"/>
  <c r="AN845" i="2"/>
  <c r="AN830" i="2"/>
  <c r="AN846" i="2"/>
  <c r="AN792" i="2"/>
  <c r="AN834" i="2"/>
  <c r="AN827" i="2"/>
  <c r="AN801" i="2"/>
  <c r="AN795" i="2"/>
  <c r="AN833" i="2"/>
  <c r="AN812" i="2"/>
  <c r="AN849" i="2"/>
  <c r="AN815" i="2"/>
  <c r="AN810" i="2"/>
  <c r="AN811" i="2"/>
  <c r="AN796" i="2"/>
  <c r="AN797" i="2"/>
  <c r="AN798" i="2"/>
  <c r="AZ822" i="2"/>
  <c r="AZ841" i="2"/>
  <c r="AZ790" i="2"/>
  <c r="AZ805" i="2"/>
  <c r="AZ806" i="2"/>
  <c r="AZ828" i="2"/>
  <c r="AZ793" i="2"/>
  <c r="AZ825" i="2"/>
  <c r="AZ797" i="2"/>
  <c r="AN257" i="2"/>
  <c r="AN152" i="2"/>
  <c r="AN135" i="2"/>
  <c r="AN302" i="2"/>
  <c r="AN229" i="2"/>
  <c r="AN227" i="2"/>
  <c r="AN216" i="2"/>
  <c r="AN732" i="2"/>
  <c r="AN768" i="2"/>
  <c r="AN779" i="2"/>
  <c r="AN734" i="2"/>
  <c r="AN746" i="2"/>
  <c r="AN773" i="2"/>
  <c r="AN772" i="2"/>
  <c r="AN749" i="2"/>
  <c r="AN727" i="2"/>
  <c r="AN763" i="2"/>
  <c r="AN747" i="2"/>
  <c r="AN774" i="2"/>
  <c r="AN787" i="2"/>
  <c r="AN742" i="2"/>
  <c r="AN767" i="2"/>
  <c r="AN771" i="2"/>
  <c r="AN775" i="2"/>
  <c r="AN780" i="2"/>
  <c r="AN781" i="2"/>
  <c r="AN761" i="2"/>
  <c r="AN740" i="2"/>
  <c r="AN770" i="2"/>
  <c r="AN784" i="2"/>
  <c r="AN736" i="2"/>
  <c r="AN744" i="2"/>
  <c r="AN785" i="2"/>
  <c r="AN147" i="2"/>
  <c r="AN269" i="2"/>
  <c r="AN297" i="2"/>
  <c r="AN251" i="2"/>
  <c r="AN743" i="2"/>
  <c r="AN726" i="2"/>
  <c r="AN748" i="2"/>
  <c r="AN782" i="2"/>
  <c r="AN769" i="2"/>
  <c r="AN762" i="2"/>
  <c r="AN741" i="2"/>
  <c r="AN728" i="2"/>
  <c r="AN733" i="2"/>
  <c r="AN729" i="2"/>
  <c r="AN731" i="2"/>
  <c r="AN735" i="2"/>
  <c r="AN750" i="2"/>
  <c r="AN278" i="2"/>
  <c r="AN400" i="2"/>
  <c r="AN705" i="2"/>
  <c r="AN737" i="2"/>
  <c r="AN348" i="2"/>
  <c r="AN282" i="2"/>
  <c r="AN730" i="2"/>
  <c r="AN754" i="2"/>
  <c r="AN766" i="2"/>
  <c r="AN783" i="2"/>
  <c r="AN751" i="2"/>
  <c r="AN738" i="2"/>
  <c r="AN786" i="2"/>
  <c r="AN753" i="2"/>
  <c r="AN752" i="2"/>
  <c r="AN745" i="2"/>
  <c r="AN759" i="2"/>
  <c r="AN764" i="2"/>
  <c r="AN739" i="2"/>
  <c r="AN758" i="2"/>
  <c r="AN756" i="2"/>
  <c r="AN760" i="2"/>
  <c r="AN757" i="2"/>
  <c r="AN755" i="2"/>
  <c r="AN776" i="2"/>
  <c r="AN765" i="2"/>
  <c r="AN778" i="2"/>
  <c r="AN303" i="2"/>
  <c r="AN443" i="2"/>
  <c r="AZ785" i="2"/>
  <c r="AZ745" i="2"/>
  <c r="AZ786" i="2"/>
  <c r="AZ764" i="2"/>
  <c r="AZ738" i="2"/>
  <c r="AZ749" i="2"/>
  <c r="AZ750" i="2"/>
  <c r="AZ776" i="2"/>
  <c r="AZ771" i="2"/>
  <c r="AZ744" i="2"/>
  <c r="AZ767" i="2"/>
  <c r="AZ757" i="2"/>
  <c r="AN221" i="2"/>
  <c r="AN218" i="2"/>
  <c r="AN266" i="2"/>
  <c r="AN507" i="2"/>
  <c r="AN239" i="2"/>
  <c r="AN237" i="2"/>
  <c r="AN325" i="2"/>
  <c r="AN270" i="2"/>
  <c r="AN311" i="2"/>
  <c r="AN102" i="2"/>
  <c r="AN317" i="2"/>
  <c r="AN100" i="2"/>
  <c r="AN204" i="2"/>
  <c r="AN323" i="2"/>
  <c r="AN184" i="2"/>
  <c r="AN219" i="2"/>
  <c r="AN247" i="2"/>
  <c r="AN154" i="2"/>
  <c r="AN318" i="2"/>
  <c r="AN574" i="2"/>
  <c r="AN573" i="2"/>
  <c r="AN680" i="2"/>
  <c r="AN546" i="2"/>
  <c r="AN709" i="2"/>
  <c r="AN535" i="2"/>
  <c r="AN567" i="2"/>
  <c r="AN603" i="2"/>
  <c r="AN605" i="2"/>
  <c r="AN616" i="2"/>
  <c r="AN640" i="2"/>
  <c r="AN529" i="2"/>
  <c r="AN594" i="2"/>
  <c r="AN589" i="2"/>
  <c r="AN593" i="2"/>
  <c r="AN601" i="2"/>
  <c r="AN635" i="2"/>
  <c r="AN598" i="2"/>
  <c r="AN541" i="2"/>
  <c r="AN542" i="2"/>
  <c r="AN608" i="2"/>
  <c r="AN683" i="2"/>
  <c r="AN676" i="2"/>
  <c r="AN643" i="2"/>
  <c r="AN651" i="2"/>
  <c r="AN586" i="2"/>
  <c r="AN534" i="2"/>
  <c r="AN591" i="2"/>
  <c r="AN693" i="2"/>
  <c r="AN572" i="2"/>
  <c r="AN714" i="2"/>
  <c r="AN587" i="2"/>
  <c r="AN537" i="2"/>
  <c r="AN559" i="2"/>
  <c r="AN570" i="2"/>
  <c r="AN544" i="2"/>
  <c r="AN718" i="2"/>
  <c r="AN681" i="2"/>
  <c r="AN665" i="2"/>
  <c r="AN584" i="2"/>
  <c r="AN710" i="2"/>
  <c r="AN519" i="2"/>
  <c r="AN672" i="2"/>
  <c r="AN538" i="2"/>
  <c r="AN599" i="2"/>
  <c r="AN692" i="2"/>
  <c r="AN607" i="2"/>
  <c r="AN610" i="2"/>
  <c r="AN690" i="2"/>
  <c r="AN703" i="2"/>
  <c r="AN719" i="2"/>
  <c r="AN628" i="2"/>
  <c r="AN526" i="2"/>
  <c r="AN550" i="2"/>
  <c r="AN585" i="2"/>
  <c r="AN602" i="2"/>
  <c r="AN596" i="2"/>
  <c r="AN540" i="2"/>
  <c r="AN708" i="2"/>
  <c r="AN583" i="2"/>
  <c r="AN533" i="2"/>
  <c r="AN349" i="2"/>
  <c r="AN615" i="2"/>
  <c r="AN655" i="2"/>
  <c r="AN702" i="2"/>
  <c r="AN698" i="2"/>
  <c r="AN699" i="2"/>
  <c r="AN272" i="2"/>
  <c r="AN547" i="2"/>
  <c r="AN613" i="2"/>
  <c r="AN531" i="2"/>
  <c r="AN715" i="2"/>
  <c r="AN652" i="2"/>
  <c r="AN536" i="2"/>
  <c r="AN560" i="2"/>
  <c r="AN650" i="2"/>
  <c r="AN707" i="2"/>
  <c r="AN659" i="2"/>
  <c r="AN700" i="2"/>
  <c r="AN725" i="2"/>
  <c r="AN551" i="2"/>
  <c r="AN548" i="2"/>
  <c r="AN612" i="2"/>
  <c r="AN694" i="2"/>
  <c r="AN653" i="2"/>
  <c r="AN678" i="2"/>
  <c r="AN565" i="2"/>
  <c r="AN530" i="2"/>
  <c r="AN532" i="2"/>
  <c r="AN528" i="2"/>
  <c r="AN558" i="2"/>
  <c r="AN552" i="2"/>
  <c r="AN557" i="2"/>
  <c r="AN543" i="2"/>
  <c r="AN561" i="2"/>
  <c r="AN524" i="2"/>
  <c r="AN670" i="2"/>
  <c r="AN720" i="2"/>
  <c r="AN645" i="2"/>
  <c r="AN597" i="2"/>
  <c r="AN633" i="2"/>
  <c r="AN556" i="2"/>
  <c r="AN576" i="2"/>
  <c r="AN522" i="2"/>
  <c r="AN634" i="2"/>
  <c r="AN669" i="2"/>
  <c r="AN621" i="2"/>
  <c r="AN671" i="2"/>
  <c r="AN578" i="2"/>
  <c r="AN627" i="2"/>
  <c r="AN619" i="2"/>
  <c r="AN521" i="2"/>
  <c r="AN632" i="2"/>
  <c r="AN281" i="2"/>
  <c r="AN684" i="2"/>
  <c r="AN688" i="2"/>
  <c r="AN687" i="2"/>
  <c r="AN661" i="2"/>
  <c r="AN701" i="2"/>
  <c r="AN668" i="2"/>
  <c r="AN686" i="2"/>
  <c r="AN523" i="2"/>
  <c r="AN679" i="2"/>
  <c r="AN721" i="2"/>
  <c r="AN629" i="2"/>
  <c r="AN588" i="2"/>
  <c r="AN620" i="2"/>
  <c r="AN654" i="2"/>
  <c r="AN656" i="2"/>
  <c r="AN723" i="2"/>
  <c r="AN637" i="2"/>
  <c r="AN636" i="2"/>
  <c r="AN641" i="2"/>
  <c r="AN568" i="2"/>
  <c r="AN722" i="2"/>
  <c r="AN563" i="2"/>
  <c r="AN569" i="2"/>
  <c r="AN562" i="2"/>
  <c r="AN549" i="2"/>
  <c r="AN647" i="2"/>
  <c r="AN649" i="2"/>
  <c r="AN595" i="2"/>
  <c r="AN527" i="2"/>
  <c r="AN677" i="2"/>
  <c r="AN580" i="2"/>
  <c r="AN724" i="2"/>
  <c r="AN695" i="2"/>
  <c r="AN520" i="2"/>
  <c r="AN614" i="2"/>
  <c r="AN664" i="2"/>
  <c r="AN555" i="2"/>
  <c r="AN525" i="2"/>
  <c r="AN662" i="2"/>
  <c r="AN660" i="2"/>
  <c r="AN377" i="2"/>
  <c r="AN623" i="2"/>
  <c r="AN667" i="2"/>
  <c r="AN685" i="2"/>
  <c r="AN618" i="2"/>
  <c r="AN697" i="2"/>
  <c r="AN658" i="2"/>
  <c r="AN644" i="2"/>
  <c r="AN579" i="2"/>
  <c r="AN630" i="2"/>
  <c r="AN581" i="2"/>
  <c r="AN356" i="2"/>
  <c r="AN625" i="2"/>
  <c r="AN626" i="2"/>
  <c r="AN624" i="2"/>
  <c r="AN575" i="2"/>
  <c r="AN577" i="2"/>
  <c r="AN566" i="2"/>
  <c r="AN590" i="2"/>
  <c r="AN545" i="2"/>
  <c r="AN711" i="2"/>
  <c r="AN638" i="2"/>
  <c r="AN617" i="2"/>
  <c r="AN648" i="2"/>
  <c r="AN351" i="2"/>
  <c r="AN689" i="2"/>
  <c r="AN631" i="2"/>
  <c r="AN657" i="2"/>
  <c r="AN704" i="2"/>
  <c r="AN642" i="2"/>
  <c r="AN539" i="2"/>
  <c r="AN666" i="2"/>
  <c r="AN682" i="2"/>
  <c r="AN696" i="2"/>
  <c r="AN554" i="2"/>
  <c r="AN691" i="2"/>
  <c r="AN101" i="2"/>
  <c r="AN717" i="2"/>
  <c r="AN639" i="2"/>
  <c r="AN553" i="2"/>
  <c r="AN622" i="2"/>
  <c r="AN706" i="2"/>
  <c r="AN674" i="2"/>
  <c r="AN646" i="2"/>
  <c r="AN604" i="2"/>
  <c r="AN673" i="2"/>
  <c r="AN600" i="2"/>
  <c r="AN592" i="2"/>
  <c r="AN582" i="2"/>
  <c r="AN571" i="2"/>
  <c r="AN716" i="2"/>
  <c r="AN675" i="2"/>
  <c r="AZ666" i="2"/>
  <c r="AZ713" i="2"/>
  <c r="AZ651" i="2"/>
  <c r="AZ692" i="2"/>
  <c r="AZ604" i="2"/>
  <c r="AZ669" i="2"/>
  <c r="AZ537" i="2"/>
  <c r="AZ591" i="2"/>
  <c r="AZ725" i="2"/>
  <c r="AZ551" i="2"/>
  <c r="AZ650" i="2"/>
  <c r="AZ544" i="2"/>
  <c r="AZ564" i="2"/>
  <c r="AZ540" i="2"/>
  <c r="AZ592" i="2"/>
  <c r="AZ627" i="2"/>
  <c r="AZ547" i="2"/>
  <c r="AZ615" i="2"/>
  <c r="AZ524" i="2"/>
  <c r="AZ527" i="2"/>
  <c r="AZ531" i="2"/>
  <c r="AZ675" i="2"/>
  <c r="AZ628" i="2"/>
  <c r="AZ702" i="2"/>
  <c r="AZ556" i="2"/>
  <c r="AZ573" i="2"/>
  <c r="AZ644" i="2"/>
  <c r="AZ623" i="2"/>
  <c r="AZ671" i="2"/>
  <c r="AN262" i="2"/>
  <c r="AN423" i="2"/>
  <c r="AN420" i="2"/>
  <c r="AN487" i="2"/>
  <c r="AN409" i="2"/>
  <c r="AN417" i="2"/>
  <c r="AN363" i="2"/>
  <c r="AN360" i="2"/>
  <c r="AN364" i="2"/>
  <c r="AN362" i="2"/>
  <c r="AN447" i="2"/>
  <c r="AN448" i="2"/>
  <c r="AN433" i="2"/>
  <c r="AN415" i="2"/>
  <c r="AN474" i="2"/>
  <c r="AN485" i="2"/>
  <c r="AN428" i="2"/>
  <c r="AN449" i="2"/>
  <c r="AN404" i="2"/>
  <c r="AN450" i="2"/>
  <c r="AN429" i="2"/>
  <c r="AN355" i="2"/>
  <c r="AN405" i="2"/>
  <c r="AN427" i="2"/>
  <c r="AN515" i="2"/>
  <c r="AN387" i="2"/>
  <c r="AN445" i="2"/>
  <c r="AN509" i="2"/>
  <c r="AN386" i="2"/>
  <c r="AN436" i="2"/>
  <c r="AN460" i="2"/>
  <c r="AN492" i="2"/>
  <c r="AN516" i="2"/>
  <c r="AN384" i="2"/>
  <c r="AN388" i="2"/>
  <c r="AN406" i="2"/>
  <c r="AN431" i="2"/>
  <c r="AN455" i="2"/>
  <c r="AN511" i="2"/>
  <c r="AN504" i="2"/>
  <c r="AN454" i="2"/>
  <c r="AN368" i="2"/>
  <c r="AN374" i="2"/>
  <c r="AN381" i="2"/>
  <c r="AN372" i="2"/>
  <c r="AN369" i="2"/>
  <c r="AN367" i="2"/>
  <c r="AN385" i="2"/>
  <c r="AN489" i="2"/>
  <c r="AN498" i="2"/>
  <c r="AN479" i="2"/>
  <c r="AN491" i="2"/>
  <c r="AN500" i="2"/>
  <c r="AN366" i="2"/>
  <c r="AN469" i="2"/>
  <c r="AN501" i="2"/>
  <c r="AN418" i="2"/>
  <c r="AN380" i="2"/>
  <c r="AN376" i="2"/>
  <c r="AN486" i="2"/>
  <c r="AN488" i="2"/>
  <c r="AN453" i="2"/>
  <c r="AN422" i="2"/>
  <c r="AN463" i="2"/>
  <c r="AN425" i="2"/>
  <c r="AN375" i="2"/>
  <c r="AN414" i="2"/>
  <c r="AN517" i="2"/>
  <c r="AN442" i="2"/>
  <c r="AN466" i="2"/>
  <c r="AN439" i="2"/>
  <c r="AN480" i="2"/>
  <c r="AN365" i="2"/>
  <c r="AN518" i="2"/>
  <c r="AN350" i="2"/>
  <c r="AN359" i="2"/>
  <c r="AN465" i="2"/>
  <c r="AN505" i="2"/>
  <c r="AN17" i="2"/>
  <c r="AN430" i="2"/>
  <c r="AN361" i="2"/>
  <c r="AN419" i="2"/>
  <c r="AN411" i="2"/>
  <c r="AN441" i="2"/>
  <c r="AN481" i="2"/>
  <c r="AN483" i="2"/>
  <c r="AN513" i="2"/>
  <c r="AN410" i="2"/>
  <c r="AN458" i="2"/>
  <c r="AN514" i="2"/>
  <c r="AN407" i="2"/>
  <c r="AN371" i="2"/>
  <c r="AN412" i="2"/>
  <c r="AN451" i="2"/>
  <c r="AN475" i="2"/>
  <c r="AN499" i="2"/>
  <c r="AN408" i="2"/>
  <c r="AN444" i="2"/>
  <c r="AN468" i="2"/>
  <c r="AN484" i="2"/>
  <c r="AN421" i="2"/>
  <c r="AN391" i="2"/>
  <c r="AN471" i="2"/>
  <c r="AN477" i="2"/>
  <c r="AN495" i="2"/>
  <c r="AN440" i="2"/>
  <c r="AN472" i="2"/>
  <c r="AN382" i="2"/>
  <c r="AN446" i="2"/>
  <c r="AN478" i="2"/>
  <c r="AN379" i="2"/>
  <c r="AN432" i="2"/>
  <c r="AN370" i="2"/>
  <c r="AN496" i="2"/>
  <c r="AN426" i="2"/>
  <c r="AN459" i="2"/>
  <c r="AN452" i="2"/>
  <c r="AN357" i="2"/>
  <c r="AN354" i="2"/>
  <c r="AN476" i="2"/>
  <c r="AN473" i="2"/>
  <c r="AN398" i="2"/>
  <c r="AN353" i="2"/>
  <c r="AN397" i="2"/>
  <c r="AN396" i="2"/>
  <c r="AN399" i="2"/>
  <c r="AN352" i="2"/>
  <c r="AN435" i="2"/>
  <c r="AN493" i="2"/>
  <c r="AN401" i="2"/>
  <c r="AN416" i="2"/>
  <c r="AN390" i="2"/>
  <c r="AN402" i="2"/>
  <c r="AN389" i="2"/>
  <c r="AN394" i="2"/>
  <c r="AN462" i="2"/>
  <c r="AN438" i="2"/>
  <c r="AN285" i="2"/>
  <c r="AN358" i="2"/>
  <c r="AN395" i="2"/>
  <c r="AN413" i="2"/>
  <c r="AN403" i="2"/>
  <c r="AN275" i="2"/>
  <c r="AN497" i="2"/>
  <c r="AN482" i="2"/>
  <c r="AN508" i="2"/>
  <c r="AN503" i="2"/>
  <c r="AN510" i="2"/>
  <c r="AN470" i="2"/>
  <c r="AN457" i="2"/>
  <c r="AN378" i="2"/>
  <c r="AN393" i="2"/>
  <c r="AN461" i="2"/>
  <c r="AN456" i="2"/>
  <c r="AN383" i="2"/>
  <c r="AN464" i="2"/>
  <c r="AN373" i="2"/>
  <c r="AZ496" i="2"/>
  <c r="AZ476" i="2"/>
  <c r="AZ384" i="2"/>
  <c r="AZ389" i="2"/>
  <c r="AZ353" i="2"/>
  <c r="AZ486" i="2"/>
  <c r="AZ400" i="2"/>
  <c r="AZ421" i="2"/>
  <c r="AZ446" i="2"/>
  <c r="AZ436" i="2"/>
  <c r="AZ352" i="2"/>
  <c r="AZ422" i="2"/>
  <c r="AZ468" i="2"/>
  <c r="AZ350" i="2"/>
  <c r="AZ461" i="2"/>
  <c r="AZ459" i="2"/>
  <c r="AZ372" i="2"/>
  <c r="AZ505" i="2"/>
  <c r="AZ417" i="2"/>
  <c r="AZ414" i="2"/>
  <c r="AZ354" i="2"/>
  <c r="AZ413" i="2"/>
  <c r="AZ493" i="2"/>
  <c r="AN58" i="2"/>
  <c r="AN122" i="2"/>
  <c r="AN178" i="2"/>
  <c r="AN186" i="2"/>
  <c r="AN59" i="2"/>
  <c r="AN99" i="2"/>
  <c r="AN107" i="2"/>
  <c r="AN179" i="2"/>
  <c r="AN180" i="2"/>
  <c r="AN61" i="2"/>
  <c r="AN165" i="2"/>
  <c r="AN118" i="2"/>
  <c r="AN96" i="2"/>
  <c r="AN153" i="2"/>
  <c r="AN185" i="2"/>
  <c r="AN177" i="2"/>
  <c r="AN252" i="2"/>
  <c r="AN166" i="2"/>
  <c r="AN93" i="2"/>
  <c r="AN189" i="2"/>
  <c r="AN134" i="2"/>
  <c r="AN190" i="2"/>
  <c r="AN191" i="2"/>
  <c r="AN104" i="2"/>
  <c r="AN200" i="2"/>
  <c r="AN209" i="2"/>
  <c r="AN258" i="2"/>
  <c r="AN228" i="2"/>
  <c r="AN224" i="2"/>
  <c r="AN225" i="2"/>
  <c r="AN223" i="2"/>
  <c r="AN234" i="2"/>
  <c r="AN300" i="2"/>
  <c r="AN336" i="2"/>
  <c r="AN205" i="2"/>
  <c r="AN115" i="2"/>
  <c r="AN292" i="2"/>
  <c r="AN213" i="2"/>
  <c r="AN291" i="2"/>
  <c r="AN131" i="2"/>
  <c r="AN84" i="2"/>
  <c r="AN126" i="2"/>
  <c r="AN127" i="2"/>
  <c r="AN162" i="2"/>
  <c r="AN170" i="2"/>
  <c r="AN171" i="2"/>
  <c r="AN187" i="2"/>
  <c r="AN346" i="2"/>
  <c r="AN116" i="2"/>
  <c r="AN156" i="2"/>
  <c r="AN164" i="2"/>
  <c r="AN172" i="2"/>
  <c r="AN109" i="2"/>
  <c r="AN117" i="2"/>
  <c r="AN173" i="2"/>
  <c r="AN197" i="2"/>
  <c r="AN315" i="2"/>
  <c r="AN86" i="2"/>
  <c r="AN174" i="2"/>
  <c r="AN327" i="2"/>
  <c r="AN175" i="2"/>
  <c r="AN199" i="2"/>
  <c r="AN329" i="2"/>
  <c r="AN176" i="2"/>
  <c r="AN347" i="2"/>
  <c r="AN193" i="2"/>
  <c r="AN89" i="2"/>
  <c r="AN260" i="2"/>
  <c r="AN105" i="2"/>
  <c r="AN340" i="2"/>
  <c r="AN314" i="2"/>
  <c r="AN284" i="2"/>
  <c r="AN295" i="2"/>
  <c r="AN113" i="2"/>
  <c r="AN42" i="2"/>
  <c r="AN90" i="2"/>
  <c r="AN146" i="2"/>
  <c r="AN20" i="2"/>
  <c r="AN75" i="2"/>
  <c r="AN91" i="2"/>
  <c r="AN155" i="2"/>
  <c r="AN44" i="2"/>
  <c r="AN60" i="2"/>
  <c r="AN124" i="2"/>
  <c r="AN23" i="2"/>
  <c r="AN2" i="2"/>
  <c r="AN22" i="2"/>
  <c r="AN46" i="2"/>
  <c r="AN62" i="2"/>
  <c r="AN182" i="2"/>
  <c r="AN47" i="2"/>
  <c r="AN63" i="2"/>
  <c r="AN167" i="2"/>
  <c r="AN48" i="2"/>
  <c r="AN88" i="2"/>
  <c r="AN168" i="2"/>
  <c r="AN145" i="2"/>
  <c r="AN33" i="2"/>
  <c r="AN161" i="2"/>
  <c r="AN49" i="2"/>
  <c r="AN169" i="2"/>
  <c r="AN138" i="2"/>
  <c r="AN220" i="2"/>
  <c r="AN230" i="2"/>
  <c r="AN71" i="2"/>
  <c r="AN183" i="2"/>
  <c r="AN72" i="2"/>
  <c r="AN136" i="2"/>
  <c r="AN137" i="2"/>
  <c r="AN320" i="2"/>
  <c r="AN210" i="2"/>
  <c r="AN240" i="2"/>
  <c r="AN3" i="2"/>
  <c r="AN18" i="2"/>
  <c r="AN50" i="2"/>
  <c r="AN11" i="2"/>
  <c r="AN12" i="2"/>
  <c r="AN43" i="2"/>
  <c r="AN52" i="2"/>
  <c r="AN13" i="2"/>
  <c r="AN77" i="2"/>
  <c r="AN125" i="2"/>
  <c r="AN78" i="2"/>
  <c r="AN15" i="2"/>
  <c r="AN79" i="2"/>
  <c r="AN32" i="2"/>
  <c r="AN64" i="2"/>
  <c r="AN73" i="2"/>
  <c r="AN81" i="2"/>
  <c r="AN121" i="2"/>
  <c r="AN141" i="2"/>
  <c r="AN265" i="2"/>
  <c r="AN261" i="2"/>
  <c r="AN74" i="2"/>
  <c r="AN98" i="2"/>
  <c r="AN194" i="2"/>
  <c r="AN123" i="2"/>
  <c r="AN139" i="2"/>
  <c r="AN163" i="2"/>
  <c r="AN148" i="2"/>
  <c r="AN181" i="2"/>
  <c r="AN316" i="2"/>
  <c r="AN70" i="2"/>
  <c r="AN95" i="2"/>
  <c r="AN231" i="2"/>
  <c r="AN201" i="2"/>
  <c r="AN289" i="2"/>
  <c r="AN97" i="2"/>
  <c r="AN254" i="2"/>
  <c r="AN330" i="2"/>
  <c r="AN19" i="2"/>
  <c r="AN110" i="2"/>
  <c r="AN16" i="2"/>
  <c r="AN132" i="2"/>
  <c r="AN244" i="2"/>
  <c r="AN253" i="2"/>
  <c r="AN222" i="2"/>
  <c r="AN103" i="2"/>
  <c r="AN144" i="2"/>
  <c r="AN341" i="2"/>
  <c r="AN276" i="2"/>
  <c r="AN67" i="2"/>
  <c r="AN211" i="2"/>
  <c r="AN305" i="2"/>
  <c r="AN208" i="2"/>
  <c r="AN307" i="2"/>
  <c r="AN326" i="2"/>
  <c r="AN309" i="2"/>
  <c r="AN255" i="2"/>
  <c r="AN256" i="2"/>
  <c r="AN235" i="2"/>
  <c r="AN313" i="2"/>
  <c r="AN290" i="2"/>
  <c r="AN310" i="2"/>
  <c r="AN345" i="2"/>
  <c r="AN286" i="2"/>
  <c r="AN308" i="2"/>
  <c r="AN246" i="2"/>
  <c r="AN207" i="2"/>
  <c r="AN271" i="2"/>
  <c r="AN106" i="2"/>
  <c r="AN198" i="2"/>
  <c r="AN57" i="2"/>
  <c r="AN130" i="2"/>
  <c r="AN267" i="2"/>
  <c r="AN328" i="2"/>
  <c r="AN188" i="2"/>
  <c r="AN133" i="2"/>
  <c r="AN238" i="2"/>
  <c r="AN119" i="2"/>
  <c r="AN120" i="2"/>
  <c r="AN128" i="2"/>
  <c r="AN129" i="2"/>
  <c r="AN288" i="2"/>
  <c r="AN306" i="2"/>
  <c r="AN287" i="2"/>
  <c r="AN319" i="2"/>
  <c r="AN273" i="2"/>
  <c r="AN10" i="2"/>
  <c r="AN27" i="2"/>
  <c r="AN6" i="2"/>
  <c r="AN28" i="2"/>
  <c r="AN29" i="2"/>
  <c r="AN5" i="2"/>
  <c r="AN21" i="2"/>
  <c r="AN30" i="2"/>
  <c r="AN53" i="2"/>
  <c r="AN85" i="2"/>
  <c r="AN149" i="2"/>
  <c r="AN31" i="2"/>
  <c r="AN39" i="2"/>
  <c r="AN54" i="2"/>
  <c r="AN7" i="2"/>
  <c r="AN24" i="2"/>
  <c r="AN35" i="2"/>
  <c r="AN40" i="2"/>
  <c r="AN55" i="2"/>
  <c r="AN151" i="2"/>
  <c r="AN8" i="2"/>
  <c r="AN25" i="2"/>
  <c r="AN45" i="2"/>
  <c r="AN56" i="2"/>
  <c r="AN112" i="2"/>
  <c r="AN9" i="2"/>
  <c r="AN26" i="2"/>
  <c r="AN41" i="2"/>
  <c r="AN280" i="2"/>
  <c r="AN263" i="2"/>
  <c r="AN283" i="2"/>
  <c r="AN195" i="2"/>
  <c r="AN196" i="2"/>
  <c r="AN301" i="2"/>
  <c r="AN66" i="2"/>
  <c r="AN82" i="2"/>
  <c r="AN83" i="2"/>
  <c r="AN203" i="2"/>
  <c r="AN212" i="2"/>
  <c r="AN259" i="2"/>
  <c r="AN337" i="2"/>
  <c r="AN331" i="2"/>
  <c r="AN339" i="2"/>
  <c r="AN68" i="2"/>
  <c r="AN76" i="2"/>
  <c r="AN92" i="2"/>
  <c r="AN140" i="2"/>
  <c r="AN243" i="2"/>
  <c r="AN250" i="2"/>
  <c r="AN299" i="2"/>
  <c r="AN69" i="2"/>
  <c r="AN157" i="2"/>
  <c r="AN324" i="2"/>
  <c r="AN94" i="2"/>
  <c r="AN142" i="2"/>
  <c r="AN150" i="2"/>
  <c r="AN158" i="2"/>
  <c r="AN298" i="2"/>
  <c r="AN296" i="2"/>
  <c r="AN294" i="2"/>
  <c r="AN236" i="2"/>
  <c r="AN111" i="2"/>
  <c r="AN143" i="2"/>
  <c r="AN159" i="2"/>
  <c r="AN343" i="2"/>
  <c r="AN80" i="2"/>
  <c r="AN160" i="2"/>
  <c r="AN321" i="2"/>
  <c r="AN232" i="2"/>
  <c r="AN342" i="2"/>
  <c r="AN248" i="2"/>
  <c r="AN264" i="2"/>
  <c r="AN226" i="2"/>
  <c r="AN206" i="2"/>
  <c r="AN334" i="2"/>
  <c r="AN242" i="2"/>
  <c r="AN202" i="2"/>
  <c r="AN279" i="2"/>
  <c r="AN312" i="2"/>
  <c r="AN322" i="2"/>
  <c r="AN333" i="2"/>
  <c r="AN335" i="2"/>
  <c r="AN241" i="2"/>
  <c r="AN293" i="2"/>
  <c r="AN65" i="2"/>
  <c r="AN344" i="2"/>
  <c r="AN268" i="2"/>
  <c r="AN338" i="2"/>
  <c r="AN217" i="2"/>
  <c r="AN233" i="2"/>
  <c r="AN34" i="2"/>
  <c r="AN37" i="2"/>
  <c r="AN51" i="2"/>
  <c r="AY259" i="2"/>
  <c r="AY273" i="2"/>
  <c r="AY240" i="2"/>
  <c r="AY226" i="2"/>
  <c r="AV262" i="2"/>
  <c r="AW297" i="2"/>
  <c r="AU240" i="2"/>
  <c r="AU107" i="2"/>
  <c r="AX348" i="2"/>
  <c r="AX332" i="2"/>
  <c r="AV340" i="2"/>
  <c r="AV338" i="2"/>
  <c r="AU347" i="2"/>
  <c r="AV300" i="2"/>
  <c r="AZ300" i="2" s="1"/>
  <c r="AW214" i="2"/>
  <c r="AX284" i="2"/>
  <c r="AU304" i="2"/>
  <c r="AV260" i="2"/>
  <c r="AZ260" i="2" s="1"/>
  <c r="AU252" i="2"/>
  <c r="AU244" i="2"/>
  <c r="AX299" i="2"/>
  <c r="AW250" i="2"/>
  <c r="AX220" i="2"/>
  <c r="AU243" i="2"/>
  <c r="AU239" i="2"/>
  <c r="AU336" i="2"/>
  <c r="AY223" i="2"/>
  <c r="AW320" i="2"/>
  <c r="AV312" i="2"/>
  <c r="AZ312" i="2" s="1"/>
  <c r="AW308" i="2"/>
  <c r="AU318" i="2"/>
  <c r="AU330" i="2"/>
  <c r="AV248" i="2"/>
  <c r="AZ248" i="2" s="1"/>
  <c r="AU232" i="2"/>
  <c r="AU321" i="2"/>
  <c r="AU308" i="2"/>
  <c r="AX346" i="2"/>
  <c r="AW209" i="2"/>
  <c r="AX221" i="2"/>
  <c r="AX311" i="2"/>
  <c r="AX343" i="2"/>
  <c r="AV309" i="2"/>
  <c r="AX207" i="2"/>
  <c r="AU209" i="2"/>
  <c r="AU259" i="2"/>
  <c r="AV335" i="2"/>
  <c r="AV279" i="2"/>
  <c r="AZ279" i="2" s="1"/>
  <c r="AW233" i="2"/>
  <c r="AW313" i="2"/>
  <c r="AX325" i="2"/>
  <c r="AX268" i="2"/>
  <c r="AX263" i="2"/>
  <c r="AV310" i="2"/>
  <c r="AW333" i="2"/>
  <c r="AV229" i="2"/>
  <c r="AZ229" i="2" s="1"/>
  <c r="AW318" i="2"/>
  <c r="AV221" i="2"/>
  <c r="AZ221" i="2" s="1"/>
  <c r="AY255" i="2"/>
  <c r="AY205" i="2"/>
  <c r="AY234" i="2"/>
  <c r="AY322" i="2"/>
  <c r="AY314" i="2"/>
  <c r="AY306" i="2"/>
  <c r="AY334" i="2"/>
  <c r="AY206" i="2"/>
  <c r="AY286" i="2"/>
  <c r="AY297" i="2"/>
  <c r="AY216" i="2"/>
  <c r="AY261" i="2"/>
  <c r="AY210" i="2"/>
  <c r="AY242" i="2"/>
  <c r="AX290" i="2"/>
  <c r="AW216" i="2"/>
  <c r="AX236" i="2"/>
  <c r="AX302" i="2"/>
  <c r="AX230" i="2"/>
  <c r="AX298" i="2"/>
  <c r="AU234" i="2"/>
  <c r="AV216" i="2"/>
  <c r="AV226" i="2"/>
  <c r="AW236" i="2"/>
  <c r="AY272" i="2"/>
  <c r="AY294" i="2"/>
  <c r="AW278" i="2"/>
  <c r="AY327" i="2"/>
  <c r="AY262" i="2"/>
  <c r="AU296" i="2"/>
  <c r="AW246" i="2"/>
  <c r="AV238" i="2"/>
  <c r="AZ238" i="2" s="1"/>
  <c r="AW230" i="2"/>
  <c r="AV222" i="2"/>
  <c r="AV253" i="2"/>
  <c r="AX188" i="2"/>
  <c r="AY237" i="2"/>
  <c r="AY335" i="2"/>
  <c r="AY221" i="2"/>
  <c r="AY287" i="2"/>
  <c r="AY311" i="2"/>
  <c r="AV303" i="2"/>
  <c r="AY295" i="2"/>
  <c r="AV317" i="2"/>
  <c r="AZ317" i="2" s="1"/>
  <c r="AY279" i="2"/>
  <c r="AY271" i="2"/>
  <c r="AY343" i="2"/>
  <c r="AV329" i="2"/>
  <c r="AZ329" i="2" s="1"/>
  <c r="AY231" i="2"/>
  <c r="AV281" i="2"/>
  <c r="AZ281" i="2" s="1"/>
  <c r="AY309" i="2"/>
  <c r="AY207" i="2"/>
  <c r="AX287" i="2"/>
  <c r="AX317" i="2"/>
  <c r="AX247" i="2"/>
  <c r="AX331" i="2"/>
  <c r="AX328" i="2"/>
  <c r="AX337" i="2"/>
  <c r="AV231" i="2"/>
  <c r="AZ231" i="2" s="1"/>
  <c r="AW273" i="2"/>
  <c r="AY331" i="2"/>
  <c r="AU328" i="2"/>
  <c r="AU346" i="2"/>
  <c r="AW258" i="2"/>
  <c r="AW219" i="2"/>
  <c r="AU292" i="2"/>
  <c r="AX297" i="2"/>
  <c r="AX210" i="2"/>
  <c r="AW314" i="2"/>
  <c r="AV206" i="2"/>
  <c r="AZ206" i="2" s="1"/>
  <c r="AV297" i="2"/>
  <c r="AZ297" i="2" s="1"/>
  <c r="AY333" i="2"/>
  <c r="AY316" i="2"/>
  <c r="AX224" i="2"/>
  <c r="AX316" i="2"/>
  <c r="AW324" i="2"/>
  <c r="AU315" i="2"/>
  <c r="AW253" i="2"/>
  <c r="AU272" i="2"/>
  <c r="AW348" i="2"/>
  <c r="AW340" i="2"/>
  <c r="AX347" i="2"/>
  <c r="AX214" i="2"/>
  <c r="AX260" i="2"/>
  <c r="AW299" i="2"/>
  <c r="AX330" i="2"/>
  <c r="AX202" i="2"/>
  <c r="AX256" i="2"/>
  <c r="AX248" i="2"/>
  <c r="AX342" i="2"/>
  <c r="AX232" i="2"/>
  <c r="AX321" i="2"/>
  <c r="AV348" i="2"/>
  <c r="AZ348" i="2" s="1"/>
  <c r="AU214" i="2"/>
  <c r="AU276" i="2"/>
  <c r="AV244" i="2"/>
  <c r="AU250" i="2"/>
  <c r="AV220" i="2"/>
  <c r="AV243" i="2"/>
  <c r="AZ243" i="2" s="1"/>
  <c r="AY336" i="2"/>
  <c r="AY312" i="2"/>
  <c r="AV308" i="2"/>
  <c r="AY288" i="2"/>
  <c r="AV330" i="2"/>
  <c r="AZ330" i="2" s="1"/>
  <c r="AV344" i="2"/>
  <c r="AZ344" i="2" s="1"/>
  <c r="AU202" i="2"/>
  <c r="AU256" i="2"/>
  <c r="AY248" i="2"/>
  <c r="AU342" i="2"/>
  <c r="AW232" i="2"/>
  <c r="AU291" i="2"/>
  <c r="AW321" i="2"/>
  <c r="AY277" i="2"/>
  <c r="AY346" i="2"/>
  <c r="AY238" i="2"/>
  <c r="AV236" i="2"/>
  <c r="AY318" i="2"/>
  <c r="AY230" i="2"/>
  <c r="AV277" i="2"/>
  <c r="AZ277" i="2" s="1"/>
  <c r="AX301" i="2"/>
  <c r="AU268" i="2"/>
  <c r="AU301" i="2"/>
  <c r="AW316" i="2"/>
  <c r="AV324" i="2"/>
  <c r="AZ324" i="2" s="1"/>
  <c r="AY251" i="2"/>
  <c r="AX122" i="2"/>
  <c r="AU122" i="2"/>
  <c r="AW66" i="2"/>
  <c r="AV272" i="2"/>
  <c r="AU288" i="2"/>
  <c r="AX280" i="2"/>
  <c r="AU230" i="2"/>
  <c r="AX237" i="2"/>
  <c r="AX335" i="2"/>
  <c r="AX303" i="2"/>
  <c r="AX295" i="2"/>
  <c r="AX271" i="2"/>
  <c r="AX255" i="2"/>
  <c r="AX329" i="2"/>
  <c r="AX231" i="2"/>
  <c r="AX281" i="2"/>
  <c r="AX273" i="2"/>
  <c r="AX339" i="2"/>
  <c r="AX323" i="2"/>
  <c r="AX258" i="2"/>
  <c r="AV237" i="2"/>
  <c r="AV311" i="2"/>
  <c r="AZ311" i="2" s="1"/>
  <c r="AV295" i="2"/>
  <c r="AV271" i="2"/>
  <c r="AV343" i="2"/>
  <c r="AZ343" i="2" s="1"/>
  <c r="AV247" i="2"/>
  <c r="AZ247" i="2" s="1"/>
  <c r="AV207" i="2"/>
  <c r="AW339" i="2"/>
  <c r="AU331" i="2"/>
  <c r="AU323" i="2"/>
  <c r="AW328" i="2"/>
  <c r="AY337" i="2"/>
  <c r="AU258" i="2"/>
  <c r="AY275" i="2"/>
  <c r="AY267" i="2"/>
  <c r="AW259" i="2"/>
  <c r="AY219" i="2"/>
  <c r="AU266" i="2"/>
  <c r="AY292" i="2"/>
  <c r="AU227" i="2"/>
  <c r="AY212" i="2"/>
  <c r="AY211" i="2"/>
  <c r="AU203" i="2"/>
  <c r="AX225" i="2"/>
  <c r="AX306" i="2"/>
  <c r="AX206" i="2"/>
  <c r="AW283" i="2"/>
  <c r="AX242" i="2"/>
  <c r="AX228" i="2"/>
  <c r="AX272" i="2"/>
  <c r="AX307" i="2"/>
  <c r="AX296" i="2"/>
  <c r="AX238" i="2"/>
  <c r="AU322" i="2"/>
  <c r="AU334" i="2"/>
  <c r="AV240" i="2"/>
  <c r="AU105" i="2"/>
  <c r="AY266" i="2"/>
  <c r="AV334" i="2"/>
  <c r="AU344" i="2"/>
  <c r="AU212" i="2"/>
  <c r="AX322" i="2"/>
  <c r="AX314" i="2"/>
  <c r="AX282" i="2"/>
  <c r="AX226" i="2"/>
  <c r="AW205" i="2"/>
  <c r="AW234" i="2"/>
  <c r="AV225" i="2"/>
  <c r="AW322" i="2"/>
  <c r="AV314" i="2"/>
  <c r="AY290" i="2"/>
  <c r="AY282" i="2"/>
  <c r="AY283" i="2"/>
  <c r="AU261" i="2"/>
  <c r="AW210" i="2"/>
  <c r="AV242" i="2"/>
  <c r="AZ242" i="2" s="1"/>
  <c r="AX205" i="2"/>
  <c r="AW334" i="2"/>
  <c r="AW282" i="2"/>
  <c r="AW286" i="2"/>
  <c r="AW240" i="2"/>
  <c r="AX261" i="2"/>
  <c r="AX326" i="2"/>
  <c r="AX270" i="2"/>
  <c r="AX294" i="2"/>
  <c r="AX278" i="2"/>
  <c r="AX262" i="2"/>
  <c r="AX246" i="2"/>
  <c r="AX222" i="2"/>
  <c r="AU314" i="2"/>
  <c r="AU306" i="2"/>
  <c r="AU290" i="2"/>
  <c r="AU206" i="2"/>
  <c r="AU297" i="2"/>
  <c r="AU216" i="2"/>
  <c r="AV283" i="2"/>
  <c r="AU226" i="2"/>
  <c r="AV210" i="2"/>
  <c r="AU236" i="2"/>
  <c r="AW228" i="2"/>
  <c r="AW272" i="2"/>
  <c r="AU294" i="2"/>
  <c r="AY307" i="2"/>
  <c r="AU278" i="2"/>
  <c r="AV327" i="2"/>
  <c r="AY296" i="2"/>
  <c r="AV230" i="2"/>
  <c r="AZ230" i="2" s="1"/>
  <c r="AU222" i="2"/>
  <c r="AW298" i="2"/>
  <c r="AU253" i="2"/>
  <c r="AY344" i="2"/>
  <c r="AY253" i="2"/>
  <c r="AW331" i="2"/>
  <c r="AW206" i="2"/>
  <c r="AW211" i="2"/>
  <c r="AV294" i="2"/>
  <c r="AZ294" i="2" s="1"/>
  <c r="AU228" i="2"/>
  <c r="AU267" i="2"/>
  <c r="AU298" i="2"/>
  <c r="AW265" i="2"/>
  <c r="AX345" i="2"/>
  <c r="AX289" i="2"/>
  <c r="AX257" i="2"/>
  <c r="AX249" i="2"/>
  <c r="AX254" i="2"/>
  <c r="AV345" i="2"/>
  <c r="AZ345" i="2" s="1"/>
  <c r="AU233" i="2"/>
  <c r="AU224" i="2"/>
  <c r="AU310" i="2"/>
  <c r="AY319" i="2"/>
  <c r="AV218" i="2"/>
  <c r="AZ218" i="2" s="1"/>
  <c r="AV215" i="2"/>
  <c r="AU254" i="2"/>
  <c r="AY236" i="2"/>
  <c r="AY225" i="2"/>
  <c r="AY328" i="2"/>
  <c r="AY324" i="2"/>
  <c r="AY329" i="2"/>
  <c r="AY227" i="2"/>
  <c r="AY321" i="2"/>
  <c r="AW225" i="2"/>
  <c r="AW312" i="2"/>
  <c r="AW294" i="2"/>
  <c r="AW275" i="2"/>
  <c r="AW266" i="2"/>
  <c r="AW227" i="2"/>
  <c r="AV234" i="2"/>
  <c r="AV278" i="2"/>
  <c r="AZ278" i="2" s="1"/>
  <c r="AV342" i="2"/>
  <c r="AZ342" i="2" s="1"/>
  <c r="AV291" i="2"/>
  <c r="AU307" i="2"/>
  <c r="AU327" i="2"/>
  <c r="AU219" i="2"/>
  <c r="AU283" i="2"/>
  <c r="AY308" i="2"/>
  <c r="AW291" i="2"/>
  <c r="AW290" i="2"/>
  <c r="AX216" i="2"/>
  <c r="AW226" i="2"/>
  <c r="AX327" i="2"/>
  <c r="AX253" i="2"/>
  <c r="AV205" i="2"/>
  <c r="AZ205" i="2" s="1"/>
  <c r="AU225" i="2"/>
  <c r="AV282" i="2"/>
  <c r="AU286" i="2"/>
  <c r="AV261" i="2"/>
  <c r="AZ261" i="2" s="1"/>
  <c r="AU242" i="2"/>
  <c r="AW326" i="2"/>
  <c r="AV270" i="2"/>
  <c r="AZ270" i="2" s="1"/>
  <c r="AU302" i="2"/>
  <c r="AW262" i="2"/>
  <c r="AV246" i="2"/>
  <c r="AU238" i="2"/>
  <c r="AY326" i="2"/>
  <c r="AY303" i="2"/>
  <c r="AY258" i="2"/>
  <c r="AY330" i="2"/>
  <c r="AY246" i="2"/>
  <c r="AY291" i="2"/>
  <c r="AY298" i="2"/>
  <c r="AX334" i="2"/>
  <c r="AX286" i="2"/>
  <c r="AW323" i="2"/>
  <c r="AW288" i="2"/>
  <c r="AW327" i="2"/>
  <c r="AW256" i="2"/>
  <c r="AW342" i="2"/>
  <c r="AW222" i="2"/>
  <c r="AW203" i="2"/>
  <c r="AV228" i="2"/>
  <c r="AZ228" i="2" s="1"/>
  <c r="AV290" i="2"/>
  <c r="AV256" i="2"/>
  <c r="AU282" i="2"/>
  <c r="AU246" i="2"/>
  <c r="AU210" i="2"/>
  <c r="AY233" i="2"/>
  <c r="AY204" i="2"/>
  <c r="AY254" i="2"/>
  <c r="AX313" i="2"/>
  <c r="AX204" i="2"/>
  <c r="AW241" i="2"/>
  <c r="AX341" i="2"/>
  <c r="AX333" i="2"/>
  <c r="AX265" i="2"/>
  <c r="AX293" i="2"/>
  <c r="AX208" i="2"/>
  <c r="AX305" i="2"/>
  <c r="AX285" i="2"/>
  <c r="AX315" i="2"/>
  <c r="AX213" i="2"/>
  <c r="AX251" i="2"/>
  <c r="AU345" i="2"/>
  <c r="AV249" i="2"/>
  <c r="AU217" i="2"/>
  <c r="AU201" i="2"/>
  <c r="AV325" i="2"/>
  <c r="AY268" i="2"/>
  <c r="AU265" i="2"/>
  <c r="AV293" i="2"/>
  <c r="AZ293" i="2" s="1"/>
  <c r="AY305" i="2"/>
  <c r="AU285" i="2"/>
  <c r="AU245" i="2"/>
  <c r="AY213" i="2"/>
  <c r="AX308" i="2"/>
  <c r="AX288" i="2"/>
  <c r="AW277" i="2"/>
  <c r="AU312" i="2"/>
  <c r="AW344" i="2"/>
  <c r="AV202" i="2"/>
  <c r="AZ202" i="2" s="1"/>
  <c r="AU248" i="2"/>
  <c r="AX189" i="2"/>
  <c r="AW77" i="2"/>
  <c r="AY325" i="2"/>
  <c r="AY302" i="2"/>
  <c r="AY256" i="2"/>
  <c r="AY245" i="2"/>
  <c r="AY281" i="2"/>
  <c r="AX277" i="2"/>
  <c r="AW337" i="2"/>
  <c r="AW307" i="2"/>
  <c r="AW296" i="2"/>
  <c r="AW238" i="2"/>
  <c r="AW212" i="2"/>
  <c r="AW242" i="2"/>
  <c r="AV265" i="2"/>
  <c r="AV288" i="2"/>
  <c r="AV296" i="2"/>
  <c r="AZ296" i="2" s="1"/>
  <c r="AV321" i="2"/>
  <c r="AZ321" i="2" s="1"/>
  <c r="AU218" i="2"/>
  <c r="AU262" i="2"/>
  <c r="AY270" i="2"/>
  <c r="AY278" i="2"/>
  <c r="AY222" i="2"/>
  <c r="AX240" i="2"/>
  <c r="AX283" i="2"/>
  <c r="AW306" i="2"/>
  <c r="AW261" i="2"/>
  <c r="AV306" i="2"/>
  <c r="AV307" i="2"/>
  <c r="AU326" i="2"/>
  <c r="AU270" i="2"/>
  <c r="AU277" i="2"/>
  <c r="AY132" i="2"/>
  <c r="AY228" i="2"/>
  <c r="AY265" i="2"/>
  <c r="AY317" i="2"/>
  <c r="AY202" i="2"/>
  <c r="AY232" i="2"/>
  <c r="AW302" i="2"/>
  <c r="AV326" i="2"/>
  <c r="AV286" i="2"/>
  <c r="AV298" i="2"/>
  <c r="AZ298" i="2" s="1"/>
  <c r="AU205" i="2"/>
  <c r="AU337" i="2"/>
  <c r="AX312" i="2"/>
  <c r="AX318" i="2"/>
  <c r="AX291" i="2"/>
  <c r="AX194" i="2"/>
  <c r="AV90" i="2"/>
  <c r="AW330" i="2"/>
  <c r="AW202" i="2"/>
  <c r="AW248" i="2"/>
  <c r="AV322" i="2"/>
  <c r="AV302" i="2"/>
  <c r="AZ302" i="2" s="1"/>
  <c r="AX233" i="2"/>
  <c r="AX310" i="2"/>
  <c r="AX319" i="2"/>
  <c r="AX274" i="2"/>
  <c r="AX218" i="2"/>
  <c r="AX241" i="2"/>
  <c r="AV224" i="2"/>
  <c r="AY313" i="2"/>
  <c r="AY310" i="2"/>
  <c r="AW319" i="2"/>
  <c r="AU274" i="2"/>
  <c r="AV289" i="2"/>
  <c r="AZ289" i="2" s="1"/>
  <c r="AU204" i="2"/>
  <c r="AY269" i="2"/>
  <c r="AY257" i="2"/>
  <c r="AY249" i="2"/>
  <c r="AU215" i="2"/>
  <c r="AV264" i="2"/>
  <c r="AZ264" i="2" s="1"/>
  <c r="AV217" i="2"/>
  <c r="AZ217" i="2" s="1"/>
  <c r="AW254" i="2"/>
  <c r="AY201" i="2"/>
  <c r="I12" i="7"/>
  <c r="AV235" i="2"/>
  <c r="AW235" i="2"/>
  <c r="AV276" i="2"/>
  <c r="AZ276" i="2" s="1"/>
  <c r="AW276" i="2"/>
  <c r="AU280" i="2"/>
  <c r="AV280" i="2"/>
  <c r="AZ280" i="2" s="1"/>
  <c r="AW280" i="2"/>
  <c r="AU332" i="2"/>
  <c r="AU338" i="2"/>
  <c r="AX239" i="2"/>
  <c r="AX336" i="2"/>
  <c r="AX223" i="2"/>
  <c r="AX320" i="2"/>
  <c r="AW336" i="2"/>
  <c r="AV223" i="2"/>
  <c r="AY239" i="2"/>
  <c r="AY289" i="2"/>
  <c r="AY285" i="2"/>
  <c r="AY264" i="2"/>
  <c r="AX300" i="2"/>
  <c r="AW274" i="2"/>
  <c r="AW284" i="2"/>
  <c r="AW204" i="2"/>
  <c r="AW260" i="2"/>
  <c r="AW264" i="2"/>
  <c r="AW213" i="2"/>
  <c r="AV336" i="2"/>
  <c r="AZ336" i="2" s="1"/>
  <c r="AV274" i="2"/>
  <c r="AV284" i="2"/>
  <c r="AZ284" i="2" s="1"/>
  <c r="AV245" i="2"/>
  <c r="AU235" i="2"/>
  <c r="AU223" i="2"/>
  <c r="AU269" i="2"/>
  <c r="AX304" i="2"/>
  <c r="AW239" i="2"/>
  <c r="AV320" i="2"/>
  <c r="AZ320" i="2" s="1"/>
  <c r="AV347" i="2"/>
  <c r="AZ347" i="2" s="1"/>
  <c r="AV304" i="2"/>
  <c r="AZ304" i="2" s="1"/>
  <c r="AU299" i="2"/>
  <c r="AX245" i="2"/>
  <c r="AU341" i="2"/>
  <c r="AW268" i="2"/>
  <c r="AV208" i="2"/>
  <c r="AW208" i="2"/>
  <c r="AV316" i="2"/>
  <c r="AZ316" i="2" s="1"/>
  <c r="AW285" i="2"/>
  <c r="AV315" i="2"/>
  <c r="AZ315" i="2" s="1"/>
  <c r="AW315" i="2"/>
  <c r="AU263" i="2"/>
  <c r="AV263" i="2"/>
  <c r="AZ263" i="2" s="1"/>
  <c r="AW263" i="2"/>
  <c r="AV251" i="2"/>
  <c r="AZ251" i="2" s="1"/>
  <c r="AY341" i="2"/>
  <c r="AX340" i="2"/>
  <c r="AX244" i="2"/>
  <c r="AW293" i="2"/>
  <c r="AW304" i="2"/>
  <c r="AW257" i="2"/>
  <c r="AW245" i="2"/>
  <c r="AW215" i="2"/>
  <c r="AW220" i="2"/>
  <c r="AV239" i="2"/>
  <c r="AZ239" i="2" s="1"/>
  <c r="AV332" i="2"/>
  <c r="AV285" i="2"/>
  <c r="AZ285" i="2" s="1"/>
  <c r="AV201" i="2"/>
  <c r="AU260" i="2"/>
  <c r="AY348" i="2"/>
  <c r="AY235" i="2"/>
  <c r="AY332" i="2"/>
  <c r="AY340" i="2"/>
  <c r="AY338" i="2"/>
  <c r="AY347" i="2"/>
  <c r="AY300" i="2"/>
  <c r="AY214" i="2"/>
  <c r="AY284" i="2"/>
  <c r="AY276" i="2"/>
  <c r="AY304" i="2"/>
  <c r="AY260" i="2"/>
  <c r="AY252" i="2"/>
  <c r="AY244" i="2"/>
  <c r="AY299" i="2"/>
  <c r="AY250" i="2"/>
  <c r="AY220" i="2"/>
  <c r="AY280" i="2"/>
  <c r="AY243" i="2"/>
  <c r="AX252" i="2"/>
  <c r="AU348" i="2"/>
  <c r="AW347" i="2"/>
  <c r="AV214" i="2"/>
  <c r="AZ214" i="2" s="1"/>
  <c r="AU284" i="2"/>
  <c r="AW244" i="2"/>
  <c r="AV250" i="2"/>
  <c r="AZ250" i="2" s="1"/>
  <c r="AU220" i="2"/>
  <c r="AX338" i="2"/>
  <c r="AW332" i="2"/>
  <c r="AU340" i="2"/>
  <c r="AU300" i="2"/>
  <c r="AX324" i="2"/>
  <c r="AX229" i="2"/>
  <c r="AV333" i="2"/>
  <c r="AU325" i="2"/>
  <c r="AV301" i="2"/>
  <c r="AZ301" i="2" s="1"/>
  <c r="AW301" i="2"/>
  <c r="AU293" i="2"/>
  <c r="AU305" i="2"/>
  <c r="AU324" i="2"/>
  <c r="AU229" i="2"/>
  <c r="AU213" i="2"/>
  <c r="AY208" i="2"/>
  <c r="AY263" i="2"/>
  <c r="AX276" i="2"/>
  <c r="AW341" i="2"/>
  <c r="AW338" i="2"/>
  <c r="AV268" i="2"/>
  <c r="AZ268" i="2" s="1"/>
  <c r="AV269" i="2"/>
  <c r="AZ269" i="2" s="1"/>
  <c r="AV252" i="2"/>
  <c r="AV213" i="2"/>
  <c r="AU208" i="2"/>
  <c r="AU251" i="2"/>
  <c r="AY224" i="2"/>
  <c r="AY320" i="2"/>
  <c r="AY293" i="2"/>
  <c r="AY229" i="2"/>
  <c r="AX235" i="2"/>
  <c r="AX250" i="2"/>
  <c r="AX243" i="2"/>
  <c r="AW223" i="2"/>
  <c r="AW289" i="2"/>
  <c r="AW305" i="2"/>
  <c r="AW251" i="2"/>
  <c r="AV305" i="2"/>
  <c r="AV299" i="2"/>
  <c r="AZ299" i="2" s="1"/>
  <c r="AU333" i="2"/>
  <c r="AU320" i="2"/>
  <c r="AY301" i="2"/>
  <c r="AY315" i="2"/>
  <c r="AW325" i="2"/>
  <c r="AW300" i="2"/>
  <c r="AW252" i="2"/>
  <c r="AW229" i="2"/>
  <c r="AW243" i="2"/>
  <c r="AV341" i="2"/>
  <c r="AU316" i="2"/>
  <c r="AX269" i="2"/>
  <c r="AX215" i="2"/>
  <c r="AX217" i="2"/>
  <c r="AX201" i="2"/>
  <c r="AW345" i="2"/>
  <c r="AV233" i="2"/>
  <c r="AZ233" i="2" s="1"/>
  <c r="AW224" i="2"/>
  <c r="AU313" i="2"/>
  <c r="AV313" i="2"/>
  <c r="AW310" i="2"/>
  <c r="AU319" i="2"/>
  <c r="AV319" i="2"/>
  <c r="AZ319" i="2" s="1"/>
  <c r="AU289" i="2"/>
  <c r="AW218" i="2"/>
  <c r="AV204" i="2"/>
  <c r="AZ204" i="2" s="1"/>
  <c r="AW269" i="2"/>
  <c r="AU257" i="2"/>
  <c r="AV257" i="2"/>
  <c r="AU249" i="2"/>
  <c r="AW249" i="2"/>
  <c r="AU241" i="2"/>
  <c r="AV241" i="2"/>
  <c r="AU264" i="2"/>
  <c r="AW217" i="2"/>
  <c r="AV254" i="2"/>
  <c r="AZ254" i="2" s="1"/>
  <c r="AW201" i="2"/>
  <c r="AV318" i="2"/>
  <c r="AZ318" i="2" s="1"/>
  <c r="AV232" i="2"/>
  <c r="AZ232" i="2" s="1"/>
  <c r="AW237" i="2"/>
  <c r="AW335" i="2"/>
  <c r="AW221" i="2"/>
  <c r="AW287" i="2"/>
  <c r="AW311" i="2"/>
  <c r="AW303" i="2"/>
  <c r="AW295" i="2"/>
  <c r="AW317" i="2"/>
  <c r="AW279" i="2"/>
  <c r="AW271" i="2"/>
  <c r="AW343" i="2"/>
  <c r="AW255" i="2"/>
  <c r="AW247" i="2"/>
  <c r="AW329" i="2"/>
  <c r="AW231" i="2"/>
  <c r="AW281" i="2"/>
  <c r="AW309" i="2"/>
  <c r="AW207" i="2"/>
  <c r="AX209" i="2"/>
  <c r="AX275" i="2"/>
  <c r="AX267" i="2"/>
  <c r="AX259" i="2"/>
  <c r="AX219" i="2"/>
  <c r="AX266" i="2"/>
  <c r="AX292" i="2"/>
  <c r="AX227" i="2"/>
  <c r="AX212" i="2"/>
  <c r="AX211" i="2"/>
  <c r="AX203" i="2"/>
  <c r="AU237" i="2"/>
  <c r="AU335" i="2"/>
  <c r="AU221" i="2"/>
  <c r="AU287" i="2"/>
  <c r="AU311" i="2"/>
  <c r="AU303" i="2"/>
  <c r="AU295" i="2"/>
  <c r="AU317" i="2"/>
  <c r="AU279" i="2"/>
  <c r="AU271" i="2"/>
  <c r="AU343" i="2"/>
  <c r="AU255" i="2"/>
  <c r="AU247" i="2"/>
  <c r="AU329" i="2"/>
  <c r="AU231" i="2"/>
  <c r="AU281" i="2"/>
  <c r="AU309" i="2"/>
  <c r="AU207" i="2"/>
  <c r="AV273" i="2"/>
  <c r="AZ273" i="2" s="1"/>
  <c r="AV339" i="2"/>
  <c r="AZ339" i="2" s="1"/>
  <c r="AV331" i="2"/>
  <c r="AV323" i="2"/>
  <c r="AZ323" i="2" s="1"/>
  <c r="AV328" i="2"/>
  <c r="AZ328" i="2" s="1"/>
  <c r="AV337" i="2"/>
  <c r="AV346" i="2"/>
  <c r="AZ346" i="2" s="1"/>
  <c r="AV258" i="2"/>
  <c r="AV209" i="2"/>
  <c r="AV275" i="2"/>
  <c r="AZ275" i="2" s="1"/>
  <c r="AV267" i="2"/>
  <c r="AZ267" i="2" s="1"/>
  <c r="AV259" i="2"/>
  <c r="AV219" i="2"/>
  <c r="AV266" i="2"/>
  <c r="AV292" i="2"/>
  <c r="AV227" i="2"/>
  <c r="AV212" i="2"/>
  <c r="AZ212" i="2" s="1"/>
  <c r="AV211" i="2"/>
  <c r="AV203" i="2"/>
  <c r="AX279" i="2"/>
  <c r="AX309" i="2"/>
  <c r="AW346" i="2"/>
  <c r="AW292" i="2"/>
  <c r="AV287" i="2"/>
  <c r="AZ287" i="2" s="1"/>
  <c r="AV255" i="2"/>
  <c r="AU339" i="2"/>
  <c r="AU275" i="2"/>
  <c r="AU211" i="2"/>
  <c r="AU108" i="2"/>
  <c r="AU109" i="2"/>
  <c r="AX162" i="2"/>
  <c r="AX114" i="2"/>
  <c r="AX98" i="2"/>
  <c r="AX66" i="2"/>
  <c r="AY194" i="2"/>
  <c r="AU186" i="2"/>
  <c r="AV178" i="2"/>
  <c r="AZ178" i="2" s="1"/>
  <c r="AW170" i="2"/>
  <c r="AU162" i="2"/>
  <c r="AW154" i="2"/>
  <c r="AU138" i="2"/>
  <c r="AY130" i="2"/>
  <c r="AY114" i="2"/>
  <c r="AU106" i="2"/>
  <c r="AY98" i="2"/>
  <c r="AW82" i="2"/>
  <c r="AW74" i="2"/>
  <c r="AU110" i="2"/>
  <c r="AU102" i="2"/>
  <c r="AU104" i="2"/>
  <c r="AV157" i="2"/>
  <c r="AZ157" i="2" s="1"/>
  <c r="AU101" i="2"/>
  <c r="AV162" i="2"/>
  <c r="AX140" i="2"/>
  <c r="AX116" i="2"/>
  <c r="AW188" i="2"/>
  <c r="AY172" i="2"/>
  <c r="AV156" i="2"/>
  <c r="AZ156" i="2" s="1"/>
  <c r="AV76" i="2"/>
  <c r="AZ76" i="2" s="1"/>
  <c r="AY162" i="2"/>
  <c r="AW138" i="2"/>
  <c r="AY161" i="2"/>
  <c r="AV129" i="2"/>
  <c r="AW105" i="2"/>
  <c r="AY81" i="2"/>
  <c r="AY199" i="2"/>
  <c r="AY135" i="2"/>
  <c r="AV196" i="2"/>
  <c r="AZ196" i="2" s="1"/>
  <c r="AV140" i="2"/>
  <c r="AZ140" i="2" s="1"/>
  <c r="AV189" i="2"/>
  <c r="AZ189" i="2" s="1"/>
  <c r="AU173" i="2"/>
  <c r="AW133" i="2"/>
  <c r="AY109" i="2"/>
  <c r="AV101" i="2"/>
  <c r="AX178" i="2"/>
  <c r="AV146" i="2"/>
  <c r="AV138" i="2"/>
  <c r="AZ138" i="2" s="1"/>
  <c r="AX76" i="2"/>
  <c r="AY156" i="2"/>
  <c r="AU148" i="2"/>
  <c r="AW132" i="2"/>
  <c r="AW124" i="2"/>
  <c r="AY108" i="2"/>
  <c r="AY92" i="2"/>
  <c r="AW68" i="2"/>
  <c r="AY68" i="2"/>
  <c r="AY116" i="2"/>
  <c r="AW84" i="2"/>
  <c r="AY106" i="2"/>
  <c r="AY66" i="2"/>
  <c r="AW146" i="2"/>
  <c r="AX130" i="2"/>
  <c r="AW106" i="2"/>
  <c r="AX82" i="2"/>
  <c r="AV186" i="2"/>
  <c r="AZ186" i="2" s="1"/>
  <c r="AU170" i="2"/>
  <c r="AV154" i="2"/>
  <c r="AW122" i="2"/>
  <c r="AV98" i="2"/>
  <c r="AZ98" i="2" s="1"/>
  <c r="AY74" i="2"/>
  <c r="AX186" i="2"/>
  <c r="AX170" i="2"/>
  <c r="AX154" i="2"/>
  <c r="AX138" i="2"/>
  <c r="AX90" i="2"/>
  <c r="AX74" i="2"/>
  <c r="AV170" i="2"/>
  <c r="AV130" i="2"/>
  <c r="AU114" i="2"/>
  <c r="AV82" i="2"/>
  <c r="AZ82" i="2" s="1"/>
  <c r="AU194" i="2"/>
  <c r="AU178" i="2"/>
  <c r="AW162" i="2"/>
  <c r="AU146" i="2"/>
  <c r="AU130" i="2"/>
  <c r="AV114" i="2"/>
  <c r="AV106" i="2"/>
  <c r="AW90" i="2"/>
  <c r="AY82" i="2"/>
  <c r="AV66" i="2"/>
  <c r="AZ66" i="2" s="1"/>
  <c r="AY138" i="2"/>
  <c r="AX146" i="2"/>
  <c r="AW196" i="2"/>
  <c r="AY121" i="2"/>
  <c r="AX77" i="2"/>
  <c r="AY149" i="2"/>
  <c r="AV200" i="2"/>
  <c r="AY192" i="2"/>
  <c r="AY136" i="2"/>
  <c r="AY154" i="2"/>
  <c r="AY122" i="2"/>
  <c r="AW98" i="2"/>
  <c r="AV122" i="2"/>
  <c r="AU154" i="2"/>
  <c r="AX157" i="2"/>
  <c r="AX141" i="2"/>
  <c r="AW181" i="2"/>
  <c r="AV165" i="2"/>
  <c r="AZ165" i="2" s="1"/>
  <c r="AY117" i="2"/>
  <c r="AV93" i="2"/>
  <c r="AV77" i="2"/>
  <c r="AZ77" i="2" s="1"/>
  <c r="AY90" i="2"/>
  <c r="AW186" i="2"/>
  <c r="AX132" i="2"/>
  <c r="AX100" i="2"/>
  <c r="AY188" i="2"/>
  <c r="AU164" i="2"/>
  <c r="AW148" i="2"/>
  <c r="AY124" i="2"/>
  <c r="AV92" i="2"/>
  <c r="AZ92" i="2" s="1"/>
  <c r="AV74" i="2"/>
  <c r="AX173" i="2"/>
  <c r="AX133" i="2"/>
  <c r="AX117" i="2"/>
  <c r="AX85" i="2"/>
  <c r="AY189" i="2"/>
  <c r="AY173" i="2"/>
  <c r="AW125" i="2"/>
  <c r="AY186" i="2"/>
  <c r="AY178" i="2"/>
  <c r="AY146" i="2"/>
  <c r="AW178" i="2"/>
  <c r="AW130" i="2"/>
  <c r="AV194" i="2"/>
  <c r="AZ194" i="2" s="1"/>
  <c r="AW78" i="2"/>
  <c r="AY170" i="2"/>
  <c r="AX185" i="2"/>
  <c r="AX177" i="2"/>
  <c r="AX161" i="2"/>
  <c r="AX121" i="2"/>
  <c r="AX89" i="2"/>
  <c r="AU185" i="2"/>
  <c r="AY177" i="2"/>
  <c r="AV169" i="2"/>
  <c r="AW153" i="2"/>
  <c r="AY145" i="2"/>
  <c r="AU137" i="2"/>
  <c r="AV105" i="2"/>
  <c r="AW65" i="2"/>
  <c r="AW142" i="2"/>
  <c r="AX200" i="2"/>
  <c r="AX160" i="2"/>
  <c r="AY144" i="2"/>
  <c r="AV104" i="2"/>
  <c r="AZ104" i="2" s="1"/>
  <c r="AX106" i="2"/>
  <c r="AU167" i="2"/>
  <c r="AV95" i="2"/>
  <c r="AX134" i="2"/>
  <c r="AX78" i="2"/>
  <c r="AV158" i="2"/>
  <c r="AZ158" i="2" s="1"/>
  <c r="AY134" i="2"/>
  <c r="AV94" i="2"/>
  <c r="AZ94" i="2" s="1"/>
  <c r="AV109" i="2"/>
  <c r="AZ109" i="2" s="1"/>
  <c r="AY125" i="2"/>
  <c r="AY77" i="2"/>
  <c r="AW185" i="2"/>
  <c r="AX124" i="2"/>
  <c r="AU140" i="2"/>
  <c r="AV132" i="2"/>
  <c r="AZ132" i="2" s="1"/>
  <c r="AV68" i="2"/>
  <c r="AZ68" i="2" s="1"/>
  <c r="AX197" i="2"/>
  <c r="AX181" i="2"/>
  <c r="AX149" i="2"/>
  <c r="AX125" i="2"/>
  <c r="AX109" i="2"/>
  <c r="AX93" i="2"/>
  <c r="AX69" i="2"/>
  <c r="AY197" i="2"/>
  <c r="AV149" i="2"/>
  <c r="AZ149" i="2" s="1"/>
  <c r="AY141" i="2"/>
  <c r="AV133" i="2"/>
  <c r="AY101" i="2"/>
  <c r="AV85" i="2"/>
  <c r="AZ85" i="2" s="1"/>
  <c r="AW69" i="2"/>
  <c r="AY165" i="2"/>
  <c r="AV125" i="2"/>
  <c r="AX180" i="2"/>
  <c r="AX68" i="2"/>
  <c r="AY196" i="2"/>
  <c r="AU197" i="2"/>
  <c r="AX142" i="2"/>
  <c r="AY190" i="2"/>
  <c r="AW150" i="2"/>
  <c r="AY70" i="2"/>
  <c r="AY164" i="2"/>
  <c r="AW149" i="2"/>
  <c r="AW93" i="2"/>
  <c r="AV185" i="2"/>
  <c r="AZ185" i="2" s="1"/>
  <c r="AU165" i="2"/>
  <c r="AY105" i="2"/>
  <c r="AY69" i="2"/>
  <c r="AU133" i="2"/>
  <c r="AW197" i="2"/>
  <c r="AV141" i="2"/>
  <c r="AX193" i="2"/>
  <c r="AX145" i="2"/>
  <c r="AX105" i="2"/>
  <c r="AX65" i="2"/>
  <c r="AV65" i="2"/>
  <c r="AZ65" i="2" s="1"/>
  <c r="AV137" i="2"/>
  <c r="AW113" i="2"/>
  <c r="AW89" i="2"/>
  <c r="AW169" i="2"/>
  <c r="AV197" i="2"/>
  <c r="AZ197" i="2" s="1"/>
  <c r="AX104" i="2"/>
  <c r="AY97" i="2"/>
  <c r="AX176" i="2"/>
  <c r="AX144" i="2"/>
  <c r="AX120" i="2"/>
  <c r="AX88" i="2"/>
  <c r="AU200" i="2"/>
  <c r="AV192" i="2"/>
  <c r="AW184" i="2"/>
  <c r="AU176" i="2"/>
  <c r="AV168" i="2"/>
  <c r="AZ168" i="2" s="1"/>
  <c r="AW152" i="2"/>
  <c r="AU136" i="2"/>
  <c r="AU120" i="2"/>
  <c r="AU112" i="2"/>
  <c r="AY96" i="2"/>
  <c r="AY80" i="2"/>
  <c r="AY133" i="2"/>
  <c r="AW168" i="2"/>
  <c r="AW141" i="2"/>
  <c r="AU149" i="2"/>
  <c r="AX143" i="2"/>
  <c r="AW151" i="2"/>
  <c r="AU184" i="2"/>
  <c r="AY152" i="2"/>
  <c r="AW96" i="2"/>
  <c r="AW137" i="2"/>
  <c r="AV112" i="2"/>
  <c r="AZ112" i="2" s="1"/>
  <c r="AY200" i="2"/>
  <c r="AX198" i="2"/>
  <c r="AX182" i="2"/>
  <c r="AX166" i="2"/>
  <c r="AX150" i="2"/>
  <c r="AX126" i="2"/>
  <c r="AX110" i="2"/>
  <c r="AX94" i="2"/>
  <c r="AW198" i="2"/>
  <c r="AY182" i="2"/>
  <c r="AY166" i="2"/>
  <c r="AV142" i="2"/>
  <c r="AZ142" i="2" s="1"/>
  <c r="AW126" i="2"/>
  <c r="AY126" i="2"/>
  <c r="AY110" i="2"/>
  <c r="AY94" i="2"/>
  <c r="AY86" i="2"/>
  <c r="AV86" i="2"/>
  <c r="AW86" i="2"/>
  <c r="AV78" i="2"/>
  <c r="AZ78" i="2" s="1"/>
  <c r="AW70" i="2"/>
  <c r="AY112" i="2"/>
  <c r="AW112" i="2"/>
  <c r="AU177" i="2"/>
  <c r="AU113" i="2"/>
  <c r="AX169" i="2"/>
  <c r="AX153" i="2"/>
  <c r="AX137" i="2"/>
  <c r="AX129" i="2"/>
  <c r="AX113" i="2"/>
  <c r="AX97" i="2"/>
  <c r="AX81" i="2"/>
  <c r="AX73" i="2"/>
  <c r="AY193" i="2"/>
  <c r="AV193" i="2"/>
  <c r="AU193" i="2"/>
  <c r="AW193" i="2"/>
  <c r="AY185" i="2"/>
  <c r="AV177" i="2"/>
  <c r="AW177" i="2"/>
  <c r="AU169" i="2"/>
  <c r="AY169" i="2"/>
  <c r="AU161" i="2"/>
  <c r="AV161" i="2"/>
  <c r="AW161" i="2"/>
  <c r="AV153" i="2"/>
  <c r="AZ153" i="2" s="1"/>
  <c r="AY153" i="2"/>
  <c r="AW145" i="2"/>
  <c r="AU145" i="2"/>
  <c r="AY137" i="2"/>
  <c r="AY129" i="2"/>
  <c r="AW129" i="2"/>
  <c r="AU129" i="2"/>
  <c r="AU121" i="2"/>
  <c r="AV121" i="2"/>
  <c r="AW121" i="2"/>
  <c r="AV113" i="2"/>
  <c r="AZ113" i="2" s="1"/>
  <c r="AY113" i="2"/>
  <c r="AW97" i="2"/>
  <c r="AV97" i="2"/>
  <c r="AZ97" i="2" s="1"/>
  <c r="AV89" i="2"/>
  <c r="AZ89" i="2" s="1"/>
  <c r="AY89" i="2"/>
  <c r="AW81" i="2"/>
  <c r="AZ81" i="2" s="1"/>
  <c r="AY73" i="2"/>
  <c r="AV73" i="2"/>
  <c r="AW73" i="2"/>
  <c r="AY65" i="2"/>
  <c r="AY198" i="2"/>
  <c r="AX192" i="2"/>
  <c r="AX184" i="2"/>
  <c r="AX168" i="2"/>
  <c r="AX152" i="2"/>
  <c r="AX136" i="2"/>
  <c r="AX128" i="2"/>
  <c r="AX112" i="2"/>
  <c r="AX96" i="2"/>
  <c r="AX80" i="2"/>
  <c r="AX72" i="2"/>
  <c r="AW200" i="2"/>
  <c r="AU192" i="2"/>
  <c r="AW192" i="2"/>
  <c r="AY184" i="2"/>
  <c r="AV184" i="2"/>
  <c r="AZ184" i="2" s="1"/>
  <c r="AV176" i="2"/>
  <c r="AZ176" i="2" s="1"/>
  <c r="AW176" i="2"/>
  <c r="AU168" i="2"/>
  <c r="AY168" i="2"/>
  <c r="AV160" i="2"/>
  <c r="AU160" i="2"/>
  <c r="AW160" i="2"/>
  <c r="AU152" i="2"/>
  <c r="AV152" i="2"/>
  <c r="AZ152" i="2" s="1"/>
  <c r="AV144" i="2"/>
  <c r="AW144" i="2"/>
  <c r="AU144" i="2"/>
  <c r="AW136" i="2"/>
  <c r="AV136" i="2"/>
  <c r="AU128" i="2"/>
  <c r="AY128" i="2"/>
  <c r="AY120" i="2"/>
  <c r="AV120" i="2"/>
  <c r="AZ120" i="2" s="1"/>
  <c r="AW120" i="2"/>
  <c r="AY104" i="2"/>
  <c r="AW104" i="2"/>
  <c r="AV96" i="2"/>
  <c r="AZ96" i="2" s="1"/>
  <c r="AV88" i="2"/>
  <c r="AW88" i="2"/>
  <c r="AY88" i="2"/>
  <c r="AV80" i="2"/>
  <c r="AZ80" i="2" s="1"/>
  <c r="AW72" i="2"/>
  <c r="AY72" i="2"/>
  <c r="AV72" i="2"/>
  <c r="AX190" i="2"/>
  <c r="AX174" i="2"/>
  <c r="AX158" i="2"/>
  <c r="AX118" i="2"/>
  <c r="AX102" i="2"/>
  <c r="AX86" i="2"/>
  <c r="AX70" i="2"/>
  <c r="AW190" i="2"/>
  <c r="AY174" i="2"/>
  <c r="AY158" i="2"/>
  <c r="AU158" i="2"/>
  <c r="AU150" i="2"/>
  <c r="AV150" i="2"/>
  <c r="AW134" i="2"/>
  <c r="AY118" i="2"/>
  <c r="AY102" i="2"/>
  <c r="AY176" i="2"/>
  <c r="AY160" i="2"/>
  <c r="AW128" i="2"/>
  <c r="AW80" i="2"/>
  <c r="AV128" i="2"/>
  <c r="AU166" i="2"/>
  <c r="AX199" i="2"/>
  <c r="AX191" i="2"/>
  <c r="AX183" i="2"/>
  <c r="AX175" i="2"/>
  <c r="AX167" i="2"/>
  <c r="AX159" i="2"/>
  <c r="AX151" i="2"/>
  <c r="AX135" i="2"/>
  <c r="AX127" i="2"/>
  <c r="AX119" i="2"/>
  <c r="AX111" i="2"/>
  <c r="AX103" i="2"/>
  <c r="AX95" i="2"/>
  <c r="AX87" i="2"/>
  <c r="AX79" i="2"/>
  <c r="AX71" i="2"/>
  <c r="AW199" i="2"/>
  <c r="AY191" i="2"/>
  <c r="AY183" i="2"/>
  <c r="AY175" i="2"/>
  <c r="AY167" i="2"/>
  <c r="AU159" i="2"/>
  <c r="AV159" i="2"/>
  <c r="AZ159" i="2" s="1"/>
  <c r="AV151" i="2"/>
  <c r="AZ151" i="2" s="1"/>
  <c r="AW143" i="2"/>
  <c r="AW135" i="2"/>
  <c r="AY127" i="2"/>
  <c r="AY119" i="2"/>
  <c r="AY111" i="2"/>
  <c r="AY103" i="2"/>
  <c r="AY95" i="2"/>
  <c r="AV87" i="2"/>
  <c r="AZ87" i="2" s="1"/>
  <c r="AW87" i="2"/>
  <c r="AW79" i="2"/>
  <c r="AW71" i="2"/>
  <c r="AY71" i="2"/>
  <c r="AU141" i="2"/>
  <c r="AX165" i="2"/>
  <c r="AX101" i="2"/>
  <c r="AU189" i="2"/>
  <c r="AV181" i="2"/>
  <c r="AZ181" i="2" s="1"/>
  <c r="AW173" i="2"/>
  <c r="AZ173" i="2" s="1"/>
  <c r="AY157" i="2"/>
  <c r="AU125" i="2"/>
  <c r="AV117" i="2"/>
  <c r="AW109" i="2"/>
  <c r="AY93" i="2"/>
  <c r="AW101" i="2"/>
  <c r="AW180" i="2"/>
  <c r="AU156" i="2"/>
  <c r="AV148" i="2"/>
  <c r="AZ148" i="2" s="1"/>
  <c r="AY140" i="2"/>
  <c r="AW116" i="2"/>
  <c r="AV84" i="2"/>
  <c r="AY76" i="2"/>
  <c r="AV188" i="2"/>
  <c r="AZ188" i="2" s="1"/>
  <c r="AW156" i="2"/>
  <c r="AX148" i="2"/>
  <c r="AV124" i="2"/>
  <c r="AZ124" i="2" s="1"/>
  <c r="AW92" i="2"/>
  <c r="AX84" i="2"/>
  <c r="AU172" i="2"/>
  <c r="AV164" i="2"/>
  <c r="AZ164" i="2" s="1"/>
  <c r="AX156" i="2"/>
  <c r="AV100" i="2"/>
  <c r="AX92" i="2"/>
  <c r="AU196" i="2"/>
  <c r="AU132" i="2"/>
  <c r="AU180" i="2"/>
  <c r="AV172" i="2"/>
  <c r="AW164" i="2"/>
  <c r="AY148" i="2"/>
  <c r="AU116" i="2"/>
  <c r="AV108" i="2"/>
  <c r="AW100" i="2"/>
  <c r="AY84" i="2"/>
  <c r="AW157" i="2"/>
  <c r="AW117" i="2"/>
  <c r="AY181" i="2"/>
  <c r="AV69" i="2"/>
  <c r="AZ69" i="2" s="1"/>
  <c r="AY180" i="2"/>
  <c r="AY100" i="2"/>
  <c r="AY85" i="2"/>
  <c r="AW189" i="2"/>
  <c r="AW85" i="2"/>
  <c r="AU157" i="2"/>
  <c r="AY143" i="2"/>
  <c r="AW95" i="2"/>
  <c r="AV167" i="2"/>
  <c r="AZ167" i="2" s="1"/>
  <c r="AU175" i="2"/>
  <c r="AY151" i="2"/>
  <c r="AY142" i="2"/>
  <c r="AY87" i="2"/>
  <c r="AY78" i="2"/>
  <c r="AW167" i="2"/>
  <c r="AW158" i="2"/>
  <c r="AW103" i="2"/>
  <c r="AW94" i="2"/>
  <c r="AV175" i="2"/>
  <c r="AV166" i="2"/>
  <c r="AV111" i="2"/>
  <c r="AV102" i="2"/>
  <c r="AU183" i="2"/>
  <c r="AU174" i="2"/>
  <c r="AU119" i="2"/>
  <c r="AY159" i="2"/>
  <c r="AY150" i="2"/>
  <c r="AW175" i="2"/>
  <c r="AW166" i="2"/>
  <c r="AW111" i="2"/>
  <c r="AW102" i="2"/>
  <c r="AV183" i="2"/>
  <c r="AZ183" i="2" s="1"/>
  <c r="AV174" i="2"/>
  <c r="AV119" i="2"/>
  <c r="AV110" i="2"/>
  <c r="AZ110" i="2" s="1"/>
  <c r="AU191" i="2"/>
  <c r="AU182" i="2"/>
  <c r="AU127" i="2"/>
  <c r="AU118" i="2"/>
  <c r="AU111" i="2"/>
  <c r="AV103" i="2"/>
  <c r="AW183" i="2"/>
  <c r="AW110" i="2"/>
  <c r="AV127" i="2"/>
  <c r="AU190" i="2"/>
  <c r="AX187" i="2"/>
  <c r="AX171" i="2"/>
  <c r="AX155" i="2"/>
  <c r="AX131" i="2"/>
  <c r="AX115" i="2"/>
  <c r="AX91" i="2"/>
  <c r="AX67" i="2"/>
  <c r="AU195" i="2"/>
  <c r="AV195" i="2"/>
  <c r="AZ195" i="2" s="1"/>
  <c r="AW195" i="2"/>
  <c r="AY195" i="2"/>
  <c r="AU187" i="2"/>
  <c r="AV187" i="2"/>
  <c r="AZ187" i="2" s="1"/>
  <c r="AW187" i="2"/>
  <c r="AY187" i="2"/>
  <c r="AU179" i="2"/>
  <c r="AV179" i="2"/>
  <c r="AZ179" i="2" s="1"/>
  <c r="AW179" i="2"/>
  <c r="AY179" i="2"/>
  <c r="AU171" i="2"/>
  <c r="AV171" i="2"/>
  <c r="AW171" i="2"/>
  <c r="AY171" i="2"/>
  <c r="AU163" i="2"/>
  <c r="AV163" i="2"/>
  <c r="AZ163" i="2" s="1"/>
  <c r="AW163" i="2"/>
  <c r="AY163" i="2"/>
  <c r="AU155" i="2"/>
  <c r="AV155" i="2"/>
  <c r="AZ155" i="2" s="1"/>
  <c r="AW155" i="2"/>
  <c r="AY155" i="2"/>
  <c r="AU147" i="2"/>
  <c r="AV147" i="2"/>
  <c r="AW147" i="2"/>
  <c r="AY147" i="2"/>
  <c r="AU139" i="2"/>
  <c r="AV139" i="2"/>
  <c r="AZ139" i="2" s="1"/>
  <c r="AW139" i="2"/>
  <c r="AY139" i="2"/>
  <c r="AU131" i="2"/>
  <c r="AV131" i="2"/>
  <c r="AZ131" i="2" s="1"/>
  <c r="AW131" i="2"/>
  <c r="AY131" i="2"/>
  <c r="AU123" i="2"/>
  <c r="AV123" i="2"/>
  <c r="AZ123" i="2" s="1"/>
  <c r="AW123" i="2"/>
  <c r="AY123" i="2"/>
  <c r="AU115" i="2"/>
  <c r="AV115" i="2"/>
  <c r="AW115" i="2"/>
  <c r="AY115" i="2"/>
  <c r="AV107" i="2"/>
  <c r="AZ107" i="2" s="1"/>
  <c r="AW107" i="2"/>
  <c r="AY107" i="2"/>
  <c r="AV99" i="2"/>
  <c r="AW99" i="2"/>
  <c r="AY99" i="2"/>
  <c r="AV91" i="2"/>
  <c r="AW91" i="2"/>
  <c r="AY91" i="2"/>
  <c r="AV83" i="2"/>
  <c r="AZ83" i="2" s="1"/>
  <c r="AW83" i="2"/>
  <c r="AY83" i="2"/>
  <c r="AV75" i="2"/>
  <c r="AW75" i="2"/>
  <c r="AY75" i="2"/>
  <c r="AV67" i="2"/>
  <c r="AZ67" i="2" s="1"/>
  <c r="AW67" i="2"/>
  <c r="AY67" i="2"/>
  <c r="AW174" i="2"/>
  <c r="AW119" i="2"/>
  <c r="AV191" i="2"/>
  <c r="AZ191" i="2" s="1"/>
  <c r="AV182" i="2"/>
  <c r="AV118" i="2"/>
  <c r="AZ118" i="2" s="1"/>
  <c r="AU199" i="2"/>
  <c r="AU135" i="2"/>
  <c r="AU126" i="2"/>
  <c r="AX195" i="2"/>
  <c r="AX179" i="2"/>
  <c r="AX163" i="2"/>
  <c r="AX147" i="2"/>
  <c r="AX139" i="2"/>
  <c r="AX123" i="2"/>
  <c r="AX107" i="2"/>
  <c r="AX99" i="2"/>
  <c r="AX83" i="2"/>
  <c r="AX75" i="2"/>
  <c r="AW191" i="2"/>
  <c r="AW182" i="2"/>
  <c r="AW127" i="2"/>
  <c r="AW118" i="2"/>
  <c r="AV199" i="2"/>
  <c r="AZ199" i="2" s="1"/>
  <c r="AV190" i="2"/>
  <c r="AZ190" i="2" s="1"/>
  <c r="AV135" i="2"/>
  <c r="AZ135" i="2" s="1"/>
  <c r="AV126" i="2"/>
  <c r="AV71" i="2"/>
  <c r="AU198" i="2"/>
  <c r="AU143" i="2"/>
  <c r="AU134" i="2"/>
  <c r="AY79" i="2"/>
  <c r="AW159" i="2"/>
  <c r="AW172" i="2"/>
  <c r="AW108" i="2"/>
  <c r="AV198" i="2"/>
  <c r="AV180" i="2"/>
  <c r="AZ180" i="2" s="1"/>
  <c r="AV143" i="2"/>
  <c r="AZ143" i="2" s="1"/>
  <c r="AV134" i="2"/>
  <c r="AV116" i="2"/>
  <c r="AV79" i="2"/>
  <c r="AZ79" i="2" s="1"/>
  <c r="AV70" i="2"/>
  <c r="AZ70" i="2" s="1"/>
  <c r="AU188" i="2"/>
  <c r="AU151" i="2"/>
  <c r="AU142" i="2"/>
  <c r="AU124" i="2"/>
  <c r="AU5" i="2"/>
  <c r="AX20" i="2"/>
  <c r="AX19" i="2"/>
  <c r="AY29" i="2"/>
  <c r="AY37" i="2"/>
  <c r="AX61" i="2"/>
  <c r="I8" i="7"/>
  <c r="AY3" i="2"/>
  <c r="AX51" i="2"/>
  <c r="AX11" i="2"/>
  <c r="AU20" i="2"/>
  <c r="AX63" i="2"/>
  <c r="AX7" i="2"/>
  <c r="AV59" i="2"/>
  <c r="AV28" i="2"/>
  <c r="AZ28" i="2" s="1"/>
  <c r="AY61" i="2"/>
  <c r="AY53" i="2"/>
  <c r="AY23" i="2"/>
  <c r="AY38" i="2"/>
  <c r="AY30" i="2"/>
  <c r="AY21" i="2"/>
  <c r="AY13" i="2"/>
  <c r="AY5" i="2"/>
  <c r="AV51" i="2"/>
  <c r="AZ51" i="2" s="1"/>
  <c r="AV11" i="2"/>
  <c r="AZ11" i="2" s="1"/>
  <c r="AW61" i="2"/>
  <c r="AV20" i="2"/>
  <c r="AZ20" i="2" s="1"/>
  <c r="AV19" i="2"/>
  <c r="AV37" i="2"/>
  <c r="AV6" i="2"/>
  <c r="AZ6" i="2" s="1"/>
  <c r="AX3" i="2"/>
  <c r="AY28" i="2"/>
  <c r="AV58" i="2"/>
  <c r="AV50" i="2"/>
  <c r="AV42" i="2"/>
  <c r="AV34" i="2"/>
  <c r="AV27" i="2"/>
  <c r="AZ27" i="2" s="1"/>
  <c r="AV18" i="2"/>
  <c r="AV10" i="2"/>
  <c r="AX64" i="2"/>
  <c r="AX32" i="2"/>
  <c r="AX25" i="2"/>
  <c r="AX16" i="2"/>
  <c r="AY6" i="2"/>
  <c r="AV57" i="2"/>
  <c r="AV49" i="2"/>
  <c r="AV41" i="2"/>
  <c r="AV33" i="2"/>
  <c r="AZ33" i="2" s="1"/>
  <c r="AV26" i="2"/>
  <c r="AZ26" i="2" s="1"/>
  <c r="AV17" i="2"/>
  <c r="AV9" i="2"/>
  <c r="AX22" i="2"/>
  <c r="AV64" i="2"/>
  <c r="AV32" i="2"/>
  <c r="AV63" i="2"/>
  <c r="AV55" i="2"/>
  <c r="AV47" i="2"/>
  <c r="AV40" i="2"/>
  <c r="AZ40" i="2" s="1"/>
  <c r="AV35" i="2"/>
  <c r="AY24" i="2"/>
  <c r="AY15" i="2"/>
  <c r="AY7" i="2"/>
  <c r="AW53" i="2"/>
  <c r="AW38" i="2"/>
  <c r="AW30" i="2"/>
  <c r="AX21" i="2"/>
  <c r="AX5" i="2"/>
  <c r="AV56" i="2"/>
  <c r="AV8" i="2"/>
  <c r="AV62" i="2"/>
  <c r="AV54" i="2"/>
  <c r="AV46" i="2"/>
  <c r="AZ46" i="2" s="1"/>
  <c r="AV39" i="2"/>
  <c r="AV31" i="2"/>
  <c r="AV22" i="2"/>
  <c r="AZ22" i="2" s="1"/>
  <c r="AW14" i="2"/>
  <c r="AV2" i="2"/>
  <c r="AU61" i="2"/>
  <c r="AU53" i="2"/>
  <c r="AU21" i="2"/>
  <c r="AU13" i="2"/>
  <c r="AX36" i="2"/>
  <c r="AX4" i="2"/>
  <c r="AV48" i="2"/>
  <c r="AV25" i="2"/>
  <c r="AV61" i="2"/>
  <c r="AV53" i="2"/>
  <c r="AV23" i="2"/>
  <c r="AV38" i="2"/>
  <c r="AV30" i="2"/>
  <c r="AZ30" i="2" s="1"/>
  <c r="AV21" i="2"/>
  <c r="AV13" i="2"/>
  <c r="AV5" i="2"/>
  <c r="AV45" i="2"/>
  <c r="AV16" i="2"/>
  <c r="AW37" i="2"/>
  <c r="AY60" i="2"/>
  <c r="AV52" i="2"/>
  <c r="AV44" i="2"/>
  <c r="AV36" i="2"/>
  <c r="AV29" i="2"/>
  <c r="AV43" i="2"/>
  <c r="AV12" i="2"/>
  <c r="AV4" i="2"/>
  <c r="AZ4" i="2" s="1"/>
  <c r="AX56" i="2"/>
  <c r="AX48" i="2"/>
  <c r="AX45" i="2"/>
  <c r="AY8" i="2"/>
  <c r="AV7" i="2"/>
  <c r="AZ7" i="2" s="1"/>
  <c r="AY47" i="2"/>
  <c r="AY63" i="2"/>
  <c r="AU12" i="2"/>
  <c r="AX54" i="2"/>
  <c r="AV24" i="2"/>
  <c r="AY35" i="2"/>
  <c r="AV14" i="2"/>
  <c r="AX35" i="2"/>
  <c r="AV60" i="2"/>
  <c r="AV15" i="2"/>
  <c r="AY40" i="2"/>
  <c r="AX30" i="2"/>
  <c r="AW6" i="2"/>
  <c r="AY59" i="2"/>
  <c r="AW21" i="2"/>
  <c r="AW3" i="2"/>
  <c r="AY55" i="2"/>
  <c r="AW5" i="2"/>
  <c r="AU3" i="2"/>
  <c r="AV3" i="2"/>
  <c r="AZ3" i="2" s="1"/>
  <c r="AX53" i="2"/>
  <c r="AX40" i="2"/>
  <c r="AY62" i="2"/>
  <c r="AY54" i="2"/>
  <c r="AY31" i="2"/>
  <c r="AY22" i="2"/>
  <c r="AW46" i="2"/>
  <c r="AX39" i="2"/>
  <c r="AY2" i="2"/>
  <c r="AY57" i="2"/>
  <c r="AY49" i="2"/>
  <c r="AX41" i="2"/>
  <c r="AY33" i="2"/>
  <c r="AY26" i="2"/>
  <c r="AY17" i="2"/>
  <c r="AY9" i="2"/>
  <c r="AY64" i="2"/>
  <c r="AY56" i="2"/>
  <c r="AY48" i="2"/>
  <c r="AY32" i="2"/>
  <c r="AY16" i="2"/>
  <c r="AW2" i="2"/>
  <c r="AY52" i="2"/>
  <c r="AY44" i="2"/>
  <c r="AY43" i="2"/>
  <c r="AY12" i="2"/>
  <c r="AY4" i="2"/>
  <c r="AX59" i="2"/>
  <c r="AW20" i="2"/>
  <c r="AX37" i="2"/>
  <c r="AX28" i="2"/>
  <c r="AW11" i="2"/>
  <c r="AX6" i="2"/>
  <c r="AY51" i="2"/>
  <c r="AY20" i="2"/>
  <c r="AY19" i="2"/>
  <c r="AY11" i="2"/>
  <c r="AX26" i="2"/>
  <c r="AX62" i="2"/>
  <c r="AU54" i="2"/>
  <c r="AX46" i="2"/>
  <c r="AX31" i="2"/>
  <c r="AU22" i="2"/>
  <c r="AX14" i="2"/>
  <c r="AX2" i="2"/>
  <c r="AY50" i="2"/>
  <c r="AY42" i="2"/>
  <c r="AY18" i="2"/>
  <c r="AY10" i="2"/>
  <c r="AY39" i="2"/>
  <c r="AY45" i="2"/>
  <c r="AW57" i="2"/>
  <c r="AW49" i="2"/>
  <c r="AW33" i="2"/>
  <c r="AX17" i="2"/>
  <c r="AW9" i="2"/>
  <c r="AY25" i="2"/>
  <c r="AU38" i="2"/>
  <c r="AY41" i="2"/>
  <c r="AX8" i="2"/>
  <c r="AX23" i="2"/>
  <c r="AX38" i="2"/>
  <c r="AU30" i="2"/>
  <c r="AX13" i="2"/>
  <c r="AX60" i="2"/>
  <c r="AX52" i="2"/>
  <c r="AX44" i="2"/>
  <c r="AW36" i="2"/>
  <c r="AX29" i="2"/>
  <c r="AX43" i="2"/>
  <c r="AX12" i="2"/>
  <c r="AW4" i="2"/>
  <c r="AX55" i="2"/>
  <c r="AX47" i="2"/>
  <c r="AX24" i="2"/>
  <c r="AX15" i="2"/>
  <c r="AU2" i="2"/>
  <c r="AX58" i="2"/>
  <c r="AX50" i="2"/>
  <c r="AX42" i="2"/>
  <c r="AX34" i="2"/>
  <c r="AX27" i="2"/>
  <c r="AX18" i="2"/>
  <c r="AX10" i="2"/>
  <c r="AW39" i="2"/>
  <c r="AW23" i="2"/>
  <c r="AW13" i="2"/>
  <c r="AU23" i="2"/>
  <c r="AU11" i="2"/>
  <c r="AU51" i="2"/>
  <c r="AU19" i="2"/>
  <c r="AU44" i="2"/>
  <c r="AW59" i="2"/>
  <c r="AU37" i="2"/>
  <c r="AW28" i="2"/>
  <c r="AU6" i="2"/>
  <c r="AW58" i="2"/>
  <c r="AW27" i="2"/>
  <c r="AU49" i="2"/>
  <c r="AW26" i="2"/>
  <c r="AU9" i="2"/>
  <c r="AU57" i="2"/>
  <c r="AU41" i="2"/>
  <c r="AU33" i="2"/>
  <c r="AU26" i="2"/>
  <c r="AU17" i="2"/>
  <c r="AW41" i="2"/>
  <c r="AW17" i="2"/>
  <c r="AX57" i="2"/>
  <c r="AX49" i="2"/>
  <c r="AX33" i="2"/>
  <c r="AX9" i="2"/>
  <c r="AW60" i="2"/>
  <c r="AU36" i="2"/>
  <c r="AW29" i="2"/>
  <c r="AU34" i="2"/>
  <c r="AU7" i="2"/>
  <c r="AU46" i="2"/>
  <c r="AU14" i="2"/>
  <c r="AY58" i="2"/>
  <c r="AY46" i="2"/>
  <c r="AY36" i="2"/>
  <c r="AY27" i="2"/>
  <c r="AY14" i="2"/>
  <c r="AW54" i="2"/>
  <c r="AW44" i="2"/>
  <c r="AW34" i="2"/>
  <c r="AW22" i="2"/>
  <c r="AW12" i="2"/>
  <c r="AU62" i="2"/>
  <c r="AU52" i="2"/>
  <c r="AU42" i="2"/>
  <c r="AU31" i="2"/>
  <c r="AU43" i="2"/>
  <c r="AU10" i="2"/>
  <c r="AY34" i="2"/>
  <c r="AW62" i="2"/>
  <c r="AW52" i="2"/>
  <c r="AW42" i="2"/>
  <c r="AW31" i="2"/>
  <c r="AW43" i="2"/>
  <c r="AW10" i="2"/>
  <c r="AU60" i="2"/>
  <c r="AU50" i="2"/>
  <c r="AU39" i="2"/>
  <c r="AU29" i="2"/>
  <c r="AU18" i="2"/>
  <c r="AU4" i="2"/>
  <c r="AW51" i="2"/>
  <c r="AW19" i="2"/>
  <c r="AU59" i="2"/>
  <c r="AU28" i="2"/>
  <c r="AW50" i="2"/>
  <c r="AW18" i="2"/>
  <c r="AU58" i="2"/>
  <c r="AU27" i="2"/>
  <c r="AU64" i="2"/>
  <c r="AU56" i="2"/>
  <c r="AU48" i="2"/>
  <c r="AU45" i="2"/>
  <c r="AU32" i="2"/>
  <c r="AU25" i="2"/>
  <c r="AU16" i="2"/>
  <c r="AU63" i="2"/>
  <c r="AU55" i="2"/>
  <c r="AU47" i="2"/>
  <c r="AU40" i="2"/>
  <c r="AU35" i="2"/>
  <c r="AU24" i="2"/>
  <c r="AU15" i="2"/>
  <c r="AW64" i="2"/>
  <c r="AW56" i="2"/>
  <c r="AW48" i="2"/>
  <c r="AW45" i="2"/>
  <c r="AW32" i="2"/>
  <c r="AW25" i="2"/>
  <c r="AW16" i="2"/>
  <c r="AW8" i="2"/>
  <c r="AW63" i="2"/>
  <c r="AW55" i="2"/>
  <c r="AW47" i="2"/>
  <c r="AW40" i="2"/>
  <c r="AW35" i="2"/>
  <c r="AW24" i="2"/>
  <c r="AW15" i="2"/>
  <c r="AW7" i="2"/>
  <c r="AU8" i="2"/>
  <c r="AZ210" i="2" l="1"/>
  <c r="AZ234" i="2"/>
  <c r="AZ308" i="2"/>
  <c r="AZ262" i="2"/>
  <c r="AZ333" i="2"/>
  <c r="AZ209" i="2"/>
  <c r="AZ272" i="2"/>
  <c r="AZ220" i="2"/>
  <c r="AZ338" i="2"/>
  <c r="AZ241" i="2"/>
  <c r="AZ256" i="2"/>
  <c r="AZ236" i="2"/>
  <c r="AZ314" i="2"/>
  <c r="AZ225" i="2"/>
  <c r="AZ295" i="2"/>
  <c r="AZ286" i="2"/>
  <c r="AZ283" i="2"/>
  <c r="AZ290" i="2"/>
  <c r="AZ226" i="2"/>
  <c r="AZ253" i="2"/>
  <c r="AZ216" i="2"/>
  <c r="AZ114" i="2"/>
  <c r="AZ341" i="2"/>
  <c r="AZ322" i="2"/>
  <c r="AZ331" i="2"/>
  <c r="AZ335" i="2"/>
  <c r="AZ154" i="2"/>
  <c r="AZ334" i="2"/>
  <c r="AZ207" i="2"/>
  <c r="AZ249" i="2"/>
  <c r="AZ271" i="2"/>
  <c r="AZ340" i="2"/>
  <c r="AZ240" i="2"/>
  <c r="AZ237" i="2"/>
  <c r="AZ265" i="2"/>
  <c r="AZ222" i="2"/>
  <c r="AZ246" i="2"/>
  <c r="AZ282" i="2"/>
  <c r="AZ310" i="2"/>
  <c r="AZ144" i="2"/>
  <c r="AZ327" i="2"/>
  <c r="AZ224" i="2"/>
  <c r="AZ291" i="2"/>
  <c r="AZ288" i="2"/>
  <c r="AZ326" i="2"/>
  <c r="AZ198" i="2"/>
  <c r="AZ227" i="2"/>
  <c r="AZ258" i="2"/>
  <c r="AZ307" i="2"/>
  <c r="AZ215" i="2"/>
  <c r="AZ306" i="2"/>
  <c r="AZ303" i="2"/>
  <c r="AZ257" i="2"/>
  <c r="AZ305" i="2"/>
  <c r="AZ266" i="2"/>
  <c r="AZ337" i="2"/>
  <c r="AZ313" i="2"/>
  <c r="AZ325" i="2"/>
  <c r="AZ244" i="2"/>
  <c r="AZ208" i="2"/>
  <c r="AZ259" i="2"/>
  <c r="AZ201" i="2"/>
  <c r="AZ235" i="2"/>
  <c r="AZ219" i="2"/>
  <c r="AZ203" i="2"/>
  <c r="AZ252" i="2"/>
  <c r="AZ274" i="2"/>
  <c r="AZ211" i="2"/>
  <c r="AZ309" i="2"/>
  <c r="AZ332" i="2"/>
  <c r="AZ223" i="2"/>
  <c r="AZ292" i="2"/>
  <c r="AZ255" i="2"/>
  <c r="AZ213" i="2"/>
  <c r="AZ245" i="2"/>
  <c r="AZ162" i="2"/>
  <c r="AZ200" i="2"/>
  <c r="AZ129" i="2"/>
  <c r="AZ130" i="2"/>
  <c r="AZ136" i="2"/>
  <c r="AZ105" i="2"/>
  <c r="AZ169" i="2"/>
  <c r="AZ170" i="2"/>
  <c r="AZ90" i="2"/>
  <c r="AZ137" i="2"/>
  <c r="AZ93" i="2"/>
  <c r="AZ95" i="2"/>
  <c r="AZ122" i="2"/>
  <c r="AZ106" i="2"/>
  <c r="AZ146" i="2"/>
  <c r="AZ119" i="2"/>
  <c r="AZ192" i="2"/>
  <c r="AZ74" i="2"/>
  <c r="AZ171" i="2"/>
  <c r="AZ134" i="2"/>
  <c r="AZ88" i="2"/>
  <c r="AZ116" i="2"/>
  <c r="AZ101" i="2"/>
  <c r="AZ141" i="2"/>
  <c r="AZ125" i="2"/>
  <c r="AZ133" i="2"/>
  <c r="AZ193" i="2"/>
  <c r="AZ71" i="2"/>
  <c r="AZ75" i="2"/>
  <c r="AZ111" i="2"/>
  <c r="AZ72" i="2"/>
  <c r="AZ73" i="2"/>
  <c r="AZ86" i="2"/>
  <c r="AZ84" i="2"/>
  <c r="AZ172" i="2"/>
  <c r="AZ108" i="2"/>
  <c r="AZ126" i="2"/>
  <c r="AZ100" i="2"/>
  <c r="AZ161" i="2"/>
  <c r="AZ103" i="2"/>
  <c r="AZ174" i="2"/>
  <c r="AZ160" i="2"/>
  <c r="AZ117" i="2"/>
  <c r="AZ128" i="2"/>
  <c r="AZ147" i="2"/>
  <c r="AZ102" i="2"/>
  <c r="AZ150" i="2"/>
  <c r="AZ121" i="2"/>
  <c r="AZ177" i="2"/>
  <c r="AZ91" i="2"/>
  <c r="AZ182" i="2"/>
  <c r="AZ115" i="2"/>
  <c r="AZ99" i="2"/>
  <c r="AZ127" i="2"/>
  <c r="AZ166" i="2"/>
  <c r="AZ175" i="2"/>
  <c r="AZ24" i="2"/>
  <c r="AZ10" i="2"/>
  <c r="AZ32" i="2"/>
  <c r="AZ18" i="2"/>
  <c r="AZ47" i="2"/>
  <c r="AZ23" i="2"/>
  <c r="AZ38" i="2"/>
  <c r="AZ31" i="2"/>
  <c r="AZ17" i="2"/>
  <c r="AZ53" i="2"/>
  <c r="AZ25" i="2"/>
  <c r="AZ52" i="2"/>
  <c r="AZ34" i="2"/>
  <c r="AZ13" i="2"/>
  <c r="AZ62" i="2"/>
  <c r="AZ5" i="2"/>
  <c r="AZ55" i="2"/>
  <c r="AZ19" i="2"/>
  <c r="AZ37" i="2"/>
  <c r="AZ59" i="2"/>
  <c r="AZ43" i="2"/>
  <c r="AZ61" i="2"/>
  <c r="AZ35" i="2"/>
  <c r="AZ12" i="2"/>
  <c r="AZ9" i="2"/>
  <c r="AZ56" i="2"/>
  <c r="AZ63" i="2"/>
  <c r="AZ64" i="2"/>
  <c r="AZ54" i="2"/>
  <c r="AZ8" i="2"/>
  <c r="AZ36" i="2"/>
  <c r="AZ57" i="2"/>
  <c r="AZ21" i="2"/>
  <c r="AZ15" i="2"/>
  <c r="AZ16" i="2"/>
  <c r="AZ41" i="2"/>
  <c r="AZ14" i="2"/>
  <c r="AZ60" i="2"/>
  <c r="AZ48" i="2"/>
  <c r="AZ39" i="2"/>
  <c r="AZ2" i="2"/>
  <c r="AZ45" i="2"/>
  <c r="AZ44" i="2"/>
  <c r="AZ58" i="2"/>
  <c r="AZ29" i="2"/>
  <c r="AZ49" i="2"/>
  <c r="AZ50" i="2"/>
  <c r="AZ42" i="2"/>
  <c r="W23" i="7" l="1"/>
  <c r="W22" i="7"/>
  <c r="W21" i="7"/>
  <c r="W20" i="7"/>
  <c r="W19" i="7"/>
  <c r="W18" i="7"/>
  <c r="W17" i="7"/>
  <c r="W16" i="7"/>
  <c r="W15" i="7"/>
  <c r="W14" i="7"/>
  <c r="W13" i="7"/>
  <c r="W12" i="7"/>
  <c r="W11" i="7"/>
  <c r="W10" i="7"/>
  <c r="W9" i="7"/>
  <c r="W8" i="7"/>
  <c r="W7" i="7"/>
  <c r="W6" i="7"/>
  <c r="W5" i="7"/>
  <c r="W4" i="7"/>
  <c r="W3" i="7"/>
  <c r="W2" i="7"/>
  <c r="W1" i="7"/>
  <c r="F44" i="7"/>
  <c r="F45" i="7"/>
  <c r="F46" i="7"/>
  <c r="F43" i="7"/>
  <c r="E35" i="7"/>
  <c r="AK108" i="2" s="1"/>
  <c r="E34" i="7"/>
  <c r="E23" i="7"/>
  <c r="E22" i="7"/>
  <c r="G23" i="7"/>
  <c r="G22" i="7"/>
  <c r="F24" i="7"/>
  <c r="G24" i="7" s="1"/>
  <c r="P3" i="7"/>
  <c r="X3" i="7" s="1"/>
  <c r="P4" i="7"/>
  <c r="X4" i="7" s="1"/>
  <c r="P5" i="7"/>
  <c r="X5" i="7" s="1"/>
  <c r="P7" i="7"/>
  <c r="X7" i="7" s="1"/>
  <c r="P8" i="7"/>
  <c r="X8" i="7" s="1"/>
  <c r="P9" i="7"/>
  <c r="X9" i="7" s="1"/>
  <c r="AM663" i="2" s="1"/>
  <c r="P10" i="7"/>
  <c r="X10" i="7" s="1"/>
  <c r="AM547" i="2" s="1"/>
  <c r="P11" i="7"/>
  <c r="X11" i="7" s="1"/>
  <c r="P12" i="7"/>
  <c r="X12" i="7" s="1"/>
  <c r="Q6" i="7"/>
  <c r="X17" i="7" s="1"/>
  <c r="Q8" i="7"/>
  <c r="X19" i="7" s="1"/>
  <c r="Q12" i="7"/>
  <c r="X23" i="7" s="1"/>
  <c r="O8" i="7"/>
  <c r="O12" i="7"/>
  <c r="J3" i="7"/>
  <c r="J4" i="7"/>
  <c r="J5" i="7"/>
  <c r="J6" i="7"/>
  <c r="J7" i="7"/>
  <c r="J8" i="7"/>
  <c r="J9" i="7"/>
  <c r="J10" i="7"/>
  <c r="J11" i="7"/>
  <c r="J12" i="7"/>
  <c r="J2" i="7"/>
  <c r="R3" i="7"/>
  <c r="S3" i="7" s="1"/>
  <c r="R4" i="7"/>
  <c r="S4" i="7" s="1"/>
  <c r="R5" i="7"/>
  <c r="S5" i="7" s="1"/>
  <c r="R6" i="7"/>
  <c r="S6" i="7" s="1"/>
  <c r="R7" i="7"/>
  <c r="S7" i="7" s="1"/>
  <c r="R8" i="7"/>
  <c r="S8" i="7" s="1"/>
  <c r="R9" i="7"/>
  <c r="S9" i="7" s="1"/>
  <c r="R10" i="7"/>
  <c r="S10" i="7" s="1"/>
  <c r="R11" i="7"/>
  <c r="S11" i="7" s="1"/>
  <c r="R12" i="7"/>
  <c r="R2" i="7"/>
  <c r="S2" i="7" s="1"/>
  <c r="D13" i="7"/>
  <c r="AK905" i="2" l="1"/>
  <c r="AK908" i="2"/>
  <c r="AK907" i="2"/>
  <c r="AK906" i="2"/>
  <c r="AK911" i="2"/>
  <c r="AK910" i="2"/>
  <c r="AK904" i="2"/>
  <c r="AK909" i="2"/>
  <c r="AK870" i="2"/>
  <c r="AK888" i="2"/>
  <c r="AK858" i="2"/>
  <c r="AK864" i="2"/>
  <c r="AK890" i="2"/>
  <c r="AK898" i="2"/>
  <c r="AK865" i="2"/>
  <c r="AK866" i="2"/>
  <c r="AK871" i="2"/>
  <c r="AK887" i="2"/>
  <c r="AK863" i="2"/>
  <c r="AK859" i="2"/>
  <c r="AK872" i="2"/>
  <c r="AK883" i="2"/>
  <c r="AK891" i="2"/>
  <c r="AK885" i="2"/>
  <c r="AK900" i="2"/>
  <c r="AK892" i="2"/>
  <c r="AK897" i="2"/>
  <c r="AK860" i="2"/>
  <c r="AK893" i="2"/>
  <c r="AK861" i="2"/>
  <c r="AK862" i="2"/>
  <c r="AK886" i="2"/>
  <c r="AK855" i="2"/>
  <c r="AK856" i="2"/>
  <c r="AK879" i="2"/>
  <c r="AK895" i="2"/>
  <c r="AK903" i="2"/>
  <c r="AK873" i="2"/>
  <c r="AK868" i="2"/>
  <c r="AK877" i="2"/>
  <c r="AK896" i="2"/>
  <c r="AK869" i="2"/>
  <c r="AK878" i="2"/>
  <c r="AK874" i="2"/>
  <c r="AK889" i="2"/>
  <c r="AK899" i="2"/>
  <c r="AK882" i="2"/>
  <c r="AK901" i="2"/>
  <c r="AK857" i="2"/>
  <c r="AK867" i="2"/>
  <c r="AK875" i="2"/>
  <c r="AK876" i="2"/>
  <c r="AK880" i="2"/>
  <c r="AK881" i="2"/>
  <c r="AK884" i="2"/>
  <c r="AK894" i="2"/>
  <c r="AK902" i="2"/>
  <c r="AM902" i="2"/>
  <c r="AM896" i="2"/>
  <c r="AM899" i="2"/>
  <c r="AM901" i="2"/>
  <c r="AM903" i="2"/>
  <c r="AM881" i="2"/>
  <c r="AM884" i="2"/>
  <c r="AM894" i="2"/>
  <c r="AM855" i="2"/>
  <c r="AM882" i="2"/>
  <c r="AM856" i="2"/>
  <c r="AM879" i="2"/>
  <c r="AM875" i="2"/>
  <c r="AM877" i="2"/>
  <c r="AM895" i="2"/>
  <c r="AM874" i="2"/>
  <c r="AM857" i="2"/>
  <c r="AM889" i="2"/>
  <c r="AK794" i="2"/>
  <c r="AK802" i="2"/>
  <c r="AK818" i="2"/>
  <c r="AK842" i="2"/>
  <c r="AK850" i="2"/>
  <c r="AK854" i="2"/>
  <c r="AK799" i="2"/>
  <c r="AK831" i="2"/>
  <c r="AK803" i="2"/>
  <c r="AK819" i="2"/>
  <c r="AK835" i="2"/>
  <c r="AK851" i="2"/>
  <c r="AK814" i="2"/>
  <c r="AK788" i="2"/>
  <c r="AK820" i="2"/>
  <c r="AK836" i="2"/>
  <c r="AK789" i="2"/>
  <c r="AK805" i="2"/>
  <c r="AK813" i="2"/>
  <c r="AK821" i="2"/>
  <c r="AK837" i="2"/>
  <c r="AK853" i="2"/>
  <c r="AK822" i="2"/>
  <c r="AK838" i="2"/>
  <c r="AK791" i="2"/>
  <c r="AK823" i="2"/>
  <c r="AK847" i="2"/>
  <c r="AK848" i="2"/>
  <c r="AK793" i="2"/>
  <c r="AK809" i="2"/>
  <c r="AK817" i="2"/>
  <c r="AK841" i="2"/>
  <c r="AK810" i="2"/>
  <c r="AK826" i="2"/>
  <c r="AK834" i="2"/>
  <c r="AK806" i="2"/>
  <c r="AK795" i="2"/>
  <c r="AK811" i="2"/>
  <c r="AK827" i="2"/>
  <c r="AK843" i="2"/>
  <c r="AK846" i="2"/>
  <c r="AK807" i="2"/>
  <c r="AK796" i="2"/>
  <c r="AK804" i="2"/>
  <c r="AK812" i="2"/>
  <c r="AK828" i="2"/>
  <c r="AK844" i="2"/>
  <c r="AK852" i="2"/>
  <c r="AK798" i="2"/>
  <c r="AK830" i="2"/>
  <c r="AK815" i="2"/>
  <c r="AK797" i="2"/>
  <c r="AK829" i="2"/>
  <c r="AK845" i="2"/>
  <c r="AK790" i="2"/>
  <c r="AK792" i="2"/>
  <c r="AK800" i="2"/>
  <c r="AK808" i="2"/>
  <c r="AK816" i="2"/>
  <c r="AK824" i="2"/>
  <c r="AK832" i="2"/>
  <c r="AK840" i="2"/>
  <c r="AK801" i="2"/>
  <c r="AK825" i="2"/>
  <c r="AK833" i="2"/>
  <c r="AK849" i="2"/>
  <c r="AK839" i="2"/>
  <c r="AM839" i="2"/>
  <c r="AM800" i="2"/>
  <c r="AM825" i="2"/>
  <c r="AM852" i="2"/>
  <c r="AM807" i="2"/>
  <c r="AM806" i="2"/>
  <c r="AM808" i="2"/>
  <c r="AM824" i="2"/>
  <c r="AM826" i="2"/>
  <c r="AM790" i="2"/>
  <c r="AM816" i="2"/>
  <c r="AM829" i="2"/>
  <c r="AM840" i="2"/>
  <c r="AM843" i="2"/>
  <c r="AM849" i="2"/>
  <c r="AM812" i="2"/>
  <c r="AM815" i="2"/>
  <c r="AM810" i="2"/>
  <c r="AM811" i="2"/>
  <c r="AM777" i="2"/>
  <c r="AM799" i="2"/>
  <c r="AK751" i="2"/>
  <c r="AK757" i="2"/>
  <c r="AK754" i="2"/>
  <c r="AK759" i="2"/>
  <c r="AK756" i="2"/>
  <c r="AK739" i="2"/>
  <c r="AK738" i="2"/>
  <c r="AK750" i="2"/>
  <c r="AK786" i="2"/>
  <c r="AK755" i="2"/>
  <c r="AK753" i="2"/>
  <c r="AK765" i="2"/>
  <c r="AK783" i="2"/>
  <c r="AK752" i="2"/>
  <c r="AK776" i="2"/>
  <c r="AK758" i="2"/>
  <c r="AK766" i="2"/>
  <c r="AK760" i="2"/>
  <c r="AK764" i="2"/>
  <c r="AK731" i="2"/>
  <c r="AK778" i="2"/>
  <c r="AK745" i="2"/>
  <c r="AK730" i="2"/>
  <c r="AK735" i="2"/>
  <c r="AK782" i="2"/>
  <c r="AK769" i="2"/>
  <c r="AK772" i="2"/>
  <c r="AK746" i="2"/>
  <c r="AK740" i="2"/>
  <c r="AK737" i="2"/>
  <c r="AK773" i="2"/>
  <c r="AK770" i="2"/>
  <c r="AK784" i="2"/>
  <c r="AK736" i="2"/>
  <c r="AK762" i="2"/>
  <c r="AK729" i="2"/>
  <c r="AK747" i="2"/>
  <c r="AK777" i="2"/>
  <c r="AK727" i="2"/>
  <c r="AK744" i="2"/>
  <c r="AK763" i="2"/>
  <c r="AK785" i="2"/>
  <c r="AK741" i="2"/>
  <c r="AK728" i="2"/>
  <c r="AK787" i="2"/>
  <c r="AK733" i="2"/>
  <c r="AK775" i="2"/>
  <c r="AK742" i="2"/>
  <c r="AK749" i="2"/>
  <c r="AK780" i="2"/>
  <c r="AK781" i="2"/>
  <c r="AK748" i="2"/>
  <c r="AK726" i="2"/>
  <c r="AK774" i="2"/>
  <c r="AK779" i="2"/>
  <c r="AK732" i="2"/>
  <c r="AK767" i="2"/>
  <c r="AK768" i="2"/>
  <c r="AK771" i="2"/>
  <c r="AK743" i="2"/>
  <c r="AK761" i="2"/>
  <c r="AK734" i="2"/>
  <c r="AM745" i="2"/>
  <c r="AM755" i="2"/>
  <c r="AM776" i="2"/>
  <c r="AM759" i="2"/>
  <c r="AM764" i="2"/>
  <c r="AM760" i="2"/>
  <c r="AM756" i="2"/>
  <c r="AM765" i="2"/>
  <c r="AM757" i="2"/>
  <c r="AM758" i="2"/>
  <c r="AM739" i="2"/>
  <c r="AM778" i="2"/>
  <c r="AM750" i="2"/>
  <c r="AM731" i="2"/>
  <c r="AM735" i="2"/>
  <c r="AK573" i="2"/>
  <c r="AK636" i="2"/>
  <c r="AK685" i="2"/>
  <c r="AK701" i="2"/>
  <c r="AK614" i="2"/>
  <c r="AK664" i="2"/>
  <c r="AK684" i="2"/>
  <c r="AK558" i="2"/>
  <c r="AK566" i="2"/>
  <c r="AK574" i="2"/>
  <c r="AK530" i="2"/>
  <c r="AK590" i="2"/>
  <c r="AK606" i="2"/>
  <c r="AK662" i="2"/>
  <c r="AK686" i="2"/>
  <c r="AK622" i="2"/>
  <c r="AK532" i="2"/>
  <c r="AK687" i="2"/>
  <c r="AK648" i="2"/>
  <c r="AK680" i="2"/>
  <c r="AK712" i="2"/>
  <c r="AK717" i="2"/>
  <c r="AK618" i="2"/>
  <c r="AK557" i="2"/>
  <c r="AK658" i="2"/>
  <c r="AK523" i="2"/>
  <c r="AK525" i="2"/>
  <c r="AK644" i="2"/>
  <c r="AK528" i="2"/>
  <c r="AK660" i="2"/>
  <c r="AK668" i="2"/>
  <c r="AK688" i="2"/>
  <c r="AK577" i="2"/>
  <c r="AK667" i="2"/>
  <c r="AK617" i="2"/>
  <c r="AK575" i="2"/>
  <c r="AK663" i="2"/>
  <c r="AK641" i="2"/>
  <c r="AK545" i="2"/>
  <c r="AK623" i="2"/>
  <c r="AK639" i="2"/>
  <c r="AK547" i="2"/>
  <c r="AK661" i="2"/>
  <c r="AK711" i="2"/>
  <c r="AK553" i="2"/>
  <c r="AK552" i="2"/>
  <c r="AK555" i="2"/>
  <c r="AK609" i="2"/>
  <c r="AK637" i="2"/>
  <c r="AK697" i="2"/>
  <c r="AK638" i="2"/>
  <c r="AK675" i="2"/>
  <c r="AK722" i="2"/>
  <c r="AK704" i="2"/>
  <c r="AK645" i="2"/>
  <c r="AK652" i="2"/>
  <c r="AK642" i="2"/>
  <c r="AK651" i="2"/>
  <c r="AK597" i="2"/>
  <c r="AK539" i="2"/>
  <c r="AK563" i="2"/>
  <c r="AK586" i="2"/>
  <c r="AK629" i="2"/>
  <c r="AK633" i="2"/>
  <c r="AK534" i="2"/>
  <c r="AK625" i="2"/>
  <c r="AK527" i="2"/>
  <c r="AK588" i="2"/>
  <c r="AK591" i="2"/>
  <c r="AK693" i="2"/>
  <c r="AK592" i="2"/>
  <c r="AK579" i="2"/>
  <c r="AK674" i="2"/>
  <c r="AK546" i="2"/>
  <c r="AK689" i="2"/>
  <c r="AK619" i="2"/>
  <c r="AK710" i="2"/>
  <c r="AK630" i="2"/>
  <c r="AK519" i="2"/>
  <c r="AK646" i="2"/>
  <c r="AK654" i="2"/>
  <c r="AK708" i="2"/>
  <c r="AK570" i="2"/>
  <c r="AK694" i="2"/>
  <c r="AK520" i="2"/>
  <c r="AK634" i="2"/>
  <c r="AK709" i="2"/>
  <c r="AK535" i="2"/>
  <c r="AK543" i="2"/>
  <c r="AK647" i="2"/>
  <c r="AK613" i="2"/>
  <c r="AK567" i="2"/>
  <c r="AK603" i="2"/>
  <c r="AK604" i="2"/>
  <c r="AK624" i="2"/>
  <c r="AK621" i="2"/>
  <c r="AK536" i="2"/>
  <c r="AK551" i="2"/>
  <c r="AK585" i="2"/>
  <c r="AK626" i="2"/>
  <c r="AK602" i="2"/>
  <c r="AK584" i="2"/>
  <c r="AK671" i="2"/>
  <c r="AK560" i="2"/>
  <c r="AK695" i="2"/>
  <c r="AK540" i="2"/>
  <c r="AK548" i="2"/>
  <c r="AK632" i="2"/>
  <c r="AK522" i="2"/>
  <c r="AK656" i="2"/>
  <c r="AK650" i="2"/>
  <c r="AK723" i="2"/>
  <c r="AK583" i="2"/>
  <c r="AK550" i="2"/>
  <c r="AK578" i="2"/>
  <c r="AK653" i="2"/>
  <c r="AK666" i="2"/>
  <c r="AK562" i="2"/>
  <c r="AK587" i="2"/>
  <c r="AK669" i="2"/>
  <c r="AK554" i="2"/>
  <c r="AK665" i="2"/>
  <c r="AK713" i="2"/>
  <c r="AK538" i="2"/>
  <c r="AK565" i="2"/>
  <c r="AK537" i="2"/>
  <c r="AK610" i="2"/>
  <c r="AK690" i="2"/>
  <c r="AK699" i="2"/>
  <c r="AK678" i="2"/>
  <c r="AK576" i="2"/>
  <c r="AK696" i="2"/>
  <c r="AK599" i="2"/>
  <c r="AK544" i="2"/>
  <c r="AK549" i="2"/>
  <c r="AK581" i="2"/>
  <c r="AK533" i="2"/>
  <c r="AK705" i="2"/>
  <c r="AK607" i="2"/>
  <c r="AK681" i="2"/>
  <c r="AK682" i="2"/>
  <c r="AK556" i="2"/>
  <c r="AK564" i="2"/>
  <c r="AK627" i="2"/>
  <c r="AK580" i="2"/>
  <c r="AK569" i="2"/>
  <c r="AK596" i="2"/>
  <c r="AK719" i="2"/>
  <c r="AK620" i="2"/>
  <c r="AK628" i="2"/>
  <c r="AK559" i="2"/>
  <c r="AK707" i="2"/>
  <c r="AK526" i="2"/>
  <c r="AK692" i="2"/>
  <c r="AK700" i="2"/>
  <c r="AK718" i="2"/>
  <c r="AK725" i="2"/>
  <c r="AK724" i="2"/>
  <c r="AK531" i="2"/>
  <c r="AK721" i="2"/>
  <c r="AK593" i="2"/>
  <c r="AK615" i="2"/>
  <c r="AK657" i="2"/>
  <c r="AK679" i="2"/>
  <c r="AK600" i="2"/>
  <c r="AK594" i="2"/>
  <c r="AK589" i="2"/>
  <c r="AK595" i="2"/>
  <c r="AK635" i="2"/>
  <c r="AK608" i="2"/>
  <c r="AK703" i="2"/>
  <c r="AK677" i="2"/>
  <c r="AK683" i="2"/>
  <c r="AK571" i="2"/>
  <c r="AK605" i="2"/>
  <c r="AK698" i="2"/>
  <c r="AK612" i="2"/>
  <c r="AK582" i="2"/>
  <c r="AK601" i="2"/>
  <c r="AK643" i="2"/>
  <c r="AK542" i="2"/>
  <c r="AK714" i="2"/>
  <c r="AK670" i="2"/>
  <c r="AK676" i="2"/>
  <c r="AK598" i="2"/>
  <c r="AK616" i="2"/>
  <c r="AK572" i="2"/>
  <c r="AK702" i="2"/>
  <c r="AK524" i="2"/>
  <c r="AK716" i="2"/>
  <c r="AK706" i="2"/>
  <c r="AK568" i="2"/>
  <c r="AK672" i="2"/>
  <c r="AK521" i="2"/>
  <c r="AK611" i="2"/>
  <c r="AK649" i="2"/>
  <c r="AK631" i="2"/>
  <c r="AK715" i="2"/>
  <c r="AK673" i="2"/>
  <c r="AK640" i="2"/>
  <c r="AK659" i="2"/>
  <c r="AK529" i="2"/>
  <c r="AK561" i="2"/>
  <c r="AK720" i="2"/>
  <c r="AK541" i="2"/>
  <c r="AK655" i="2"/>
  <c r="AK691" i="2"/>
  <c r="AM684" i="2"/>
  <c r="AM687" i="2"/>
  <c r="AM688" i="2"/>
  <c r="AM528" i="2"/>
  <c r="AM530" i="2"/>
  <c r="AM606" i="2"/>
  <c r="AM532" i="2"/>
  <c r="AM712" i="2"/>
  <c r="AM615" i="2"/>
  <c r="AM655" i="2"/>
  <c r="AM565" i="2"/>
  <c r="AM699" i="2"/>
  <c r="AM678" i="2"/>
  <c r="AM698" i="2"/>
  <c r="AM702" i="2"/>
  <c r="AM573" i="2"/>
  <c r="AM622" i="2"/>
  <c r="AM574" i="2"/>
  <c r="AM552" i="2"/>
  <c r="AM639" i="2"/>
  <c r="AM680" i="2"/>
  <c r="AM557" i="2"/>
  <c r="AM558" i="2"/>
  <c r="AM553" i="2"/>
  <c r="AM545" i="2"/>
  <c r="AM590" i="2"/>
  <c r="AM623" i="2"/>
  <c r="AM667" i="2"/>
  <c r="AM711" i="2"/>
  <c r="AM638" i="2"/>
  <c r="AM566" i="2"/>
  <c r="AM648" i="2"/>
  <c r="AM618" i="2"/>
  <c r="AM685" i="2"/>
  <c r="AM617" i="2"/>
  <c r="AM697" i="2"/>
  <c r="AM717" i="2"/>
  <c r="AM637" i="2"/>
  <c r="AM641" i="2"/>
  <c r="AM636" i="2"/>
  <c r="E24" i="7"/>
  <c r="H24" i="7" s="1"/>
  <c r="AK356" i="2"/>
  <c r="AK364" i="2"/>
  <c r="AK401" i="2"/>
  <c r="AK386" i="2"/>
  <c r="AK378" i="2"/>
  <c r="AK422" i="2"/>
  <c r="AK416" i="2"/>
  <c r="AK390" i="2"/>
  <c r="AK436" i="2"/>
  <c r="AK444" i="2"/>
  <c r="AK452" i="2"/>
  <c r="AK460" i="2"/>
  <c r="AK468" i="2"/>
  <c r="AK473" i="2"/>
  <c r="AK484" i="2"/>
  <c r="AK492" i="2"/>
  <c r="AK500" i="2"/>
  <c r="AK516" i="2"/>
  <c r="AK360" i="2"/>
  <c r="AK408" i="2"/>
  <c r="AK393" i="2"/>
  <c r="AK387" i="2"/>
  <c r="AK366" i="2"/>
  <c r="AK421" i="2"/>
  <c r="AK429" i="2"/>
  <c r="AK437" i="2"/>
  <c r="AK445" i="2"/>
  <c r="AK453" i="2"/>
  <c r="AK461" i="2"/>
  <c r="AK469" i="2"/>
  <c r="AK476" i="2"/>
  <c r="AK493" i="2"/>
  <c r="AK501" i="2"/>
  <c r="AK509" i="2"/>
  <c r="AK372" i="2"/>
  <c r="AK351" i="2"/>
  <c r="AK418" i="2"/>
  <c r="AK382" i="2"/>
  <c r="AK394" i="2"/>
  <c r="AK379" i="2"/>
  <c r="AK367" i="2"/>
  <c r="AK398" i="2"/>
  <c r="AK430" i="2"/>
  <c r="AK438" i="2"/>
  <c r="AK446" i="2"/>
  <c r="AK454" i="2"/>
  <c r="AK462" i="2"/>
  <c r="AK478" i="2"/>
  <c r="AK486" i="2"/>
  <c r="AK518" i="2"/>
  <c r="AK369" i="2"/>
  <c r="AK384" i="2"/>
  <c r="AK362" i="2"/>
  <c r="AK402" i="2"/>
  <c r="AK391" i="2"/>
  <c r="AK388" i="2"/>
  <c r="AK380" i="2"/>
  <c r="AK406" i="2"/>
  <c r="AK431" i="2"/>
  <c r="AK447" i="2"/>
  <c r="AK455" i="2"/>
  <c r="AK463" i="2"/>
  <c r="AK471" i="2"/>
  <c r="AK477" i="2"/>
  <c r="AK487" i="2"/>
  <c r="AK495" i="2"/>
  <c r="AK511" i="2"/>
  <c r="AK383" i="2"/>
  <c r="AK373" i="2"/>
  <c r="AK376" i="2"/>
  <c r="AK409" i="2"/>
  <c r="AK389" i="2"/>
  <c r="AK349" i="2"/>
  <c r="AK417" i="2"/>
  <c r="AK432" i="2"/>
  <c r="AK440" i="2"/>
  <c r="AK448" i="2"/>
  <c r="AK456" i="2"/>
  <c r="AK464" i="2"/>
  <c r="AK472" i="2"/>
  <c r="AK488" i="2"/>
  <c r="AK504" i="2"/>
  <c r="AK353" i="2"/>
  <c r="AK361" i="2"/>
  <c r="AK385" i="2"/>
  <c r="AK419" i="2"/>
  <c r="AK411" i="2"/>
  <c r="AK397" i="2"/>
  <c r="AK358" i="2"/>
  <c r="AK423" i="2"/>
  <c r="AK441" i="2"/>
  <c r="AK449" i="2"/>
  <c r="AK457" i="2"/>
  <c r="AK489" i="2"/>
  <c r="AK481" i="2"/>
  <c r="AK483" i="2"/>
  <c r="AK513" i="2"/>
  <c r="AK396" i="2"/>
  <c r="AK399" i="2"/>
  <c r="AK363" i="2"/>
  <c r="AK352" i="2"/>
  <c r="AK420" i="2"/>
  <c r="AK404" i="2"/>
  <c r="AK410" i="2"/>
  <c r="AK368" i="2"/>
  <c r="AK426" i="2"/>
  <c r="AK450" i="2"/>
  <c r="AK458" i="2"/>
  <c r="AK498" i="2"/>
  <c r="AK514" i="2"/>
  <c r="AK371" i="2"/>
  <c r="AK435" i="2"/>
  <c r="AK499" i="2"/>
  <c r="AK374" i="2"/>
  <c r="AK365" i="2"/>
  <c r="AK451" i="2"/>
  <c r="AK459" i="2"/>
  <c r="AK515" i="2"/>
  <c r="AK412" i="2"/>
  <c r="AK467" i="2"/>
  <c r="AK405" i="2"/>
  <c r="AK475" i="2"/>
  <c r="AK355" i="2"/>
  <c r="AK381" i="2"/>
  <c r="AK479" i="2"/>
  <c r="AK407" i="2"/>
  <c r="AK427" i="2"/>
  <c r="AK491" i="2"/>
  <c r="AK354" i="2"/>
  <c r="AK428" i="2"/>
  <c r="AK508" i="2"/>
  <c r="AK350" i="2"/>
  <c r="AK424" i="2"/>
  <c r="AK357" i="2"/>
  <c r="AK413" i="2"/>
  <c r="AK485" i="2"/>
  <c r="AK517" i="2"/>
  <c r="AK359" i="2"/>
  <c r="AK414" i="2"/>
  <c r="AK470" i="2"/>
  <c r="AK494" i="2"/>
  <c r="AK502" i="2"/>
  <c r="AK510" i="2"/>
  <c r="AK375" i="2"/>
  <c r="AK415" i="2"/>
  <c r="AK439" i="2"/>
  <c r="AK503" i="2"/>
  <c r="AK392" i="2"/>
  <c r="AK403" i="2"/>
  <c r="AK400" i="2"/>
  <c r="AK480" i="2"/>
  <c r="AK496" i="2"/>
  <c r="AK377" i="2"/>
  <c r="AK395" i="2"/>
  <c r="AK433" i="2"/>
  <c r="AK465" i="2"/>
  <c r="AK497" i="2"/>
  <c r="AK505" i="2"/>
  <c r="AK370" i="2"/>
  <c r="AK434" i="2"/>
  <c r="AK442" i="2"/>
  <c r="AK466" i="2"/>
  <c r="AK474" i="2"/>
  <c r="AK482" i="2"/>
  <c r="AK490" i="2"/>
  <c r="AK506" i="2"/>
  <c r="AK443" i="2"/>
  <c r="AK507" i="2"/>
  <c r="AK425" i="2"/>
  <c r="AM434" i="2"/>
  <c r="AM443" i="2"/>
  <c r="AM507" i="2"/>
  <c r="AM400" i="2"/>
  <c r="AM249" i="2"/>
  <c r="AM257" i="2"/>
  <c r="AM147" i="2"/>
  <c r="AM227" i="2"/>
  <c r="AM506" i="2"/>
  <c r="AM229" i="2"/>
  <c r="AM282" i="2"/>
  <c r="AM303" i="2"/>
  <c r="AM152" i="2"/>
  <c r="AM135" i="2"/>
  <c r="AM348" i="2"/>
  <c r="AM137" i="2"/>
  <c r="AM72" i="2"/>
  <c r="AM136" i="2"/>
  <c r="AM320" i="2"/>
  <c r="AM220" i="2"/>
  <c r="AM183" i="2"/>
  <c r="AM230" i="2"/>
  <c r="AM71" i="2"/>
  <c r="AM138" i="2"/>
  <c r="AM277" i="2"/>
  <c r="AM452" i="2"/>
  <c r="AM459" i="2"/>
  <c r="AM349" i="2"/>
  <c r="AM426" i="2"/>
  <c r="AM437" i="2"/>
  <c r="AM224" i="2"/>
  <c r="AM115" i="2"/>
  <c r="AM292" i="2"/>
  <c r="AM209" i="2"/>
  <c r="AM258" i="2"/>
  <c r="AM104" i="2"/>
  <c r="AM190" i="2"/>
  <c r="AM200" i="2"/>
  <c r="AM223" i="2"/>
  <c r="AM191" i="2"/>
  <c r="AM213" i="2"/>
  <c r="AM225" i="2"/>
  <c r="AM291" i="2"/>
  <c r="AM228" i="2"/>
  <c r="AM134" i="2"/>
  <c r="AM93" i="2"/>
  <c r="AM189" i="2"/>
  <c r="AM234" i="2"/>
  <c r="AM350" i="2"/>
  <c r="AM508" i="2"/>
  <c r="AM359" i="2"/>
  <c r="AM395" i="2"/>
  <c r="AM482" i="2"/>
  <c r="AM510" i="2"/>
  <c r="AM413" i="2"/>
  <c r="AM470" i="2"/>
  <c r="AM403" i="2"/>
  <c r="AM503" i="2"/>
  <c r="AM131" i="2"/>
  <c r="AM275" i="2"/>
  <c r="AM84" i="2"/>
  <c r="AM126" i="2"/>
  <c r="AM497" i="2"/>
  <c r="AM127" i="2"/>
  <c r="AM494" i="2"/>
  <c r="AM281" i="2"/>
  <c r="AM428" i="2"/>
  <c r="AM377" i="2"/>
  <c r="AM490" i="2"/>
  <c r="AM424" i="2"/>
  <c r="AM485" i="2"/>
  <c r="AM97" i="2"/>
  <c r="AM201" i="2"/>
  <c r="AM254" i="2"/>
  <c r="AM289" i="2"/>
  <c r="AM123" i="2"/>
  <c r="AM139" i="2"/>
  <c r="AM163" i="2"/>
  <c r="AM148" i="2"/>
  <c r="AM95" i="2"/>
  <c r="AM316" i="2"/>
  <c r="AM474" i="2"/>
  <c r="AM98" i="2"/>
  <c r="AM194" i="2"/>
  <c r="AM330" i="2"/>
  <c r="AM114" i="2"/>
  <c r="AM231" i="2"/>
  <c r="AM74" i="2"/>
  <c r="AM181" i="2"/>
  <c r="AM70" i="2"/>
  <c r="AM354" i="2"/>
  <c r="AM357" i="2"/>
  <c r="AM496" i="2"/>
  <c r="AM370" i="2"/>
  <c r="AM252" i="2"/>
  <c r="AM166" i="2"/>
  <c r="AM374" i="2"/>
  <c r="AM368" i="2"/>
  <c r="AM369" i="2"/>
  <c r="AM367" i="2"/>
  <c r="AM381" i="2"/>
  <c r="AM222" i="2"/>
  <c r="AM244" i="2"/>
  <c r="AM144" i="2"/>
  <c r="AM253" i="2"/>
  <c r="AM103" i="2"/>
  <c r="AM276" i="2"/>
  <c r="AM341" i="2"/>
  <c r="AM502" i="2"/>
  <c r="AM101" i="2"/>
  <c r="AM364" i="2"/>
  <c r="AM362" i="2"/>
  <c r="AM447" i="2"/>
  <c r="AM363" i="2"/>
  <c r="AM360" i="2"/>
  <c r="AM448" i="2"/>
  <c r="AM266" i="2"/>
  <c r="AM141" i="2"/>
  <c r="AM261" i="2"/>
  <c r="AM245" i="2"/>
  <c r="AM265" i="2"/>
  <c r="AM433" i="2"/>
  <c r="AM415" i="2"/>
  <c r="AM246" i="2"/>
  <c r="AM207" i="2"/>
  <c r="AM271" i="2"/>
  <c r="AM272" i="2"/>
  <c r="AK251" i="2"/>
  <c r="AK213" i="2"/>
  <c r="AK263" i="2"/>
  <c r="AK315" i="2"/>
  <c r="AK245" i="2"/>
  <c r="AK285" i="2"/>
  <c r="AK324" i="2"/>
  <c r="AK305" i="2"/>
  <c r="AK208" i="2"/>
  <c r="AK293" i="2"/>
  <c r="AK265" i="2"/>
  <c r="AK268" i="2"/>
  <c r="AK325" i="2"/>
  <c r="AK333" i="2"/>
  <c r="AK341" i="2"/>
  <c r="AK276" i="2"/>
  <c r="AK338" i="2"/>
  <c r="AK253" i="2"/>
  <c r="AK298" i="2"/>
  <c r="AK222" i="2"/>
  <c r="AK296" i="2"/>
  <c r="AK262" i="2"/>
  <c r="AK327" i="2"/>
  <c r="AK278" i="2"/>
  <c r="AK307" i="2"/>
  <c r="AK294" i="2"/>
  <c r="AK302" i="2"/>
  <c r="AK270" i="2"/>
  <c r="AK326" i="2"/>
  <c r="AK228" i="2"/>
  <c r="AK236" i="2"/>
  <c r="AK309" i="2"/>
  <c r="AK329" i="2"/>
  <c r="AK247" i="2"/>
  <c r="AK255" i="2"/>
  <c r="AK343" i="2"/>
  <c r="AK279" i="2"/>
  <c r="AK317" i="2"/>
  <c r="AK295" i="2"/>
  <c r="AK311" i="2"/>
  <c r="AK221" i="2"/>
  <c r="AK335" i="2"/>
  <c r="AK237" i="2"/>
  <c r="AK284" i="2"/>
  <c r="AK340" i="2"/>
  <c r="AK321" i="2"/>
  <c r="AK291" i="2"/>
  <c r="AK232" i="2"/>
  <c r="AK342" i="2"/>
  <c r="AK248" i="2"/>
  <c r="AK256" i="2"/>
  <c r="AK202" i="2"/>
  <c r="AK344" i="2"/>
  <c r="AK318" i="2"/>
  <c r="AK308" i="2"/>
  <c r="AK312" i="2"/>
  <c r="AK223" i="2"/>
  <c r="AK336" i="2"/>
  <c r="AK239" i="2"/>
  <c r="AK347" i="2"/>
  <c r="AK217" i="2"/>
  <c r="AK264" i="2"/>
  <c r="AK215" i="2"/>
  <c r="AK241" i="2"/>
  <c r="AK269" i="2"/>
  <c r="AK204" i="2"/>
  <c r="AK218" i="2"/>
  <c r="AK274" i="2"/>
  <c r="AK310" i="2"/>
  <c r="AK313" i="2"/>
  <c r="AK224" i="2"/>
  <c r="AK233" i="2"/>
  <c r="AK345" i="2"/>
  <c r="AK243" i="2"/>
  <c r="AK244" i="2"/>
  <c r="AK304" i="2"/>
  <c r="AK235" i="2"/>
  <c r="AK242" i="2"/>
  <c r="AK261" i="2"/>
  <c r="AK226" i="2"/>
  <c r="AK283" i="2"/>
  <c r="AK216" i="2"/>
  <c r="AK297" i="2"/>
  <c r="AK286" i="2"/>
  <c r="AK206" i="2"/>
  <c r="AK290" i="2"/>
  <c r="AK334" i="2"/>
  <c r="AK314" i="2"/>
  <c r="AK322" i="2"/>
  <c r="AK225" i="2"/>
  <c r="AK234" i="2"/>
  <c r="AK205" i="2"/>
  <c r="AK280" i="2"/>
  <c r="AK250" i="2"/>
  <c r="AK299" i="2"/>
  <c r="AK260" i="2"/>
  <c r="AK300" i="2"/>
  <c r="AK332" i="2"/>
  <c r="AK203" i="2"/>
  <c r="AK211" i="2"/>
  <c r="AK212" i="2"/>
  <c r="AK292" i="2"/>
  <c r="AK266" i="2"/>
  <c r="AK219" i="2"/>
  <c r="AK259" i="2"/>
  <c r="AK209" i="2"/>
  <c r="AK258" i="2"/>
  <c r="AK346" i="2"/>
  <c r="AK337" i="2"/>
  <c r="AK323" i="2"/>
  <c r="AK331" i="2"/>
  <c r="AK339" i="2"/>
  <c r="AK214" i="2"/>
  <c r="AK229" i="2"/>
  <c r="AK316" i="2"/>
  <c r="AK301" i="2"/>
  <c r="AK230" i="2"/>
  <c r="AK238" i="2"/>
  <c r="AK246" i="2"/>
  <c r="AK272" i="2"/>
  <c r="AK207" i="2"/>
  <c r="AK281" i="2"/>
  <c r="AK231" i="2"/>
  <c r="AK271" i="2"/>
  <c r="AK303" i="2"/>
  <c r="AK287" i="2"/>
  <c r="AK277" i="2"/>
  <c r="AK330" i="2"/>
  <c r="AK288" i="2"/>
  <c r="AK320" i="2"/>
  <c r="AK252" i="2"/>
  <c r="AK201" i="2"/>
  <c r="AK254" i="2"/>
  <c r="AK249" i="2"/>
  <c r="AK257" i="2"/>
  <c r="AK289" i="2"/>
  <c r="AK319" i="2"/>
  <c r="AK220" i="2"/>
  <c r="AK210" i="2"/>
  <c r="AK240" i="2"/>
  <c r="AK282" i="2"/>
  <c r="AK306" i="2"/>
  <c r="AK227" i="2"/>
  <c r="AK267" i="2"/>
  <c r="AK275" i="2"/>
  <c r="AK328" i="2"/>
  <c r="AK273" i="2"/>
  <c r="AK348" i="2"/>
  <c r="AK65" i="2"/>
  <c r="AK73" i="2"/>
  <c r="AK81" i="2"/>
  <c r="AK89" i="2"/>
  <c r="AK105" i="2"/>
  <c r="AK113" i="2"/>
  <c r="AK121" i="2"/>
  <c r="AK145" i="2"/>
  <c r="AK161" i="2"/>
  <c r="AK169" i="2"/>
  <c r="AK193" i="2"/>
  <c r="AK2" i="2"/>
  <c r="AK14" i="2"/>
  <c r="AK22" i="2"/>
  <c r="AK31" i="2"/>
  <c r="AK39" i="2"/>
  <c r="AK46" i="2"/>
  <c r="AK54" i="2"/>
  <c r="AK62" i="2"/>
  <c r="AK66" i="2"/>
  <c r="AK82" i="2"/>
  <c r="AK90" i="2"/>
  <c r="AK154" i="2"/>
  <c r="AK162" i="2"/>
  <c r="AK7" i="2"/>
  <c r="AK15" i="2"/>
  <c r="AK35" i="2"/>
  <c r="AK40" i="2"/>
  <c r="AK47" i="2"/>
  <c r="AK55" i="2"/>
  <c r="AK63" i="2"/>
  <c r="AK146" i="2"/>
  <c r="AK170" i="2"/>
  <c r="AK24" i="2"/>
  <c r="AK67" i="2"/>
  <c r="AK75" i="2"/>
  <c r="AK83" i="2"/>
  <c r="AK91" i="2"/>
  <c r="AK115" i="2"/>
  <c r="AK155" i="2"/>
  <c r="AK171" i="2"/>
  <c r="AK187" i="2"/>
  <c r="AK8" i="2"/>
  <c r="AK16" i="2"/>
  <c r="AK25" i="2"/>
  <c r="AK32" i="2"/>
  <c r="AK45" i="2"/>
  <c r="AK48" i="2"/>
  <c r="AK56" i="2"/>
  <c r="AK64" i="2"/>
  <c r="AK86" i="2"/>
  <c r="AK110" i="2"/>
  <c r="AK150" i="2"/>
  <c r="AK182" i="2"/>
  <c r="AK11" i="2"/>
  <c r="AK51" i="2"/>
  <c r="AK200" i="2"/>
  <c r="AK21" i="2"/>
  <c r="AK68" i="2"/>
  <c r="AK76" i="2"/>
  <c r="AK92" i="2"/>
  <c r="AK100" i="2"/>
  <c r="AK116" i="2"/>
  <c r="AK124" i="2"/>
  <c r="AK132" i="2"/>
  <c r="AK140" i="2"/>
  <c r="AK156" i="2"/>
  <c r="AK164" i="2"/>
  <c r="AK172" i="2"/>
  <c r="AK9" i="2"/>
  <c r="AK17" i="2"/>
  <c r="AK26" i="2"/>
  <c r="AK33" i="2"/>
  <c r="AK41" i="2"/>
  <c r="AK49" i="2"/>
  <c r="AK134" i="2"/>
  <c r="AK158" i="2"/>
  <c r="AK174" i="2"/>
  <c r="AK19" i="2"/>
  <c r="AK20" i="2"/>
  <c r="AK80" i="2"/>
  <c r="AK104" i="2"/>
  <c r="AK176" i="2"/>
  <c r="AK13" i="2"/>
  <c r="AK23" i="2"/>
  <c r="AK69" i="2"/>
  <c r="AK77" i="2"/>
  <c r="AK85" i="2"/>
  <c r="AK93" i="2"/>
  <c r="AK109" i="2"/>
  <c r="AK117" i="2"/>
  <c r="AK125" i="2"/>
  <c r="AK141" i="2"/>
  <c r="AK149" i="2"/>
  <c r="AK157" i="2"/>
  <c r="AK173" i="2"/>
  <c r="AK189" i="2"/>
  <c r="AK197" i="2"/>
  <c r="AK3" i="2"/>
  <c r="AK10" i="2"/>
  <c r="AK18" i="2"/>
  <c r="AK27" i="2"/>
  <c r="AK34" i="2"/>
  <c r="AK42" i="2"/>
  <c r="AK50" i="2"/>
  <c r="AK78" i="2"/>
  <c r="AK94" i="2"/>
  <c r="AK102" i="2"/>
  <c r="AK142" i="2"/>
  <c r="AK190" i="2"/>
  <c r="AK6" i="2"/>
  <c r="AK37" i="2"/>
  <c r="AK88" i="2"/>
  <c r="AK112" i="2"/>
  <c r="AK144" i="2"/>
  <c r="AK168" i="2"/>
  <c r="AK184" i="2"/>
  <c r="AK5" i="2"/>
  <c r="AK38" i="2"/>
  <c r="AK28" i="2"/>
  <c r="AK79" i="2"/>
  <c r="AK87" i="2"/>
  <c r="AK103" i="2"/>
  <c r="AK111" i="2"/>
  <c r="AK143" i="2"/>
  <c r="AK151" i="2"/>
  <c r="AK159" i="2"/>
  <c r="AK167" i="2"/>
  <c r="AK175" i="2"/>
  <c r="AK191" i="2"/>
  <c r="AK199" i="2"/>
  <c r="AK4" i="2"/>
  <c r="AK12" i="2"/>
  <c r="AK43" i="2"/>
  <c r="AK29" i="2"/>
  <c r="AK36" i="2"/>
  <c r="AK44" i="2"/>
  <c r="AK52" i="2"/>
  <c r="AK60" i="2"/>
  <c r="AK160" i="2"/>
  <c r="AK30" i="2"/>
  <c r="AK53" i="2"/>
  <c r="AK97" i="2"/>
  <c r="AK129" i="2"/>
  <c r="AK137" i="2"/>
  <c r="AK153" i="2"/>
  <c r="AK177" i="2"/>
  <c r="AK185" i="2"/>
  <c r="AK74" i="2"/>
  <c r="AK98" i="2"/>
  <c r="AK114" i="2"/>
  <c r="AK122" i="2"/>
  <c r="AK130" i="2"/>
  <c r="AK138" i="2"/>
  <c r="AK178" i="2"/>
  <c r="AK186" i="2"/>
  <c r="AK194" i="2"/>
  <c r="AK106" i="2"/>
  <c r="AK99" i="2"/>
  <c r="AK107" i="2"/>
  <c r="AK123" i="2"/>
  <c r="AK131" i="2"/>
  <c r="AK139" i="2"/>
  <c r="AK147" i="2"/>
  <c r="AK163" i="2"/>
  <c r="AK179" i="2"/>
  <c r="AK195" i="2"/>
  <c r="AK70" i="2"/>
  <c r="AK126" i="2"/>
  <c r="AK120" i="2"/>
  <c r="AK152" i="2"/>
  <c r="AK61" i="2"/>
  <c r="AK84" i="2"/>
  <c r="AK148" i="2"/>
  <c r="AK180" i="2"/>
  <c r="AK188" i="2"/>
  <c r="AK196" i="2"/>
  <c r="AK57" i="2"/>
  <c r="AK198" i="2"/>
  <c r="AK72" i="2"/>
  <c r="AK136" i="2"/>
  <c r="AK101" i="2"/>
  <c r="AK133" i="2"/>
  <c r="AK165" i="2"/>
  <c r="AK181" i="2"/>
  <c r="AK58" i="2"/>
  <c r="AK118" i="2"/>
  <c r="AK166" i="2"/>
  <c r="AK59" i="2"/>
  <c r="AK71" i="2"/>
  <c r="AK95" i="2"/>
  <c r="AK119" i="2"/>
  <c r="AK127" i="2"/>
  <c r="AK135" i="2"/>
  <c r="AK183" i="2"/>
  <c r="AK96" i="2"/>
  <c r="AK128" i="2"/>
  <c r="H22" i="7"/>
  <c r="H23" i="7"/>
  <c r="AI906" i="2" s="1"/>
  <c r="K8" i="7"/>
  <c r="K12" i="7"/>
  <c r="R13" i="7"/>
  <c r="S12" i="7"/>
  <c r="J13" i="7"/>
  <c r="AI911" i="2" l="1"/>
  <c r="AI909" i="2"/>
  <c r="AI905" i="2"/>
  <c r="AI908" i="2"/>
  <c r="AI907" i="2"/>
  <c r="AI910" i="2"/>
  <c r="AI904" i="2"/>
  <c r="AI872" i="2"/>
  <c r="AI871" i="2"/>
  <c r="AI875" i="2"/>
  <c r="AJ875" i="2" s="1"/>
  <c r="AI881" i="2"/>
  <c r="AJ881" i="2" s="1"/>
  <c r="AI902" i="2"/>
  <c r="AJ902" i="2" s="1"/>
  <c r="AI855" i="2"/>
  <c r="AJ855" i="2" s="1"/>
  <c r="AI870" i="2"/>
  <c r="AI903" i="2"/>
  <c r="AJ903" i="2" s="1"/>
  <c r="AI898" i="2"/>
  <c r="AI878" i="2"/>
  <c r="AI882" i="2"/>
  <c r="AJ882" i="2" s="1"/>
  <c r="AI883" i="2"/>
  <c r="AI891" i="2"/>
  <c r="AI901" i="2"/>
  <c r="AJ901" i="2" s="1"/>
  <c r="AI892" i="2"/>
  <c r="AI897" i="2"/>
  <c r="AI860" i="2"/>
  <c r="AI857" i="2"/>
  <c r="AJ857" i="2" s="1"/>
  <c r="AI885" i="2"/>
  <c r="AI893" i="2"/>
  <c r="AI900" i="2"/>
  <c r="AI896" i="2"/>
  <c r="AJ896" i="2" s="1"/>
  <c r="AI861" i="2"/>
  <c r="AI862" i="2"/>
  <c r="AI894" i="2"/>
  <c r="AJ894" i="2" s="1"/>
  <c r="AI856" i="2"/>
  <c r="AJ856" i="2" s="1"/>
  <c r="AI879" i="2"/>
  <c r="AJ879" i="2" s="1"/>
  <c r="AI888" i="2"/>
  <c r="AI895" i="2"/>
  <c r="AJ895" i="2" s="1"/>
  <c r="AI887" i="2"/>
  <c r="AI858" i="2"/>
  <c r="AI873" i="2"/>
  <c r="AI890" i="2"/>
  <c r="AI877" i="2"/>
  <c r="AJ877" i="2" s="1"/>
  <c r="AI863" i="2"/>
  <c r="AI874" i="2"/>
  <c r="AJ874" i="2" s="1"/>
  <c r="AI889" i="2"/>
  <c r="AJ889" i="2" s="1"/>
  <c r="AI859" i="2"/>
  <c r="AI867" i="2"/>
  <c r="AI876" i="2"/>
  <c r="AI880" i="2"/>
  <c r="AI884" i="2"/>
  <c r="AJ884" i="2" s="1"/>
  <c r="AI886" i="2"/>
  <c r="AI865" i="2"/>
  <c r="AI864" i="2"/>
  <c r="AI868" i="2"/>
  <c r="AI866" i="2"/>
  <c r="AI869" i="2"/>
  <c r="AI899" i="2"/>
  <c r="AJ899" i="2" s="1"/>
  <c r="AI795" i="2"/>
  <c r="AI811" i="2"/>
  <c r="AJ811" i="2" s="1"/>
  <c r="AI819" i="2"/>
  <c r="AI799" i="2"/>
  <c r="AJ799" i="2" s="1"/>
  <c r="AI800" i="2"/>
  <c r="AJ800" i="2" s="1"/>
  <c r="AI812" i="2"/>
  <c r="AJ812" i="2" s="1"/>
  <c r="AI813" i="2"/>
  <c r="AI853" i="2"/>
  <c r="AI814" i="2"/>
  <c r="AI792" i="2"/>
  <c r="AI803" i="2"/>
  <c r="AI835" i="2"/>
  <c r="AI843" i="2"/>
  <c r="AJ843" i="2" s="1"/>
  <c r="AI851" i="2"/>
  <c r="AI847" i="2"/>
  <c r="AI824" i="2"/>
  <c r="AJ824" i="2" s="1"/>
  <c r="AI804" i="2"/>
  <c r="AI836" i="2"/>
  <c r="AI844" i="2"/>
  <c r="AI852" i="2"/>
  <c r="AJ852" i="2" s="1"/>
  <c r="AI807" i="2"/>
  <c r="AJ807" i="2" s="1"/>
  <c r="AI839" i="2"/>
  <c r="AJ839" i="2" s="1"/>
  <c r="AI789" i="2"/>
  <c r="AI805" i="2"/>
  <c r="AI821" i="2"/>
  <c r="AI829" i="2"/>
  <c r="AJ829" i="2" s="1"/>
  <c r="AI845" i="2"/>
  <c r="AI791" i="2"/>
  <c r="AI823" i="2"/>
  <c r="AI808" i="2"/>
  <c r="AJ808" i="2" s="1"/>
  <c r="AI840" i="2"/>
  <c r="AJ840" i="2" s="1"/>
  <c r="AI790" i="2"/>
  <c r="AJ790" i="2" s="1"/>
  <c r="AI798" i="2"/>
  <c r="AI806" i="2"/>
  <c r="AJ806" i="2" s="1"/>
  <c r="AI822" i="2"/>
  <c r="AI830" i="2"/>
  <c r="AI838" i="2"/>
  <c r="AI846" i="2"/>
  <c r="AI854" i="2"/>
  <c r="AI815" i="2"/>
  <c r="AJ815" i="2" s="1"/>
  <c r="AI831" i="2"/>
  <c r="AI816" i="2"/>
  <c r="AJ816" i="2" s="1"/>
  <c r="AI832" i="2"/>
  <c r="AI793" i="2"/>
  <c r="AI801" i="2"/>
  <c r="AI809" i="2"/>
  <c r="AI817" i="2"/>
  <c r="AI825" i="2"/>
  <c r="AJ825" i="2" s="1"/>
  <c r="AI849" i="2"/>
  <c r="AJ849" i="2" s="1"/>
  <c r="AI848" i="2"/>
  <c r="AI794" i="2"/>
  <c r="AI802" i="2"/>
  <c r="AI810" i="2"/>
  <c r="AJ810" i="2" s="1"/>
  <c r="AI818" i="2"/>
  <c r="AI826" i="2"/>
  <c r="AJ826" i="2" s="1"/>
  <c r="AI850" i="2"/>
  <c r="AI827" i="2"/>
  <c r="AI788" i="2"/>
  <c r="AI796" i="2"/>
  <c r="AI820" i="2"/>
  <c r="AI828" i="2"/>
  <c r="AI797" i="2"/>
  <c r="AI837" i="2"/>
  <c r="AI833" i="2"/>
  <c r="AI841" i="2"/>
  <c r="AI834" i="2"/>
  <c r="AI842" i="2"/>
  <c r="AI748" i="2"/>
  <c r="AI782" i="2"/>
  <c r="AI769" i="2"/>
  <c r="AI751" i="2"/>
  <c r="AI738" i="2"/>
  <c r="AI762" i="2"/>
  <c r="AI786" i="2"/>
  <c r="AI729" i="2"/>
  <c r="AI765" i="2"/>
  <c r="AJ765" i="2" s="1"/>
  <c r="AI753" i="2"/>
  <c r="AI777" i="2"/>
  <c r="AJ777" i="2" s="1"/>
  <c r="AI728" i="2"/>
  <c r="AI752" i="2"/>
  <c r="AI733" i="2"/>
  <c r="AI732" i="2"/>
  <c r="AI767" i="2"/>
  <c r="AI745" i="2"/>
  <c r="AJ745" i="2" s="1"/>
  <c r="AI771" i="2"/>
  <c r="AI749" i="2"/>
  <c r="AI726" i="2"/>
  <c r="AI779" i="2"/>
  <c r="AI780" i="2"/>
  <c r="AI743" i="2"/>
  <c r="AI781" i="2"/>
  <c r="AI761" i="2"/>
  <c r="AI756" i="2"/>
  <c r="AJ756" i="2" s="1"/>
  <c r="AI734" i="2"/>
  <c r="AI746" i="2"/>
  <c r="AI764" i="2"/>
  <c r="AJ764" i="2" s="1"/>
  <c r="AI754" i="2"/>
  <c r="AI740" i="2"/>
  <c r="AI759" i="2"/>
  <c r="AJ759" i="2" s="1"/>
  <c r="AI739" i="2"/>
  <c r="AJ739" i="2" s="1"/>
  <c r="AI742" i="2"/>
  <c r="AI760" i="2"/>
  <c r="AJ760" i="2" s="1"/>
  <c r="AI731" i="2"/>
  <c r="AJ731" i="2" s="1"/>
  <c r="AI778" i="2"/>
  <c r="AJ778" i="2" s="1"/>
  <c r="AI735" i="2"/>
  <c r="AJ735" i="2" s="1"/>
  <c r="AI758" i="2"/>
  <c r="AJ758" i="2" s="1"/>
  <c r="AI770" i="2"/>
  <c r="AI783" i="2"/>
  <c r="AI737" i="2"/>
  <c r="AI773" i="2"/>
  <c r="AI775" i="2"/>
  <c r="AI766" i="2"/>
  <c r="AI774" i="2"/>
  <c r="AI772" i="2"/>
  <c r="AI757" i="2"/>
  <c r="AJ757" i="2" s="1"/>
  <c r="AI784" i="2"/>
  <c r="AI736" i="2"/>
  <c r="AI755" i="2"/>
  <c r="AJ755" i="2" s="1"/>
  <c r="AI744" i="2"/>
  <c r="AI763" i="2"/>
  <c r="AI785" i="2"/>
  <c r="AI741" i="2"/>
  <c r="AI787" i="2"/>
  <c r="AI776" i="2"/>
  <c r="AJ776" i="2" s="1"/>
  <c r="AI747" i="2"/>
  <c r="AI768" i="2"/>
  <c r="AI730" i="2"/>
  <c r="AI750" i="2"/>
  <c r="AJ750" i="2" s="1"/>
  <c r="AI727" i="2"/>
  <c r="AI529" i="2"/>
  <c r="AI657" i="2"/>
  <c r="AI717" i="2"/>
  <c r="AJ717" i="2" s="1"/>
  <c r="AI658" i="2"/>
  <c r="AI649" i="2"/>
  <c r="AI688" i="2"/>
  <c r="AJ688" i="2" s="1"/>
  <c r="AI617" i="2"/>
  <c r="AJ617" i="2" s="1"/>
  <c r="AI564" i="2"/>
  <c r="AI684" i="2"/>
  <c r="AJ684" i="2" s="1"/>
  <c r="AI574" i="2"/>
  <c r="AJ574" i="2" s="1"/>
  <c r="AI536" i="2"/>
  <c r="AI687" i="2"/>
  <c r="AJ687" i="2" s="1"/>
  <c r="AI584" i="2"/>
  <c r="AI712" i="2"/>
  <c r="AJ712" i="2" s="1"/>
  <c r="AI701" i="2"/>
  <c r="AI636" i="2"/>
  <c r="AJ636" i="2" s="1"/>
  <c r="AI637" i="2"/>
  <c r="AJ637" i="2" s="1"/>
  <c r="AI623" i="2"/>
  <c r="AJ623" i="2" s="1"/>
  <c r="AI577" i="2"/>
  <c r="AI713" i="2"/>
  <c r="AI678" i="2"/>
  <c r="AJ678" i="2" s="1"/>
  <c r="AI549" i="2"/>
  <c r="AI531" i="2"/>
  <c r="AI547" i="2"/>
  <c r="AJ547" i="2" s="1"/>
  <c r="AI555" i="2"/>
  <c r="AI595" i="2"/>
  <c r="AI575" i="2"/>
  <c r="AI661" i="2"/>
  <c r="AI659" i="2"/>
  <c r="AI523" i="2"/>
  <c r="AI596" i="2"/>
  <c r="AI660" i="2"/>
  <c r="AI707" i="2"/>
  <c r="AI700" i="2"/>
  <c r="AI664" i="2"/>
  <c r="AI654" i="2"/>
  <c r="AI662" i="2"/>
  <c r="AI686" i="2"/>
  <c r="AI694" i="2"/>
  <c r="AI520" i="2"/>
  <c r="AI560" i="2"/>
  <c r="AI695" i="2"/>
  <c r="AI548" i="2"/>
  <c r="AI522" i="2"/>
  <c r="AI578" i="2"/>
  <c r="AI653" i="2"/>
  <c r="AI631" i="2"/>
  <c r="AI663" i="2"/>
  <c r="AJ663" i="2" s="1"/>
  <c r="AI573" i="2"/>
  <c r="AJ573" i="2" s="1"/>
  <c r="AI652" i="2"/>
  <c r="AI651" i="2"/>
  <c r="AI642" i="2"/>
  <c r="AI597" i="2"/>
  <c r="AI527" i="2"/>
  <c r="AI702" i="2"/>
  <c r="AJ702" i="2" s="1"/>
  <c r="AI594" i="2"/>
  <c r="AI545" i="2"/>
  <c r="AJ545" i="2" s="1"/>
  <c r="AI553" i="2"/>
  <c r="AJ553" i="2" s="1"/>
  <c r="AI561" i="2"/>
  <c r="AI589" i="2"/>
  <c r="AI582" i="2"/>
  <c r="AI524" i="2"/>
  <c r="AI593" i="2"/>
  <c r="AI601" i="2"/>
  <c r="AI609" i="2"/>
  <c r="AI635" i="2"/>
  <c r="AI598" i="2"/>
  <c r="AI541" i="2"/>
  <c r="AI698" i="2"/>
  <c r="AJ698" i="2" s="1"/>
  <c r="AI706" i="2"/>
  <c r="AI542" i="2"/>
  <c r="AI673" i="2"/>
  <c r="AI608" i="2"/>
  <c r="AI572" i="2"/>
  <c r="AI697" i="2"/>
  <c r="AJ697" i="2" s="1"/>
  <c r="AI641" i="2"/>
  <c r="AJ641" i="2" s="1"/>
  <c r="AI521" i="2"/>
  <c r="AI666" i="2"/>
  <c r="AI562" i="2"/>
  <c r="AI587" i="2"/>
  <c r="AI669" i="2"/>
  <c r="AI554" i="2"/>
  <c r="AI665" i="2"/>
  <c r="AI538" i="2"/>
  <c r="AI565" i="2"/>
  <c r="AJ565" i="2" s="1"/>
  <c r="AI537" i="2"/>
  <c r="AI610" i="2"/>
  <c r="AI618" i="2"/>
  <c r="AJ618" i="2" s="1"/>
  <c r="AI690" i="2"/>
  <c r="AI699" i="2"/>
  <c r="AJ699" i="2" s="1"/>
  <c r="AI557" i="2"/>
  <c r="AJ557" i="2" s="1"/>
  <c r="AI576" i="2"/>
  <c r="AI696" i="2"/>
  <c r="AI599" i="2"/>
  <c r="AI544" i="2"/>
  <c r="AI581" i="2"/>
  <c r="AI533" i="2"/>
  <c r="AI705" i="2"/>
  <c r="AI611" i="2"/>
  <c r="AI683" i="2"/>
  <c r="AI721" i="2"/>
  <c r="AI571" i="2"/>
  <c r="AI670" i="2"/>
  <c r="AI676" i="2"/>
  <c r="AI720" i="2"/>
  <c r="AI716" i="2"/>
  <c r="AI643" i="2"/>
  <c r="AI715" i="2"/>
  <c r="AI691" i="2"/>
  <c r="AI612" i="2"/>
  <c r="AI672" i="2"/>
  <c r="AI600" i="2"/>
  <c r="AI714" i="2"/>
  <c r="AI677" i="2"/>
  <c r="AI607" i="2"/>
  <c r="AI681" i="2"/>
  <c r="AI682" i="2"/>
  <c r="AI556" i="2"/>
  <c r="AI627" i="2"/>
  <c r="AI580" i="2"/>
  <c r="AI569" i="2"/>
  <c r="AI525" i="2"/>
  <c r="AI719" i="2"/>
  <c r="AI620" i="2"/>
  <c r="AI628" i="2"/>
  <c r="AI559" i="2"/>
  <c r="AI644" i="2"/>
  <c r="AI528" i="2"/>
  <c r="AJ528" i="2" s="1"/>
  <c r="AI668" i="2"/>
  <c r="AI526" i="2"/>
  <c r="AI692" i="2"/>
  <c r="AI718" i="2"/>
  <c r="AI725" i="2"/>
  <c r="AI724" i="2"/>
  <c r="AI675" i="2"/>
  <c r="AI722" i="2"/>
  <c r="AI614" i="2"/>
  <c r="AI546" i="2"/>
  <c r="AI558" i="2"/>
  <c r="AJ558" i="2" s="1"/>
  <c r="AI566" i="2"/>
  <c r="AJ566" i="2" s="1"/>
  <c r="AI530" i="2"/>
  <c r="AJ530" i="2" s="1"/>
  <c r="AI590" i="2"/>
  <c r="AJ590" i="2" s="1"/>
  <c r="AI689" i="2"/>
  <c r="AI606" i="2"/>
  <c r="AJ606" i="2" s="1"/>
  <c r="AI619" i="2"/>
  <c r="AI710" i="2"/>
  <c r="AI630" i="2"/>
  <c r="AI519" i="2"/>
  <c r="AI646" i="2"/>
  <c r="AI708" i="2"/>
  <c r="AI570" i="2"/>
  <c r="AI622" i="2"/>
  <c r="AJ622" i="2" s="1"/>
  <c r="AI634" i="2"/>
  <c r="AI624" i="2"/>
  <c r="AI621" i="2"/>
  <c r="AI551" i="2"/>
  <c r="AI585" i="2"/>
  <c r="AI626" i="2"/>
  <c r="AI602" i="2"/>
  <c r="AI671" i="2"/>
  <c r="AI540" i="2"/>
  <c r="AI632" i="2"/>
  <c r="AI648" i="2"/>
  <c r="AJ648" i="2" s="1"/>
  <c r="AI656" i="2"/>
  <c r="AI650" i="2"/>
  <c r="AI723" i="2"/>
  <c r="AI680" i="2"/>
  <c r="AJ680" i="2" s="1"/>
  <c r="AI583" i="2"/>
  <c r="AI550" i="2"/>
  <c r="AI535" i="2"/>
  <c r="AI567" i="2"/>
  <c r="AI605" i="2"/>
  <c r="AI640" i="2"/>
  <c r="AI704" i="2"/>
  <c r="AI539" i="2"/>
  <c r="AI633" i="2"/>
  <c r="AI588" i="2"/>
  <c r="AI543" i="2"/>
  <c r="AI603" i="2"/>
  <c r="AI552" i="2"/>
  <c r="AJ552" i="2" s="1"/>
  <c r="AI667" i="2"/>
  <c r="AJ667" i="2" s="1"/>
  <c r="AI568" i="2"/>
  <c r="AI703" i="2"/>
  <c r="AI645" i="2"/>
  <c r="AI563" i="2"/>
  <c r="AI534" i="2"/>
  <c r="AI591" i="2"/>
  <c r="AI592" i="2"/>
  <c r="AI647" i="2"/>
  <c r="AI604" i="2"/>
  <c r="AI615" i="2"/>
  <c r="AJ615" i="2" s="1"/>
  <c r="AI616" i="2"/>
  <c r="AI679" i="2"/>
  <c r="AI711" i="2"/>
  <c r="AJ711" i="2" s="1"/>
  <c r="AI586" i="2"/>
  <c r="AI625" i="2"/>
  <c r="AI685" i="2"/>
  <c r="AJ685" i="2" s="1"/>
  <c r="AI579" i="2"/>
  <c r="AI532" i="2"/>
  <c r="AJ532" i="2" s="1"/>
  <c r="AI613" i="2"/>
  <c r="AI655" i="2"/>
  <c r="AJ655" i="2" s="1"/>
  <c r="AI639" i="2"/>
  <c r="AJ639" i="2" s="1"/>
  <c r="AI638" i="2"/>
  <c r="AJ638" i="2" s="1"/>
  <c r="AI709" i="2"/>
  <c r="AI629" i="2"/>
  <c r="AI693" i="2"/>
  <c r="AI674" i="2"/>
  <c r="AI356" i="2"/>
  <c r="AI401" i="2"/>
  <c r="AI461" i="2"/>
  <c r="AI384" i="2"/>
  <c r="AI415" i="2"/>
  <c r="AJ415" i="2" s="1"/>
  <c r="AI400" i="2"/>
  <c r="AJ400" i="2" s="1"/>
  <c r="AI442" i="2"/>
  <c r="AI490" i="2"/>
  <c r="AJ490" i="2" s="1"/>
  <c r="AI506" i="2"/>
  <c r="AJ506" i="2" s="1"/>
  <c r="AI386" i="2"/>
  <c r="AI354" i="2"/>
  <c r="AJ354" i="2" s="1"/>
  <c r="AI422" i="2"/>
  <c r="AI390" i="2"/>
  <c r="AI428" i="2"/>
  <c r="AJ428" i="2" s="1"/>
  <c r="AI436" i="2"/>
  <c r="AI444" i="2"/>
  <c r="AI452" i="2"/>
  <c r="AJ452" i="2" s="1"/>
  <c r="AI460" i="2"/>
  <c r="AI468" i="2"/>
  <c r="AI473" i="2"/>
  <c r="AI492" i="2"/>
  <c r="AI508" i="2"/>
  <c r="AJ508" i="2" s="1"/>
  <c r="AI516" i="2"/>
  <c r="AI350" i="2"/>
  <c r="AJ350" i="2" s="1"/>
  <c r="AI360" i="2"/>
  <c r="AJ360" i="2" s="1"/>
  <c r="AI424" i="2"/>
  <c r="AJ424" i="2" s="1"/>
  <c r="AI408" i="2"/>
  <c r="AI387" i="2"/>
  <c r="AI366" i="2"/>
  <c r="AI357" i="2"/>
  <c r="AJ357" i="2" s="1"/>
  <c r="AI413" i="2"/>
  <c r="AJ413" i="2" s="1"/>
  <c r="AI421" i="2"/>
  <c r="AI429" i="2"/>
  <c r="AI445" i="2"/>
  <c r="AI469" i="2"/>
  <c r="AI476" i="2"/>
  <c r="AI485" i="2"/>
  <c r="AJ485" i="2" s="1"/>
  <c r="AI493" i="2"/>
  <c r="AI501" i="2"/>
  <c r="AI509" i="2"/>
  <c r="AI517" i="2"/>
  <c r="AI359" i="2"/>
  <c r="AJ359" i="2" s="1"/>
  <c r="AI372" i="2"/>
  <c r="AI351" i="2"/>
  <c r="AI418" i="2"/>
  <c r="AI382" i="2"/>
  <c r="AI379" i="2"/>
  <c r="AI367" i="2"/>
  <c r="AJ367" i="2" s="1"/>
  <c r="AI414" i="2"/>
  <c r="AI398" i="2"/>
  <c r="AI430" i="2"/>
  <c r="AI454" i="2"/>
  <c r="AI470" i="2"/>
  <c r="AJ470" i="2" s="1"/>
  <c r="AI510" i="2"/>
  <c r="AJ510" i="2" s="1"/>
  <c r="AI518" i="2"/>
  <c r="AI369" i="2"/>
  <c r="AJ369" i="2" s="1"/>
  <c r="AI362" i="2"/>
  <c r="AJ362" i="2" s="1"/>
  <c r="AI375" i="2"/>
  <c r="AI391" i="2"/>
  <c r="AI388" i="2"/>
  <c r="AI406" i="2"/>
  <c r="AI431" i="2"/>
  <c r="AI447" i="2"/>
  <c r="AJ447" i="2" s="1"/>
  <c r="AI455" i="2"/>
  <c r="AI487" i="2"/>
  <c r="AI495" i="2"/>
  <c r="AI503" i="2"/>
  <c r="AJ503" i="2" s="1"/>
  <c r="AI511" i="2"/>
  <c r="AI376" i="2"/>
  <c r="AI409" i="2"/>
  <c r="AI403" i="2"/>
  <c r="AJ403" i="2" s="1"/>
  <c r="AI389" i="2"/>
  <c r="AI349" i="2"/>
  <c r="AJ349" i="2" s="1"/>
  <c r="AI432" i="2"/>
  <c r="AI440" i="2"/>
  <c r="AI448" i="2"/>
  <c r="AJ448" i="2" s="1"/>
  <c r="AI456" i="2"/>
  <c r="AI472" i="2"/>
  <c r="AI488" i="2"/>
  <c r="AI496" i="2"/>
  <c r="AJ496" i="2" s="1"/>
  <c r="AI504" i="2"/>
  <c r="AI512" i="2"/>
  <c r="AJ512" i="2" s="1"/>
  <c r="AI353" i="2"/>
  <c r="AI385" i="2"/>
  <c r="AI377" i="2"/>
  <c r="AJ377" i="2" s="1"/>
  <c r="AI411" i="2"/>
  <c r="AI358" i="2"/>
  <c r="AI423" i="2"/>
  <c r="AI433" i="2"/>
  <c r="AJ433" i="2" s="1"/>
  <c r="AI441" i="2"/>
  <c r="AI449" i="2"/>
  <c r="AI457" i="2"/>
  <c r="AI465" i="2"/>
  <c r="AI489" i="2"/>
  <c r="AI481" i="2"/>
  <c r="AI483" i="2"/>
  <c r="AI497" i="2"/>
  <c r="AJ497" i="2" s="1"/>
  <c r="AI505" i="2"/>
  <c r="AI513" i="2"/>
  <c r="AI396" i="2"/>
  <c r="AI363" i="2"/>
  <c r="AJ363" i="2" s="1"/>
  <c r="AI420" i="2"/>
  <c r="AI404" i="2"/>
  <c r="AI410" i="2"/>
  <c r="AI368" i="2"/>
  <c r="AJ368" i="2" s="1"/>
  <c r="AI426" i="2"/>
  <c r="AJ426" i="2" s="1"/>
  <c r="AI434" i="2"/>
  <c r="AJ434" i="2" s="1"/>
  <c r="AI458" i="2"/>
  <c r="AI466" i="2"/>
  <c r="AI474" i="2"/>
  <c r="AJ474" i="2" s="1"/>
  <c r="AI482" i="2"/>
  <c r="AJ482" i="2" s="1"/>
  <c r="AI498" i="2"/>
  <c r="AI514" i="2"/>
  <c r="AI355" i="2"/>
  <c r="AI407" i="2"/>
  <c r="AI371" i="2"/>
  <c r="AI374" i="2"/>
  <c r="AJ374" i="2" s="1"/>
  <c r="AI365" i="2"/>
  <c r="AI425" i="2"/>
  <c r="AI412" i="2"/>
  <c r="AI405" i="2"/>
  <c r="AI427" i="2"/>
  <c r="AI443" i="2"/>
  <c r="AJ443" i="2" s="1"/>
  <c r="AI507" i="2"/>
  <c r="AJ507" i="2" s="1"/>
  <c r="AI515" i="2"/>
  <c r="AI467" i="2"/>
  <c r="AI475" i="2"/>
  <c r="AI479" i="2"/>
  <c r="AI491" i="2"/>
  <c r="AI499" i="2"/>
  <c r="AI364" i="2"/>
  <c r="AJ364" i="2" s="1"/>
  <c r="AI378" i="2"/>
  <c r="AI416" i="2"/>
  <c r="AI484" i="2"/>
  <c r="AI500" i="2"/>
  <c r="AI393" i="2"/>
  <c r="AI437" i="2"/>
  <c r="AJ437" i="2" s="1"/>
  <c r="AI453" i="2"/>
  <c r="AI394" i="2"/>
  <c r="AI438" i="2"/>
  <c r="AI446" i="2"/>
  <c r="AI462" i="2"/>
  <c r="AI478" i="2"/>
  <c r="AI486" i="2"/>
  <c r="AI494" i="2"/>
  <c r="AJ494" i="2" s="1"/>
  <c r="AI502" i="2"/>
  <c r="AJ502" i="2" s="1"/>
  <c r="AI402" i="2"/>
  <c r="AI380" i="2"/>
  <c r="AI439" i="2"/>
  <c r="AI463" i="2"/>
  <c r="AI471" i="2"/>
  <c r="AI477" i="2"/>
  <c r="AI383" i="2"/>
  <c r="AI392" i="2"/>
  <c r="AI373" i="2"/>
  <c r="AI417" i="2"/>
  <c r="AI464" i="2"/>
  <c r="AI480" i="2"/>
  <c r="AI361" i="2"/>
  <c r="AI419" i="2"/>
  <c r="AI397" i="2"/>
  <c r="AI395" i="2"/>
  <c r="AJ395" i="2" s="1"/>
  <c r="AI399" i="2"/>
  <c r="AI370" i="2"/>
  <c r="AJ370" i="2" s="1"/>
  <c r="AI352" i="2"/>
  <c r="AI450" i="2"/>
  <c r="AI381" i="2"/>
  <c r="AJ381" i="2" s="1"/>
  <c r="AI435" i="2"/>
  <c r="AI451" i="2"/>
  <c r="AI459" i="2"/>
  <c r="AJ459" i="2" s="1"/>
  <c r="AH381" i="2"/>
  <c r="AH374" i="2"/>
  <c r="AH369" i="2"/>
  <c r="AH367" i="2"/>
  <c r="AH368" i="2"/>
  <c r="AH360" i="2"/>
  <c r="AH364" i="2"/>
  <c r="AH362" i="2"/>
  <c r="AH363" i="2"/>
  <c r="AH447" i="2"/>
  <c r="AH448" i="2"/>
  <c r="AI201" i="2"/>
  <c r="AJ201" i="2" s="1"/>
  <c r="AI254" i="2"/>
  <c r="AJ254" i="2" s="1"/>
  <c r="AI264" i="2"/>
  <c r="AI241" i="2"/>
  <c r="AI257" i="2"/>
  <c r="AJ257" i="2" s="1"/>
  <c r="AI269" i="2"/>
  <c r="AI204" i="2"/>
  <c r="AI289" i="2"/>
  <c r="AJ289" i="2" s="1"/>
  <c r="AI274" i="2"/>
  <c r="AI310" i="2"/>
  <c r="AI313" i="2"/>
  <c r="AI224" i="2"/>
  <c r="AJ224" i="2" s="1"/>
  <c r="AI233" i="2"/>
  <c r="AI345" i="2"/>
  <c r="AI232" i="2"/>
  <c r="AI320" i="2"/>
  <c r="AJ320" i="2" s="1"/>
  <c r="AI242" i="2"/>
  <c r="AI210" i="2"/>
  <c r="AI261" i="2"/>
  <c r="AJ261" i="2" s="1"/>
  <c r="AI226" i="2"/>
  <c r="AI283" i="2"/>
  <c r="AI297" i="2"/>
  <c r="AI286" i="2"/>
  <c r="AI206" i="2"/>
  <c r="AI282" i="2"/>
  <c r="AJ282" i="2" s="1"/>
  <c r="AI290" i="2"/>
  <c r="AI334" i="2"/>
  <c r="AI306" i="2"/>
  <c r="AI322" i="2"/>
  <c r="AI225" i="2"/>
  <c r="AJ225" i="2" s="1"/>
  <c r="AI234" i="2"/>
  <c r="AJ234" i="2" s="1"/>
  <c r="AI256" i="2"/>
  <c r="AI239" i="2"/>
  <c r="AI203" i="2"/>
  <c r="AI211" i="2"/>
  <c r="AI212" i="2"/>
  <c r="AI219" i="2"/>
  <c r="AI275" i="2"/>
  <c r="AJ275" i="2" s="1"/>
  <c r="AI209" i="2"/>
  <c r="AJ209" i="2" s="1"/>
  <c r="AI258" i="2"/>
  <c r="AJ258" i="2" s="1"/>
  <c r="AI337" i="2"/>
  <c r="AI323" i="2"/>
  <c r="AI339" i="2"/>
  <c r="AI344" i="2"/>
  <c r="AI223" i="2"/>
  <c r="AJ223" i="2" s="1"/>
  <c r="AI243" i="2"/>
  <c r="AI280" i="2"/>
  <c r="AI220" i="2"/>
  <c r="AJ220" i="2" s="1"/>
  <c r="AI250" i="2"/>
  <c r="AI299" i="2"/>
  <c r="AI244" i="2"/>
  <c r="AJ244" i="2" s="1"/>
  <c r="AI252" i="2"/>
  <c r="AJ252" i="2" s="1"/>
  <c r="AI304" i="2"/>
  <c r="AI276" i="2"/>
  <c r="AJ276" i="2" s="1"/>
  <c r="AI214" i="2"/>
  <c r="AI300" i="2"/>
  <c r="AI347" i="2"/>
  <c r="AI338" i="2"/>
  <c r="AI340" i="2"/>
  <c r="AI332" i="2"/>
  <c r="AI348" i="2"/>
  <c r="AJ348" i="2" s="1"/>
  <c r="AI321" i="2"/>
  <c r="AI312" i="2"/>
  <c r="AI263" i="2"/>
  <c r="AI229" i="2"/>
  <c r="AJ229" i="2" s="1"/>
  <c r="AI285" i="2"/>
  <c r="AI324" i="2"/>
  <c r="AI316" i="2"/>
  <c r="AJ316" i="2" s="1"/>
  <c r="AI305" i="2"/>
  <c r="AI208" i="2"/>
  <c r="AI293" i="2"/>
  <c r="AI301" i="2"/>
  <c r="AI265" i="2"/>
  <c r="AJ265" i="2" s="1"/>
  <c r="AI268" i="2"/>
  <c r="AI325" i="2"/>
  <c r="AI333" i="2"/>
  <c r="AI341" i="2"/>
  <c r="AJ341" i="2" s="1"/>
  <c r="AI202" i="2"/>
  <c r="AI253" i="2"/>
  <c r="AJ253" i="2" s="1"/>
  <c r="AI298" i="2"/>
  <c r="AI230" i="2"/>
  <c r="AJ230" i="2" s="1"/>
  <c r="AI246" i="2"/>
  <c r="AJ246" i="2" s="1"/>
  <c r="AI296" i="2"/>
  <c r="AI262" i="2"/>
  <c r="AI307" i="2"/>
  <c r="AI294" i="2"/>
  <c r="AI302" i="2"/>
  <c r="AI270" i="2"/>
  <c r="AI272" i="2"/>
  <c r="AJ272" i="2" s="1"/>
  <c r="AI326" i="2"/>
  <c r="AI228" i="2"/>
  <c r="AJ228" i="2" s="1"/>
  <c r="AI236" i="2"/>
  <c r="AI342" i="2"/>
  <c r="AI308" i="2"/>
  <c r="AI207" i="2"/>
  <c r="AJ207" i="2" s="1"/>
  <c r="AI309" i="2"/>
  <c r="AI281" i="2"/>
  <c r="AJ281" i="2" s="1"/>
  <c r="AI231" i="2"/>
  <c r="AJ231" i="2" s="1"/>
  <c r="AI247" i="2"/>
  <c r="AI255" i="2"/>
  <c r="AI343" i="2"/>
  <c r="AI271" i="2"/>
  <c r="AJ271" i="2" s="1"/>
  <c r="AI279" i="2"/>
  <c r="AI295" i="2"/>
  <c r="AI303" i="2"/>
  <c r="AJ303" i="2" s="1"/>
  <c r="AI311" i="2"/>
  <c r="AI221" i="2"/>
  <c r="AI237" i="2"/>
  <c r="AI277" i="2"/>
  <c r="AJ277" i="2" s="1"/>
  <c r="AI330" i="2"/>
  <c r="AJ330" i="2" s="1"/>
  <c r="AI336" i="2"/>
  <c r="AI218" i="2"/>
  <c r="AI266" i="2"/>
  <c r="AJ266" i="2" s="1"/>
  <c r="AI284" i="2"/>
  <c r="AI245" i="2"/>
  <c r="AJ245" i="2" s="1"/>
  <c r="AI217" i="2"/>
  <c r="AI215" i="2"/>
  <c r="AI249" i="2"/>
  <c r="AJ249" i="2" s="1"/>
  <c r="AI319" i="2"/>
  <c r="AI318" i="2"/>
  <c r="AI216" i="2"/>
  <c r="AI240" i="2"/>
  <c r="AI314" i="2"/>
  <c r="AI205" i="2"/>
  <c r="AI227" i="2"/>
  <c r="AJ227" i="2" s="1"/>
  <c r="AI292" i="2"/>
  <c r="AJ292" i="2" s="1"/>
  <c r="AI259" i="2"/>
  <c r="AI267" i="2"/>
  <c r="AI346" i="2"/>
  <c r="AI328" i="2"/>
  <c r="AI331" i="2"/>
  <c r="AI273" i="2"/>
  <c r="AI291" i="2"/>
  <c r="AJ291" i="2" s="1"/>
  <c r="AI260" i="2"/>
  <c r="AI235" i="2"/>
  <c r="AI288" i="2"/>
  <c r="AI251" i="2"/>
  <c r="AI213" i="2"/>
  <c r="AJ213" i="2" s="1"/>
  <c r="AI315" i="2"/>
  <c r="AI222" i="2"/>
  <c r="AJ222" i="2" s="1"/>
  <c r="AI238" i="2"/>
  <c r="AI327" i="2"/>
  <c r="AI278" i="2"/>
  <c r="AI329" i="2"/>
  <c r="AI317" i="2"/>
  <c r="AI287" i="2"/>
  <c r="AI335" i="2"/>
  <c r="AI248" i="2"/>
  <c r="AH220" i="2"/>
  <c r="AH320" i="2"/>
  <c r="AH222" i="2"/>
  <c r="AH341" i="2"/>
  <c r="AH253" i="2"/>
  <c r="AH244" i="2"/>
  <c r="AH277" i="2"/>
  <c r="AH276" i="2"/>
  <c r="AH230" i="2"/>
  <c r="AH266" i="2"/>
  <c r="AH245" i="2"/>
  <c r="AH265" i="2"/>
  <c r="AH261" i="2"/>
  <c r="AH141" i="2"/>
  <c r="AI81" i="2"/>
  <c r="AI153" i="2"/>
  <c r="AI185" i="2"/>
  <c r="AI131" i="2"/>
  <c r="AJ131" i="2" s="1"/>
  <c r="AI84" i="2"/>
  <c r="AJ84" i="2" s="1"/>
  <c r="AI92" i="2"/>
  <c r="AI198" i="2"/>
  <c r="AI182" i="2"/>
  <c r="AI118" i="2"/>
  <c r="AI151" i="2"/>
  <c r="AI96" i="2"/>
  <c r="AI73" i="2"/>
  <c r="AI97" i="2"/>
  <c r="AJ97" i="2" s="1"/>
  <c r="AI121" i="2"/>
  <c r="AI129" i="2"/>
  <c r="AI137" i="2"/>
  <c r="AJ137" i="2" s="1"/>
  <c r="AI145" i="2"/>
  <c r="AI169" i="2"/>
  <c r="AI7" i="2"/>
  <c r="AI15" i="2"/>
  <c r="AI24" i="2"/>
  <c r="AI35" i="2"/>
  <c r="AI40" i="2"/>
  <c r="AI47" i="2"/>
  <c r="AI170" i="2"/>
  <c r="AI8" i="2"/>
  <c r="AI25" i="2"/>
  <c r="AI32" i="2"/>
  <c r="AI48" i="2"/>
  <c r="AI66" i="2"/>
  <c r="AI74" i="2"/>
  <c r="AJ74" i="2" s="1"/>
  <c r="AI82" i="2"/>
  <c r="AI98" i="2"/>
  <c r="AJ98" i="2" s="1"/>
  <c r="AI106" i="2"/>
  <c r="AI130" i="2"/>
  <c r="AI138" i="2"/>
  <c r="AJ138" i="2" s="1"/>
  <c r="AI162" i="2"/>
  <c r="AI16" i="2"/>
  <c r="AI67" i="2"/>
  <c r="AI75" i="2"/>
  <c r="AI83" i="2"/>
  <c r="AI115" i="2"/>
  <c r="AJ115" i="2" s="1"/>
  <c r="AI123" i="2"/>
  <c r="AJ123" i="2" s="1"/>
  <c r="AI139" i="2"/>
  <c r="AJ139" i="2" s="1"/>
  <c r="AI147" i="2"/>
  <c r="AJ147" i="2" s="1"/>
  <c r="AI155" i="2"/>
  <c r="AI163" i="2"/>
  <c r="AJ163" i="2" s="1"/>
  <c r="AI171" i="2"/>
  <c r="AI195" i="2"/>
  <c r="AI9" i="2"/>
  <c r="AI17" i="2"/>
  <c r="AI26" i="2"/>
  <c r="AI33" i="2"/>
  <c r="AI41" i="2"/>
  <c r="AI49" i="2"/>
  <c r="AI57" i="2"/>
  <c r="AI166" i="2"/>
  <c r="AJ166" i="2" s="1"/>
  <c r="AI12" i="2"/>
  <c r="AI60" i="2"/>
  <c r="AI39" i="2"/>
  <c r="AI68" i="2"/>
  <c r="AI76" i="2"/>
  <c r="AI100" i="2"/>
  <c r="AI108" i="2"/>
  <c r="AI124" i="2"/>
  <c r="AI132" i="2"/>
  <c r="AI140" i="2"/>
  <c r="AI148" i="2"/>
  <c r="AJ148" i="2" s="1"/>
  <c r="AI164" i="2"/>
  <c r="AI172" i="2"/>
  <c r="AI188" i="2"/>
  <c r="AI196" i="2"/>
  <c r="AI3" i="2"/>
  <c r="AI10" i="2"/>
  <c r="AI18" i="2"/>
  <c r="AI27" i="2"/>
  <c r="AI58" i="2"/>
  <c r="AI158" i="2"/>
  <c r="AI4" i="2"/>
  <c r="AI36" i="2"/>
  <c r="AI176" i="2"/>
  <c r="AI54" i="2"/>
  <c r="AI69" i="2"/>
  <c r="AI77" i="2"/>
  <c r="AI85" i="2"/>
  <c r="AI101" i="2"/>
  <c r="AJ101" i="2" s="1"/>
  <c r="AI117" i="2"/>
  <c r="AI125" i="2"/>
  <c r="AI133" i="2"/>
  <c r="AI149" i="2"/>
  <c r="AI157" i="2"/>
  <c r="AI165" i="2"/>
  <c r="AI181" i="2"/>
  <c r="AJ181" i="2" s="1"/>
  <c r="AI189" i="2"/>
  <c r="AJ189" i="2" s="1"/>
  <c r="AI197" i="2"/>
  <c r="AI6" i="2"/>
  <c r="AI11" i="2"/>
  <c r="AI19" i="2"/>
  <c r="AI28" i="2"/>
  <c r="AI59" i="2"/>
  <c r="AI150" i="2"/>
  <c r="AI43" i="2"/>
  <c r="AI29" i="2"/>
  <c r="AI52" i="2"/>
  <c r="AI192" i="2"/>
  <c r="AJ192" i="2" s="1"/>
  <c r="AI64" i="2"/>
  <c r="AI70" i="2"/>
  <c r="AJ70" i="2" s="1"/>
  <c r="AI78" i="2"/>
  <c r="AI94" i="2"/>
  <c r="AI102" i="2"/>
  <c r="AI110" i="2"/>
  <c r="AI126" i="2"/>
  <c r="AJ126" i="2" s="1"/>
  <c r="AI134" i="2"/>
  <c r="AJ134" i="2" s="1"/>
  <c r="AI142" i="2"/>
  <c r="AI190" i="2"/>
  <c r="AJ190" i="2" s="1"/>
  <c r="AI144" i="2"/>
  <c r="AJ144" i="2" s="1"/>
  <c r="AI22" i="2"/>
  <c r="AI71" i="2"/>
  <c r="AJ71" i="2" s="1"/>
  <c r="AI79" i="2"/>
  <c r="AI87" i="2"/>
  <c r="AI95" i="2"/>
  <c r="AJ95" i="2" s="1"/>
  <c r="AI111" i="2"/>
  <c r="AI127" i="2"/>
  <c r="AJ127" i="2" s="1"/>
  <c r="AI143" i="2"/>
  <c r="AI159" i="2"/>
  <c r="AI183" i="2"/>
  <c r="AJ183" i="2" s="1"/>
  <c r="AI191" i="2"/>
  <c r="AJ191" i="2" s="1"/>
  <c r="AI199" i="2"/>
  <c r="AI5" i="2"/>
  <c r="AI13" i="2"/>
  <c r="AI21" i="2"/>
  <c r="AI30" i="2"/>
  <c r="AI38" i="2"/>
  <c r="AI53" i="2"/>
  <c r="AI61" i="2"/>
  <c r="AI72" i="2"/>
  <c r="AJ72" i="2" s="1"/>
  <c r="AI80" i="2"/>
  <c r="AI88" i="2"/>
  <c r="AI104" i="2"/>
  <c r="AJ104" i="2" s="1"/>
  <c r="AI112" i="2"/>
  <c r="AI136" i="2"/>
  <c r="AJ136" i="2" s="1"/>
  <c r="AI184" i="2"/>
  <c r="AI31" i="2"/>
  <c r="AI65" i="2"/>
  <c r="AI89" i="2"/>
  <c r="AI105" i="2"/>
  <c r="AI113" i="2"/>
  <c r="AI161" i="2"/>
  <c r="AI177" i="2"/>
  <c r="AI193" i="2"/>
  <c r="AI55" i="2"/>
  <c r="AI63" i="2"/>
  <c r="AI154" i="2"/>
  <c r="AI178" i="2"/>
  <c r="AI194" i="2"/>
  <c r="AJ194" i="2" s="1"/>
  <c r="AI90" i="2"/>
  <c r="AI114" i="2"/>
  <c r="AJ114" i="2" s="1"/>
  <c r="AI122" i="2"/>
  <c r="AI146" i="2"/>
  <c r="AI186" i="2"/>
  <c r="AI45" i="2"/>
  <c r="AI91" i="2"/>
  <c r="AI99" i="2"/>
  <c r="AI107" i="2"/>
  <c r="AI179" i="2"/>
  <c r="AI187" i="2"/>
  <c r="AI44" i="2"/>
  <c r="AI160" i="2"/>
  <c r="AI200" i="2"/>
  <c r="AJ200" i="2" s="1"/>
  <c r="AI56" i="2"/>
  <c r="AI116" i="2"/>
  <c r="AI156" i="2"/>
  <c r="AI180" i="2"/>
  <c r="AI34" i="2"/>
  <c r="AI42" i="2"/>
  <c r="AI50" i="2"/>
  <c r="AI128" i="2"/>
  <c r="AI14" i="2"/>
  <c r="AI93" i="2"/>
  <c r="AJ93" i="2" s="1"/>
  <c r="AI109" i="2"/>
  <c r="AI141" i="2"/>
  <c r="AJ141" i="2" s="1"/>
  <c r="AI173" i="2"/>
  <c r="AI37" i="2"/>
  <c r="AI20" i="2"/>
  <c r="AI51" i="2"/>
  <c r="AI174" i="2"/>
  <c r="AI152" i="2"/>
  <c r="AJ152" i="2" s="1"/>
  <c r="AI2" i="2"/>
  <c r="AI46" i="2"/>
  <c r="AI86" i="2"/>
  <c r="AI103" i="2"/>
  <c r="AJ103" i="2" s="1"/>
  <c r="AI119" i="2"/>
  <c r="AI135" i="2"/>
  <c r="AJ135" i="2" s="1"/>
  <c r="AI167" i="2"/>
  <c r="AI175" i="2"/>
  <c r="AI23" i="2"/>
  <c r="AI120" i="2"/>
  <c r="AI168" i="2"/>
  <c r="AI62" i="2"/>
  <c r="AH137" i="2"/>
  <c r="AH138" i="2"/>
  <c r="AH103" i="2"/>
  <c r="AH72" i="2"/>
  <c r="AH136" i="2"/>
  <c r="AH144" i="2"/>
  <c r="AH183" i="2"/>
  <c r="S13" i="7"/>
  <c r="I6" i="7" l="1"/>
  <c r="P3" i="3"/>
  <c r="P4" i="3"/>
  <c r="P5" i="3"/>
  <c r="P2" i="3"/>
  <c r="AH8" i="3"/>
  <c r="AI8" i="3" s="1"/>
  <c r="AH12" i="3"/>
  <c r="AI12" i="3" s="1"/>
  <c r="AE12" i="3"/>
  <c r="AF12" i="3" s="1"/>
  <c r="AE11" i="3"/>
  <c r="AF11" i="3" s="1"/>
  <c r="AE10" i="3"/>
  <c r="AF10" i="3" s="1"/>
  <c r="AE9" i="3"/>
  <c r="AF9" i="3" s="1"/>
  <c r="AE8" i="3"/>
  <c r="AF8" i="3" s="1"/>
  <c r="AE7" i="3"/>
  <c r="AF7" i="3" s="1"/>
  <c r="AE6" i="3"/>
  <c r="AF6" i="3" s="1"/>
  <c r="AE5" i="3"/>
  <c r="AF5" i="3" s="1"/>
  <c r="AE4" i="3"/>
  <c r="AF4" i="3" s="1"/>
  <c r="AE3" i="3"/>
  <c r="AF3" i="3" s="1"/>
  <c r="AE2" i="3"/>
  <c r="AF2" i="3" s="1"/>
  <c r="AB12" i="3"/>
  <c r="AC12" i="3" s="1"/>
  <c r="AB11" i="3"/>
  <c r="AC11" i="3" s="1"/>
  <c r="AB10" i="3"/>
  <c r="AC10" i="3" s="1"/>
  <c r="AB9" i="3"/>
  <c r="AC9" i="3" s="1"/>
  <c r="AB8" i="3"/>
  <c r="AC8" i="3" s="1"/>
  <c r="AB7" i="3"/>
  <c r="AC7" i="3" s="1"/>
  <c r="AB6" i="3"/>
  <c r="AC6" i="3" s="1"/>
  <c r="AB5" i="3"/>
  <c r="AC5" i="3" s="1"/>
  <c r="AB4" i="3"/>
  <c r="AC4" i="3" s="1"/>
  <c r="AB3" i="3"/>
  <c r="AC3" i="3" s="1"/>
  <c r="Y12" i="3"/>
  <c r="Z12" i="3" s="1"/>
  <c r="Y8" i="3"/>
  <c r="Z8" i="3" s="1"/>
  <c r="V5" i="3"/>
  <c r="W5" i="3" s="1"/>
  <c r="V6" i="3"/>
  <c r="W6" i="3" s="1"/>
  <c r="V7" i="3"/>
  <c r="W7" i="3" s="1"/>
  <c r="V8" i="3"/>
  <c r="W8" i="3" s="1"/>
  <c r="V9" i="3"/>
  <c r="W9" i="3" s="1"/>
  <c r="V10" i="3"/>
  <c r="W10" i="3" s="1"/>
  <c r="V11" i="3"/>
  <c r="W11" i="3" s="1"/>
  <c r="V12" i="3"/>
  <c r="W12" i="3" s="1"/>
  <c r="P6" i="3" l="1"/>
  <c r="I11" i="7"/>
  <c r="K11" i="7" s="1"/>
  <c r="I5" i="7"/>
  <c r="K5" i="7" s="1"/>
  <c r="Q11" i="7"/>
  <c r="X22" i="7" s="1"/>
  <c r="O11" i="7"/>
  <c r="P2" i="7"/>
  <c r="Q5" i="7"/>
  <c r="X16" i="7" s="1"/>
  <c r="O5" i="7"/>
  <c r="AH6" i="3"/>
  <c r="AI6" i="3" s="1"/>
  <c r="O6" i="7"/>
  <c r="K6" i="7"/>
  <c r="P6" i="7"/>
  <c r="X6" i="7" s="1"/>
  <c r="O6" i="3"/>
  <c r="Y5" i="3"/>
  <c r="Z5" i="3" s="1"/>
  <c r="AH5" i="3"/>
  <c r="AI5" i="3" s="1"/>
  <c r="Y6" i="3"/>
  <c r="Z6" i="3" s="1"/>
  <c r="AH11" i="3"/>
  <c r="AI11" i="3" s="1"/>
  <c r="Y11" i="3"/>
  <c r="Z11" i="3" s="1"/>
  <c r="AE13" i="3"/>
  <c r="AF13" i="3" s="1"/>
  <c r="V25" i="3"/>
  <c r="R4" i="3" l="1"/>
  <c r="R3" i="3"/>
  <c r="R2" i="3"/>
  <c r="R5" i="3"/>
  <c r="AM900" i="2"/>
  <c r="AJ900" i="2" s="1"/>
  <c r="AM898" i="2"/>
  <c r="AJ898" i="2" s="1"/>
  <c r="AM897" i="2"/>
  <c r="AJ897" i="2" s="1"/>
  <c r="AM892" i="2"/>
  <c r="AJ892" i="2" s="1"/>
  <c r="AH899" i="2"/>
  <c r="AH901" i="2"/>
  <c r="AH903" i="2"/>
  <c r="AH892" i="2"/>
  <c r="AH898" i="2"/>
  <c r="AH902" i="2"/>
  <c r="AH896" i="2"/>
  <c r="AH897" i="2"/>
  <c r="AH900" i="2"/>
  <c r="AM796" i="2"/>
  <c r="AJ796" i="2" s="1"/>
  <c r="AM797" i="2"/>
  <c r="AJ797" i="2" s="1"/>
  <c r="AM798" i="2"/>
  <c r="AJ798" i="2" s="1"/>
  <c r="AM737" i="2"/>
  <c r="AJ737" i="2" s="1"/>
  <c r="AM817" i="2"/>
  <c r="AJ817" i="2" s="1"/>
  <c r="AM850" i="2"/>
  <c r="AJ850" i="2" s="1"/>
  <c r="AM838" i="2"/>
  <c r="AJ838" i="2" s="1"/>
  <c r="AM803" i="2"/>
  <c r="AJ803" i="2" s="1"/>
  <c r="AM802" i="2"/>
  <c r="AJ802" i="2" s="1"/>
  <c r="AH777" i="2"/>
  <c r="AH798" i="2"/>
  <c r="AH796" i="2"/>
  <c r="AH799" i="2"/>
  <c r="AH797" i="2"/>
  <c r="AH737" i="2"/>
  <c r="AH800" i="2"/>
  <c r="AH803" i="2"/>
  <c r="AH838" i="2"/>
  <c r="AH802" i="2"/>
  <c r="AH817" i="2"/>
  <c r="AH850" i="2"/>
  <c r="AH839" i="2"/>
  <c r="AH625" i="2"/>
  <c r="AH636" i="2"/>
  <c r="AH637" i="2"/>
  <c r="AH624" i="2"/>
  <c r="AH626" i="2"/>
  <c r="AH717" i="2"/>
  <c r="AH641" i="2"/>
  <c r="AM620" i="2"/>
  <c r="AJ620" i="2" s="1"/>
  <c r="AM564" i="2"/>
  <c r="AJ564" i="2" s="1"/>
  <c r="AM654" i="2"/>
  <c r="AJ654" i="2" s="1"/>
  <c r="AM679" i="2"/>
  <c r="AJ679" i="2" s="1"/>
  <c r="AM656" i="2"/>
  <c r="AJ656" i="2" s="1"/>
  <c r="AM723" i="2"/>
  <c r="AJ723" i="2" s="1"/>
  <c r="AM705" i="2"/>
  <c r="AJ705" i="2" s="1"/>
  <c r="AM721" i="2"/>
  <c r="AJ721" i="2" s="1"/>
  <c r="AM629" i="2"/>
  <c r="AJ629" i="2" s="1"/>
  <c r="AM644" i="2"/>
  <c r="AJ644" i="2" s="1"/>
  <c r="AM658" i="2"/>
  <c r="AJ658" i="2" s="1"/>
  <c r="AM575" i="2"/>
  <c r="AJ575" i="2" s="1"/>
  <c r="AM609" i="2"/>
  <c r="AJ609" i="2" s="1"/>
  <c r="AM577" i="2"/>
  <c r="AJ577" i="2" s="1"/>
  <c r="AM624" i="2"/>
  <c r="AJ624" i="2" s="1"/>
  <c r="AM625" i="2"/>
  <c r="AJ625" i="2" s="1"/>
  <c r="AM626" i="2"/>
  <c r="AJ626" i="2" s="1"/>
  <c r="AH644" i="2"/>
  <c r="AH609" i="2"/>
  <c r="AH655" i="2"/>
  <c r="AH575" i="2"/>
  <c r="AH577" i="2"/>
  <c r="AH702" i="2"/>
  <c r="AH565" i="2"/>
  <c r="AH658" i="2"/>
  <c r="AH615" i="2"/>
  <c r="AH698" i="2"/>
  <c r="AH678" i="2"/>
  <c r="AH699" i="2"/>
  <c r="AH530" i="2"/>
  <c r="AH606" i="2"/>
  <c r="AH654" i="2"/>
  <c r="AH723" i="2"/>
  <c r="AH721" i="2"/>
  <c r="AH532" i="2"/>
  <c r="AH564" i="2"/>
  <c r="AH656" i="2"/>
  <c r="AH620" i="2"/>
  <c r="AH629" i="2"/>
  <c r="AH712" i="2"/>
  <c r="AH705" i="2"/>
  <c r="AH679" i="2"/>
  <c r="AH528" i="2"/>
  <c r="AM386" i="2"/>
  <c r="AJ386" i="2" s="1"/>
  <c r="AM436" i="2"/>
  <c r="AJ436" i="2" s="1"/>
  <c r="AM460" i="2"/>
  <c r="AJ460" i="2" s="1"/>
  <c r="AM492" i="2"/>
  <c r="AJ492" i="2" s="1"/>
  <c r="AM516" i="2"/>
  <c r="AJ516" i="2" s="1"/>
  <c r="AM384" i="2"/>
  <c r="AJ384" i="2" s="1"/>
  <c r="AM406" i="2"/>
  <c r="AJ406" i="2" s="1"/>
  <c r="AM450" i="2"/>
  <c r="AJ450" i="2" s="1"/>
  <c r="AM387" i="2"/>
  <c r="AJ387" i="2" s="1"/>
  <c r="AM388" i="2"/>
  <c r="AJ388" i="2" s="1"/>
  <c r="AM445" i="2"/>
  <c r="AJ445" i="2" s="1"/>
  <c r="AM454" i="2"/>
  <c r="AJ454" i="2" s="1"/>
  <c r="AM509" i="2"/>
  <c r="AJ509" i="2" s="1"/>
  <c r="AM427" i="2"/>
  <c r="AJ427" i="2" s="1"/>
  <c r="AM455" i="2"/>
  <c r="AJ455" i="2" s="1"/>
  <c r="AM431" i="2"/>
  <c r="AJ431" i="2" s="1"/>
  <c r="AM449" i="2"/>
  <c r="AJ449" i="2" s="1"/>
  <c r="AM504" i="2"/>
  <c r="AJ504" i="2" s="1"/>
  <c r="AM515" i="2"/>
  <c r="AJ515" i="2" s="1"/>
  <c r="AM405" i="2"/>
  <c r="AJ405" i="2" s="1"/>
  <c r="AM404" i="2"/>
  <c r="AJ404" i="2" s="1"/>
  <c r="AM355" i="2"/>
  <c r="AJ355" i="2" s="1"/>
  <c r="AM511" i="2"/>
  <c r="AJ511" i="2" s="1"/>
  <c r="AM269" i="2"/>
  <c r="AJ269" i="2" s="1"/>
  <c r="AM204" i="2"/>
  <c r="AJ204" i="2" s="1"/>
  <c r="AM37" i="2"/>
  <c r="AJ37" i="2" s="1"/>
  <c r="AM51" i="2"/>
  <c r="AJ51" i="2" s="1"/>
  <c r="AM219" i="2"/>
  <c r="AJ219" i="2" s="1"/>
  <c r="AM323" i="2"/>
  <c r="AJ323" i="2" s="1"/>
  <c r="AM429" i="2"/>
  <c r="AJ429" i="2" s="1"/>
  <c r="AM278" i="2"/>
  <c r="AJ278" i="2" s="1"/>
  <c r="AM270" i="2"/>
  <c r="AJ270" i="2" s="1"/>
  <c r="AM311" i="2"/>
  <c r="AJ311" i="2" s="1"/>
  <c r="AM34" i="2"/>
  <c r="AJ34" i="2" s="1"/>
  <c r="AM87" i="2"/>
  <c r="AJ87" i="2" s="1"/>
  <c r="AM247" i="2"/>
  <c r="AJ247" i="2" s="1"/>
  <c r="AM102" i="2"/>
  <c r="AJ102" i="2" s="1"/>
  <c r="AM100" i="2"/>
  <c r="AJ100" i="2" s="1"/>
  <c r="AM184" i="2"/>
  <c r="AJ184" i="2" s="1"/>
  <c r="AM325" i="2"/>
  <c r="AJ325" i="2" s="1"/>
  <c r="AM318" i="2"/>
  <c r="AJ318" i="2" s="1"/>
  <c r="AM317" i="2"/>
  <c r="AJ317" i="2" s="1"/>
  <c r="AM425" i="2"/>
  <c r="AJ425" i="2" s="1"/>
  <c r="AM414" i="2"/>
  <c r="AJ414" i="2" s="1"/>
  <c r="AM505" i="2"/>
  <c r="AJ505" i="2" s="1"/>
  <c r="AM375" i="2"/>
  <c r="AJ375" i="2" s="1"/>
  <c r="AM465" i="2"/>
  <c r="AJ465" i="2" s="1"/>
  <c r="AM57" i="2"/>
  <c r="AJ57" i="2" s="1"/>
  <c r="AM195" i="2"/>
  <c r="AJ195" i="2" s="1"/>
  <c r="AM198" i="2"/>
  <c r="AJ198" i="2" s="1"/>
  <c r="AM301" i="2"/>
  <c r="AJ301" i="2" s="1"/>
  <c r="AM196" i="2"/>
  <c r="AJ196" i="2" s="1"/>
  <c r="AM106" i="2"/>
  <c r="AJ106" i="2" s="1"/>
  <c r="AM356" i="2"/>
  <c r="AJ356" i="2" s="1"/>
  <c r="AM38" i="2"/>
  <c r="AJ38" i="2" s="1"/>
  <c r="AM36" i="2"/>
  <c r="AJ36" i="2" s="1"/>
  <c r="AH387" i="2"/>
  <c r="AH429" i="2"/>
  <c r="AH445" i="2"/>
  <c r="AH509" i="2"/>
  <c r="AH386" i="2"/>
  <c r="AH436" i="2"/>
  <c r="AH460" i="2"/>
  <c r="AH492" i="2"/>
  <c r="AH516" i="2"/>
  <c r="AH427" i="2"/>
  <c r="AH449" i="2"/>
  <c r="AH355" i="2"/>
  <c r="AH388" i="2"/>
  <c r="AH431" i="2"/>
  <c r="AH515" i="2"/>
  <c r="AH400" i="2"/>
  <c r="AH454" i="2"/>
  <c r="AH506" i="2"/>
  <c r="AH384" i="2"/>
  <c r="AH405" i="2"/>
  <c r="AH406" i="2"/>
  <c r="AH443" i="2"/>
  <c r="AH455" i="2"/>
  <c r="AH507" i="2"/>
  <c r="AH511" i="2"/>
  <c r="AH434" i="2"/>
  <c r="AH404" i="2"/>
  <c r="AH450" i="2"/>
  <c r="AH504" i="2"/>
  <c r="AH437" i="2"/>
  <c r="AH452" i="2"/>
  <c r="AH375" i="2"/>
  <c r="AH425" i="2"/>
  <c r="AH459" i="2"/>
  <c r="AH505" i="2"/>
  <c r="AH465" i="2"/>
  <c r="AH349" i="2"/>
  <c r="AH426" i="2"/>
  <c r="AH414" i="2"/>
  <c r="AH101" i="2"/>
  <c r="AH356" i="2"/>
  <c r="AH502" i="2"/>
  <c r="AH512" i="2"/>
  <c r="AH227" i="2"/>
  <c r="AH219" i="2"/>
  <c r="AH323" i="2"/>
  <c r="AH229" i="2"/>
  <c r="AH247" i="2"/>
  <c r="AH269" i="2"/>
  <c r="AH311" i="2"/>
  <c r="AH348" i="2"/>
  <c r="AH249" i="2"/>
  <c r="AH278" i="2"/>
  <c r="AH317" i="2"/>
  <c r="AH318" i="2"/>
  <c r="AH325" i="2"/>
  <c r="AH282" i="2"/>
  <c r="AH257" i="2"/>
  <c r="AH303" i="2"/>
  <c r="AH204" i="2"/>
  <c r="AH270" i="2"/>
  <c r="AH292" i="2"/>
  <c r="AH209" i="2"/>
  <c r="AH258" i="2"/>
  <c r="AH224" i="2"/>
  <c r="AH234" i="2"/>
  <c r="AH213" i="2"/>
  <c r="AH291" i="2"/>
  <c r="AH228" i="2"/>
  <c r="AH301" i="2"/>
  <c r="AH223" i="2"/>
  <c r="AH225" i="2"/>
  <c r="AH57" i="2"/>
  <c r="AH106" i="2"/>
  <c r="AH115" i="2"/>
  <c r="AH195" i="2"/>
  <c r="AH196" i="2"/>
  <c r="AH190" i="2"/>
  <c r="AH93" i="2"/>
  <c r="AH189" i="2"/>
  <c r="AH134" i="2"/>
  <c r="AH198" i="2"/>
  <c r="AH191" i="2"/>
  <c r="AH200" i="2"/>
  <c r="AH104" i="2"/>
  <c r="AH147" i="2"/>
  <c r="AH100" i="2"/>
  <c r="AH87" i="2"/>
  <c r="AH102" i="2"/>
  <c r="AH135" i="2"/>
  <c r="AH152" i="2"/>
  <c r="AH184" i="2"/>
  <c r="AH34" i="2"/>
  <c r="AH37" i="2"/>
  <c r="AH51" i="2"/>
  <c r="AH36" i="2"/>
  <c r="AH38" i="2"/>
  <c r="X2" i="7"/>
  <c r="P13" i="7"/>
  <c r="E34" i="3"/>
  <c r="J9" i="3" s="1"/>
  <c r="K9" i="3" s="1"/>
  <c r="V4" i="3"/>
  <c r="W4" i="3" s="1"/>
  <c r="V3" i="3"/>
  <c r="W3" i="3" s="1"/>
  <c r="I9" i="7"/>
  <c r="I10" i="7"/>
  <c r="Y2" i="3" l="1"/>
  <c r="Z2" i="3" s="1"/>
  <c r="V2" i="3"/>
  <c r="R6" i="3"/>
  <c r="AM904" i="2"/>
  <c r="AJ904" i="2" s="1"/>
  <c r="AM909" i="2"/>
  <c r="AJ909" i="2" s="1"/>
  <c r="AM878" i="2"/>
  <c r="AJ878" i="2" s="1"/>
  <c r="AM880" i="2"/>
  <c r="AJ880" i="2" s="1"/>
  <c r="AM869" i="2"/>
  <c r="AJ869" i="2" s="1"/>
  <c r="AM876" i="2"/>
  <c r="AJ876" i="2" s="1"/>
  <c r="AM868" i="2"/>
  <c r="AJ868" i="2" s="1"/>
  <c r="AM867" i="2"/>
  <c r="AJ867" i="2" s="1"/>
  <c r="AM873" i="2"/>
  <c r="AJ873" i="2" s="1"/>
  <c r="AM801" i="2"/>
  <c r="AJ801" i="2" s="1"/>
  <c r="AM833" i="2"/>
  <c r="AJ833" i="2" s="1"/>
  <c r="AM804" i="2"/>
  <c r="AJ804" i="2" s="1"/>
  <c r="AM828" i="2"/>
  <c r="AJ828" i="2" s="1"/>
  <c r="AM844" i="2"/>
  <c r="AJ844" i="2" s="1"/>
  <c r="AM832" i="2"/>
  <c r="AJ832" i="2" s="1"/>
  <c r="AM845" i="2"/>
  <c r="AJ845" i="2" s="1"/>
  <c r="AM795" i="2"/>
  <c r="AJ795" i="2" s="1"/>
  <c r="AM834" i="2"/>
  <c r="AJ834" i="2" s="1"/>
  <c r="AM846" i="2"/>
  <c r="AJ846" i="2" s="1"/>
  <c r="AM827" i="2"/>
  <c r="AJ827" i="2" s="1"/>
  <c r="AM792" i="2"/>
  <c r="AJ792" i="2" s="1"/>
  <c r="AM830" i="2"/>
  <c r="AJ830" i="2" s="1"/>
  <c r="AM730" i="2"/>
  <c r="AJ730" i="2" s="1"/>
  <c r="AM738" i="2"/>
  <c r="AJ738" i="2" s="1"/>
  <c r="AM786" i="2"/>
  <c r="AJ786" i="2" s="1"/>
  <c r="AM753" i="2"/>
  <c r="AJ753" i="2" s="1"/>
  <c r="AM752" i="2"/>
  <c r="AJ752" i="2" s="1"/>
  <c r="AM751" i="2"/>
  <c r="AJ751" i="2" s="1"/>
  <c r="AM783" i="2"/>
  <c r="AJ783" i="2" s="1"/>
  <c r="AM754" i="2"/>
  <c r="AJ754" i="2" s="1"/>
  <c r="AM766" i="2"/>
  <c r="AJ766" i="2" s="1"/>
  <c r="AM664" i="2"/>
  <c r="AJ664" i="2" s="1"/>
  <c r="AM525" i="2"/>
  <c r="AJ525" i="2" s="1"/>
  <c r="AM660" i="2"/>
  <c r="AJ660" i="2" s="1"/>
  <c r="AM668" i="2"/>
  <c r="AJ668" i="2" s="1"/>
  <c r="AM555" i="2"/>
  <c r="AJ555" i="2" s="1"/>
  <c r="AM662" i="2"/>
  <c r="AJ662" i="2" s="1"/>
  <c r="AM686" i="2"/>
  <c r="AJ686" i="2" s="1"/>
  <c r="AM523" i="2"/>
  <c r="AJ523" i="2" s="1"/>
  <c r="AM614" i="2"/>
  <c r="AJ614" i="2" s="1"/>
  <c r="AM661" i="2"/>
  <c r="AJ661" i="2" s="1"/>
  <c r="AM701" i="2"/>
  <c r="AJ701" i="2" s="1"/>
  <c r="AM480" i="2"/>
  <c r="AJ480" i="2" s="1"/>
  <c r="AM517" i="2"/>
  <c r="AJ517" i="2" s="1"/>
  <c r="AM439" i="2"/>
  <c r="AJ439" i="2" s="1"/>
  <c r="AM466" i="2"/>
  <c r="AJ466" i="2" s="1"/>
  <c r="AM129" i="2"/>
  <c r="AJ129" i="2" s="1"/>
  <c r="AM153" i="2"/>
  <c r="AJ153" i="2" s="1"/>
  <c r="AM177" i="2"/>
  <c r="AJ177" i="2" s="1"/>
  <c r="AM185" i="2"/>
  <c r="AJ185" i="2" s="1"/>
  <c r="AM319" i="2"/>
  <c r="AJ319" i="2" s="1"/>
  <c r="AM59" i="2"/>
  <c r="AJ59" i="2" s="1"/>
  <c r="AM99" i="2"/>
  <c r="AJ99" i="2" s="1"/>
  <c r="AM107" i="2"/>
  <c r="AJ107" i="2" s="1"/>
  <c r="AM179" i="2"/>
  <c r="AJ179" i="2" s="1"/>
  <c r="AM267" i="2"/>
  <c r="AJ267" i="2" s="1"/>
  <c r="AM328" i="2"/>
  <c r="AJ328" i="2" s="1"/>
  <c r="AM273" i="2"/>
  <c r="AJ273" i="2" s="1"/>
  <c r="AM180" i="2"/>
  <c r="AJ180" i="2" s="1"/>
  <c r="AM287" i="2"/>
  <c r="AJ287" i="2" s="1"/>
  <c r="AM96" i="2"/>
  <c r="AJ96" i="2" s="1"/>
  <c r="AM118" i="2"/>
  <c r="AJ118" i="2" s="1"/>
  <c r="AM128" i="2"/>
  <c r="AJ128" i="2" s="1"/>
  <c r="AM288" i="2"/>
  <c r="AJ288" i="2" s="1"/>
  <c r="AM392" i="2"/>
  <c r="AJ392" i="2" s="1"/>
  <c r="AM119" i="2"/>
  <c r="AJ119" i="2" s="1"/>
  <c r="AM130" i="2"/>
  <c r="AJ130" i="2" s="1"/>
  <c r="AM58" i="2"/>
  <c r="AJ58" i="2" s="1"/>
  <c r="AM186" i="2"/>
  <c r="AJ186" i="2" s="1"/>
  <c r="AM240" i="2"/>
  <c r="AJ240" i="2" s="1"/>
  <c r="AM120" i="2"/>
  <c r="AJ120" i="2" s="1"/>
  <c r="AM238" i="2"/>
  <c r="AJ238" i="2" s="1"/>
  <c r="AM122" i="2"/>
  <c r="AJ122" i="2" s="1"/>
  <c r="AM133" i="2"/>
  <c r="AJ133" i="2" s="1"/>
  <c r="AM165" i="2"/>
  <c r="AJ165" i="2" s="1"/>
  <c r="AM188" i="2"/>
  <c r="AJ188" i="2" s="1"/>
  <c r="AM61" i="2"/>
  <c r="AJ61" i="2" s="1"/>
  <c r="AM178" i="2"/>
  <c r="AJ178" i="2" s="1"/>
  <c r="AM210" i="2"/>
  <c r="AJ210" i="2" s="1"/>
  <c r="AM306" i="2"/>
  <c r="AJ306" i="2" s="1"/>
  <c r="AM442" i="2"/>
  <c r="AJ442" i="2" s="1"/>
  <c r="I2" i="7"/>
  <c r="I3" i="7"/>
  <c r="K3" i="7" s="1"/>
  <c r="I4" i="7"/>
  <c r="K4" i="7" s="1"/>
  <c r="AH911" i="2" s="1"/>
  <c r="I7" i="7"/>
  <c r="K7" i="7" s="1"/>
  <c r="Q4" i="7"/>
  <c r="X15" i="7" s="1"/>
  <c r="AM911" i="2" s="1"/>
  <c r="AJ911" i="2" s="1"/>
  <c r="O4" i="7"/>
  <c r="Q10" i="7"/>
  <c r="X21" i="7" s="1"/>
  <c r="O10" i="7"/>
  <c r="K10" i="7"/>
  <c r="Q2" i="7"/>
  <c r="O2" i="7"/>
  <c r="Q3" i="7"/>
  <c r="X14" i="7" s="1"/>
  <c r="AM108" i="2" s="1"/>
  <c r="AJ108" i="2" s="1"/>
  <c r="O3" i="7"/>
  <c r="Q7" i="7"/>
  <c r="X18" i="7" s="1"/>
  <c r="O7" i="7"/>
  <c r="K9" i="7"/>
  <c r="O9" i="7"/>
  <c r="Q9" i="7"/>
  <c r="X20" i="7" s="1"/>
  <c r="AM588" i="2" s="1"/>
  <c r="AJ588" i="2" s="1"/>
  <c r="Y10" i="3"/>
  <c r="Z10" i="3" s="1"/>
  <c r="AH10" i="3"/>
  <c r="AI10" i="3" s="1"/>
  <c r="AB2" i="3"/>
  <c r="AH2" i="3"/>
  <c r="AH3" i="3"/>
  <c r="AI3" i="3" s="1"/>
  <c r="Y3" i="3"/>
  <c r="Z3" i="3" s="1"/>
  <c r="Y9" i="3"/>
  <c r="Z9" i="3" s="1"/>
  <c r="AH9" i="3"/>
  <c r="AI9" i="3" s="1"/>
  <c r="AH4" i="3"/>
  <c r="AI4" i="3" s="1"/>
  <c r="Y4" i="3"/>
  <c r="Z4" i="3" s="1"/>
  <c r="AH7" i="3"/>
  <c r="AI7" i="3" s="1"/>
  <c r="Y7" i="3"/>
  <c r="Z7" i="3" s="1"/>
  <c r="J13" i="3"/>
  <c r="K13" i="3" s="1"/>
  <c r="J21" i="3"/>
  <c r="K21" i="3" s="1"/>
  <c r="J16" i="3"/>
  <c r="K16" i="3" s="1"/>
  <c r="J5" i="3"/>
  <c r="K5" i="3" s="1"/>
  <c r="J23" i="3"/>
  <c r="K23" i="3" s="1"/>
  <c r="J15" i="3"/>
  <c r="K15" i="3" s="1"/>
  <c r="J7" i="3"/>
  <c r="K7" i="3" s="1"/>
  <c r="J20" i="3"/>
  <c r="K20" i="3" s="1"/>
  <c r="J24" i="3"/>
  <c r="K24" i="3" s="1"/>
  <c r="J8" i="3"/>
  <c r="K8" i="3" s="1"/>
  <c r="J22" i="3"/>
  <c r="K22" i="3" s="1"/>
  <c r="J14" i="3"/>
  <c r="K14" i="3" s="1"/>
  <c r="J6" i="3"/>
  <c r="K6" i="3" s="1"/>
  <c r="J12" i="3"/>
  <c r="K12" i="3" s="1"/>
  <c r="J19" i="3"/>
  <c r="K19" i="3" s="1"/>
  <c r="J3" i="3"/>
  <c r="K3" i="3" s="1"/>
  <c r="J26" i="3"/>
  <c r="K26" i="3" s="1"/>
  <c r="J18" i="3"/>
  <c r="K18" i="3" s="1"/>
  <c r="J10" i="3"/>
  <c r="K10" i="3" s="1"/>
  <c r="J2" i="3"/>
  <c r="K2" i="3" s="1"/>
  <c r="J4" i="3"/>
  <c r="K4" i="3" s="1"/>
  <c r="J11" i="3"/>
  <c r="K11" i="3" s="1"/>
  <c r="J25" i="3"/>
  <c r="K25" i="3" s="1"/>
  <c r="J17" i="3"/>
  <c r="K17" i="3" s="1"/>
  <c r="V13" i="3" l="1"/>
  <c r="W13" i="3" s="1"/>
  <c r="W2" i="3"/>
  <c r="AM372" i="2"/>
  <c r="AJ372" i="2" s="1"/>
  <c r="AM885" i="2"/>
  <c r="AJ885" i="2" s="1"/>
  <c r="AM893" i="2"/>
  <c r="AJ893" i="2" s="1"/>
  <c r="AM866" i="2"/>
  <c r="AJ866" i="2" s="1"/>
  <c r="AM887" i="2"/>
  <c r="AJ887" i="2" s="1"/>
  <c r="AM891" i="2"/>
  <c r="AJ891" i="2" s="1"/>
  <c r="AM860" i="2"/>
  <c r="AJ860" i="2" s="1"/>
  <c r="AM861" i="2"/>
  <c r="AJ861" i="2" s="1"/>
  <c r="AM862" i="2"/>
  <c r="AJ862" i="2" s="1"/>
  <c r="AM888" i="2"/>
  <c r="AJ888" i="2" s="1"/>
  <c r="AM858" i="2"/>
  <c r="AJ858" i="2" s="1"/>
  <c r="AM890" i="2"/>
  <c r="AJ890" i="2" s="1"/>
  <c r="AM883" i="2"/>
  <c r="AJ883" i="2" s="1"/>
  <c r="AM863" i="2"/>
  <c r="AJ863" i="2" s="1"/>
  <c r="AH874" i="2"/>
  <c r="AH882" i="2"/>
  <c r="AH891" i="2"/>
  <c r="AH893" i="2"/>
  <c r="AH894" i="2"/>
  <c r="AH856" i="2"/>
  <c r="AH877" i="2"/>
  <c r="AH885" i="2"/>
  <c r="AH895" i="2"/>
  <c r="AH855" i="2"/>
  <c r="AH866" i="2"/>
  <c r="AH881" i="2"/>
  <c r="AH875" i="2"/>
  <c r="AH884" i="2"/>
  <c r="AH879" i="2"/>
  <c r="AH887" i="2"/>
  <c r="AH863" i="2"/>
  <c r="AH889" i="2"/>
  <c r="AH883" i="2"/>
  <c r="AH860" i="2"/>
  <c r="AH861" i="2"/>
  <c r="AH888" i="2"/>
  <c r="AH858" i="2"/>
  <c r="AH890" i="2"/>
  <c r="AH857" i="2"/>
  <c r="AH862" i="2"/>
  <c r="AH788" i="2"/>
  <c r="AH588" i="2"/>
  <c r="AH154" i="2"/>
  <c r="AH372" i="2"/>
  <c r="AM132" i="2"/>
  <c r="AJ132" i="2" s="1"/>
  <c r="AM154" i="2"/>
  <c r="AJ154" i="2" s="1"/>
  <c r="AH71" i="2"/>
  <c r="AH132" i="2"/>
  <c r="AM809" i="2"/>
  <c r="AJ809" i="2" s="1"/>
  <c r="AM836" i="2"/>
  <c r="AJ836" i="2" s="1"/>
  <c r="AM791" i="2"/>
  <c r="AJ791" i="2" s="1"/>
  <c r="AM819" i="2"/>
  <c r="AJ819" i="2" s="1"/>
  <c r="AM789" i="2"/>
  <c r="AJ789" i="2" s="1"/>
  <c r="AM805" i="2"/>
  <c r="AJ805" i="2" s="1"/>
  <c r="AM818" i="2"/>
  <c r="AJ818" i="2" s="1"/>
  <c r="AM847" i="2"/>
  <c r="AJ847" i="2" s="1"/>
  <c r="AM848" i="2"/>
  <c r="AJ848" i="2" s="1"/>
  <c r="AM813" i="2"/>
  <c r="AJ813" i="2" s="1"/>
  <c r="AM814" i="2"/>
  <c r="AJ814" i="2" s="1"/>
  <c r="AM853" i="2"/>
  <c r="AJ853" i="2" s="1"/>
  <c r="AH808" i="2"/>
  <c r="AH816" i="2"/>
  <c r="AH824" i="2"/>
  <c r="AH840" i="2"/>
  <c r="AH819" i="2"/>
  <c r="AH843" i="2"/>
  <c r="AH790" i="2"/>
  <c r="AH806" i="2"/>
  <c r="AH789" i="2"/>
  <c r="AH791" i="2"/>
  <c r="AH829" i="2"/>
  <c r="AH805" i="2"/>
  <c r="AH818" i="2"/>
  <c r="AH807" i="2"/>
  <c r="AH809" i="2"/>
  <c r="AH825" i="2"/>
  <c r="AH836" i="2"/>
  <c r="AH826" i="2"/>
  <c r="AH852" i="2"/>
  <c r="AM611" i="2"/>
  <c r="AJ611" i="2" s="1"/>
  <c r="AM788" i="2"/>
  <c r="AJ788" i="2" s="1"/>
  <c r="AH848" i="2"/>
  <c r="AH811" i="2"/>
  <c r="AH814" i="2"/>
  <c r="AH815" i="2"/>
  <c r="AH853" i="2"/>
  <c r="AH847" i="2"/>
  <c r="AH812" i="2"/>
  <c r="AH810" i="2"/>
  <c r="AH849" i="2"/>
  <c r="AH813" i="2"/>
  <c r="AM767" i="2"/>
  <c r="AJ767" i="2" s="1"/>
  <c r="AM771" i="2"/>
  <c r="AJ771" i="2" s="1"/>
  <c r="AM780" i="2"/>
  <c r="AJ780" i="2" s="1"/>
  <c r="AM781" i="2"/>
  <c r="AJ781" i="2" s="1"/>
  <c r="AM761" i="2"/>
  <c r="AJ761" i="2" s="1"/>
  <c r="AM784" i="2"/>
  <c r="AJ784" i="2" s="1"/>
  <c r="AM736" i="2"/>
  <c r="AJ736" i="2" s="1"/>
  <c r="AM744" i="2"/>
  <c r="AJ744" i="2" s="1"/>
  <c r="AM785" i="2"/>
  <c r="AJ785" i="2" s="1"/>
  <c r="AM740" i="2"/>
  <c r="AJ740" i="2" s="1"/>
  <c r="AM770" i="2"/>
  <c r="AJ770" i="2" s="1"/>
  <c r="AM775" i="2"/>
  <c r="AJ775" i="2" s="1"/>
  <c r="AM732" i="2"/>
  <c r="AJ732" i="2" s="1"/>
  <c r="AM768" i="2"/>
  <c r="AJ768" i="2" s="1"/>
  <c r="AM727" i="2"/>
  <c r="AJ727" i="2" s="1"/>
  <c r="AM763" i="2"/>
  <c r="AJ763" i="2" s="1"/>
  <c r="AM787" i="2"/>
  <c r="AJ787" i="2" s="1"/>
  <c r="AM747" i="2"/>
  <c r="AJ747" i="2" s="1"/>
  <c r="AM772" i="2"/>
  <c r="AJ772" i="2" s="1"/>
  <c r="AM734" i="2"/>
  <c r="AJ734" i="2" s="1"/>
  <c r="AM749" i="2"/>
  <c r="AJ749" i="2" s="1"/>
  <c r="AM773" i="2"/>
  <c r="AJ773" i="2" s="1"/>
  <c r="AM774" i="2"/>
  <c r="AJ774" i="2" s="1"/>
  <c r="AM779" i="2"/>
  <c r="AJ779" i="2" s="1"/>
  <c r="AM742" i="2"/>
  <c r="AJ742" i="2" s="1"/>
  <c r="AM746" i="2"/>
  <c r="AJ746" i="2" s="1"/>
  <c r="AH742" i="2"/>
  <c r="AH749" i="2"/>
  <c r="AH731" i="2"/>
  <c r="AH774" i="2"/>
  <c r="AH779" i="2"/>
  <c r="AH772" i="2"/>
  <c r="AH773" i="2"/>
  <c r="AH750" i="2"/>
  <c r="AH727" i="2"/>
  <c r="AH768" i="2"/>
  <c r="AH787" i="2"/>
  <c r="AH746" i="2"/>
  <c r="AH763" i="2"/>
  <c r="AH735" i="2"/>
  <c r="AH747" i="2"/>
  <c r="AH734" i="2"/>
  <c r="AH732" i="2"/>
  <c r="AH775" i="2"/>
  <c r="AH760" i="2"/>
  <c r="AH778" i="2"/>
  <c r="AH757" i="2"/>
  <c r="AH759" i="2"/>
  <c r="AH756" i="2"/>
  <c r="AH739" i="2"/>
  <c r="AH784" i="2"/>
  <c r="AH736" i="2"/>
  <c r="AH755" i="2"/>
  <c r="AH764" i="2"/>
  <c r="AH771" i="2"/>
  <c r="AH770" i="2"/>
  <c r="AH761" i="2"/>
  <c r="AH740" i="2"/>
  <c r="AH767" i="2"/>
  <c r="AH765" i="2"/>
  <c r="AH758" i="2"/>
  <c r="AH781" i="2"/>
  <c r="AH745" i="2"/>
  <c r="AH744" i="2"/>
  <c r="AH776" i="2"/>
  <c r="AH780" i="2"/>
  <c r="AH785" i="2"/>
  <c r="AM666" i="2"/>
  <c r="AJ666" i="2" s="1"/>
  <c r="AM562" i="2"/>
  <c r="AJ562" i="2" s="1"/>
  <c r="AM669" i="2"/>
  <c r="AJ669" i="2" s="1"/>
  <c r="AM554" i="2"/>
  <c r="AJ554" i="2" s="1"/>
  <c r="AM543" i="2"/>
  <c r="AJ543" i="2" s="1"/>
  <c r="AM561" i="2"/>
  <c r="AJ561" i="2" s="1"/>
  <c r="AM569" i="2"/>
  <c r="AJ569" i="2" s="1"/>
  <c r="AM689" i="2"/>
  <c r="AJ689" i="2" s="1"/>
  <c r="AM619" i="2"/>
  <c r="AJ619" i="2" s="1"/>
  <c r="AM634" i="2"/>
  <c r="AJ634" i="2" s="1"/>
  <c r="AM621" i="2"/>
  <c r="AJ621" i="2" s="1"/>
  <c r="AM556" i="2"/>
  <c r="AJ556" i="2" s="1"/>
  <c r="AM642" i="2"/>
  <c r="AJ642" i="2" s="1"/>
  <c r="AM631" i="2"/>
  <c r="AJ631" i="2" s="1"/>
  <c r="AM568" i="2"/>
  <c r="AJ568" i="2" s="1"/>
  <c r="AM682" i="2"/>
  <c r="AJ682" i="2" s="1"/>
  <c r="AM671" i="2"/>
  <c r="AJ671" i="2" s="1"/>
  <c r="AM632" i="2"/>
  <c r="AJ632" i="2" s="1"/>
  <c r="AM522" i="2"/>
  <c r="AJ522" i="2" s="1"/>
  <c r="AM578" i="2"/>
  <c r="AJ578" i="2" s="1"/>
  <c r="AM704" i="2"/>
  <c r="AJ704" i="2" s="1"/>
  <c r="AM576" i="2"/>
  <c r="AJ576" i="2" s="1"/>
  <c r="AM696" i="2"/>
  <c r="AJ696" i="2" s="1"/>
  <c r="AM549" i="2"/>
  <c r="AJ549" i="2" s="1"/>
  <c r="AM597" i="2"/>
  <c r="AJ597" i="2" s="1"/>
  <c r="AM722" i="2"/>
  <c r="AJ722" i="2" s="1"/>
  <c r="AM627" i="2"/>
  <c r="AJ627" i="2" s="1"/>
  <c r="AM720" i="2"/>
  <c r="AJ720" i="2" s="1"/>
  <c r="AM521" i="2"/>
  <c r="AJ521" i="2" s="1"/>
  <c r="AM670" i="2"/>
  <c r="AJ670" i="2" s="1"/>
  <c r="AM563" i="2"/>
  <c r="AJ563" i="2" s="1"/>
  <c r="AM524" i="2"/>
  <c r="AJ524" i="2" s="1"/>
  <c r="AM645" i="2"/>
  <c r="AJ645" i="2" s="1"/>
  <c r="AM539" i="2"/>
  <c r="AJ539" i="2" s="1"/>
  <c r="AM691" i="2"/>
  <c r="AJ691" i="2" s="1"/>
  <c r="AM633" i="2"/>
  <c r="AJ633" i="2" s="1"/>
  <c r="AM657" i="2"/>
  <c r="AJ657" i="2" s="1"/>
  <c r="AM675" i="2"/>
  <c r="AJ675" i="2" s="1"/>
  <c r="AM571" i="2"/>
  <c r="AJ571" i="2" s="1"/>
  <c r="AM582" i="2"/>
  <c r="AJ582" i="2" s="1"/>
  <c r="AM716" i="2"/>
  <c r="AJ716" i="2" s="1"/>
  <c r="AM587" i="2"/>
  <c r="AJ587" i="2" s="1"/>
  <c r="AM665" i="2"/>
  <c r="AJ665" i="2" s="1"/>
  <c r="AM713" i="2"/>
  <c r="AJ713" i="2" s="1"/>
  <c r="AM585" i="2"/>
  <c r="AJ585" i="2" s="1"/>
  <c r="AM596" i="2"/>
  <c r="AJ596" i="2" s="1"/>
  <c r="AM719" i="2"/>
  <c r="AJ719" i="2" s="1"/>
  <c r="AM628" i="2"/>
  <c r="AJ628" i="2" s="1"/>
  <c r="AM559" i="2"/>
  <c r="AJ559" i="2" s="1"/>
  <c r="AM526" i="2"/>
  <c r="AJ526" i="2" s="1"/>
  <c r="AM692" i="2"/>
  <c r="AJ692" i="2" s="1"/>
  <c r="AM718" i="2"/>
  <c r="AJ718" i="2" s="1"/>
  <c r="AM709" i="2"/>
  <c r="AJ709" i="2" s="1"/>
  <c r="AM710" i="2"/>
  <c r="AJ710" i="2" s="1"/>
  <c r="AM519" i="2"/>
  <c r="AJ519" i="2" s="1"/>
  <c r="AM646" i="2"/>
  <c r="AJ646" i="2" s="1"/>
  <c r="AM708" i="2"/>
  <c r="AJ708" i="2" s="1"/>
  <c r="AM570" i="2"/>
  <c r="AJ570" i="2" s="1"/>
  <c r="AM594" i="2"/>
  <c r="AJ594" i="2" s="1"/>
  <c r="AM605" i="2"/>
  <c r="AJ605" i="2" s="1"/>
  <c r="AM616" i="2"/>
  <c r="AJ616" i="2" s="1"/>
  <c r="AM640" i="2"/>
  <c r="AJ640" i="2" s="1"/>
  <c r="AM703" i="2"/>
  <c r="AJ703" i="2" s="1"/>
  <c r="AM529" i="2"/>
  <c r="AJ529" i="2" s="1"/>
  <c r="AM683" i="2"/>
  <c r="AJ683" i="2" s="1"/>
  <c r="AM603" i="2"/>
  <c r="AJ603" i="2" s="1"/>
  <c r="AM584" i="2"/>
  <c r="AJ584" i="2" s="1"/>
  <c r="AM540" i="2"/>
  <c r="AJ540" i="2" s="1"/>
  <c r="AM583" i="2"/>
  <c r="AJ583" i="2" s="1"/>
  <c r="AM550" i="2"/>
  <c r="AJ550" i="2" s="1"/>
  <c r="AM538" i="2"/>
  <c r="AJ538" i="2" s="1"/>
  <c r="AM537" i="2"/>
  <c r="AJ537" i="2" s="1"/>
  <c r="AM610" i="2"/>
  <c r="AJ610" i="2" s="1"/>
  <c r="AM690" i="2"/>
  <c r="AJ690" i="2" s="1"/>
  <c r="AM599" i="2"/>
  <c r="AJ599" i="2" s="1"/>
  <c r="AM544" i="2"/>
  <c r="AJ544" i="2" s="1"/>
  <c r="AM533" i="2"/>
  <c r="AJ533" i="2" s="1"/>
  <c r="AM602" i="2"/>
  <c r="AJ602" i="2" s="1"/>
  <c r="AM674" i="2"/>
  <c r="AJ674" i="2" s="1"/>
  <c r="AM676" i="2"/>
  <c r="AJ676" i="2" s="1"/>
  <c r="AM598" i="2"/>
  <c r="AJ598" i="2" s="1"/>
  <c r="AM534" i="2"/>
  <c r="AJ534" i="2" s="1"/>
  <c r="AM572" i="2"/>
  <c r="AJ572" i="2" s="1"/>
  <c r="AM681" i="2"/>
  <c r="AJ681" i="2" s="1"/>
  <c r="AM693" i="2"/>
  <c r="AJ693" i="2" s="1"/>
  <c r="AM607" i="2"/>
  <c r="AJ607" i="2" s="1"/>
  <c r="AM567" i="2"/>
  <c r="AJ567" i="2" s="1"/>
  <c r="AM601" i="2"/>
  <c r="AJ601" i="2" s="1"/>
  <c r="AM535" i="2"/>
  <c r="AJ535" i="2" s="1"/>
  <c r="AM643" i="2"/>
  <c r="AJ643" i="2" s="1"/>
  <c r="AM591" i="2"/>
  <c r="AJ591" i="2" s="1"/>
  <c r="AM546" i="2"/>
  <c r="AJ546" i="2" s="1"/>
  <c r="AM706" i="2"/>
  <c r="AJ706" i="2" s="1"/>
  <c r="AM608" i="2"/>
  <c r="AJ608" i="2" s="1"/>
  <c r="AM635" i="2"/>
  <c r="AJ635" i="2" s="1"/>
  <c r="AM651" i="2"/>
  <c r="AJ651" i="2" s="1"/>
  <c r="AM589" i="2"/>
  <c r="AJ589" i="2" s="1"/>
  <c r="AM586" i="2"/>
  <c r="AJ586" i="2" s="1"/>
  <c r="AM672" i="2"/>
  <c r="AJ672" i="2" s="1"/>
  <c r="AM541" i="2"/>
  <c r="AJ541" i="2" s="1"/>
  <c r="AM542" i="2"/>
  <c r="AJ542" i="2" s="1"/>
  <c r="AM593" i="2"/>
  <c r="AJ593" i="2" s="1"/>
  <c r="AM714" i="2"/>
  <c r="AJ714" i="2" s="1"/>
  <c r="AH684" i="2"/>
  <c r="AH675" i="2"/>
  <c r="AH571" i="2"/>
  <c r="AH688" i="2"/>
  <c r="AH716" i="2"/>
  <c r="AH687" i="2"/>
  <c r="AH582" i="2"/>
  <c r="AH546" i="2"/>
  <c r="AH566" i="2"/>
  <c r="AH590" i="2"/>
  <c r="AH710" i="2"/>
  <c r="AH519" i="2"/>
  <c r="AH646" i="2"/>
  <c r="AH708" i="2"/>
  <c r="AH570" i="2"/>
  <c r="AH535" i="2"/>
  <c r="AH665" i="2"/>
  <c r="AH651" i="2"/>
  <c r="AH605" i="2"/>
  <c r="AH635" i="2"/>
  <c r="AH690" i="2"/>
  <c r="AH608" i="2"/>
  <c r="AH544" i="2"/>
  <c r="AH718" i="2"/>
  <c r="AH709" i="2"/>
  <c r="AH545" i="2"/>
  <c r="AH618" i="2"/>
  <c r="AH559" i="2"/>
  <c r="AH534" i="2"/>
  <c r="AH599" i="2"/>
  <c r="AH672" i="2"/>
  <c r="AH638" i="2"/>
  <c r="AH594" i="2"/>
  <c r="AH601" i="2"/>
  <c r="AH610" i="2"/>
  <c r="AH628" i="2"/>
  <c r="AH616" i="2"/>
  <c r="AH542" i="2"/>
  <c r="AH692" i="2"/>
  <c r="AH711" i="2"/>
  <c r="AH529" i="2"/>
  <c r="AH587" i="2"/>
  <c r="AH603" i="2"/>
  <c r="AH584" i="2"/>
  <c r="AH593" i="2"/>
  <c r="AH537" i="2"/>
  <c r="AH667" i="2"/>
  <c r="AH648" i="2"/>
  <c r="AH526" i="2"/>
  <c r="AH693" i="2"/>
  <c r="AH703" i="2"/>
  <c r="AH683" i="2"/>
  <c r="AH567" i="2"/>
  <c r="AH602" i="2"/>
  <c r="AH676" i="2"/>
  <c r="AH719" i="2"/>
  <c r="AH586" i="2"/>
  <c r="AH706" i="2"/>
  <c r="AH685" i="2"/>
  <c r="AH640" i="2"/>
  <c r="AH589" i="2"/>
  <c r="AH596" i="2"/>
  <c r="AH541" i="2"/>
  <c r="AH583" i="2"/>
  <c r="AH697" i="2"/>
  <c r="AH591" i="2"/>
  <c r="AH533" i="2"/>
  <c r="AH713" i="2"/>
  <c r="AH643" i="2"/>
  <c r="AH681" i="2"/>
  <c r="AH540" i="2"/>
  <c r="AH572" i="2"/>
  <c r="AH674" i="2"/>
  <c r="AH538" i="2"/>
  <c r="AH623" i="2"/>
  <c r="AH617" i="2"/>
  <c r="AH550" i="2"/>
  <c r="AH598" i="2"/>
  <c r="AH714" i="2"/>
  <c r="AH607" i="2"/>
  <c r="AH585" i="2"/>
  <c r="AH558" i="2"/>
  <c r="AH574" i="2"/>
  <c r="AH689" i="2"/>
  <c r="AH619" i="2"/>
  <c r="AH622" i="2"/>
  <c r="AH634" i="2"/>
  <c r="AH553" i="2"/>
  <c r="AH554" i="2"/>
  <c r="AH627" i="2"/>
  <c r="AH621" i="2"/>
  <c r="AH669" i="2"/>
  <c r="AH573" i="2"/>
  <c r="AH671" i="2"/>
  <c r="AH633" i="2"/>
  <c r="AH696" i="2"/>
  <c r="AH556" i="2"/>
  <c r="AH642" i="2"/>
  <c r="AH720" i="2"/>
  <c r="AH657" i="2"/>
  <c r="AH576" i="2"/>
  <c r="AH691" i="2"/>
  <c r="AH562" i="2"/>
  <c r="AH682" i="2"/>
  <c r="AH524" i="2"/>
  <c r="AH631" i="2"/>
  <c r="AH522" i="2"/>
  <c r="AH578" i="2"/>
  <c r="AH521" i="2"/>
  <c r="AH704" i="2"/>
  <c r="AH539" i="2"/>
  <c r="AH557" i="2"/>
  <c r="AH722" i="2"/>
  <c r="AH552" i="2"/>
  <c r="AH680" i="2"/>
  <c r="AH563" i="2"/>
  <c r="AH639" i="2"/>
  <c r="AH543" i="2"/>
  <c r="AH670" i="2"/>
  <c r="AH645" i="2"/>
  <c r="AH666" i="2"/>
  <c r="AH632" i="2"/>
  <c r="AH561" i="2"/>
  <c r="AH569" i="2"/>
  <c r="AH568" i="2"/>
  <c r="AH549" i="2"/>
  <c r="AH597" i="2"/>
  <c r="AH663" i="2"/>
  <c r="AH611" i="2"/>
  <c r="AH630" i="2"/>
  <c r="AH600" i="2"/>
  <c r="AH579" i="2"/>
  <c r="AH673" i="2"/>
  <c r="AH592" i="2"/>
  <c r="AH604" i="2"/>
  <c r="AH547" i="2"/>
  <c r="AH581" i="2"/>
  <c r="AM630" i="2"/>
  <c r="AJ630" i="2" s="1"/>
  <c r="AM604" i="2"/>
  <c r="AJ604" i="2" s="1"/>
  <c r="AM581" i="2"/>
  <c r="AJ581" i="2" s="1"/>
  <c r="AM592" i="2"/>
  <c r="AJ592" i="2" s="1"/>
  <c r="AM673" i="2"/>
  <c r="AJ673" i="2" s="1"/>
  <c r="AM579" i="2"/>
  <c r="AJ579" i="2" s="1"/>
  <c r="AM600" i="2"/>
  <c r="AJ600" i="2" s="1"/>
  <c r="AH433" i="2"/>
  <c r="AH415" i="2"/>
  <c r="AH467" i="2"/>
  <c r="AH430" i="2"/>
  <c r="AH357" i="2"/>
  <c r="AH354" i="2"/>
  <c r="AH358" i="2"/>
  <c r="AH365" i="2"/>
  <c r="AH496" i="2"/>
  <c r="AH518" i="2"/>
  <c r="AH370" i="2"/>
  <c r="AM467" i="2"/>
  <c r="AJ467" i="2" s="1"/>
  <c r="AM430" i="2"/>
  <c r="AJ430" i="2" s="1"/>
  <c r="AM17" i="2"/>
  <c r="AJ17" i="2" s="1"/>
  <c r="AM274" i="2"/>
  <c r="AJ274" i="2" s="1"/>
  <c r="AM300" i="2"/>
  <c r="AJ300" i="2" s="1"/>
  <c r="AM336" i="2"/>
  <c r="AJ336" i="2" s="1"/>
  <c r="AM205" i="2"/>
  <c r="AJ205" i="2" s="1"/>
  <c r="AM500" i="2"/>
  <c r="AJ500" i="2" s="1"/>
  <c r="AM469" i="2"/>
  <c r="AJ469" i="2" s="1"/>
  <c r="AM487" i="2"/>
  <c r="AJ487" i="2" s="1"/>
  <c r="AM380" i="2"/>
  <c r="AJ380" i="2" s="1"/>
  <c r="AM423" i="2"/>
  <c r="AJ423" i="2" s="1"/>
  <c r="AM498" i="2"/>
  <c r="AJ498" i="2" s="1"/>
  <c r="AM489" i="2"/>
  <c r="AJ489" i="2" s="1"/>
  <c r="AM491" i="2"/>
  <c r="AJ491" i="2" s="1"/>
  <c r="AM501" i="2"/>
  <c r="AJ501" i="2" s="1"/>
  <c r="AM376" i="2"/>
  <c r="AJ376" i="2" s="1"/>
  <c r="AM420" i="2"/>
  <c r="AJ420" i="2" s="1"/>
  <c r="AM486" i="2"/>
  <c r="AJ486" i="2" s="1"/>
  <c r="AM418" i="2"/>
  <c r="AJ418" i="2" s="1"/>
  <c r="AM366" i="2"/>
  <c r="AJ366" i="2" s="1"/>
  <c r="AM488" i="2"/>
  <c r="AJ488" i="2" s="1"/>
  <c r="AM409" i="2"/>
  <c r="AJ409" i="2" s="1"/>
  <c r="AM73" i="2"/>
  <c r="AJ73" i="2" s="1"/>
  <c r="AM81" i="2"/>
  <c r="AJ81" i="2" s="1"/>
  <c r="AM121" i="2"/>
  <c r="AJ121" i="2" s="1"/>
  <c r="AM215" i="2"/>
  <c r="AJ215" i="2" s="1"/>
  <c r="AM218" i="2"/>
  <c r="AJ218" i="2" s="1"/>
  <c r="AM310" i="2"/>
  <c r="AJ310" i="2" s="1"/>
  <c r="AM313" i="2"/>
  <c r="AJ313" i="2" s="1"/>
  <c r="AM345" i="2"/>
  <c r="AJ345" i="2" s="1"/>
  <c r="AM351" i="2"/>
  <c r="AJ351" i="2" s="1"/>
  <c r="AM417" i="2"/>
  <c r="AJ417" i="2" s="1"/>
  <c r="AM11" i="2"/>
  <c r="AJ11" i="2" s="1"/>
  <c r="AM67" i="2"/>
  <c r="AJ67" i="2" s="1"/>
  <c r="AM211" i="2"/>
  <c r="AJ211" i="2" s="1"/>
  <c r="AM385" i="2"/>
  <c r="AJ385" i="2" s="1"/>
  <c r="AM479" i="2"/>
  <c r="AJ479" i="2" s="1"/>
  <c r="AM43" i="2"/>
  <c r="AJ43" i="2" s="1"/>
  <c r="AM52" i="2"/>
  <c r="AJ52" i="2" s="1"/>
  <c r="AM307" i="2"/>
  <c r="AJ307" i="2" s="1"/>
  <c r="AM255" i="2"/>
  <c r="AJ255" i="2" s="1"/>
  <c r="AM305" i="2"/>
  <c r="AJ305" i="2" s="1"/>
  <c r="AM308" i="2"/>
  <c r="AJ308" i="2" s="1"/>
  <c r="AM12" i="2"/>
  <c r="AJ12" i="2" s="1"/>
  <c r="AM32" i="2"/>
  <c r="AJ32" i="2" s="1"/>
  <c r="AM64" i="2"/>
  <c r="AJ64" i="2" s="1"/>
  <c r="AM256" i="2"/>
  <c r="AJ256" i="2" s="1"/>
  <c r="AM290" i="2"/>
  <c r="AJ290" i="2" s="1"/>
  <c r="AM79" i="2"/>
  <c r="AJ79" i="2" s="1"/>
  <c r="AM3" i="2"/>
  <c r="AJ3" i="2" s="1"/>
  <c r="AM13" i="2"/>
  <c r="AJ13" i="2" s="1"/>
  <c r="AM77" i="2"/>
  <c r="AJ77" i="2" s="1"/>
  <c r="AM309" i="2"/>
  <c r="AJ309" i="2" s="1"/>
  <c r="AM297" i="2"/>
  <c r="AJ297" i="2" s="1"/>
  <c r="AM15" i="2"/>
  <c r="AJ15" i="2" s="1"/>
  <c r="AM78" i="2"/>
  <c r="AJ78" i="2" s="1"/>
  <c r="AM214" i="2"/>
  <c r="AJ214" i="2" s="1"/>
  <c r="AM326" i="2"/>
  <c r="AJ326" i="2" s="1"/>
  <c r="AM18" i="2"/>
  <c r="AJ18" i="2" s="1"/>
  <c r="AM50" i="2"/>
  <c r="AJ50" i="2" s="1"/>
  <c r="AM125" i="2"/>
  <c r="AJ125" i="2" s="1"/>
  <c r="AM216" i="2"/>
  <c r="AJ216" i="2" s="1"/>
  <c r="AM208" i="2"/>
  <c r="AJ208" i="2" s="1"/>
  <c r="AM221" i="2"/>
  <c r="AJ221" i="2" s="1"/>
  <c r="AM235" i="2"/>
  <c r="AJ235" i="2" s="1"/>
  <c r="AM286" i="2"/>
  <c r="AJ286" i="2" s="1"/>
  <c r="AM444" i="2"/>
  <c r="AJ444" i="2" s="1"/>
  <c r="AM468" i="2"/>
  <c r="AJ468" i="2" s="1"/>
  <c r="AM473" i="2"/>
  <c r="AJ473" i="2" s="1"/>
  <c r="AM484" i="2"/>
  <c r="AJ484" i="2" s="1"/>
  <c r="AM432" i="2"/>
  <c r="AJ432" i="2" s="1"/>
  <c r="AM441" i="2"/>
  <c r="AJ441" i="2" s="1"/>
  <c r="AM478" i="2"/>
  <c r="AJ478" i="2" s="1"/>
  <c r="AM514" i="2"/>
  <c r="AJ514" i="2" s="1"/>
  <c r="AM361" i="2"/>
  <c r="AJ361" i="2" s="1"/>
  <c r="AM379" i="2"/>
  <c r="AJ379" i="2" s="1"/>
  <c r="AM471" i="2"/>
  <c r="AJ471" i="2" s="1"/>
  <c r="AM483" i="2"/>
  <c r="AJ483" i="2" s="1"/>
  <c r="AM371" i="2"/>
  <c r="AJ371" i="2" s="1"/>
  <c r="AM472" i="2"/>
  <c r="AJ472" i="2" s="1"/>
  <c r="AM481" i="2"/>
  <c r="AJ481" i="2" s="1"/>
  <c r="AM499" i="2"/>
  <c r="AJ499" i="2" s="1"/>
  <c r="AM407" i="2"/>
  <c r="AJ407" i="2" s="1"/>
  <c r="AM408" i="2"/>
  <c r="AJ408" i="2" s="1"/>
  <c r="AM382" i="2"/>
  <c r="AJ382" i="2" s="1"/>
  <c r="AM391" i="2"/>
  <c r="AJ391" i="2" s="1"/>
  <c r="AM446" i="2"/>
  <c r="AJ446" i="2" s="1"/>
  <c r="AM419" i="2"/>
  <c r="AJ419" i="2" s="1"/>
  <c r="AM412" i="2"/>
  <c r="AJ412" i="2" s="1"/>
  <c r="AM398" i="2"/>
  <c r="AJ398" i="2" s="1"/>
  <c r="AM440" i="2"/>
  <c r="AJ440" i="2" s="1"/>
  <c r="AM458" i="2"/>
  <c r="AJ458" i="2" s="1"/>
  <c r="AM476" i="2"/>
  <c r="AJ476" i="2" s="1"/>
  <c r="AM495" i="2"/>
  <c r="AJ495" i="2" s="1"/>
  <c r="AM513" i="2"/>
  <c r="AJ513" i="2" s="1"/>
  <c r="AM421" i="2"/>
  <c r="AJ421" i="2" s="1"/>
  <c r="AM475" i="2"/>
  <c r="AJ475" i="2" s="1"/>
  <c r="AM410" i="2"/>
  <c r="AJ410" i="2" s="1"/>
  <c r="AM9" i="2"/>
  <c r="AJ9" i="2" s="1"/>
  <c r="AM26" i="2"/>
  <c r="AJ26" i="2" s="1"/>
  <c r="AM41" i="2"/>
  <c r="AJ41" i="2" s="1"/>
  <c r="AM217" i="2"/>
  <c r="AJ217" i="2" s="1"/>
  <c r="AM264" i="2"/>
  <c r="AJ264" i="2" s="1"/>
  <c r="AM241" i="2"/>
  <c r="AJ241" i="2" s="1"/>
  <c r="AM233" i="2"/>
  <c r="AJ233" i="2" s="1"/>
  <c r="AM477" i="2"/>
  <c r="AJ477" i="2" s="1"/>
  <c r="AM6" i="2"/>
  <c r="AJ6" i="2" s="1"/>
  <c r="AM28" i="2"/>
  <c r="AJ28" i="2" s="1"/>
  <c r="AM83" i="2"/>
  <c r="AJ83" i="2" s="1"/>
  <c r="AM203" i="2"/>
  <c r="AJ203" i="2" s="1"/>
  <c r="AM212" i="2"/>
  <c r="AJ212" i="2" s="1"/>
  <c r="AM259" i="2"/>
  <c r="AJ259" i="2" s="1"/>
  <c r="AM337" i="2"/>
  <c r="AJ337" i="2" s="1"/>
  <c r="AM331" i="2"/>
  <c r="AJ331" i="2" s="1"/>
  <c r="AM339" i="2"/>
  <c r="AJ339" i="2" s="1"/>
  <c r="AM8" i="2"/>
  <c r="AJ8" i="2" s="1"/>
  <c r="AM31" i="2"/>
  <c r="AJ31" i="2" s="1"/>
  <c r="AM45" i="2"/>
  <c r="AJ45" i="2" s="1"/>
  <c r="AM94" i="2"/>
  <c r="AJ94" i="2" s="1"/>
  <c r="AM158" i="2"/>
  <c r="AJ158" i="2" s="1"/>
  <c r="AM280" i="2"/>
  <c r="AJ280" i="2" s="1"/>
  <c r="AM232" i="2"/>
  <c r="AJ232" i="2" s="1"/>
  <c r="AM202" i="2"/>
  <c r="AJ202" i="2" s="1"/>
  <c r="AM149" i="2"/>
  <c r="AJ149" i="2" s="1"/>
  <c r="AM283" i="2"/>
  <c r="AJ283" i="2" s="1"/>
  <c r="AM334" i="2"/>
  <c r="AJ334" i="2" s="1"/>
  <c r="AM39" i="2"/>
  <c r="AJ39" i="2" s="1"/>
  <c r="AM92" i="2"/>
  <c r="AJ92" i="2" s="1"/>
  <c r="AM451" i="2"/>
  <c r="AJ451" i="2" s="1"/>
  <c r="AM54" i="2"/>
  <c r="AJ54" i="2" s="1"/>
  <c r="AM76" i="2"/>
  <c r="AJ76" i="2" s="1"/>
  <c r="AM140" i="2"/>
  <c r="AJ140" i="2" s="1"/>
  <c r="AM150" i="2"/>
  <c r="AJ150" i="2" s="1"/>
  <c r="AM160" i="2"/>
  <c r="AJ160" i="2" s="1"/>
  <c r="AM243" i="2"/>
  <c r="AJ243" i="2" s="1"/>
  <c r="AM298" i="2"/>
  <c r="AJ298" i="2" s="1"/>
  <c r="AM299" i="2"/>
  <c r="AJ299" i="2" s="1"/>
  <c r="AM236" i="2"/>
  <c r="AJ236" i="2" s="1"/>
  <c r="AM333" i="2"/>
  <c r="AJ333" i="2" s="1"/>
  <c r="AM80" i="2"/>
  <c r="AJ80" i="2" s="1"/>
  <c r="AM24" i="2"/>
  <c r="AJ24" i="2" s="1"/>
  <c r="AM55" i="2"/>
  <c r="AJ55" i="2" s="1"/>
  <c r="AM66" i="2"/>
  <c r="AJ66" i="2" s="1"/>
  <c r="AM151" i="2"/>
  <c r="AJ151" i="2" s="1"/>
  <c r="AM226" i="2"/>
  <c r="AJ226" i="2" s="1"/>
  <c r="AM279" i="2"/>
  <c r="AJ279" i="2" s="1"/>
  <c r="AM322" i="2"/>
  <c r="AJ322" i="2" s="1"/>
  <c r="AM111" i="2"/>
  <c r="AJ111" i="2" s="1"/>
  <c r="AM143" i="2"/>
  <c r="AJ143" i="2" s="1"/>
  <c r="AM335" i="2"/>
  <c r="AJ335" i="2" s="1"/>
  <c r="AM342" i="2"/>
  <c r="AJ342" i="2" s="1"/>
  <c r="AM294" i="2"/>
  <c r="AJ294" i="2" s="1"/>
  <c r="AM25" i="2"/>
  <c r="AJ25" i="2" s="1"/>
  <c r="AM56" i="2"/>
  <c r="AJ56" i="2" s="1"/>
  <c r="AM68" i="2"/>
  <c r="AJ68" i="2" s="1"/>
  <c r="AM142" i="2"/>
  <c r="AJ142" i="2" s="1"/>
  <c r="AM321" i="2"/>
  <c r="AJ321" i="2" s="1"/>
  <c r="AM250" i="2"/>
  <c r="AJ250" i="2" s="1"/>
  <c r="AM248" i="2"/>
  <c r="AJ248" i="2" s="1"/>
  <c r="AM312" i="2"/>
  <c r="AJ312" i="2" s="1"/>
  <c r="AM5" i="2"/>
  <c r="AJ5" i="2" s="1"/>
  <c r="AM27" i="2"/>
  <c r="AJ27" i="2" s="1"/>
  <c r="AM69" i="2"/>
  <c r="AJ69" i="2" s="1"/>
  <c r="AM324" i="2"/>
  <c r="AJ324" i="2" s="1"/>
  <c r="AM411" i="2"/>
  <c r="AJ411" i="2" s="1"/>
  <c r="AM7" i="2"/>
  <c r="AJ7" i="2" s="1"/>
  <c r="AM30" i="2"/>
  <c r="AJ30" i="2" s="1"/>
  <c r="AM40" i="2"/>
  <c r="AJ40" i="2" s="1"/>
  <c r="AM82" i="2"/>
  <c r="AJ82" i="2" s="1"/>
  <c r="AM157" i="2"/>
  <c r="AJ157" i="2" s="1"/>
  <c r="AM263" i="2"/>
  <c r="AJ263" i="2" s="1"/>
  <c r="AM343" i="2"/>
  <c r="AJ343" i="2" s="1"/>
  <c r="AM206" i="2"/>
  <c r="AJ206" i="2" s="1"/>
  <c r="AM268" i="2"/>
  <c r="AJ268" i="2" s="1"/>
  <c r="AM296" i="2"/>
  <c r="AJ296" i="2" s="1"/>
  <c r="AM10" i="2"/>
  <c r="AJ10" i="2" s="1"/>
  <c r="AM21" i="2"/>
  <c r="AJ21" i="2" s="1"/>
  <c r="AM35" i="2"/>
  <c r="AJ35" i="2" s="1"/>
  <c r="AM53" i="2"/>
  <c r="AJ53" i="2" s="1"/>
  <c r="AM85" i="2"/>
  <c r="AJ85" i="2" s="1"/>
  <c r="AM159" i="2"/>
  <c r="AJ159" i="2" s="1"/>
  <c r="AM242" i="2"/>
  <c r="AJ242" i="2" s="1"/>
  <c r="AM293" i="2"/>
  <c r="AJ293" i="2" s="1"/>
  <c r="AM29" i="2"/>
  <c r="AJ29" i="2" s="1"/>
  <c r="AM112" i="2"/>
  <c r="AJ112" i="2" s="1"/>
  <c r="AM344" i="2"/>
  <c r="AJ344" i="2" s="1"/>
  <c r="AM338" i="2"/>
  <c r="AJ338" i="2" s="1"/>
  <c r="AH453" i="2"/>
  <c r="AH422" i="2"/>
  <c r="AH463" i="2"/>
  <c r="AH494" i="2"/>
  <c r="AH350" i="2"/>
  <c r="AH366" i="2"/>
  <c r="AH413" i="2"/>
  <c r="AH469" i="2"/>
  <c r="AH501" i="2"/>
  <c r="AH500" i="2"/>
  <c r="AH508" i="2"/>
  <c r="AH380" i="2"/>
  <c r="AH491" i="2"/>
  <c r="AH503" i="2"/>
  <c r="AH395" i="2"/>
  <c r="AH489" i="2"/>
  <c r="AH479" i="2"/>
  <c r="AH486" i="2"/>
  <c r="AH385" i="2"/>
  <c r="AH487" i="2"/>
  <c r="AH497" i="2"/>
  <c r="AH423" i="2"/>
  <c r="AH418" i="2"/>
  <c r="AH409" i="2"/>
  <c r="AH420" i="2"/>
  <c r="AH470" i="2"/>
  <c r="AH417" i="2"/>
  <c r="AH510" i="2"/>
  <c r="AH359" i="2"/>
  <c r="AH403" i="2"/>
  <c r="AH482" i="2"/>
  <c r="AH351" i="2"/>
  <c r="AH376" i="2"/>
  <c r="AH488" i="2"/>
  <c r="AH498" i="2"/>
  <c r="AM422" i="2"/>
  <c r="AJ422" i="2" s="1"/>
  <c r="AM453" i="2"/>
  <c r="AJ453" i="2" s="1"/>
  <c r="AM463" i="2"/>
  <c r="AJ463" i="2" s="1"/>
  <c r="AM19" i="2"/>
  <c r="AJ19" i="2" s="1"/>
  <c r="AM304" i="2"/>
  <c r="AJ304" i="2" s="1"/>
  <c r="AM16" i="2"/>
  <c r="AJ16" i="2" s="1"/>
  <c r="AM110" i="2"/>
  <c r="AJ110" i="2" s="1"/>
  <c r="AM358" i="2"/>
  <c r="AJ358" i="2" s="1"/>
  <c r="AM518" i="2"/>
  <c r="AJ518" i="2" s="1"/>
  <c r="AM332" i="2"/>
  <c r="AJ332" i="2" s="1"/>
  <c r="AM302" i="2"/>
  <c r="AJ302" i="2" s="1"/>
  <c r="AM262" i="2"/>
  <c r="AJ262" i="2" s="1"/>
  <c r="AM14" i="2"/>
  <c r="AJ14" i="2" s="1"/>
  <c r="AM365" i="2"/>
  <c r="AJ365" i="2" s="1"/>
  <c r="AM285" i="2"/>
  <c r="AJ285" i="2" s="1"/>
  <c r="AH424" i="2"/>
  <c r="AH408" i="2"/>
  <c r="AH421" i="2"/>
  <c r="AH476" i="2"/>
  <c r="AH485" i="2"/>
  <c r="AH428" i="2"/>
  <c r="AH444" i="2"/>
  <c r="AH468" i="2"/>
  <c r="AH473" i="2"/>
  <c r="AH484" i="2"/>
  <c r="AH407" i="2"/>
  <c r="AH419" i="2"/>
  <c r="AH471" i="2"/>
  <c r="AH481" i="2"/>
  <c r="AH513" i="2"/>
  <c r="AH377" i="2"/>
  <c r="AH441" i="2"/>
  <c r="AH451" i="2"/>
  <c r="AH495" i="2"/>
  <c r="AH410" i="2"/>
  <c r="AH398" i="2"/>
  <c r="AH432" i="2"/>
  <c r="AH474" i="2"/>
  <c r="AH391" i="2"/>
  <c r="AH475" i="2"/>
  <c r="AH361" i="2"/>
  <c r="AH371" i="2"/>
  <c r="AH411" i="2"/>
  <c r="AH412" i="2"/>
  <c r="AH477" i="2"/>
  <c r="AH483" i="2"/>
  <c r="AH499" i="2"/>
  <c r="AH458" i="2"/>
  <c r="AH490" i="2"/>
  <c r="AH382" i="2"/>
  <c r="AH478" i="2"/>
  <c r="AH379" i="2"/>
  <c r="AH440" i="2"/>
  <c r="AH446" i="2"/>
  <c r="AH514" i="2"/>
  <c r="AH472" i="2"/>
  <c r="AH302" i="2"/>
  <c r="AH332" i="2"/>
  <c r="AH252" i="2"/>
  <c r="AH285" i="2"/>
  <c r="AH262" i="2"/>
  <c r="AH304" i="2"/>
  <c r="AH281" i="2"/>
  <c r="AH211" i="2"/>
  <c r="AH275" i="2"/>
  <c r="AH256" i="2"/>
  <c r="AH297" i="2"/>
  <c r="AH305" i="2"/>
  <c r="AH307" i="2"/>
  <c r="AH308" i="2"/>
  <c r="AH310" i="2"/>
  <c r="AH309" i="2"/>
  <c r="AH215" i="2"/>
  <c r="AH216" i="2"/>
  <c r="AH326" i="2"/>
  <c r="AH218" i="2"/>
  <c r="AH290" i="2"/>
  <c r="AH221" i="2"/>
  <c r="AH345" i="2"/>
  <c r="AH208" i="2"/>
  <c r="AH313" i="2"/>
  <c r="AH255" i="2"/>
  <c r="AH214" i="2"/>
  <c r="AH286" i="2"/>
  <c r="AH235" i="2"/>
  <c r="AH203" i="2"/>
  <c r="AH212" i="2"/>
  <c r="AH259" i="2"/>
  <c r="AH337" i="2"/>
  <c r="AH331" i="2"/>
  <c r="AH339" i="2"/>
  <c r="AH201" i="2"/>
  <c r="AH206" i="2"/>
  <c r="AH293" i="2"/>
  <c r="AH243" i="2"/>
  <c r="AH231" i="2"/>
  <c r="AH342" i="2"/>
  <c r="AH322" i="2"/>
  <c r="AH298" i="2"/>
  <c r="AH232" i="2"/>
  <c r="AH241" i="2"/>
  <c r="AH316" i="2"/>
  <c r="AH333" i="2"/>
  <c r="AH236" i="2"/>
  <c r="AH324" i="2"/>
  <c r="AH279" i="2"/>
  <c r="AH338" i="2"/>
  <c r="AH321" i="2"/>
  <c r="AH264" i="2"/>
  <c r="AH283" i="2"/>
  <c r="AH330" i="2"/>
  <c r="AH289" i="2"/>
  <c r="AH334" i="2"/>
  <c r="AH268" i="2"/>
  <c r="AH335" i="2"/>
  <c r="AH217" i="2"/>
  <c r="AH226" i="2"/>
  <c r="AH299" i="2"/>
  <c r="AH296" i="2"/>
  <c r="AH343" i="2"/>
  <c r="AH344" i="2"/>
  <c r="AH242" i="2"/>
  <c r="AH312" i="2"/>
  <c r="AH254" i="2"/>
  <c r="AH280" i="2"/>
  <c r="AH248" i="2"/>
  <c r="AH263" i="2"/>
  <c r="AH294" i="2"/>
  <c r="AH202" i="2"/>
  <c r="AH250" i="2"/>
  <c r="AH233" i="2"/>
  <c r="AH274" i="2"/>
  <c r="AH207" i="2"/>
  <c r="AH271" i="2"/>
  <c r="AH300" i="2"/>
  <c r="AH272" i="2"/>
  <c r="AH336" i="2"/>
  <c r="AH246" i="2"/>
  <c r="AH205" i="2"/>
  <c r="Z13" i="3"/>
  <c r="AH110" i="2"/>
  <c r="AH17" i="2"/>
  <c r="AH97" i="2"/>
  <c r="AH66" i="2"/>
  <c r="AH74" i="2"/>
  <c r="AH82" i="2"/>
  <c r="AH98" i="2"/>
  <c r="AH114" i="2"/>
  <c r="AH194" i="2"/>
  <c r="AH83" i="2"/>
  <c r="AH123" i="2"/>
  <c r="AH139" i="2"/>
  <c r="AH163" i="2"/>
  <c r="AH68" i="2"/>
  <c r="AH76" i="2"/>
  <c r="AH92" i="2"/>
  <c r="AH108" i="2"/>
  <c r="AH140" i="2"/>
  <c r="AH148" i="2"/>
  <c r="AH94" i="2"/>
  <c r="AH142" i="2"/>
  <c r="AH150" i="2"/>
  <c r="AH143" i="2"/>
  <c r="AH151" i="2"/>
  <c r="AH69" i="2"/>
  <c r="AH85" i="2"/>
  <c r="AH149" i="2"/>
  <c r="AH157" i="2"/>
  <c r="AH181" i="2"/>
  <c r="AH70" i="2"/>
  <c r="AH158" i="2"/>
  <c r="AH95" i="2"/>
  <c r="AH111" i="2"/>
  <c r="AH159" i="2"/>
  <c r="AH80" i="2"/>
  <c r="AH160" i="2"/>
  <c r="AH112" i="2"/>
  <c r="AH73" i="2"/>
  <c r="AH81" i="2"/>
  <c r="AH121" i="2"/>
  <c r="AH67" i="2"/>
  <c r="AH131" i="2"/>
  <c r="AH84" i="2"/>
  <c r="AH78" i="2"/>
  <c r="AH126" i="2"/>
  <c r="AH127" i="2"/>
  <c r="AH77" i="2"/>
  <c r="AH125" i="2"/>
  <c r="AH79" i="2"/>
  <c r="AH14" i="2"/>
  <c r="AH166" i="2"/>
  <c r="AH9" i="2"/>
  <c r="AH27" i="2"/>
  <c r="AH31" i="2"/>
  <c r="AH39" i="2"/>
  <c r="AH54" i="2"/>
  <c r="AH10" i="2"/>
  <c r="AH28" i="2"/>
  <c r="AH6" i="2"/>
  <c r="AH29" i="2"/>
  <c r="AH5" i="2"/>
  <c r="AH26" i="2"/>
  <c r="AH21" i="2"/>
  <c r="AH30" i="2"/>
  <c r="AH53" i="2"/>
  <c r="AH8" i="2"/>
  <c r="AH24" i="2"/>
  <c r="AH35" i="2"/>
  <c r="AH40" i="2"/>
  <c r="AH55" i="2"/>
  <c r="AH7" i="2"/>
  <c r="AH25" i="2"/>
  <c r="AH45" i="2"/>
  <c r="AH56" i="2"/>
  <c r="AH41" i="2"/>
  <c r="AH16" i="2"/>
  <c r="AH19" i="2"/>
  <c r="AH18" i="2"/>
  <c r="AH50" i="2"/>
  <c r="AH3" i="2"/>
  <c r="AH13" i="2"/>
  <c r="AH11" i="2"/>
  <c r="AH43" i="2"/>
  <c r="AH52" i="2"/>
  <c r="AH12" i="2"/>
  <c r="AH15" i="2"/>
  <c r="AH32" i="2"/>
  <c r="AH64" i="2"/>
  <c r="X13" i="7"/>
  <c r="Q13" i="7"/>
  <c r="K2" i="7"/>
  <c r="I13" i="7"/>
  <c r="O13" i="7"/>
  <c r="Y13" i="3"/>
  <c r="AI2" i="3"/>
  <c r="AH13" i="3"/>
  <c r="AI13" i="3" s="1"/>
  <c r="AB13" i="3"/>
  <c r="AC13" i="3" s="1"/>
  <c r="AC2" i="3"/>
  <c r="AM905" i="2" l="1"/>
  <c r="AJ905" i="2" s="1"/>
  <c r="AM908" i="2"/>
  <c r="AJ908" i="2" s="1"/>
  <c r="AM907" i="2"/>
  <c r="AJ907" i="2" s="1"/>
  <c r="AM906" i="2"/>
  <c r="AJ906" i="2" s="1"/>
  <c r="AM910" i="2"/>
  <c r="AJ910" i="2" s="1"/>
  <c r="AH904" i="2"/>
  <c r="AH909" i="2"/>
  <c r="AH905" i="2"/>
  <c r="AH908" i="2"/>
  <c r="AH907" i="2"/>
  <c r="AH906" i="2"/>
  <c r="AH910" i="2"/>
  <c r="AM65" i="2"/>
  <c r="AJ65" i="2" s="1"/>
  <c r="AM886" i="2"/>
  <c r="AJ886" i="2" s="1"/>
  <c r="AM864" i="2"/>
  <c r="AJ864" i="2" s="1"/>
  <c r="AM865" i="2"/>
  <c r="AJ865" i="2" s="1"/>
  <c r="AM872" i="2"/>
  <c r="AJ872" i="2" s="1"/>
  <c r="AM859" i="2"/>
  <c r="AJ859" i="2" s="1"/>
  <c r="AM870" i="2"/>
  <c r="AJ870" i="2" s="1"/>
  <c r="AM871" i="2"/>
  <c r="AJ871" i="2" s="1"/>
  <c r="AH65" i="2"/>
  <c r="AH869" i="2"/>
  <c r="AH878" i="2"/>
  <c r="AH859" i="2"/>
  <c r="AH872" i="2"/>
  <c r="AH870" i="2"/>
  <c r="AH871" i="2"/>
  <c r="AH873" i="2"/>
  <c r="AH880" i="2"/>
  <c r="AH864" i="2"/>
  <c r="AH876" i="2"/>
  <c r="AH886" i="2"/>
  <c r="AH868" i="2"/>
  <c r="AH867" i="2"/>
  <c r="AH865" i="2"/>
  <c r="AH792" i="2"/>
  <c r="AH832" i="2"/>
  <c r="AH795" i="2"/>
  <c r="AH827" i="2"/>
  <c r="AH835" i="2"/>
  <c r="AH851" i="2"/>
  <c r="AH822" i="2"/>
  <c r="AH830" i="2"/>
  <c r="AH846" i="2"/>
  <c r="AH854" i="2"/>
  <c r="AH828" i="2"/>
  <c r="AH841" i="2"/>
  <c r="AH804" i="2"/>
  <c r="AH842" i="2"/>
  <c r="AH793" i="2"/>
  <c r="AH831" i="2"/>
  <c r="AH844" i="2"/>
  <c r="AH794" i="2"/>
  <c r="AH820" i="2"/>
  <c r="AH833" i="2"/>
  <c r="AH845" i="2"/>
  <c r="AH821" i="2"/>
  <c r="AH834" i="2"/>
  <c r="AH837" i="2"/>
  <c r="AH823" i="2"/>
  <c r="AH801" i="2"/>
  <c r="AM793" i="2"/>
  <c r="AJ793" i="2" s="1"/>
  <c r="AM841" i="2"/>
  <c r="AJ841" i="2" s="1"/>
  <c r="AM820" i="2"/>
  <c r="AJ820" i="2" s="1"/>
  <c r="AM823" i="2"/>
  <c r="AJ823" i="2" s="1"/>
  <c r="AM831" i="2"/>
  <c r="AJ831" i="2" s="1"/>
  <c r="AM794" i="2"/>
  <c r="AJ794" i="2" s="1"/>
  <c r="AM821" i="2"/>
  <c r="AJ821" i="2" s="1"/>
  <c r="AM822" i="2"/>
  <c r="AJ822" i="2" s="1"/>
  <c r="AM835" i="2"/>
  <c r="AJ835" i="2" s="1"/>
  <c r="AM837" i="2"/>
  <c r="AJ837" i="2" s="1"/>
  <c r="AM851" i="2"/>
  <c r="AJ851" i="2" s="1"/>
  <c r="AM842" i="2"/>
  <c r="AJ842" i="2" s="1"/>
  <c r="AM854" i="2"/>
  <c r="AJ854" i="2" s="1"/>
  <c r="AM743" i="2"/>
  <c r="AJ743" i="2" s="1"/>
  <c r="AM762" i="2"/>
  <c r="AJ762" i="2" s="1"/>
  <c r="AM728" i="2"/>
  <c r="AJ728" i="2" s="1"/>
  <c r="AM733" i="2"/>
  <c r="AJ733" i="2" s="1"/>
  <c r="AM748" i="2"/>
  <c r="AJ748" i="2" s="1"/>
  <c r="AM741" i="2"/>
  <c r="AJ741" i="2" s="1"/>
  <c r="AM782" i="2"/>
  <c r="AJ782" i="2" s="1"/>
  <c r="AM726" i="2"/>
  <c r="AJ726" i="2" s="1"/>
  <c r="AM769" i="2"/>
  <c r="AJ769" i="2" s="1"/>
  <c r="AM729" i="2"/>
  <c r="AJ729" i="2" s="1"/>
  <c r="AH766" i="2"/>
  <c r="AH726" i="2"/>
  <c r="AH782" i="2"/>
  <c r="AH769" i="2"/>
  <c r="AH751" i="2"/>
  <c r="AH738" i="2"/>
  <c r="AH762" i="2"/>
  <c r="AH786" i="2"/>
  <c r="AH743" i="2"/>
  <c r="AH741" i="2"/>
  <c r="AH733" i="2"/>
  <c r="AH783" i="2"/>
  <c r="AH730" i="2"/>
  <c r="AH753" i="2"/>
  <c r="AH728" i="2"/>
  <c r="AH729" i="2"/>
  <c r="AH754" i="2"/>
  <c r="AH752" i="2"/>
  <c r="AH748" i="2"/>
  <c r="AM580" i="2"/>
  <c r="AJ580" i="2" s="1"/>
  <c r="AM707" i="2"/>
  <c r="AJ707" i="2" s="1"/>
  <c r="AM700" i="2"/>
  <c r="AJ700" i="2" s="1"/>
  <c r="AM725" i="2"/>
  <c r="AJ725" i="2" s="1"/>
  <c r="AM724" i="2"/>
  <c r="AJ724" i="2" s="1"/>
  <c r="AM536" i="2"/>
  <c r="AJ536" i="2" s="1"/>
  <c r="AM694" i="2"/>
  <c r="AJ694" i="2" s="1"/>
  <c r="AM520" i="2"/>
  <c r="AJ520" i="2" s="1"/>
  <c r="AM652" i="2"/>
  <c r="AJ652" i="2" s="1"/>
  <c r="AM560" i="2"/>
  <c r="AJ560" i="2" s="1"/>
  <c r="AM695" i="2"/>
  <c r="AJ695" i="2" s="1"/>
  <c r="AM548" i="2"/>
  <c r="AJ548" i="2" s="1"/>
  <c r="AM650" i="2"/>
  <c r="AJ650" i="2" s="1"/>
  <c r="AM653" i="2"/>
  <c r="AJ653" i="2" s="1"/>
  <c r="AM613" i="2"/>
  <c r="AJ613" i="2" s="1"/>
  <c r="AM647" i="2"/>
  <c r="AJ647" i="2" s="1"/>
  <c r="AM527" i="2"/>
  <c r="AJ527" i="2" s="1"/>
  <c r="AM612" i="2"/>
  <c r="AJ612" i="2" s="1"/>
  <c r="AM649" i="2"/>
  <c r="AJ649" i="2" s="1"/>
  <c r="AM715" i="2"/>
  <c r="AJ715" i="2" s="1"/>
  <c r="AM659" i="2"/>
  <c r="AJ659" i="2" s="1"/>
  <c r="AM551" i="2"/>
  <c r="AJ551" i="2" s="1"/>
  <c r="AM595" i="2"/>
  <c r="AJ595" i="2" s="1"/>
  <c r="AM677" i="2"/>
  <c r="AJ677" i="2" s="1"/>
  <c r="AM531" i="2"/>
  <c r="AJ531" i="2" s="1"/>
  <c r="AH614" i="2"/>
  <c r="AH664" i="2"/>
  <c r="AH662" i="2"/>
  <c r="AH686" i="2"/>
  <c r="AH694" i="2"/>
  <c r="AH520" i="2"/>
  <c r="AH551" i="2"/>
  <c r="AH580" i="2"/>
  <c r="AH695" i="2"/>
  <c r="AH536" i="2"/>
  <c r="AH560" i="2"/>
  <c r="AH650" i="2"/>
  <c r="AH700" i="2"/>
  <c r="AH555" i="2"/>
  <c r="AH612" i="2"/>
  <c r="AH701" i="2"/>
  <c r="AH653" i="2"/>
  <c r="AH652" i="2"/>
  <c r="AH661" i="2"/>
  <c r="AH707" i="2"/>
  <c r="AH523" i="2"/>
  <c r="AH647" i="2"/>
  <c r="AH649" i="2"/>
  <c r="AH548" i="2"/>
  <c r="AH715" i="2"/>
  <c r="AH660" i="2"/>
  <c r="AH659" i="2"/>
  <c r="AH724" i="2"/>
  <c r="AH531" i="2"/>
  <c r="AH525" i="2"/>
  <c r="AH725" i="2"/>
  <c r="AH677" i="2"/>
  <c r="AH613" i="2"/>
  <c r="AH527" i="2"/>
  <c r="AH668" i="2"/>
  <c r="AH595" i="2"/>
  <c r="AM401" i="2"/>
  <c r="AJ401" i="2" s="1"/>
  <c r="AM378" i="2"/>
  <c r="AJ378" i="2" s="1"/>
  <c r="AM416" i="2"/>
  <c r="AJ416" i="2" s="1"/>
  <c r="AM390" i="2"/>
  <c r="AJ390" i="2" s="1"/>
  <c r="AM373" i="2"/>
  <c r="AJ373" i="2" s="1"/>
  <c r="AM352" i="2"/>
  <c r="AJ352" i="2" s="1"/>
  <c r="AM383" i="2"/>
  <c r="AJ383" i="2" s="1"/>
  <c r="AM462" i="2"/>
  <c r="AJ462" i="2" s="1"/>
  <c r="AM353" i="2"/>
  <c r="AJ353" i="2" s="1"/>
  <c r="AM399" i="2"/>
  <c r="AJ399" i="2" s="1"/>
  <c r="AM393" i="2"/>
  <c r="AJ393" i="2" s="1"/>
  <c r="AM394" i="2"/>
  <c r="AJ394" i="2" s="1"/>
  <c r="AM389" i="2"/>
  <c r="AJ389" i="2" s="1"/>
  <c r="AM435" i="2"/>
  <c r="AJ435" i="2" s="1"/>
  <c r="AM396" i="2"/>
  <c r="AJ396" i="2" s="1"/>
  <c r="AM464" i="2"/>
  <c r="AJ464" i="2" s="1"/>
  <c r="AM461" i="2"/>
  <c r="AJ461" i="2" s="1"/>
  <c r="AM457" i="2"/>
  <c r="AJ457" i="2" s="1"/>
  <c r="AM33" i="2"/>
  <c r="AJ33" i="2" s="1"/>
  <c r="AM49" i="2"/>
  <c r="AJ49" i="2" s="1"/>
  <c r="AM89" i="2"/>
  <c r="AJ89" i="2" s="1"/>
  <c r="AM105" i="2"/>
  <c r="AJ105" i="2" s="1"/>
  <c r="AM113" i="2"/>
  <c r="AJ113" i="2" s="1"/>
  <c r="AM145" i="2"/>
  <c r="AJ145" i="2" s="1"/>
  <c r="AM161" i="2"/>
  <c r="AJ161" i="2" s="1"/>
  <c r="AM169" i="2"/>
  <c r="AJ169" i="2" s="1"/>
  <c r="AM193" i="2"/>
  <c r="AJ193" i="2" s="1"/>
  <c r="AM20" i="2"/>
  <c r="AJ20" i="2" s="1"/>
  <c r="AM75" i="2"/>
  <c r="AJ75" i="2" s="1"/>
  <c r="AM91" i="2"/>
  <c r="AJ91" i="2" s="1"/>
  <c r="AM155" i="2"/>
  <c r="AJ155" i="2" s="1"/>
  <c r="AM171" i="2"/>
  <c r="AJ171" i="2" s="1"/>
  <c r="AM187" i="2"/>
  <c r="AJ187" i="2" s="1"/>
  <c r="AM346" i="2"/>
  <c r="AJ346" i="2" s="1"/>
  <c r="AM402" i="2"/>
  <c r="AJ402" i="2" s="1"/>
  <c r="AM438" i="2"/>
  <c r="AJ438" i="2" s="1"/>
  <c r="AM493" i="2"/>
  <c r="AJ493" i="2" s="1"/>
  <c r="AM397" i="2"/>
  <c r="AJ397" i="2" s="1"/>
  <c r="AM456" i="2"/>
  <c r="AJ456" i="2" s="1"/>
  <c r="AM62" i="2"/>
  <c r="AJ62" i="2" s="1"/>
  <c r="AM116" i="2"/>
  <c r="AJ116" i="2" s="1"/>
  <c r="AM168" i="2"/>
  <c r="AJ168" i="2" s="1"/>
  <c r="AM347" i="2"/>
  <c r="AJ347" i="2" s="1"/>
  <c r="AM117" i="2"/>
  <c r="AJ117" i="2" s="1"/>
  <c r="AM170" i="2"/>
  <c r="AJ170" i="2" s="1"/>
  <c r="AM22" i="2"/>
  <c r="AJ22" i="2" s="1"/>
  <c r="AM44" i="2"/>
  <c r="AJ44" i="2" s="1"/>
  <c r="AM86" i="2"/>
  <c r="AJ86" i="2" s="1"/>
  <c r="AM172" i="2"/>
  <c r="AJ172" i="2" s="1"/>
  <c r="AM182" i="2"/>
  <c r="AJ182" i="2" s="1"/>
  <c r="AM239" i="2"/>
  <c r="AJ239" i="2" s="1"/>
  <c r="AM329" i="2"/>
  <c r="AJ329" i="2" s="1"/>
  <c r="AM314" i="2"/>
  <c r="AJ314" i="2" s="1"/>
  <c r="AM48" i="2"/>
  <c r="AJ48" i="2" s="1"/>
  <c r="AM124" i="2"/>
  <c r="AJ124" i="2" s="1"/>
  <c r="AM23" i="2"/>
  <c r="AJ23" i="2" s="1"/>
  <c r="AM109" i="2"/>
  <c r="AJ109" i="2" s="1"/>
  <c r="AM162" i="2"/>
  <c r="AJ162" i="2" s="1"/>
  <c r="AM173" i="2"/>
  <c r="AJ173" i="2" s="1"/>
  <c r="AM251" i="2"/>
  <c r="AJ251" i="2" s="1"/>
  <c r="AM315" i="2"/>
  <c r="AJ315" i="2" s="1"/>
  <c r="AM237" i="2"/>
  <c r="AJ237" i="2" s="1"/>
  <c r="AM340" i="2"/>
  <c r="AJ340" i="2" s="1"/>
  <c r="AM90" i="2"/>
  <c r="AJ90" i="2" s="1"/>
  <c r="AM197" i="2"/>
  <c r="AJ197" i="2" s="1"/>
  <c r="AM176" i="2"/>
  <c r="AJ176" i="2" s="1"/>
  <c r="AM4" i="2"/>
  <c r="AJ4" i="2" s="1"/>
  <c r="AM46" i="2"/>
  <c r="AJ46" i="2" s="1"/>
  <c r="AM88" i="2"/>
  <c r="AJ88" i="2" s="1"/>
  <c r="AM164" i="2"/>
  <c r="AJ164" i="2" s="1"/>
  <c r="AM174" i="2"/>
  <c r="AJ174" i="2" s="1"/>
  <c r="AM260" i="2"/>
  <c r="AJ260" i="2" s="1"/>
  <c r="AM327" i="2"/>
  <c r="AJ327" i="2" s="1"/>
  <c r="AM47" i="2"/>
  <c r="AJ47" i="2" s="1"/>
  <c r="AM175" i="2"/>
  <c r="AJ175" i="2" s="1"/>
  <c r="AM2" i="2"/>
  <c r="AJ2" i="2" s="1"/>
  <c r="AM60" i="2"/>
  <c r="AJ60" i="2" s="1"/>
  <c r="AM284" i="2"/>
  <c r="AJ284" i="2" s="1"/>
  <c r="AM146" i="2"/>
  <c r="AJ146" i="2" s="1"/>
  <c r="AM167" i="2"/>
  <c r="AJ167" i="2" s="1"/>
  <c r="AM199" i="2"/>
  <c r="AJ199" i="2" s="1"/>
  <c r="AM295" i="2"/>
  <c r="AJ295" i="2" s="1"/>
  <c r="AM42" i="2"/>
  <c r="AJ42" i="2" s="1"/>
  <c r="AM63" i="2"/>
  <c r="AJ63" i="2" s="1"/>
  <c r="AM156" i="2"/>
  <c r="AJ156" i="2" s="1"/>
  <c r="AH393" i="2"/>
  <c r="AH461" i="2"/>
  <c r="AH493" i="2"/>
  <c r="AH517" i="2"/>
  <c r="AH401" i="2"/>
  <c r="AH378" i="2"/>
  <c r="AH416" i="2"/>
  <c r="AH390" i="2"/>
  <c r="AH353" i="2"/>
  <c r="AH439" i="2"/>
  <c r="AH373" i="2"/>
  <c r="AH394" i="2"/>
  <c r="AH442" i="2"/>
  <c r="AH464" i="2"/>
  <c r="AH397" i="2"/>
  <c r="AH402" i="2"/>
  <c r="AH435" i="2"/>
  <c r="AH457" i="2"/>
  <c r="AH383" i="2"/>
  <c r="AH399" i="2"/>
  <c r="AH438" i="2"/>
  <c r="AH480" i="2"/>
  <c r="AH466" i="2"/>
  <c r="AH396" i="2"/>
  <c r="AH392" i="2"/>
  <c r="AH462" i="2"/>
  <c r="AH352" i="2"/>
  <c r="AH389" i="2"/>
  <c r="AH456" i="2"/>
  <c r="AH267" i="2"/>
  <c r="AH346" i="2"/>
  <c r="AH328" i="2"/>
  <c r="AH273" i="2"/>
  <c r="AH210" i="2"/>
  <c r="AH238" i="2"/>
  <c r="AH284" i="2"/>
  <c r="AH295" i="2"/>
  <c r="AH251" i="2"/>
  <c r="AH240" i="2"/>
  <c r="AH260" i="2"/>
  <c r="AH319" i="2"/>
  <c r="AH314" i="2"/>
  <c r="AH340" i="2"/>
  <c r="AH327" i="2"/>
  <c r="AH288" i="2"/>
  <c r="AH306" i="2"/>
  <c r="AH237" i="2"/>
  <c r="AH347" i="2"/>
  <c r="AH239" i="2"/>
  <c r="AH329" i="2"/>
  <c r="AH287" i="2"/>
  <c r="AH315" i="2"/>
  <c r="AH89" i="2"/>
  <c r="AH105" i="2"/>
  <c r="AH113" i="2"/>
  <c r="AH129" i="2"/>
  <c r="AH145" i="2"/>
  <c r="AH153" i="2"/>
  <c r="AH161" i="2"/>
  <c r="AH169" i="2"/>
  <c r="AH177" i="2"/>
  <c r="AH185" i="2"/>
  <c r="AH193" i="2"/>
  <c r="AH90" i="2"/>
  <c r="AH122" i="2"/>
  <c r="AH130" i="2"/>
  <c r="AH146" i="2"/>
  <c r="AH162" i="2"/>
  <c r="AH170" i="2"/>
  <c r="AH178" i="2"/>
  <c r="AH186" i="2"/>
  <c r="AH75" i="2"/>
  <c r="AH91" i="2"/>
  <c r="AH99" i="2"/>
  <c r="AH107" i="2"/>
  <c r="AH155" i="2"/>
  <c r="AH171" i="2"/>
  <c r="AH179" i="2"/>
  <c r="AH187" i="2"/>
  <c r="AH116" i="2"/>
  <c r="AH124" i="2"/>
  <c r="AH156" i="2"/>
  <c r="AH164" i="2"/>
  <c r="AH172" i="2"/>
  <c r="AH180" i="2"/>
  <c r="AH188" i="2"/>
  <c r="AH167" i="2"/>
  <c r="AH109" i="2"/>
  <c r="AH117" i="2"/>
  <c r="AH133" i="2"/>
  <c r="AH165" i="2"/>
  <c r="AH173" i="2"/>
  <c r="AH197" i="2"/>
  <c r="AH86" i="2"/>
  <c r="AH118" i="2"/>
  <c r="AH174" i="2"/>
  <c r="AH182" i="2"/>
  <c r="AH119" i="2"/>
  <c r="AH175" i="2"/>
  <c r="AH192" i="2"/>
  <c r="AH88" i="2"/>
  <c r="AH199" i="2"/>
  <c r="AH96" i="2"/>
  <c r="AH168" i="2"/>
  <c r="AH176" i="2"/>
  <c r="AH128" i="2"/>
  <c r="AH120" i="2"/>
  <c r="AH20" i="2"/>
  <c r="AH59" i="2"/>
  <c r="AH44" i="2"/>
  <c r="AH60" i="2"/>
  <c r="AH23" i="2"/>
  <c r="AH61" i="2"/>
  <c r="AH58" i="2"/>
  <c r="AH4" i="2"/>
  <c r="AH46" i="2"/>
  <c r="AH62" i="2"/>
  <c r="AH2" i="2"/>
  <c r="AH47" i="2"/>
  <c r="AH63" i="2"/>
  <c r="AH42" i="2"/>
  <c r="AH22" i="2"/>
  <c r="AH48" i="2"/>
  <c r="AH33" i="2"/>
  <c r="AH49" i="2"/>
</calcChain>
</file>

<file path=xl/sharedStrings.xml><?xml version="1.0" encoding="utf-8"?>
<sst xmlns="http://schemas.openxmlformats.org/spreadsheetml/2006/main" count="32540" uniqueCount="5121">
  <si>
    <t>Sample ID</t>
  </si>
  <si>
    <t>Timestamp</t>
  </si>
  <si>
    <t>Location</t>
  </si>
  <si>
    <t>Address</t>
  </si>
  <si>
    <t>Surveyor</t>
  </si>
  <si>
    <t>Gender</t>
  </si>
  <si>
    <t>Caste</t>
  </si>
  <si>
    <t>Taluka</t>
  </si>
  <si>
    <t>Locality</t>
  </si>
  <si>
    <t>Company</t>
  </si>
  <si>
    <t>QC Comment</t>
  </si>
  <si>
    <t>QC Remark</t>
  </si>
  <si>
    <t>Audio URL</t>
  </si>
  <si>
    <t>Q1: స్థానికంగా మీకున్న ప్రధానమైన సమస్యలు ఏమిటి?</t>
  </si>
  <si>
    <t>Q2: మీ ఎమ్మెల్యే గారి పనితీరు ఎలాగా ఉంది?</t>
  </si>
  <si>
    <t>Q3: చంద్రబాబు నాయుడు గారి ప్రభుత్వ పనితీరు పై మీ అభిప్రాయం?</t>
  </si>
  <si>
    <t>Q4: సూపర్ 6/7 పధకాలు ఎన్నికల ముందు చెప్పినట్లు గా అమలుఅవుతున్నాయా?</t>
  </si>
  <si>
    <t>Q5: సంక్షేమ పధకాలు ఎవరి హయాంలో బాగా అమలు అయ్యాయి అని మీరు అనుకుంటున్నారు?</t>
  </si>
  <si>
    <t>Q6: మీ ద్రుష్టి లో అభివృద్ధి అంటే ముఖ్యంగా ఏమిటి (మీకు మ్రుఖ్యమైన 3 చెప్పండి)?</t>
  </si>
  <si>
    <t>Q7: అభివృద్ధి కార్యక్రమాలు ఎవరి హయాంలో బాగా జరిగాయి అని మీరు భావిస్తున్నారు?</t>
  </si>
  <si>
    <t>Q8: గత ఎన్నికలలో వేసిన ఓటు పై మీ అభిప్రాయం ఏమిటి?</t>
  </si>
  <si>
    <t>Q9: 2029 లో/ ఇప్పటికి ఇప్పుడు ఎన్నికలు జరిగితే మీరు ఏ పార్టీకి ఓటు వేస్తారు ?</t>
  </si>
  <si>
    <t>Q10: మీరు 2024 అసెంబ్లీ ఎన్నికలో ఏ పార్టీ కి వోట్ వేశారు?</t>
  </si>
  <si>
    <t>Q11: YSRCP నియోజకవర్గ  ఇంచార్జి(Gollalapalli Surya Rao) అందుబాటులో ఉంటున్నారా?</t>
  </si>
  <si>
    <t>Q12: ఒకవేళ YSRCP నియోజకవర్గ ఇంచార్జి ని మార్చాల్సి వస్తే ఎవరైతే బాగుంటుంది అని మీరు భావిస్తున్నారు? (ఈ ప్రశ్న 2024 అసెంబ్లీ ఎన్నికలో YSRCPకి ఓటు వేసినవారికి మాత్రమే చూపించబడుతుంది)</t>
  </si>
  <si>
    <t>Q13: వృత్తి</t>
  </si>
  <si>
    <t>Q14: మతం</t>
  </si>
  <si>
    <t>Q15: వయసు</t>
  </si>
  <si>
    <t>Q16: మీ పేరు</t>
  </si>
  <si>
    <t>Q17: మీ ఫోన్ నంబర్</t>
  </si>
  <si>
    <t>Q18: Gender</t>
  </si>
  <si>
    <t>45c3ab84-6136-4d54-9601-544bdb5d7c6d</t>
  </si>
  <si>
    <t>1/19/2026, 11:06:27 AM</t>
  </si>
  <si>
    <t>16.537167, 81.944575</t>
  </si>
  <si>
    <t>GWPV+MV3, Botlakurru Doddavaram, Andhra Pradesh, India</t>
  </si>
  <si>
    <t>Kumpatla venkata satya suryamohan rao</t>
  </si>
  <si>
    <t>Settibalija</t>
  </si>
  <si>
    <t>MAMIDIKUDURU_PART</t>
  </si>
  <si>
    <t>B.DODDAVARAM</t>
  </si>
  <si>
    <t>Naeem</t>
  </si>
  <si>
    <t>Pending</t>
  </si>
  <si>
    <t>http://164.52.221.216/localmedia/media/surveys/samples/recording_2026-01-19_11-01-53_samples_ly90HBESLu.mp4</t>
  </si>
  <si>
    <t>సాగునీరు</t>
  </si>
  <si>
    <t>బాగుంది</t>
  </si>
  <si>
    <t>అమలుఅవుతున్నాయి</t>
  </si>
  <si>
    <t>చంద్రబాబు  నాయుడు గారు</t>
  </si>
  <si>
    <t>సరైన పార్టీకి వేసాను</t>
  </si>
  <si>
    <t>TDP/JSP/BJP (కూటమి</t>
  </si>
  <si>
    <t>TDP/JSP/BJP (కూటమి)</t>
  </si>
  <si>
    <t>No response</t>
  </si>
  <si>
    <t>వ్యాపారం</t>
  </si>
  <si>
    <t>హిందూ</t>
  </si>
  <si>
    <t>41-59</t>
  </si>
  <si>
    <t>kudupudi.kkrihna</t>
  </si>
  <si>
    <t>Male</t>
  </si>
  <si>
    <t>f8124df2-5ce1-40dd-938a-7b7e6403fea9</t>
  </si>
  <si>
    <t>1/19/2026, 11:16:27 AM</t>
  </si>
  <si>
    <t>16.533828, 81.946129</t>
  </si>
  <si>
    <t>GWMW+G94, Botlakurru Doddavaram, Andhra Pradesh, India</t>
  </si>
  <si>
    <t>Kapu</t>
  </si>
  <si>
    <t>http://164.52.221.216/localmedia/media/surveys/samples/recording_2026-01-19_11-11-50_samples_zXAWLUUd8q.mp4</t>
  </si>
  <si>
    <t>డ్రైనేజి</t>
  </si>
  <si>
    <t>కార్మిక/రోజువారీ కూలీ</t>
  </si>
  <si>
    <t>26-40</t>
  </si>
  <si>
    <t>Rajesh.javadhi</t>
  </si>
  <si>
    <t>5b87a98e-34d1-4f46-bded-b50856d41691</t>
  </si>
  <si>
    <t>1/19/2026, 9:13:52 AM</t>
  </si>
  <si>
    <t>16.628410, 80.582359</t>
  </si>
  <si>
    <t>JHHM+94J Mulla Manzil, Kavuluru, Andhra Pradesh, India</t>
  </si>
  <si>
    <t>krishna</t>
  </si>
  <si>
    <t>Mala</t>
  </si>
  <si>
    <t>RAZOLE</t>
  </si>
  <si>
    <t>http://164.52.221.216/localmedia/media/surveys/samples/recording_2026-01-19_09-06-08_samples_05T440VZk7.mp4</t>
  </si>
  <si>
    <t>కరెంట్</t>
  </si>
  <si>
    <t>రోడ్లు వేయటం</t>
  </si>
  <si>
    <t>ప్రైవేట్ ఉద్యోగం</t>
  </si>
  <si>
    <t>fc0457dc-d165-4b76-99de-99c0cb3953a6</t>
  </si>
  <si>
    <t>1/19/2026, 9:45:45 AM</t>
  </si>
  <si>
    <t>16.574904, 81.921684</t>
  </si>
  <si>
    <t>HWFC+WP9, Munjavarapukottu, Andhra Pradesh, India</t>
  </si>
  <si>
    <t>PEDAPATNAM</t>
  </si>
  <si>
    <t>http://164.52.221.216/localmedia/media/surveys/samples/recording_2026-01-19_09-42-18_samples_XmxhOLnKVA.mp4</t>
  </si>
  <si>
    <t>వ్యవసాయం</t>
  </si>
  <si>
    <t>mohan</t>
  </si>
  <si>
    <t>bcd15c14-125b-48b2-a857-8992a52f6a22</t>
  </si>
  <si>
    <t>1/19/2026, 10:53:11 AM</t>
  </si>
  <si>
    <t>16.535880, 81.944867</t>
  </si>
  <si>
    <t>http://164.52.221.216/localmedia/media/surveys/samples/recording_2026-01-19_10-47-30_samples_WIgA6Z2O6U.mp4</t>
  </si>
  <si>
    <t>ఏమి చెప్పలేను</t>
  </si>
  <si>
    <t>బాగాలేదు</t>
  </si>
  <si>
    <t>అమలవడం లేదు</t>
  </si>
  <si>
    <t>జగన్ మోహన్ రెడ్డి గారు</t>
  </si>
  <si>
    <t>YSRCP (వైఎస్‌ఆర్‌సీపీ)</t>
  </si>
  <si>
    <t>ఉన్నారు, వారినే కొనసాగించాలి</t>
  </si>
  <si>
    <t>Gollapalli Surya Rao</t>
  </si>
  <si>
    <t>Sivaramakrishnan.thadi</t>
  </si>
  <si>
    <t>d273db79-6799-4a4d-9dbd-98c3a2d7cf60</t>
  </si>
  <si>
    <t>1/19/2026, 11:30:08 AM</t>
  </si>
  <si>
    <t>16.533690, 81.944754</t>
  </si>
  <si>
    <t>GWMV+HH5, Botlakurru Doddavaram, Andhra Pradesh, India</t>
  </si>
  <si>
    <t>http://164.52.221.216/localmedia/media/surveys/samples/recording_2026-01-19_11-25-29_samples_qHtqmrQPeR.mp4</t>
  </si>
  <si>
    <t>chithapali.timutuulu</t>
  </si>
  <si>
    <t>24cf4387-5dbe-4f83-923c-4b4592d2d9da</t>
  </si>
  <si>
    <t>1/19/2026, 11:40:28 AM</t>
  </si>
  <si>
    <t>16.533749, 81.943494</t>
  </si>
  <si>
    <t>GWMV+9CG, Botlakurru Doddavaram, Andhra Pradesh, India</t>
  </si>
  <si>
    <t>http://164.52.221.216/localmedia/media/surveys/samples/recording_2026-01-19_11-35-53_samples_0sJjoeeTdj.mp4</t>
  </si>
  <si>
    <t>60+</t>
  </si>
  <si>
    <t>kumpatala.sathanarayana</t>
  </si>
  <si>
    <t>ecaf5f75-9df3-4ea2-8bfa-910b54d9e0f3</t>
  </si>
  <si>
    <t>1/19/2026, 11:51:55 AM</t>
  </si>
  <si>
    <t>16.532798, 81.943853</t>
  </si>
  <si>
    <t>GWMV+7JM, Billakurru, Andhra Pradesh, India</t>
  </si>
  <si>
    <t>http://164.52.221.216/localmedia/media/surveys/samples/recording_2026-01-19_11-48-57_samples_vLJRcX7khX.mp4</t>
  </si>
  <si>
    <t>kumpatla.eswararao</t>
  </si>
  <si>
    <t>74d97622-615a-40ce-9a5a-89d9c4e89880</t>
  </si>
  <si>
    <t>1/19/2026, 12:01:45 PM</t>
  </si>
  <si>
    <t>16.533115, 81.943010</t>
  </si>
  <si>
    <t>SHOP NO.1, DODDAVARAM, Mamidikududru, Andhra Pradesh, India</t>
  </si>
  <si>
    <t>http://164.52.221.216/localmedia/media/surveys/samples/recording_2026-01-19_11-59-57_samples_gohK0oKMAS.mp4</t>
  </si>
  <si>
    <t>g.rambabu</t>
  </si>
  <si>
    <t>b90ab7de-fb3d-45c2-9758-69e0c32b5060</t>
  </si>
  <si>
    <t>1/19/2026, 12:08:46 PM</t>
  </si>
  <si>
    <t>16.533287, 81.941870</t>
  </si>
  <si>
    <t>GWMR+CR2, Botlakurru Doddavaram, Andhra Pradesh, India</t>
  </si>
  <si>
    <t>http://164.52.221.216/localmedia/media/surveys/samples/recording_2026-01-19_12-03-54_samples_ZV3ziKAIxz.mp4</t>
  </si>
  <si>
    <t>a.sriramulu</t>
  </si>
  <si>
    <t>c6ef925c-63db-427b-8346-991da5797ea8</t>
  </si>
  <si>
    <t>1/19/2026, 12:22:55 PM</t>
  </si>
  <si>
    <t>16.531868, 81.939902</t>
  </si>
  <si>
    <t>GWJQ+QWJ, Botlakurru Doddavaram, Andhra Pradesh, India</t>
  </si>
  <si>
    <t>http://164.52.221.216/localmedia/media/surveys/samples/recording_2026-01-19_12-19-29_samples_nK3CSFyiSd.mp4</t>
  </si>
  <si>
    <t>రోడ్లు</t>
  </si>
  <si>
    <t>v.saibabu</t>
  </si>
  <si>
    <t>3525b2cd-d85e-4146-9bd6-67359b72ff72</t>
  </si>
  <si>
    <t>1/19/2026, 12:33:26 PM</t>
  </si>
  <si>
    <t>16.533032, 81.939470</t>
  </si>
  <si>
    <t>GWMQ+6RR, Botlakurru Doddavaram, Andhra Pradesh, India</t>
  </si>
  <si>
    <t>http://164.52.221.216/localmedia/media/surveys/samples/recording_2026-01-19_12-24-52_samples_ImrKHASj4v.mp4</t>
  </si>
  <si>
    <t>త్రాగునీరు</t>
  </si>
  <si>
    <t>mamidisetti.saibabu</t>
  </si>
  <si>
    <t>e33119d5-b2f6-4982-9c9d-9eb47e167a40</t>
  </si>
  <si>
    <t>1/19/2026, 12:46:14 PM</t>
  </si>
  <si>
    <t>16.532588, 81.940232</t>
  </si>
  <si>
    <t>GWJQ+XX5, Botlakurru Doddavaram, Andhra Pradesh, India</t>
  </si>
  <si>
    <t>Kshatriya/Rajulu</t>
  </si>
  <si>
    <t>http://164.52.221.216/localmedia/media/surveys/samples/recording_2026-01-19_12-39-39_samples_RMQsCgNTA2.mp4</t>
  </si>
  <si>
    <t>లేరు, వారిని మార్చాలి</t>
  </si>
  <si>
    <t>Pamula Rajeswari Devi</t>
  </si>
  <si>
    <t>v.s.n.sarama</t>
  </si>
  <si>
    <t>f83f01f0-19d4-4a2f-9a09-e25529c56e90</t>
  </si>
  <si>
    <t>1/19/2026, 12:53:51 PM</t>
  </si>
  <si>
    <t>16.533199, 81.941655</t>
  </si>
  <si>
    <t>http://164.52.221.216/localmedia/media/surveys/samples/recording_2026-01-19_12-50-26_samples_e5cCTuYhwH.mp4</t>
  </si>
  <si>
    <t>Appari Krishna Chaitanya</t>
  </si>
  <si>
    <t>6c5b3fa9-dfe2-4fe7-b465-4fbcea61208a</t>
  </si>
  <si>
    <t>1/19/2026, 12:58:08 PM</t>
  </si>
  <si>
    <t>16.534897, 81.942160</t>
  </si>
  <si>
    <t>GWPV+63H, Pedapatnam, Andhra Pradesh, India</t>
  </si>
  <si>
    <t>Padmasali/Devanga</t>
  </si>
  <si>
    <t>http://164.52.221.216/localmedia/media/surveys/samples/recording_2026-01-19_12-55-24_samples_h9Sof45VHq.mp4</t>
  </si>
  <si>
    <t>నిరుద్యోగి</t>
  </si>
  <si>
    <t>18-25</t>
  </si>
  <si>
    <t>Peruri. N S Maniswar</t>
  </si>
  <si>
    <t>0a778b63-b388-4539-bc76-8aede88a36b6</t>
  </si>
  <si>
    <t>1/19/2026, 1:01:49 PM</t>
  </si>
  <si>
    <t>16.534087, 81.942688</t>
  </si>
  <si>
    <t>GWMV+83G, Botlakurru Doddavaram, Andhra Pradesh, India</t>
  </si>
  <si>
    <t>Rajaka</t>
  </si>
  <si>
    <t>http://164.52.221.216/localmedia/media/surveys/samples/recording_2026-01-19_12-59-14_samples_tdv6JRrgof.mp4</t>
  </si>
  <si>
    <t>విద్యార్థి</t>
  </si>
  <si>
    <t xml:space="preserve">Samantha Karthika om sai </t>
  </si>
  <si>
    <t>d376b01d-7d2b-4f95-a82a-b75cb84eba1a</t>
  </si>
  <si>
    <t>1/19/2026, 1:05:22 PM</t>
  </si>
  <si>
    <t>16.533189, 81.941652</t>
  </si>
  <si>
    <t>http://164.52.221.216/localmedia/media/surveys/samples/recording_2026-01-19_13-03-26_samples_LdQqSqkQdo.mp4</t>
  </si>
  <si>
    <t>appari syam kumar</t>
  </si>
  <si>
    <t>192b6912-b1c6-4dbd-adb8-4bda9ab9bdc7</t>
  </si>
  <si>
    <t>1/19/2026, 1:21:18 PM</t>
  </si>
  <si>
    <t>16.532650, 81.941196</t>
  </si>
  <si>
    <t>http://164.52.221.216/localmedia/media/surveys/samples/recording_2026-01-19_13-18-10_samples_d5PPQNJCVU.mp4</t>
  </si>
  <si>
    <t>vekateswarao</t>
  </si>
  <si>
    <t>Grand Total</t>
  </si>
  <si>
    <t>Date</t>
  </si>
  <si>
    <t>Bhagya</t>
  </si>
  <si>
    <t>Correctly Done</t>
  </si>
  <si>
    <t>Not asking the question as it is in the questionnaire</t>
  </si>
  <si>
    <t>Audio Not Playing/ Inaudbile</t>
  </si>
  <si>
    <t>Incharge -Rambabu??</t>
  </si>
  <si>
    <t>Not Doing It Properly</t>
  </si>
  <si>
    <t>Mentioning that audio is being recorded</t>
  </si>
  <si>
    <t>Not Asking Some of the Questions</t>
  </si>
  <si>
    <t>inaudible due to phn ringtone</t>
  </si>
  <si>
    <t>Highlighted response kept on his own</t>
  </si>
  <si>
    <t>QC Username</t>
  </si>
  <si>
    <t>Valid or Not</t>
  </si>
  <si>
    <t>Valid</t>
  </si>
  <si>
    <t>Count of Q18: Gender</t>
  </si>
  <si>
    <t>AC Name</t>
  </si>
  <si>
    <t>Mandal</t>
  </si>
  <si>
    <t>GP Name</t>
  </si>
  <si>
    <t>Samples</t>
  </si>
  <si>
    <t>Razole(SC)</t>
  </si>
  <si>
    <t>MALIKIPURAM</t>
  </si>
  <si>
    <t>LAKKAVARAM</t>
  </si>
  <si>
    <t>TURPUPALEM</t>
  </si>
  <si>
    <t>RAMARAJULANKA</t>
  </si>
  <si>
    <t>CHINTHALAMORI</t>
  </si>
  <si>
    <t>GUDAPALLI</t>
  </si>
  <si>
    <t>KESANAPALLI</t>
  </si>
  <si>
    <t>PADAMATIPALEM</t>
  </si>
  <si>
    <t>PASARLAPUDI LANKA</t>
  </si>
  <si>
    <t>PEDAPATNAM LANKA</t>
  </si>
  <si>
    <t>SIVAKODU</t>
  </si>
  <si>
    <t>TATIPAKA</t>
  </si>
  <si>
    <t>CHINTALAPALLE</t>
  </si>
  <si>
    <t>PONNAMANDA</t>
  </si>
  <si>
    <t>KADALI</t>
  </si>
  <si>
    <t>KATRENIPADU</t>
  </si>
  <si>
    <t>SAKHINETIPALLE</t>
  </si>
  <si>
    <t>SAKINETIPALLE</t>
  </si>
  <si>
    <t>KESAVADASUPALEM</t>
  </si>
  <si>
    <t>VUYYURIVARI MERAKA</t>
  </si>
  <si>
    <t>ANTARVEDIPALEM</t>
  </si>
  <si>
    <t>ANTARVEDI</t>
  </si>
  <si>
    <t>GONDI</t>
  </si>
  <si>
    <t>Collected</t>
  </si>
  <si>
    <t>Agnikulakshatriya</t>
  </si>
  <si>
    <t>Madiga</t>
  </si>
  <si>
    <t>Yadava</t>
  </si>
  <si>
    <t>Adi Andhra</t>
  </si>
  <si>
    <t>Brahmin</t>
  </si>
  <si>
    <t>Total</t>
  </si>
  <si>
    <t>MANDAL</t>
  </si>
  <si>
    <t>Req%</t>
  </si>
  <si>
    <t>2029 Party Pref</t>
  </si>
  <si>
    <t>afbdd9a6-02bb-45a7-87b8-6c42fad9313e</t>
  </si>
  <si>
    <t>1/20/2026, 12:03:51 PM</t>
  </si>
  <si>
    <t>16.546793, 81.924383</t>
  </si>
  <si>
    <t>GWWG+P3W, Peddapatnamlanka, Andhra Pradesh, India</t>
  </si>
  <si>
    <t>aithabattula venkateswararao</t>
  </si>
  <si>
    <t>http://164.52.221.216/localmedia/media/surveys/samples/recording_2026-01-20_12-00-27_samples_PqrXkyGst1.mp4</t>
  </si>
  <si>
    <t>Others (ఇతరులు)</t>
  </si>
  <si>
    <t>m. nagabushanam rao</t>
  </si>
  <si>
    <t>5a69e06f-ba8d-4ede-a9b2-e3f5e3df33cc</t>
  </si>
  <si>
    <t>1/20/2026, 10:13:17 AM</t>
  </si>
  <si>
    <t>16.545534, 81.935935</t>
  </si>
  <si>
    <t>GWWM+6W, Peddapatnamlanka, Andhra Pradesh, India</t>
  </si>
  <si>
    <t>http://164.52.221.216/localmedia/media/surveys/samples/recording_2026-01-20_10-09-51_samples_hiOZku2dgR.mp4</t>
  </si>
  <si>
    <t>ganesh</t>
  </si>
  <si>
    <t>b5f4cb27-cb9a-4e72-9b6f-ba64446ebde0</t>
  </si>
  <si>
    <t>1/20/2026, 10:27:37 AM</t>
  </si>
  <si>
    <t>16.547617, 81.934262</t>
  </si>
  <si>
    <t>Dr.B, Peddapatnamlanka, Andhra Pradesh, India</t>
  </si>
  <si>
    <t>http://164.52.221.216/localmedia/media/surveys/samples/recording_2026-01-20_10-23-36_samples_5dPyT1Xt1o.mp4</t>
  </si>
  <si>
    <t>syam sundararao</t>
  </si>
  <si>
    <t>e281232b-78a2-4f8d-b43c-b9eb0d86cf31</t>
  </si>
  <si>
    <t>1/20/2026, 10:39:55 AM</t>
  </si>
  <si>
    <t>16.546636, 81.935484</t>
  </si>
  <si>
    <t>GWWM+CWG, Peddapatnamlanka, Andhra Pradesh, India</t>
  </si>
  <si>
    <t>http://164.52.221.216/localmedia/media/surveys/samples/recording_2026-01-20_10-36-04_samples_6BkyM3Rsfk.mp4</t>
  </si>
  <si>
    <t xml:space="preserve">satyanarayana murthy </t>
  </si>
  <si>
    <t>93043258-eaf1-4ac2-97fb-0bb72e79e4f7</t>
  </si>
  <si>
    <t>1/20/2026, 10:45:43 AM</t>
  </si>
  <si>
    <t>16.547626, 81.934576</t>
  </si>
  <si>
    <t>GWWM+XJP, Peddapatnamlanka, Andhra Pradesh, India</t>
  </si>
  <si>
    <t>http://164.52.221.216/localmedia/media/surveys/samples/recording_2026-01-20_10-42-01_samples_jDEMjwRm93.mp4</t>
  </si>
  <si>
    <t>pallayya</t>
  </si>
  <si>
    <t>b630465d-b7ae-40ce-8fbb-2d75dff18367</t>
  </si>
  <si>
    <t>http://164.52.221.216/localmedia/media/surveys/samples/recording_2026-01-20_10-42-01_samples_AsCuaJ6DR5.mp4</t>
  </si>
  <si>
    <t>0561ca16-5035-484e-8ce1-5c1f2c40789d</t>
  </si>
  <si>
    <t>1/20/2026, 10:46:42 AM</t>
  </si>
  <si>
    <t>http://164.52.221.216/localmedia/media/surveys/samples/recording_2026-01-20_10-42-01_samples_3Fjhoozkiy.mp4</t>
  </si>
  <si>
    <t>b832fdcd-a0c3-4d14-8f98-bfa4032c70b7</t>
  </si>
  <si>
    <t>1/20/2026, 10:52:19 AM</t>
  </si>
  <si>
    <t>16.549427, 81.932526</t>
  </si>
  <si>
    <t>GWXM+Q3, Peddapatnamlanka, Andhra Pradesh, India</t>
  </si>
  <si>
    <t>http://164.52.221.216/localmedia/media/surveys/samples/recording_2026-01-20_10-49-37_samples_armGxonaCc.mp4</t>
  </si>
  <si>
    <t>durgarao</t>
  </si>
  <si>
    <t>db5aa4ca-48bf-4ee9-b720-795963fe7487</t>
  </si>
  <si>
    <t>1/20/2026, 10:59:27 AM</t>
  </si>
  <si>
    <t>16.549938, 81.931575</t>
  </si>
  <si>
    <t>HW2J+2PM 3-165, Peddapatnamlanka, Andhra Pradesh, India</t>
  </si>
  <si>
    <t>http://164.52.221.216/localmedia/media/surveys/samples/recording_2026-01-20_10-54-19_samples_9yvE6eGzYR.mp4</t>
  </si>
  <si>
    <t>raja</t>
  </si>
  <si>
    <t>669c0eb7-7c72-424e-a168-e467e5b78507</t>
  </si>
  <si>
    <t>1/20/2026, 11:16:56 AM</t>
  </si>
  <si>
    <t>16.550840, 81.926567</t>
  </si>
  <si>
    <t>HW2G+CC6, Peddapatnamlanka, Andhra Pradesh, India</t>
  </si>
  <si>
    <t>http://164.52.221.216/localmedia/media/surveys/samples/recording_2026-01-20_11-14-10_samples_fRMNYJVHWW.mp4</t>
  </si>
  <si>
    <t>manikyalarao</t>
  </si>
  <si>
    <t>cbd14de6-00b5-41fd-a09e-aa4f44682b13</t>
  </si>
  <si>
    <t>1/20/2026, 11:27:32 AM</t>
  </si>
  <si>
    <t>16.549437, 81.922470</t>
  </si>
  <si>
    <t>GWXC+MQW, Peddapatnamlanka, Andhra Pradesh, India</t>
  </si>
  <si>
    <t>http://164.52.221.216/localmedia/media/surveys/samples/recording_2026-01-20_11-23-42_samples_n4VqC5lS38.mp4</t>
  </si>
  <si>
    <t>ఉద్యొగ్య అవకాశాలు కల్పించటం</t>
  </si>
  <si>
    <t xml:space="preserve">k. venkateswararao </t>
  </si>
  <si>
    <t>4434a83a-b890-40a7-9834-76fe85de6b70</t>
  </si>
  <si>
    <t>1/20/2026, 11:32:24 AM</t>
  </si>
  <si>
    <t>16.549084, 81.921907</t>
  </si>
  <si>
    <t>http://164.52.221.216/localmedia/media/surveys/samples/recording_2026-01-20_11-30-02_samples_a5FzrFYQew.mp4</t>
  </si>
  <si>
    <t>adabala rajesh</t>
  </si>
  <si>
    <t>a056e942-ce6d-47f7-94c5-36069ee29a20</t>
  </si>
  <si>
    <t>1/20/2026, 11:32:34 AM</t>
  </si>
  <si>
    <t>16.520596, 81.905635</t>
  </si>
  <si>
    <t>GWC4+385, Pedapatnam, Andhra Pradesh, India</t>
  </si>
  <si>
    <t>ITABATHULA BHASKAR RAO</t>
  </si>
  <si>
    <t>http://164.52.221.216/localmedia/media/surveys/samples/recording_2026-01-20_11-31-01_samples_xJ0geibXE1.mp4</t>
  </si>
  <si>
    <t>sriram</t>
  </si>
  <si>
    <t>1acff06d-6040-4f9c-9ef2-a4980ea8eaa2</t>
  </si>
  <si>
    <t>1/20/2026, 11:39:33 AM</t>
  </si>
  <si>
    <t>16.521047, 81.903000</t>
  </si>
  <si>
    <t>GWC3+C6R, Pedapatnam, Andhra Pradesh, India</t>
  </si>
  <si>
    <t>http://164.52.221.216/localmedia/media/surveys/samples/recording_2026-01-20_11-35-44_samples_wqE8sCLl0q.mp4</t>
  </si>
  <si>
    <t>ced84559-0e9e-4fd8-b7b8-6aaab3cd626b</t>
  </si>
  <si>
    <t>1/20/2026, 11:42:25 AM</t>
  </si>
  <si>
    <t>16.547708, 81.920812</t>
  </si>
  <si>
    <t>GWWC+Q6V, Pedapatnam, Andhra Pradesh, India</t>
  </si>
  <si>
    <t>http://164.52.221.216/localmedia/media/surveys/samples/recording_2026-01-20_11-36-34_samples_Vvos8roNEv.mp4</t>
  </si>
  <si>
    <t>సంక్షేమ పథకాలు (నగదు)</t>
  </si>
  <si>
    <t xml:space="preserve">y. chiranjivi </t>
  </si>
  <si>
    <t>2762efff-152a-4f2a-bad1-5c8b31b9a8b9</t>
  </si>
  <si>
    <t>1/20/2026, 11:42:29 AM</t>
  </si>
  <si>
    <t>http://164.52.221.216/localmedia/media/surveys/samples/recording_2026-01-20_11-36-34_samples_ugU31iUMNp.mp4</t>
  </si>
  <si>
    <t>92d4c494-ae4c-4f35-9928-85d1639fc8cf</t>
  </si>
  <si>
    <t>1/20/2026, 11:50:26 AM</t>
  </si>
  <si>
    <t>16.545558, 81.920851</t>
  </si>
  <si>
    <t>GWWC+86M, Peddapatnamlanka, Andhra Pradesh, India</t>
  </si>
  <si>
    <t>http://164.52.221.216/localmedia/media/surveys/samples/recording_2026-01-20_11-45-35_samples_hmXIoxhFUl.mp4</t>
  </si>
  <si>
    <t>venkanna</t>
  </si>
  <si>
    <t>1671388b-fc43-4609-98f7-40a9b50e5e52</t>
  </si>
  <si>
    <t>1/20/2026, 11:50:29 AM</t>
  </si>
  <si>
    <t>http://164.52.221.216/localmedia/media/surveys/samples/recording_2026-01-20_11-45-35_samples_6WqIphHtdh.mp4</t>
  </si>
  <si>
    <t>2716b390-6461-4cba-a96f-3cf6a05f5653</t>
  </si>
  <si>
    <t>1/20/2026, 11:54:12 AM</t>
  </si>
  <si>
    <t>16.519573, 81.900215</t>
  </si>
  <si>
    <t>Manepalli - Pedapatnam Rd, Pedapatnam, Andhra Pradesh, India</t>
  </si>
  <si>
    <t>http://164.52.221.216/localmedia/media/surveys/samples/recording_2026-01-20_11-50-13_samples_AQbSsRSueS.mp4</t>
  </si>
  <si>
    <t>udayakumar</t>
  </si>
  <si>
    <t>dfb1e373-7c7e-40ac-91eb-045094909438</t>
  </si>
  <si>
    <t>1/20/2026, 11:56:49 AM</t>
  </si>
  <si>
    <t>16.544999, 81.921239</t>
  </si>
  <si>
    <t>GWVC+X93, Pedapatnam, Andhra Pradesh, India</t>
  </si>
  <si>
    <t>http://164.52.221.216/localmedia/media/surveys/samples/recording_2026-01-20_11-53-49_samples_aDyDoPJVee.mp4</t>
  </si>
  <si>
    <t>ashok</t>
  </si>
  <si>
    <t>64288692-5a1d-44c7-a3c0-fe840f8a30c2</t>
  </si>
  <si>
    <t>1/20/2026, 12:26:51 PM</t>
  </si>
  <si>
    <t>16.546797, 81.932949</t>
  </si>
  <si>
    <t>Highschool road, Peddapatnamlanka, Andhra Pradesh, India</t>
  </si>
  <si>
    <t>http://164.52.221.216/localmedia/media/surveys/samples/recording_2026-01-20_12-23-24_samples_j0ERlee0SN.mp4</t>
  </si>
  <si>
    <t>నాకు తెలీదు/ ఏమి చెప్పలేను</t>
  </si>
  <si>
    <t xml:space="preserve">kommula swami naidu </t>
  </si>
  <si>
    <t>3ff536c7-4f1b-405d-b212-abed36c63571</t>
  </si>
  <si>
    <t>1/20/2026, 12:32:45 PM</t>
  </si>
  <si>
    <t>16.546859, 81.932780</t>
  </si>
  <si>
    <t>http://164.52.221.216/localmedia/media/surveys/samples/recording_2026-01-20_12-29-26_samples_t9zarpJKV4.mp4</t>
  </si>
  <si>
    <t>subbarao</t>
  </si>
  <si>
    <t>7a45ae86-26b9-4d46-8d13-61c8c423e93f</t>
  </si>
  <si>
    <t>1/20/2026, 1:00:04 PM</t>
  </si>
  <si>
    <t>16.513925, 81.907753</t>
  </si>
  <si>
    <t>Pedapattanam-Mamidikuduru Road, Pedapatnam, Andhra Pradesh, India</t>
  </si>
  <si>
    <t>http://164.52.221.216/localmedia/media/surveys/samples/recording_2026-01-20_12-53-29_samples_om0zZXsRk5.mp4</t>
  </si>
  <si>
    <t>srinuvasararao</t>
  </si>
  <si>
    <t>5456a022-c195-4eb0-957e-22c1bc4200fe</t>
  </si>
  <si>
    <t>1/20/2026, 1:11:47 PM</t>
  </si>
  <si>
    <t>16.513817, 81.908492</t>
  </si>
  <si>
    <t>1-124, Pedapatnam, Andhra Pradesh, India</t>
  </si>
  <si>
    <t>http://164.52.221.216/localmedia/media/surveys/samples/recording_2026-01-20_13-07-18_samples_uieTLvV7Ly.mp4</t>
  </si>
  <si>
    <t>విద్య రంగం అభివృద్ధి చేయటం</t>
  </si>
  <si>
    <t>eswar</t>
  </si>
  <si>
    <t>f5e4b9b6-47b3-4b11-9059-7b1e15f03e98</t>
  </si>
  <si>
    <t>1/20/2026, 1:17:37 PM</t>
  </si>
  <si>
    <t>16.513763, 81.907835</t>
  </si>
  <si>
    <t>http://164.52.221.216/localmedia/media/surveys/samples/recording_2026-01-20_13-12-28_samples_ldnrprTGEO.mp4</t>
  </si>
  <si>
    <t>anil</t>
  </si>
  <si>
    <t>8e87f86a-4459-4381-93bf-4137d7cd9bd8</t>
  </si>
  <si>
    <t>1/20/2026, 1:30:50 PM</t>
  </si>
  <si>
    <t>16.513220, 81.907783</t>
  </si>
  <si>
    <t>Nagaram - Pedapatnam Rd, Pedapatnam, Andhra Pradesh, India</t>
  </si>
  <si>
    <t>http://164.52.221.216/localmedia/media/surveys/samples/recording_2026-01-20_13-24-41_samples_Gl15vZGwoS.mp4</t>
  </si>
  <si>
    <t>Gollapalli Sridhar</t>
  </si>
  <si>
    <t>srinivasarao</t>
  </si>
  <si>
    <t>e16abbd3-3b93-43b3-a066-4d64f297395a</t>
  </si>
  <si>
    <t>1/20/2026, 1:41:30 PM</t>
  </si>
  <si>
    <t>16.511161, 81.908970</t>
  </si>
  <si>
    <t>GW65+JP, Mamidikududru, Andhra Pradesh, India</t>
  </si>
  <si>
    <t>http://164.52.221.216/localmedia/media/surveys/samples/recording_2026-01-20_13-35-16_samples_jRDLjbU91o.mp4</t>
  </si>
  <si>
    <t>krishnarao</t>
  </si>
  <si>
    <t>0d19d77f-58f0-4bac-8ee3-f3a36c09fa7f</t>
  </si>
  <si>
    <t>1/20/2026, 2:07:01 PM</t>
  </si>
  <si>
    <t>16.513600, 81.907709</t>
  </si>
  <si>
    <t>Nagaram - Pedapatnam Rd, Dr. B. R. Ambedkar Konseema, Andhra Pradesh, India</t>
  </si>
  <si>
    <t>http://164.52.221.216/localmedia/media/surveys/samples/recording_2026-01-20_13-59-56_samples_AyHewO5iJa.mp4</t>
  </si>
  <si>
    <t>raju</t>
  </si>
  <si>
    <t>9f58cfc4-22ce-4910-9544-e6aa011f1844</t>
  </si>
  <si>
    <t>1/20/2026, 2:07:02 PM</t>
  </si>
  <si>
    <t>http://164.52.221.216/localmedia/media/surveys/samples/recording_2026-01-20_13-59-56_samples_ZztLu0zl5J.mp4</t>
  </si>
  <si>
    <t>23a5a94e-02e6-4cb6-846f-c51d79f5cbad</t>
  </si>
  <si>
    <t>1/20/2026, 2:07:07 PM</t>
  </si>
  <si>
    <t>http://164.52.221.216/localmedia/media/surveys/samples/recording_2026-01-20_13-59-56_samples_iv8aU0OGb5.mp4</t>
  </si>
  <si>
    <t>06ed762d-7794-416b-8e54-ab90eb3b79b3</t>
  </si>
  <si>
    <t>1/20/2026, 2:20:48 PM</t>
  </si>
  <si>
    <t>16.509417, 81.908900</t>
  </si>
  <si>
    <t>Nagaram - Pedapatnam Rd, Mamidikududru, Andhra Pradesh, India</t>
  </si>
  <si>
    <t>http://164.52.221.216/localmedia/media/surveys/samples/recording_2026-01-20_14-17-04_samples_uF2CiVVKWu.mp4</t>
  </si>
  <si>
    <t>satyanarayana</t>
  </si>
  <si>
    <t>88d3a572-6ff2-4588-be3b-febf9feba269</t>
  </si>
  <si>
    <t>1/20/2026, 2:31:24 PM</t>
  </si>
  <si>
    <t>16.508438, 81.911398</t>
  </si>
  <si>
    <t>GW56+FHX, Mamidikududru, Andhra Pradesh, India</t>
  </si>
  <si>
    <t>http://164.52.221.216/localmedia/media/surveys/samples/recording_2026-01-20_14-25-33_samples_D7RJO7yB5H.mp4</t>
  </si>
  <si>
    <t>subbararao</t>
  </si>
  <si>
    <t>d05a72e4-acd1-46a7-9e23-d8d67593dbd4</t>
  </si>
  <si>
    <t>1/20/2026, 3:02:34 PM</t>
  </si>
  <si>
    <t>16.507260, 81.941756</t>
  </si>
  <si>
    <t>GW4R+XFX, Pasarlapudi, Andhra Pradesh, India</t>
  </si>
  <si>
    <t>http://164.52.221.216/localmedia/media/surveys/samples/recording_2026-01-20_14-58-53_samples_hUBAN3PYzC.mp4</t>
  </si>
  <si>
    <t>bala subramanyam</t>
  </si>
  <si>
    <t>57511695-d983-4107-8072-fd27251ac771</t>
  </si>
  <si>
    <t>1/20/2026, 3:08:04 PM</t>
  </si>
  <si>
    <t>16.506507, 81.942318</t>
  </si>
  <si>
    <t>GW4R+CHQ, Pasarlapudilanka, Andhra Pradesh, India</t>
  </si>
  <si>
    <t>http://164.52.221.216/localmedia/media/surveys/samples/recording_2026-01-20_15-04-06_samples_zyOiUaIFYq.mp4</t>
  </si>
  <si>
    <t>narasimharao</t>
  </si>
  <si>
    <t>1472ca1d-9749-41d6-b51d-816bd0006354</t>
  </si>
  <si>
    <t>1/20/2026, 3:13:21 PM</t>
  </si>
  <si>
    <t>16.506289, 81.943388</t>
  </si>
  <si>
    <t>3, Mamidikuduru, Pasarlapudi, Andhra Pradesh, India</t>
  </si>
  <si>
    <t>http://164.52.221.216/localmedia/media/surveys/samples/recording_2026-01-20_15-10-42_samples_C0MHT3brBo.mp4</t>
  </si>
  <si>
    <t>chanti babu</t>
  </si>
  <si>
    <t>113b3c11-6cba-4009-bffb-26d44e26d8f9</t>
  </si>
  <si>
    <t>1/20/2026, 3:22:41 PM</t>
  </si>
  <si>
    <t>16.506101, 81.944425</t>
  </si>
  <si>
    <t>http://164.52.221.216/localmedia/media/surveys/samples/recording_2026-01-20_15-17-42_samples_5locaYyyFG.mp4</t>
  </si>
  <si>
    <t>ramakrishna</t>
  </si>
  <si>
    <t>bb4206ac-1504-4229-bfa7-56c6b2d4ead7</t>
  </si>
  <si>
    <t>1/20/2026, 3:22:43 PM</t>
  </si>
  <si>
    <t>http://164.52.221.216/localmedia/media/surveys/samples/recording_2026-01-20_15-17-42_samples_kRtLJajqKv.mp4</t>
  </si>
  <si>
    <t>224b4985-2509-4061-9595-a3d4f868d98e</t>
  </si>
  <si>
    <t>1/20/2026, 3:28:16 PM</t>
  </si>
  <si>
    <t>16.505951, 81.944883</t>
  </si>
  <si>
    <t>http://164.52.221.216/localmedia/media/surveys/samples/recording_2026-01-20_15-25-12_samples_ZBJbvusZy2.mp4</t>
  </si>
  <si>
    <t>క్రిస్టియన్</t>
  </si>
  <si>
    <t>annapurna</t>
  </si>
  <si>
    <t>Female</t>
  </si>
  <si>
    <t>f25ef8dd-be94-42bb-b66f-1baaad5328ac</t>
  </si>
  <si>
    <t>1/20/2026, 3:36:40 PM</t>
  </si>
  <si>
    <t>16.506025, 81.945962</t>
  </si>
  <si>
    <t>GW4W+RG, Pasarlapudilanka, Andhra Pradesh, India</t>
  </si>
  <si>
    <t>http://164.52.221.216/localmedia/media/surveys/samples/recording_2026-01-20_15-31-57_samples_Qs064anF13.mp4</t>
  </si>
  <si>
    <t>గృహిణి</t>
  </si>
  <si>
    <t>venkatalakshmi</t>
  </si>
  <si>
    <t>ff3e10f5-9634-421e-a007-7a8df9c59143</t>
  </si>
  <si>
    <t>1/20/2026, 3:36:41 PM</t>
  </si>
  <si>
    <t>http://164.52.221.216/localmedia/media/surveys/samples/recording_2026-01-20_15-31-57_samples_EbPIskPvYI.mp4</t>
  </si>
  <si>
    <t>b519977e-8368-4cc8-902b-ba115940c4c6</t>
  </si>
  <si>
    <t>1/20/2026, 3:50:40 PM</t>
  </si>
  <si>
    <t>16.506444, 81.945745</t>
  </si>
  <si>
    <t>http://164.52.221.216/localmedia/media/surveys/samples/recording_2026-01-20_15-47-36_samples_GML4AEALM2.mp4</t>
  </si>
  <si>
    <t xml:space="preserve">sudakar rao </t>
  </si>
  <si>
    <t>279e8290-8344-42ee-92f7-e6ee0e2cdbee</t>
  </si>
  <si>
    <t>1/20/2026, 3:57:56 PM</t>
  </si>
  <si>
    <t>16.506943, 81.945918</t>
  </si>
  <si>
    <t>http://164.52.221.216/localmedia/media/surveys/samples/recording_2026-01-20_15-51-47_samples_MqjmB2DjWw.mp4</t>
  </si>
  <si>
    <t>pedditlamma</t>
  </si>
  <si>
    <t>e9a9e21f-1607-48b2-b622-620db20168a2</t>
  </si>
  <si>
    <t>1/20/2026, 4:05:17 PM</t>
  </si>
  <si>
    <t>16.507405, 81.946157</t>
  </si>
  <si>
    <t>http://164.52.221.216/localmedia/media/surveys/samples/recording_2026-01-20_16-00-36_samples_BkmAaYLpGG.mp4</t>
  </si>
  <si>
    <t>Matta Sailaja Ravi Kumar</t>
  </si>
  <si>
    <t xml:space="preserve">Ramakrishna </t>
  </si>
  <si>
    <t>a9c935e2-7e68-40ab-9563-1c9c7a9df2c8</t>
  </si>
  <si>
    <t>1/20/2026, 4:05:18 PM</t>
  </si>
  <si>
    <t>http://164.52.221.216/localmedia/media/surveys/samples/recording_2026-01-20_16-00-36_samples_iABpYHwXXZ.mp4</t>
  </si>
  <si>
    <t>60562249-570b-4d8e-93d8-4c26e5023e80</t>
  </si>
  <si>
    <t>1/20/2026, 4:18:50 PM</t>
  </si>
  <si>
    <t>16.508563, 81.941973</t>
  </si>
  <si>
    <t>GW5R+PV6, Pasarlapudi, Andhra Pradesh, India</t>
  </si>
  <si>
    <t>http://164.52.221.216/localmedia/media/surveys/samples/recording_2026-01-20_16-15-55_samples_lmMw874HlN.mp4</t>
  </si>
  <si>
    <t>prasad</t>
  </si>
  <si>
    <t>Deepika</t>
  </si>
  <si>
    <t>Q1,5 kept his own</t>
  </si>
  <si>
    <t>Q5, 10 kept his own</t>
  </si>
  <si>
    <t>Q7 kept his own</t>
  </si>
  <si>
    <t>Q5 kept his own</t>
  </si>
  <si>
    <t>Q13,14,15,16 not asking</t>
  </si>
  <si>
    <t>Q 14,15 not asking and not asking caste</t>
  </si>
  <si>
    <t>not asking caste</t>
  </si>
  <si>
    <t>Q1 Kept on his own</t>
  </si>
  <si>
    <t>Audio not clear due to background noise and Q12 response is not taken properly</t>
  </si>
  <si>
    <t>Q12 response was not said properly by the respondent</t>
  </si>
  <si>
    <t>Q12 kept his own</t>
  </si>
  <si>
    <t>Q4,5,6,9,10 kept his own</t>
  </si>
  <si>
    <t>Ashish</t>
  </si>
  <si>
    <t>Q5,12 kept his own</t>
  </si>
  <si>
    <t>Q3,6,8,9,10 respondent not said properly</t>
  </si>
  <si>
    <t>Sample Count</t>
  </si>
  <si>
    <t>Not Valid</t>
  </si>
  <si>
    <t>Count of Q18: Gender2</t>
  </si>
  <si>
    <t>Pop%</t>
  </si>
  <si>
    <t>Rev %</t>
  </si>
  <si>
    <t>TBT</t>
  </si>
  <si>
    <t>Factor</t>
  </si>
  <si>
    <t>Female/Male TBT</t>
  </si>
  <si>
    <t>2024 AE</t>
  </si>
  <si>
    <t>2024 Result</t>
  </si>
  <si>
    <t>TBT Male/Female</t>
  </si>
  <si>
    <t>Caste Factor</t>
  </si>
  <si>
    <t>2024 Factor</t>
  </si>
  <si>
    <t>Multi Factor</t>
  </si>
  <si>
    <t>Gender factor</t>
  </si>
  <si>
    <t>Mandal Factor</t>
  </si>
  <si>
    <t>Factor_1</t>
  </si>
  <si>
    <t>Factor_2</t>
  </si>
  <si>
    <t>Satis</t>
  </si>
  <si>
    <t>Sch Sat</t>
  </si>
  <si>
    <t>Wel</t>
  </si>
  <si>
    <t>Dev</t>
  </si>
  <si>
    <t>24</t>
  </si>
  <si>
    <t>29</t>
  </si>
  <si>
    <t>Core Cal</t>
  </si>
  <si>
    <t>Hard Core Score</t>
  </si>
  <si>
    <t>Sympethiser1  Score</t>
  </si>
  <si>
    <t>Sympethiser 2 Score</t>
  </si>
  <si>
    <t>Neutral Score</t>
  </si>
  <si>
    <t>Category</t>
  </si>
  <si>
    <t>13ef0f3b-e6e9-4843-8927-4ddfdc818988</t>
  </si>
  <si>
    <t>21/01/2026, 09:00:29</t>
  </si>
  <si>
    <t>16.439560, 81.711762</t>
  </si>
  <si>
    <t>Sakinetipalli Revu, SakhinetiPalli, Andhra Pradesh, India</t>
  </si>
  <si>
    <t>http://164.52.221.216/localmedia/media/surveys/samples/recording_2026-01-21_08-55-42_samples_Bcts2pNcXm.mp4</t>
  </si>
  <si>
    <t xml:space="preserve">t. ththa rao </t>
  </si>
  <si>
    <t>c22c1a90-c9af-46d4-9654-520d4384d499</t>
  </si>
  <si>
    <t>21/01/2026, 09:06:39</t>
  </si>
  <si>
    <t>16.439116, 81.712175</t>
  </si>
  <si>
    <t>http://164.52.221.216/localmedia/media/surveys/samples/recording_2026-01-21_09-03-44_samples_33kQ9j7yTR.mp4</t>
  </si>
  <si>
    <t>subramanyam</t>
  </si>
  <si>
    <t>3880d4e8-b0f3-4699-8a20-10173a46d614</t>
  </si>
  <si>
    <t>21/01/2026, 09:12:22</t>
  </si>
  <si>
    <t>16.439484, 81.711644</t>
  </si>
  <si>
    <t>http://164.52.221.216/localmedia/media/surveys/samples/recording_2026-01-21_09-09-15_samples_5RUWov9ikd.mp4</t>
  </si>
  <si>
    <t>srinivas</t>
  </si>
  <si>
    <t>78bf58a5-3668-4d0e-8eb1-40acd4064965</t>
  </si>
  <si>
    <t>21/01/2026, 09:16:33</t>
  </si>
  <si>
    <t>16.438856, 81.712531</t>
  </si>
  <si>
    <t>CPQ7+G25, SakhinetiPalli, Andhra Pradesh, India</t>
  </si>
  <si>
    <t>http://164.52.221.216/localmedia/media/surveys/samples/recording_2026-01-21_09-14-23_samples_aeCJdwNhUk.mp4</t>
  </si>
  <si>
    <t>venu</t>
  </si>
  <si>
    <t>8203a620-9cbc-43c0-8e59-cd1c7b43fac4</t>
  </si>
  <si>
    <t>21/01/2026, 09:17:32</t>
  </si>
  <si>
    <t>http://164.52.221.216/localmedia/media/surveys/samples/recording_2026-01-21_09-14-23_samples_ZralG5G9Sz.mp4</t>
  </si>
  <si>
    <t>0337ebe3-e4bf-4160-8fe3-5d752dfd6d28</t>
  </si>
  <si>
    <t>21/01/2026, 09:24:21</t>
  </si>
  <si>
    <t>16.438913, 81.713637</t>
  </si>
  <si>
    <t>Patalanka 3rd ward, SakhinetiPalli, Andhra Pradesh, India</t>
  </si>
  <si>
    <t>http://164.52.221.216/localmedia/media/surveys/samples/recording_2026-01-21_09-21-34_samples_bDBvL2j53X.mp4</t>
  </si>
  <si>
    <t>vekattalsmi</t>
  </si>
  <si>
    <t>f1aff904-62dc-457d-91f3-d5163e1b095c</t>
  </si>
  <si>
    <t>21/01/2026, 09:29:29</t>
  </si>
  <si>
    <t>16.438540, 81.712965</t>
  </si>
  <si>
    <t>CPQ7+C53, SakhinetiPalli, Andhra Pradesh, India</t>
  </si>
  <si>
    <t>http://164.52.221.216/localmedia/media/surveys/samples/recording_2026-01-21_09-25-51_samples_Yb7PFQLd1i.mp4</t>
  </si>
  <si>
    <t xml:space="preserve">adi laxmi </t>
  </si>
  <si>
    <t>513b6817-97f2-47b2-be90-c3955e8c0c3b</t>
  </si>
  <si>
    <t>21/01/2026, 09:33:32</t>
  </si>
  <si>
    <t>16.438908, 81.712181</t>
  </si>
  <si>
    <t>http://164.52.221.216/localmedia/media/surveys/samples/recording_2026-01-21_09-31-33_samples_KBXwGtKJWr.mp4</t>
  </si>
  <si>
    <t>vanitha</t>
  </si>
  <si>
    <t>1c2cd752-e984-4e6e-972e-c223b6e02a83</t>
  </si>
  <si>
    <t>21/01/2026, 09:36:08</t>
  </si>
  <si>
    <t>16.509811, 81.949826</t>
  </si>
  <si>
    <t>GW6X+6V2, Pasarlapudilanka, Andhra Pradesh, India</t>
  </si>
  <si>
    <t>http://164.52.221.216/localmedia/media/surveys/samples/recording_2026-01-21_09-33-06_samples_1MookyHVRJ.mp4</t>
  </si>
  <si>
    <t>l. suresh</t>
  </si>
  <si>
    <t>b716f160-f300-4a8a-bc1f-5005f788add4</t>
  </si>
  <si>
    <t>21/01/2026, 09:37:59</t>
  </si>
  <si>
    <t>16.438644, 81.712862</t>
  </si>
  <si>
    <t>http://164.52.221.216/localmedia/media/surveys/samples/recording_2026-01-21_09-35-09_samples_ul6wUz5J4e.mp4</t>
  </si>
  <si>
    <t>laxmi</t>
  </si>
  <si>
    <t>d3a85f02-bb41-4a77-b0f3-0a54742721bf</t>
  </si>
  <si>
    <t>21/01/2026, 09:42:48</t>
  </si>
  <si>
    <t>16.510862, 81.950730</t>
  </si>
  <si>
    <t>http://164.52.221.216/localmedia/media/surveys/samples/recording_2026-01-21_09-39-41_samples_tKZdZlq0Wa.mp4</t>
  </si>
  <si>
    <t>b. vamshi</t>
  </si>
  <si>
    <t>e50ff413-b3bf-4365-862f-26a4d58c7e1a</t>
  </si>
  <si>
    <t>21/01/2026, 09:44:18</t>
  </si>
  <si>
    <t>16.437913, 81.714289</t>
  </si>
  <si>
    <t>CPQ8+75C, SakhinetiPalli, Andhra Pradesh, India</t>
  </si>
  <si>
    <t>http://164.52.221.216/localmedia/media/surveys/samples/recording_2026-01-21_09-41-27_samples_xQuFf1W2Tz.mp4</t>
  </si>
  <si>
    <t>54a4493d-c674-4e0e-841b-180b66ef0bcb</t>
  </si>
  <si>
    <t>21/01/2026, 09:47:30</t>
  </si>
  <si>
    <t>16.511359, 81.951227</t>
  </si>
  <si>
    <t>http://164.52.221.216/localmedia/media/surveys/samples/recording_2026-01-21_09-44-49_samples_ASiSLv3Nfl.mp4</t>
  </si>
  <si>
    <t>94d1c364-8af9-4d2e-afab-204474f5e3d4</t>
  </si>
  <si>
    <t>http://164.52.221.216/localmedia/media/surveys/samples/recording_2026-01-21_09-44-49_samples_tQ18itm00S.mp4</t>
  </si>
  <si>
    <t>b897977a-11ed-423c-b63c-c1fd629f2728</t>
  </si>
  <si>
    <t>21/01/2026, 09:47:31</t>
  </si>
  <si>
    <t>http://164.52.221.216/localmedia/media/surveys/samples/recording_2026-01-21_09-44-49_samples_ubaPGkT04v.mp4</t>
  </si>
  <si>
    <t>ca44cef3-166d-476b-a0ab-2207da67e913</t>
  </si>
  <si>
    <t>21/01/2026, 09:48:49</t>
  </si>
  <si>
    <t>16.437169, 81.715589</t>
  </si>
  <si>
    <t>http://164.52.221.216/localmedia/media/surveys/samples/recording_2026-01-21_09-46-37_samples_vTJ35Y5dKT.mp4</t>
  </si>
  <si>
    <t>5427b796-7bb1-441d-83b0-e6cd10cf74ab</t>
  </si>
  <si>
    <t>21/01/2026, 09:52:47</t>
  </si>
  <si>
    <t>16.511096, 81.951974</t>
  </si>
  <si>
    <t>GX62+QWF, Mamidikuduru, Andhra Pradesh, India</t>
  </si>
  <si>
    <t>http://164.52.221.216/localmedia/media/surveys/samples/recording_2026-01-21_09-48-57_samples_87nAx16OZl.mp4</t>
  </si>
  <si>
    <t>papa rao</t>
  </si>
  <si>
    <t>c80ee533-4211-440a-91cc-5a433e3154f6</t>
  </si>
  <si>
    <t>21/01/2026, 09:55:30</t>
  </si>
  <si>
    <t>16.436658, 81.716716</t>
  </si>
  <si>
    <t>Pinnamaraju group of Homes, Gudimula Kandrika, Andhra Pradesh, India</t>
  </si>
  <si>
    <t>http://164.52.221.216/localmedia/media/surveys/samples/recording_2026-01-21_09-53-23_samples_EI8SgMrTEv.mp4</t>
  </si>
  <si>
    <t>vakatanaga pani</t>
  </si>
  <si>
    <t>87e0a21b-54b4-4585-8761-208892106929</t>
  </si>
  <si>
    <t>21/01/2026, 10:00:34</t>
  </si>
  <si>
    <t>16.436097, 81.717493</t>
  </si>
  <si>
    <t>2-609, Lanka, Andhra Pradesh, India</t>
  </si>
  <si>
    <t>http://164.52.221.216/localmedia/media/surveys/samples/recording_2026-01-21_09-58-11_samples_AMq6X6vFaw.mp4</t>
  </si>
  <si>
    <t>ramu</t>
  </si>
  <si>
    <t>d7fd54b2-8199-4ab6-906a-262a77eb9d74</t>
  </si>
  <si>
    <t>21/01/2026, 10:01:26</t>
  </si>
  <si>
    <t>16.509977, 81.952651</t>
  </si>
  <si>
    <t>GX63+66F, Pasarlapudilanka, Andhra Pradesh, India</t>
  </si>
  <si>
    <t>http://164.52.221.216/localmedia/media/surveys/samples/recording_2026-01-21_09-56-46_samples_K3PY3OxvGl.mp4</t>
  </si>
  <si>
    <t>ప్రభుత్వ ఉద్యోగం</t>
  </si>
  <si>
    <t>149c1c1c-ea92-43a7-8fb3-f8983740270e</t>
  </si>
  <si>
    <t>21/01/2026, 10:13:27</t>
  </si>
  <si>
    <t>16.506789, 81.951895</t>
  </si>
  <si>
    <t>GX42+PQ7, Pasarlapudilanka, Andhra Pradesh, India</t>
  </si>
  <si>
    <t>http://164.52.221.216/localmedia/media/surveys/samples/recording_2026-01-21_10-11-00_samples_ylEIpIXsVz.mp4</t>
  </si>
  <si>
    <t xml:space="preserve">sai teja </t>
  </si>
  <si>
    <t>fe0d9800-d8f8-4e9a-8d4a-abc95d70ac06</t>
  </si>
  <si>
    <t>21/01/2026, 10:25:51</t>
  </si>
  <si>
    <t>16.411860, 81.751926</t>
  </si>
  <si>
    <t>PADMALATHA COMPLEX, MANDAL, SakhinetiPalli, Andhra Pradesh, India</t>
  </si>
  <si>
    <t>http://164.52.221.216/localmedia/media/surveys/samples/recording_2026-01-21_10-23-11_samples_0hluvOeIGw.mp4</t>
  </si>
  <si>
    <t>మార్చుకునే అవకాశం ఉంటే వేరే పార్టీకి వేసేవాడిని</t>
  </si>
  <si>
    <t>harsha</t>
  </si>
  <si>
    <t>c0a79d84-0b2f-4e1a-a7fa-dc10fc7daef2</t>
  </si>
  <si>
    <t>21/01/2026, 10:29:23</t>
  </si>
  <si>
    <t>16.411278, 81.751813</t>
  </si>
  <si>
    <t>CQ62+9RJ, SakhinetiPalli, Andhra Pradesh, India</t>
  </si>
  <si>
    <t>http://164.52.221.216/localmedia/media/surveys/samples/recording_2026-01-21_10-27-08_samples_kD8rrWgQaI.mp4</t>
  </si>
  <si>
    <t>lela krishna</t>
  </si>
  <si>
    <t>4b14a6de-9f55-426f-a617-26fa3af0212a</t>
  </si>
  <si>
    <t>21/01/2026, 10:30:42</t>
  </si>
  <si>
    <t>16.504395, 81.955202</t>
  </si>
  <si>
    <t>GX43+6VW, Pasarlapudilanka, Andhra Pradesh, India</t>
  </si>
  <si>
    <t>http://164.52.221.216/localmedia/media/surveys/samples/recording_2026-01-21_10-28-06_samples_C9s7eCEcZM.mp4</t>
  </si>
  <si>
    <t xml:space="preserve">venkateswararao </t>
  </si>
  <si>
    <t>9707dcac-b50c-4ed0-9129-26c937127f42</t>
  </si>
  <si>
    <t>21/01/2026, 10:33:08</t>
  </si>
  <si>
    <t>16.411921, 81.751941</t>
  </si>
  <si>
    <t>CQ62+QRW, Y.V Lanka Badava, Andhra Pradesh, India</t>
  </si>
  <si>
    <t>http://164.52.221.216/localmedia/media/surveys/samples/recording_2026-01-21_10-30-50_samples_zfuXGJAixB.mp4</t>
  </si>
  <si>
    <t>srinevas</t>
  </si>
  <si>
    <t>5910e1fb-ecb3-4a1f-8189-28c719b9b410</t>
  </si>
  <si>
    <t>21/01/2026, 10:36:44</t>
  </si>
  <si>
    <t>16.503474, 81.955413</t>
  </si>
  <si>
    <t>GX34+29W, Pasarlapudilanka, Andhra Pradesh, India</t>
  </si>
  <si>
    <t>http://164.52.221.216/localmedia/media/surveys/samples/recording_2026-01-21_10-33-05_samples_IRtyCiGbty.mp4</t>
  </si>
  <si>
    <t xml:space="preserve">u. srinuvasrao </t>
  </si>
  <si>
    <t>245b82eb-d57a-4aba-8f92-f706ea03a3a6</t>
  </si>
  <si>
    <t>http://164.52.221.216/localmedia/media/surveys/samples/recording_2026-01-21_10-33-05_samples_sCyTq8QJDY.mp4</t>
  </si>
  <si>
    <t>1afc03d4-e764-47d0-8cc1-dfb104b34d2a</t>
  </si>
  <si>
    <t>21/01/2026, 10:38:17</t>
  </si>
  <si>
    <t>16.410855, 81.752482</t>
  </si>
  <si>
    <t>290, SakhinetiPalli, Andhra Pradesh, India</t>
  </si>
  <si>
    <t>http://164.52.221.216/localmedia/media/surveys/samples/recording_2026-01-21_10-34-45_samples_r4jktR2NF7.mp4</t>
  </si>
  <si>
    <t>588a2c8c-b109-4320-b272-458161ea797c</t>
  </si>
  <si>
    <t>21/01/2026, 10:42:52</t>
  </si>
  <si>
    <t>16.502540, 81.955628</t>
  </si>
  <si>
    <t>http://164.52.221.216/localmedia/media/surveys/samples/recording_2026-01-21_10-38-57_samples_GSAxH0kIVP.mp4</t>
  </si>
  <si>
    <t>7451cb29-9ab1-4b81-8dec-cfb2e77157bf</t>
  </si>
  <si>
    <t>21/01/2026, 10:47:41</t>
  </si>
  <si>
    <t>16.413688, 81.752326</t>
  </si>
  <si>
    <t>CQ72+8Q8, SakhinetiPalli, Andhra Pradesh, India</t>
  </si>
  <si>
    <t>http://164.52.221.216/localmedia/media/surveys/samples/recording_2026-01-21_10-45-19_samples_05zDv1HEVr.mp4</t>
  </si>
  <si>
    <t>nagaraju</t>
  </si>
  <si>
    <t>ccfe4706-ce63-4648-8286-16d8c95ac603</t>
  </si>
  <si>
    <t>21/01/2026, 10:52:32</t>
  </si>
  <si>
    <t>16.413346, 81.751544</t>
  </si>
  <si>
    <t>CQ72+9JH, SakhinetiPalli, Andhra Pradesh, India</t>
  </si>
  <si>
    <t>http://164.52.221.216/localmedia/media/surveys/samples/recording_2026-01-21_10-50-39_samples_L6bIM60XId.mp4</t>
  </si>
  <si>
    <t>nilemma</t>
  </si>
  <si>
    <t>5ac896b6-0852-4849-aaaa-fa88c3acdb80</t>
  </si>
  <si>
    <t>21/01/2026, 10:55:35</t>
  </si>
  <si>
    <t>16.502689, 81.956107</t>
  </si>
  <si>
    <t>http://164.52.221.216/localmedia/media/surveys/samples/recording_2026-01-21_10-51-52_samples_AJiCfcMKtn.mp4</t>
  </si>
  <si>
    <t>Did Not Vote</t>
  </si>
  <si>
    <t>be842113-98bb-4c14-bd59-22f2fd0df6f3</t>
  </si>
  <si>
    <t>21/01/2026, 10:56:19</t>
  </si>
  <si>
    <t>16.412553, 81.752341</t>
  </si>
  <si>
    <t>CQ62+WRR, Y.V Lanka Badava, Andhra Pradesh, India</t>
  </si>
  <si>
    <t>http://164.52.221.216/localmedia/media/surveys/samples/recording_2026-01-21_10-54-19_samples_rnh1fUlEB7.mp4</t>
  </si>
  <si>
    <t>janaki</t>
  </si>
  <si>
    <t>b7450a48-e1cf-4b45-9f1a-a62362c8940a</t>
  </si>
  <si>
    <t>21/01/2026, 10:59:55</t>
  </si>
  <si>
    <t>16.413341, 81.751546</t>
  </si>
  <si>
    <t>http://164.52.221.216/localmedia/media/surveys/samples/recording_2026-01-21_10-58-03_samples_QGM0M0L1LC.mp4</t>
  </si>
  <si>
    <t>suhasini</t>
  </si>
  <si>
    <t>e5cc5265-fee2-45b3-b6e1-dd4a9b6d1557</t>
  </si>
  <si>
    <t>21/01/2026, 11:02:23</t>
  </si>
  <si>
    <t>16.502502, 81.956541</t>
  </si>
  <si>
    <t>http://164.52.221.216/localmedia/media/surveys/samples/recording_2026-01-21_10-59-22_samples_ru3nps9f9s.mp4</t>
  </si>
  <si>
    <t>p. padma</t>
  </si>
  <si>
    <t>fc92bb4b-644d-4a90-b9e7-a26b77a3453b</t>
  </si>
  <si>
    <t>21/01/2026, 11:04:56</t>
  </si>
  <si>
    <t>16.412112, 81.752138</t>
  </si>
  <si>
    <t>http://164.52.221.216/localmedia/media/surveys/samples/recording_2026-01-21_11-02-51_samples_4dMt9pvZfm.mp4</t>
  </si>
  <si>
    <t>e61b3efc-1e5e-4da1-95c1-5f72190f0e40</t>
  </si>
  <si>
    <t>21/01/2026, 11:09:55</t>
  </si>
  <si>
    <t>16.502466, 81.955731</t>
  </si>
  <si>
    <t>http://164.52.221.216/localmedia/media/surveys/samples/recording_2026-01-21_11-05-34_samples_OUGFK7HcGB.mp4</t>
  </si>
  <si>
    <t>ఏమో ఇప్పుడే చెప్పలేను</t>
  </si>
  <si>
    <t xml:space="preserve">manga </t>
  </si>
  <si>
    <t>e35cefd7-8e0a-48b9-b601-ff04634770b1</t>
  </si>
  <si>
    <t>21/01/2026, 11:10:55</t>
  </si>
  <si>
    <t>16.411701, 81.751685</t>
  </si>
  <si>
    <t>CQ62+MJQ, SakhinetiPalli, Andhra Pradesh, India</t>
  </si>
  <si>
    <t>http://164.52.221.216/localmedia/media/surveys/samples/recording_2026-01-21_11-07-54_samples_TWxxkUS9Px.mp4</t>
  </si>
  <si>
    <t>6c66d050-eea9-47bc-9ce8-6fa074e5ccac</t>
  </si>
  <si>
    <t>21/01/2026, 11:22:35</t>
  </si>
  <si>
    <t>16.411290, 81.752424</t>
  </si>
  <si>
    <t>Shop No, Mandal, SakhinetiPalli, Andhra Pradesh, India</t>
  </si>
  <si>
    <t>http://164.52.221.216/localmedia/media/surveys/samples/recording_2026-01-21_11-20-08_samples_8SyuvCYE5u.mp4</t>
  </si>
  <si>
    <t>lokesh</t>
  </si>
  <si>
    <t>417f8809-7491-4299-aa66-7998da30146a</t>
  </si>
  <si>
    <t>21/01/2026, 11:25:17</t>
  </si>
  <si>
    <t>16.502000, 81.955780</t>
  </si>
  <si>
    <t>http://164.52.221.216/localmedia/media/surveys/samples/recording_2026-01-21_11-21-33_samples_LxYlhH8FTt.mp4</t>
  </si>
  <si>
    <t xml:space="preserve">krishna murthy </t>
  </si>
  <si>
    <t>61542061-8089-4b6c-b9a2-da8aceb542bd</t>
  </si>
  <si>
    <t>21/01/2026, 11:29:12</t>
  </si>
  <si>
    <t>16.410806, 81.752651</t>
  </si>
  <si>
    <t>http://164.52.221.216/localmedia/media/surveys/samples/recording_2026-01-21_11-26-58_samples_XT8jruhp5y.mp4</t>
  </si>
  <si>
    <t>narasiharao</t>
  </si>
  <si>
    <t>42ca3491-02fd-4d9b-8c62-bf017208880c</t>
  </si>
  <si>
    <t>21/01/2026, 11:33:10</t>
  </si>
  <si>
    <t>16.502685, 81.956342</t>
  </si>
  <si>
    <t>http://164.52.221.216/localmedia/media/surveys/samples/recording_2026-01-21_11-30-21_samples_osxdbNVsgg.mp4</t>
  </si>
  <si>
    <t>u. jyothi kumari</t>
  </si>
  <si>
    <t>d26e5f8d-49b5-4e78-8273-f91c0551a8e3</t>
  </si>
  <si>
    <t>21/01/2026, 11:39:59</t>
  </si>
  <si>
    <t>16.503511, 81.955456</t>
  </si>
  <si>
    <t>http://164.52.221.216/localmedia/media/surveys/samples/recording_2026-01-21_11-36-43_samples_dtJxHTUvY8.mp4</t>
  </si>
  <si>
    <t>ramalakshmi</t>
  </si>
  <si>
    <t>212d9eef-c024-463b-9906-d3573c34fa71</t>
  </si>
  <si>
    <t>21/01/2026, 11:40:53</t>
  </si>
  <si>
    <t>16.411461, 81.752591</t>
  </si>
  <si>
    <t>http://164.52.221.216/localmedia/media/surveys/samples/recording_2026-01-21_11-38-18_samples_czqk50oNBo.mp4</t>
  </si>
  <si>
    <t>samdani</t>
  </si>
  <si>
    <t>284c9fe9-9b48-4f2e-9c7b-13cb73f6668e</t>
  </si>
  <si>
    <t>21/01/2026, 11:45:20</t>
  </si>
  <si>
    <t>16.411001, 81.752430</t>
  </si>
  <si>
    <t>http://164.52.221.216/localmedia/media/surveys/samples/recording_2026-01-21_11-41-58_samples_UuDYHrvhvM.mp4</t>
  </si>
  <si>
    <t>rajesv bushan</t>
  </si>
  <si>
    <t>b01be722-284f-4720-be74-56681a1c1f9d</t>
  </si>
  <si>
    <t>21/01/2026, 11:56:56</t>
  </si>
  <si>
    <t>16.505201, 81.957514</t>
  </si>
  <si>
    <t>Mamidikuduru, Pasarlapudilanka, Andhra Pradesh, India</t>
  </si>
  <si>
    <t>http://164.52.221.216/localmedia/media/surveys/samples/recording_2026-01-21_11-52-50_samples_HalXzCrFSa.mp4</t>
  </si>
  <si>
    <t xml:space="preserve">surya narayana murthy </t>
  </si>
  <si>
    <t>d0f04a48-5239-4322-ac10-e0c979357879</t>
  </si>
  <si>
    <t>21/01/2026, 12:00:50</t>
  </si>
  <si>
    <t>16.409795, 81.751558</t>
  </si>
  <si>
    <t>Main Road, SakhinetiPalli, Andhra Pradesh, India</t>
  </si>
  <si>
    <t>http://164.52.221.216/localmedia/media/surveys/samples/recording_2026-01-21_11-58-43_samples_blFIi3WTcR.mp4</t>
  </si>
  <si>
    <t>vekataramaya</t>
  </si>
  <si>
    <t>a4619b4a-f635-49c6-b741-fc21a779dbc9</t>
  </si>
  <si>
    <t>21/01/2026, 12:02:49</t>
  </si>
  <si>
    <t>16.505177, 81.959650</t>
  </si>
  <si>
    <t>GX35+X8V, Pasarlapudilanka, Andhra Pradesh, India</t>
  </si>
  <si>
    <t>http://164.52.221.216/localmedia/media/surveys/samples/recording_2026-01-21_12-00-17_samples_wogkCFzBRx.mp4</t>
  </si>
  <si>
    <t>lakshman</t>
  </si>
  <si>
    <t>884d6739-bdb8-4a89-9f80-8d5daae82962</t>
  </si>
  <si>
    <t>21/01/2026, 12:08:48</t>
  </si>
  <si>
    <t>16.410915, 81.752111</t>
  </si>
  <si>
    <t>SHOP NO.9-3/4 MAIN ROAD OPPOSITE ORANGE RESTAURANT SAKHINETIPALLI CENTER SAKHINETIPALLI MANDAL, SakhinetiPalli, Andhra Pradesh, India</t>
  </si>
  <si>
    <t>http://164.52.221.216/localmedia/media/surveys/samples/recording_2026-01-21_12-05-10_samples_JD1NxjBOcn.mp4</t>
  </si>
  <si>
    <t>rathnakumar</t>
  </si>
  <si>
    <t>b17b3fe0-f37d-4773-8f98-ced41d512874</t>
  </si>
  <si>
    <t>21/01/2026, 12:12:07</t>
  </si>
  <si>
    <t>16.503907, 81.959277</t>
  </si>
  <si>
    <t>GX35+X54 ZPH school, Pasarlapudilanka, Andhra Pradesh, India</t>
  </si>
  <si>
    <t>http://164.52.221.216/localmedia/media/surveys/samples/recording_2026-01-21_12-07-43_samples_YUP7TvQOLk.mp4</t>
  </si>
  <si>
    <t xml:space="preserve">satyanarayana </t>
  </si>
  <si>
    <t>220ac5e2-cbf5-4633-8096-4ed6761a8b53</t>
  </si>
  <si>
    <t>21/01/2026, 12:16:26</t>
  </si>
  <si>
    <t>16.408696, 81.751499</t>
  </si>
  <si>
    <t>CQ52+FHJ, Sakhinetipalle, Andhra Pradesh, India</t>
  </si>
  <si>
    <t>http://164.52.221.216/localmedia/media/surveys/samples/recording_2026-01-21_12-14-09_samples_VOy5B4eAWH.mp4</t>
  </si>
  <si>
    <t>rajesjh</t>
  </si>
  <si>
    <t>72483d45-4226-49be-a8eb-8a60210dff10</t>
  </si>
  <si>
    <t>21/01/2026, 12:23:14</t>
  </si>
  <si>
    <t>16.407160, 81.751155</t>
  </si>
  <si>
    <t>SHOP NO.16-64 GIRIJA RAO COMPLEX MAIN ROAD MARKET YARD SAKHINETIPALLI PALEM, SakhinetiPalli, Andhra Pradesh, India</t>
  </si>
  <si>
    <t>http://164.52.221.216/localmedia/media/surveys/samples/recording_2026-01-21_12-19-58_samples_wsc6LWg3sD.mp4</t>
  </si>
  <si>
    <t>dan raj</t>
  </si>
  <si>
    <t>0ef6b815-49b6-41a8-88d9-7ef209c1dfb8</t>
  </si>
  <si>
    <t>21/01/2026, 12:30:23</t>
  </si>
  <si>
    <t>16.406656, 81.751013</t>
  </si>
  <si>
    <t>MARKET YARD, SakhinetiPalli, Andhra Pradesh, India</t>
  </si>
  <si>
    <t>http://164.52.221.216/localmedia/media/surveys/samples/recording_2026-01-21_12-27-43_samples_mkcsJhD9eF.mp4</t>
  </si>
  <si>
    <t>sunil babu</t>
  </si>
  <si>
    <t>097a772c-b95f-47c6-9bef-235117627e22</t>
  </si>
  <si>
    <t>21/01/2026, 12:31:36</t>
  </si>
  <si>
    <t>16.507703, 81.960834</t>
  </si>
  <si>
    <t>H.NO=2-19, Pasarlapudilanka, Andhra Pradesh, India</t>
  </si>
  <si>
    <t>http://164.52.221.216/localmedia/media/surveys/samples/recording_2026-01-21_12-28-02_samples_HjjsIOpCAJ.mp4</t>
  </si>
  <si>
    <t>sasirekha</t>
  </si>
  <si>
    <t>049037ec-ff81-4d88-baff-90dbcff6aaa1</t>
  </si>
  <si>
    <t>21/01/2026, 12:35:05</t>
  </si>
  <si>
    <t>16.406421, 81.751526</t>
  </si>
  <si>
    <t>SHOP NO.5-3/2, SakhinetiPalli, Andhra Pradesh, India</t>
  </si>
  <si>
    <t>http://164.52.221.216/localmedia/media/surveys/samples/recording_2026-01-21_12-32-53_samples_tmHjWIRo56.mp4</t>
  </si>
  <si>
    <t>amar</t>
  </si>
  <si>
    <t>b2aa1a6e-ac9f-4ccb-9391-b2a9d2694394</t>
  </si>
  <si>
    <t>21/01/2026, 12:39:39</t>
  </si>
  <si>
    <t>16.394433, 81.749585</t>
  </si>
  <si>
    <t>9PVX+VVX, SakhinetiPalli, Andhra Pradesh, India</t>
  </si>
  <si>
    <t>http://164.52.221.216/localmedia/media/surveys/samples/recording_2026-01-21_12-37-31_samples_erVQCEmk9H.mp4</t>
  </si>
  <si>
    <t>rajesh</t>
  </si>
  <si>
    <t>550f1230-14e2-4c66-94b1-0ed12c6ec4e6</t>
  </si>
  <si>
    <t>21/01/2026, 12:40:14</t>
  </si>
  <si>
    <t>16.507405, 81.957629</t>
  </si>
  <si>
    <t>GX55+87Q, Mamidikududru, Andhra Pradesh, India</t>
  </si>
  <si>
    <t>http://164.52.221.216/localmedia/media/surveys/samples/recording_2026-01-21_12-36-52_samples_cCKZrz0ocW.mp4</t>
  </si>
  <si>
    <t xml:space="preserve">v. lakshmanrao </t>
  </si>
  <si>
    <t>e8997e29-dcfa-4844-ae49-0e633cf282fa</t>
  </si>
  <si>
    <t>21/01/2026, 12:47:11</t>
  </si>
  <si>
    <t>16.508259, 81.958219</t>
  </si>
  <si>
    <t>http://164.52.221.216/localmedia/media/surveys/samples/recording_2026-01-21_12-43-31_samples_ER1YuSwnw4.mp4</t>
  </si>
  <si>
    <t>arunakumari</t>
  </si>
  <si>
    <t>7f975e58-0cdc-4ca4-bd9f-e91f7befa8e8</t>
  </si>
  <si>
    <t>21/01/2026, 12:47:16</t>
  </si>
  <si>
    <t>16.405855, 81.743807</t>
  </si>
  <si>
    <t>CP4V+F84, SakhinetiPalli, Andhra Pradesh, India</t>
  </si>
  <si>
    <t>http://164.52.221.216/localmedia/media/surveys/samples/recording_2026-01-21_12-44-38_samples_qpFp1V4smD.mp4</t>
  </si>
  <si>
    <t>sarvanirao</t>
  </si>
  <si>
    <t>7ef5e70f-35b6-46a0-a920-f5daa88fb2f8</t>
  </si>
  <si>
    <t>21/01/2026, 12:56:52</t>
  </si>
  <si>
    <t>16.510945, 81.950921</t>
  </si>
  <si>
    <t>http://164.52.221.216/localmedia/media/surveys/samples/recording_2026-01-21_12-54-12_samples_kaqTQ6gfIz.mp4</t>
  </si>
  <si>
    <t>lakshmanrao</t>
  </si>
  <si>
    <t>87aedc59-f2ae-40ad-a111-f0f8ef8315e7</t>
  </si>
  <si>
    <t>21/01/2026, 13:12:22</t>
  </si>
  <si>
    <t>16.503360, 81.941731</t>
  </si>
  <si>
    <t>GW3R+H35, Pasarlapudi, Andhra Pradesh, India</t>
  </si>
  <si>
    <t>http://164.52.221.216/localmedia/media/surveys/samples/recording_2026-01-21_13-09-09_samples_txxKkFjmsm.mp4</t>
  </si>
  <si>
    <t xml:space="preserve">k. satyanarayana </t>
  </si>
  <si>
    <t>a54b7538-3c94-4a56-bbf7-887c012316b7</t>
  </si>
  <si>
    <t>21/01/2026, 13:20:19</t>
  </si>
  <si>
    <t>16.499598, 81.950242</t>
  </si>
  <si>
    <t>GW2X+6XF, Pasarlapudilanka, Andhra Pradesh, India</t>
  </si>
  <si>
    <t>http://164.52.221.216/localmedia/media/surveys/samples/recording_2026-01-21_13-15-13_samples_99vQyIZNnf.mp4</t>
  </si>
  <si>
    <t>k. peddilakshmi</t>
  </si>
  <si>
    <t>0258dba2-74bc-425e-bc82-6ea562ef45a3</t>
  </si>
  <si>
    <t>21/01/2026, 13:20:22</t>
  </si>
  <si>
    <t>http://164.52.221.216/localmedia/media/surveys/samples/recording_2026-01-21_13-15-13_samples_SNNjwFpGdH.mp4</t>
  </si>
  <si>
    <t>73dfd1f1-8c31-491b-a57b-8d52a9945162</t>
  </si>
  <si>
    <t>21/01/2026, 13:24:25</t>
  </si>
  <si>
    <t>16.405623, 81.742560</t>
  </si>
  <si>
    <t>CP4V+946, SakhinetiPalli, Andhra Pradesh, India</t>
  </si>
  <si>
    <t>http://164.52.221.216/localmedia/media/surveys/samples/recording_2026-01-21_13-22-22_samples_04DBwtO7CE.mp4</t>
  </si>
  <si>
    <t>asuu babau</t>
  </si>
  <si>
    <t>d8466483-bb35-4e3a-80d5-34ea09536112</t>
  </si>
  <si>
    <t>21/01/2026, 13:26:56</t>
  </si>
  <si>
    <t>16.406136, 81.743440</t>
  </si>
  <si>
    <t>http://164.52.221.216/localmedia/media/surveys/samples/recording_2026-01-21_13-25-15_samples_zhlXhbL3Hh.mp4</t>
  </si>
  <si>
    <t>subakar</t>
  </si>
  <si>
    <t>848a6975-bf9f-4a28-be69-29ece661e960</t>
  </si>
  <si>
    <t>21/01/2026, 13:26:57</t>
  </si>
  <si>
    <t>http://164.52.221.216/localmedia/media/surveys/samples/recording_2026-01-21_13-25-15_samples_LWYwQsmMmH.mp4</t>
  </si>
  <si>
    <t>b1b77c1f-acfd-4196-86cb-a5ff53f9df59</t>
  </si>
  <si>
    <t>21/01/2026, 13:38:13</t>
  </si>
  <si>
    <t>16.505427, 81.941496</t>
  </si>
  <si>
    <t>http://164.52.221.216/localmedia/media/surveys/samples/recording_2026-01-21_13-34-53_samples_5KMFifTos0.mp4</t>
  </si>
  <si>
    <t>devi</t>
  </si>
  <si>
    <t>a82163a1-9ab9-494b-b842-cb2c857a2780</t>
  </si>
  <si>
    <t>21/01/2026, 13:39:10</t>
  </si>
  <si>
    <t>16.406904, 81.751121</t>
  </si>
  <si>
    <t>http://164.52.221.216/localmedia/media/surveys/samples/recording_2026-01-21_13-37-08_samples_jzGaRuceWH.mp4</t>
  </si>
  <si>
    <t>nagababu</t>
  </si>
  <si>
    <t>75ac78b7-4589-4c44-8ab3-a1275d4bcbfc</t>
  </si>
  <si>
    <t>21/01/2026, 13:44:18</t>
  </si>
  <si>
    <t>16.407465, 81.752002</t>
  </si>
  <si>
    <t>CQ52+2RC, Gudimula Kandrika, Andhra Pradesh, India</t>
  </si>
  <si>
    <t>http://164.52.221.216/localmedia/media/surveys/samples/recording_2026-01-21_13-43-10_samples_Qcm7qldeea.mp4</t>
  </si>
  <si>
    <t>9f6a6151-5563-4830-9aed-1e1203a88dc2</t>
  </si>
  <si>
    <t>21/01/2026, 13:46:09</t>
  </si>
  <si>
    <t>16.507824, 81.941822</t>
  </si>
  <si>
    <t>http://164.52.221.216/localmedia/media/surveys/samples/recording_2026-01-21_13-43-12_samples_xIP6msmREZ.mp4</t>
  </si>
  <si>
    <t xml:space="preserve">m. srinu </t>
  </si>
  <si>
    <t>2623a497-e69d-43a1-9263-0d0278d3e86d</t>
  </si>
  <si>
    <t>21/01/2026, 14:00:30</t>
  </si>
  <si>
    <t>16.409331, 81.751615</t>
  </si>
  <si>
    <t>CQ52+MMM, SakhinetiPalli, Andhra Pradesh, India</t>
  </si>
  <si>
    <t>http://164.52.221.216/localmedia/media/surveys/samples/recording_2026-01-21_13-58-28_samples_PSXD9LadeZ.mp4</t>
  </si>
  <si>
    <t>udaykiran</t>
  </si>
  <si>
    <t>b2866dae-dfce-4195-aa34-5af0bf5003bc</t>
  </si>
  <si>
    <t>21/01/2026, 14:06:13</t>
  </si>
  <si>
    <t>16.406766, 81.750897</t>
  </si>
  <si>
    <t>CQ42+Q85, Gondi, Andhra Pradesh, India</t>
  </si>
  <si>
    <t>http://164.52.221.216/localmedia/media/surveys/samples/recording_2026-01-21_14-03-57_samples_sNAY4oD8QJ.mp4</t>
  </si>
  <si>
    <t>nagedara</t>
  </si>
  <si>
    <t>824b0490-be1a-4a49-a0c5-5d767f365905</t>
  </si>
  <si>
    <t>http://164.52.221.216/localmedia/media/surveys/samples/recording_2026-01-21_14-03-57_samples_ncDkkBSSWR.mp4</t>
  </si>
  <si>
    <t>87d603a2-18bc-4615-8e87-9b1b40b6fc90</t>
  </si>
  <si>
    <t>http://164.52.221.216/localmedia/media/surveys/samples/recording_2026-01-21_14-03-57_samples_GXYTKTKddp.mp4</t>
  </si>
  <si>
    <t>2e86e718-7f2f-4915-b7bf-066c952d2b18</t>
  </si>
  <si>
    <t>21/01/2026, 14:11:10</t>
  </si>
  <si>
    <t>16.406841, 81.751867</t>
  </si>
  <si>
    <t>http://164.52.221.216/localmedia/media/surveys/samples/recording_2026-01-21_14-07-34_samples_HSSkx01Vvl.mp4</t>
  </si>
  <si>
    <t>saradi</t>
  </si>
  <si>
    <t>c901a76a-c1a6-46c3-9cc7-7542870d3869</t>
  </si>
  <si>
    <t>21/01/2026, 14:16:44</t>
  </si>
  <si>
    <t>16.410887, 81.752110</t>
  </si>
  <si>
    <t>http://164.52.221.216/localmedia/media/surveys/samples/recording_2026-01-21_14-14-08_samples_n0eN6nAWFz.mp4</t>
  </si>
  <si>
    <t>f5112317-d366-4bd5-84b8-8313f7d7437b</t>
  </si>
  <si>
    <t>21/01/2026, 14:23:15</t>
  </si>
  <si>
    <t>16.411464, 81.751709</t>
  </si>
  <si>
    <t>http://164.52.221.216/localmedia/media/surveys/samples/recording_2026-01-21_14-19-26_samples_2eDD9Ha8yh.mp4</t>
  </si>
  <si>
    <t>వృద్ధులు</t>
  </si>
  <si>
    <t>rambabau</t>
  </si>
  <si>
    <t>dbe2751e-9704-49d9-84f3-bc8f76703dcc</t>
  </si>
  <si>
    <t>21/01/2026, 14:51:46</t>
  </si>
  <si>
    <t>16.439442, 81.711800</t>
  </si>
  <si>
    <t>http://164.52.221.216/localmedia/media/surveys/samples/recording_2026-01-21_14-49-48_samples_fV5BZQ2A2I.mp4</t>
  </si>
  <si>
    <t>vikas</t>
  </si>
  <si>
    <t>e75a0365-c47c-4677-9db2-af78cb060ca5</t>
  </si>
  <si>
    <t>21/01/2026, 14:52:03</t>
  </si>
  <si>
    <t>16.439490, 81.711732</t>
  </si>
  <si>
    <t>T Obulesu</t>
  </si>
  <si>
    <t>http://164.52.221.216/localmedia/media/surveys/samples/recording_2026-01-21_14-49-31_samples_Ne9HH3nzET.mp4</t>
  </si>
  <si>
    <t>Dummy</t>
  </si>
  <si>
    <t>c442d598-3985-4a7a-9bab-dfe311f6128e</t>
  </si>
  <si>
    <t>21/01/2026, 14:55:04</t>
  </si>
  <si>
    <t>16.439606, 81.712265</t>
  </si>
  <si>
    <t>CPQ6+RQH, SakhinetiPalli, Andhra Pradesh, India</t>
  </si>
  <si>
    <t>http://164.52.221.216/localmedia/media/surveys/samples/recording_2026-01-21_14-52-55_samples_8nA6lBA3as.mp4</t>
  </si>
  <si>
    <t>darmababu</t>
  </si>
  <si>
    <t>659edde4-5b9f-4d7e-9fe2-d1af46a3e884</t>
  </si>
  <si>
    <t>21/01/2026, 15:01:17</t>
  </si>
  <si>
    <t>16.548328, 81.934653</t>
  </si>
  <si>
    <t>http://164.52.221.216/localmedia/media/surveys/samples/recording_2026-01-21_14-57-18_samples_CkFqO8mg19.mp4</t>
  </si>
  <si>
    <t>pallapu ranu</t>
  </si>
  <si>
    <t>0f383efd-cb15-4ebd-a605-714e8f8908ce</t>
  </si>
  <si>
    <t>21/01/2026, 15:10:13</t>
  </si>
  <si>
    <t>16.547880, 81.934246</t>
  </si>
  <si>
    <t>http://164.52.221.216/localmedia/media/surveys/samples/recording_2026-01-21_15-05-52_samples_BZTm8Ios88.mp4</t>
  </si>
  <si>
    <t>charan</t>
  </si>
  <si>
    <t>f8dbf9e4-4e57-44d3-9563-0bb086037cb3</t>
  </si>
  <si>
    <t>21/01/2026, 15:10:58</t>
  </si>
  <si>
    <t>16.439380, 81.711814</t>
  </si>
  <si>
    <t>CPQ6+PQH, SakhinetiPalli, Andhra Pradesh, India</t>
  </si>
  <si>
    <t>http://164.52.221.216/localmedia/media/surveys/samples/recording_2026-01-21_15-08-42_samples_VuGxtTt79B.mp4</t>
  </si>
  <si>
    <t>durgaprasad</t>
  </si>
  <si>
    <t>b5ec5909-e649-47f8-a462-3094c4c7d5a0</t>
  </si>
  <si>
    <t>21/01/2026, 15:16:38</t>
  </si>
  <si>
    <t>16.439694, 81.712631</t>
  </si>
  <si>
    <t>http://164.52.221.216/localmedia/media/surveys/samples/recording_2026-01-21_15-14-39_samples_A803uEUGOJ.mp4</t>
  </si>
  <si>
    <t>nageswarao</t>
  </si>
  <si>
    <t>a286fd31-4f68-4742-9507-c5df0b2315f0</t>
  </si>
  <si>
    <t>21/01/2026, 15:18:12</t>
  </si>
  <si>
    <t>16.551616, 81.929525</t>
  </si>
  <si>
    <t>HW2H+JQW, Peddapatnamlanka, Andhra Pradesh, India</t>
  </si>
  <si>
    <t>http://164.52.221.216/localmedia/media/surveys/samples/recording_2026-01-21_15-15-07_samples_TKj85o05qx.mp4</t>
  </si>
  <si>
    <t>durgrao</t>
  </si>
  <si>
    <t>33874f41-433f-42a0-b639-ceb77135b2bb</t>
  </si>
  <si>
    <t>21/01/2026, 15:22:24</t>
  </si>
  <si>
    <t>16.439394, 81.712071</t>
  </si>
  <si>
    <t>http://164.52.221.216/localmedia/media/surveys/samples/recording_2026-01-21_15-19-36_samples_K2EvpDWEqW.mp4</t>
  </si>
  <si>
    <t>vekatesh</t>
  </si>
  <si>
    <t>cef517b4-043b-486c-97aa-9382a0fd00b0</t>
  </si>
  <si>
    <t>21/01/2026, 15:22:37</t>
  </si>
  <si>
    <t>16.552349, 81.929466</t>
  </si>
  <si>
    <t>HW2H+WRR, Peddapatnamlanka, Andhra Pradesh, India</t>
  </si>
  <si>
    <t>http://164.52.221.216/localmedia/media/surveys/samples/recording_2026-01-21_15-20-16_samples_lgUeGpTRJd.mp4</t>
  </si>
  <si>
    <t>113e669b-1e33-4b09-9148-1027bb3b61ce</t>
  </si>
  <si>
    <t>21/01/2026, 15:30:01</t>
  </si>
  <si>
    <t>16.439008, 81.713683</t>
  </si>
  <si>
    <t>http://164.52.221.216/localmedia/media/surveys/samples/recording_2026-01-21_15-28-00_samples_GDhqL13PrQ.mp4</t>
  </si>
  <si>
    <t>be6512ba-6d7a-48b3-9485-9558d4be3477</t>
  </si>
  <si>
    <t>21/01/2026, 15:36:53</t>
  </si>
  <si>
    <t>16.559388, 81.926083</t>
  </si>
  <si>
    <t>HW5H+Q4, Peddapatnamlanka, Andhra Pradesh, India</t>
  </si>
  <si>
    <t>http://164.52.221.216/localmedia/media/surveys/samples/recording_2026-01-21_15-33-06_samples_a59EnqrMlc.mp4</t>
  </si>
  <si>
    <t>pushpavathi</t>
  </si>
  <si>
    <t>07b161e5-d344-463e-b154-60909bf1c41d</t>
  </si>
  <si>
    <t>21/01/2026, 15:41:01</t>
  </si>
  <si>
    <t>16.438612, 81.712874</t>
  </si>
  <si>
    <t>http://164.52.221.216/localmedia/media/surveys/samples/recording_2026-01-21_15-38-23_samples_SejGTbUgy4.mp4</t>
  </si>
  <si>
    <t>chadarao</t>
  </si>
  <si>
    <t>aa9fcdc5-2abd-4180-8480-0e2708cc3613</t>
  </si>
  <si>
    <t>21/01/2026, 15:46:19</t>
  </si>
  <si>
    <t>16.557480, 81.924209</t>
  </si>
  <si>
    <t>HW4F+XPJ, Peddapatnamlanka, Andhra Pradesh, India</t>
  </si>
  <si>
    <t>http://164.52.221.216/localmedia/media/surveys/samples/recording_2026-01-21_15-40-59_samples_Qxy6QNtYVk.mp4</t>
  </si>
  <si>
    <t>veredra kumar</t>
  </si>
  <si>
    <t>3939b8c9-f1fb-47c3-9e57-f66fad97f602</t>
  </si>
  <si>
    <t>21/01/2026, 15:47:57</t>
  </si>
  <si>
    <t>16.367258, 81.744802</t>
  </si>
  <si>
    <t>9P8V+VQP, Gondi, Andhra Pradesh, India</t>
  </si>
  <si>
    <t>http://164.52.221.216/localmedia/media/surveys/samples/recording_2026-01-21_15-43-24_samples_9EomqHEtz8.mp4</t>
  </si>
  <si>
    <t>Kiran kumar</t>
  </si>
  <si>
    <t>15c3b100-b5aa-46fa-8cc1-00697527b2c5</t>
  </si>
  <si>
    <t>21/01/2026, 15:51:50</t>
  </si>
  <si>
    <t>16.439531, 81.711937</t>
  </si>
  <si>
    <t>http://164.52.221.216/localmedia/media/surveys/samples/recording_2026-01-21_15-50-30_samples_7TMZuylTfZ.mp4</t>
  </si>
  <si>
    <t>kiran</t>
  </si>
  <si>
    <t>4d126746-7740-4378-800b-0470537d9bd9</t>
  </si>
  <si>
    <t>http://164.52.221.216/localmedia/media/surveys/samples/recording_2026-01-21_15-50-30_samples_SqkKVSxKbu.mp4</t>
  </si>
  <si>
    <t>afc353d4-be07-41ad-bfbe-23ee5b398878</t>
  </si>
  <si>
    <t>21/01/2026, 15:52:35</t>
  </si>
  <si>
    <t>http://164.52.221.216/localmedia/media/surveys/samples/recording_2026-01-21_15-50-30_samples_QRwqf6sX1V.mp4</t>
  </si>
  <si>
    <t>f6b77415-caf3-437c-8f60-98348444701b</t>
  </si>
  <si>
    <t>21/01/2026, 15:54:19</t>
  </si>
  <si>
    <t>16.439434, 81.713973</t>
  </si>
  <si>
    <t>http://164.52.221.216/localmedia/media/surveys/samples/recording_2026-01-21_15-52-50_samples_CJyJPTGcZJ.mp4</t>
  </si>
  <si>
    <t>cc283c02-6878-467d-bb77-56bcae621390</t>
  </si>
  <si>
    <t>21/01/2026, 15:55:19</t>
  </si>
  <si>
    <t>16.557310, 81.923538</t>
  </si>
  <si>
    <t>HW5F+36Q, Pedapatnam, Andhra Pradesh, India</t>
  </si>
  <si>
    <t>http://164.52.221.216/localmedia/media/surveys/samples/recording_2026-01-21_15-50-11_samples_Rf1hMmqPcc.mp4</t>
  </si>
  <si>
    <t>ranarao</t>
  </si>
  <si>
    <t>058016f9-d075-4e85-81a8-5eef4a921bc3</t>
  </si>
  <si>
    <t>21/01/2026, 15:57:23</t>
  </si>
  <si>
    <t>16.368049, 81.745023</t>
  </si>
  <si>
    <t>9P9V+7WP, Gondi, Andhra Pradesh, India</t>
  </si>
  <si>
    <t>http://164.52.221.216/localmedia/media/surveys/samples/recording_2026-01-21_15-54-21_samples_YfJuG8IAQ2.mp4</t>
  </si>
  <si>
    <t>Gadela Jakkaraiah</t>
  </si>
  <si>
    <t>304d734e-43ad-4e19-a711-b05c1333febe</t>
  </si>
  <si>
    <t>21/01/2026, 16:02:13</t>
  </si>
  <si>
    <t>16.440296, 81.713974</t>
  </si>
  <si>
    <t>CPR7+5J9, Suvarnapeta, SakhinetiPalli, Andhra Pradesh, India</t>
  </si>
  <si>
    <t>http://164.52.221.216/localmedia/media/surveys/samples/recording_2026-01-21_16-00-35_samples_jjRfz7KHAg.mp4</t>
  </si>
  <si>
    <t>surinarayana</t>
  </si>
  <si>
    <t>42cc526d-303b-4786-89ba-007755f96ad7</t>
  </si>
  <si>
    <t>21/01/2026, 16:07:20</t>
  </si>
  <si>
    <t>16.367352, 81.745626</t>
  </si>
  <si>
    <t>SHOP NO.3, SakhinetiPalli, Andhra Pradesh, India</t>
  </si>
  <si>
    <t>http://164.52.221.216/localmedia/media/surveys/samples/recording_2026-01-21_16-05-23_samples_JOfBEqUXrN.mp4</t>
  </si>
  <si>
    <t>BandariVenkateswararao</t>
  </si>
  <si>
    <t>0de91b3b-5fcf-43c6-903d-bb680dea6dce</t>
  </si>
  <si>
    <t>21/01/2026, 16:08:54</t>
  </si>
  <si>
    <t>16.557408, 81.923077</t>
  </si>
  <si>
    <t>HW4F+X4C, Peddapatnamlanka, Andhra Pradesh, India</t>
  </si>
  <si>
    <t>http://164.52.221.216/localmedia/media/surveys/samples/recording_2026-01-21_16-06-05_samples_OaFUxRFePD.mp4</t>
  </si>
  <si>
    <t>t. anusha</t>
  </si>
  <si>
    <t>21757f11-e124-445a-a728-a08a0fee40f4</t>
  </si>
  <si>
    <t>21/01/2026, 16:13:21</t>
  </si>
  <si>
    <t>16.368072, 81.745121</t>
  </si>
  <si>
    <t>9P9W+44Q, Gondi, Andhra Pradesh, India</t>
  </si>
  <si>
    <t>http://164.52.221.216/localmedia/media/surveys/samples/recording_2026-01-21_16-11-04_samples_uB41I5im87.mp4</t>
  </si>
  <si>
    <t>N Subbalaxmi</t>
  </si>
  <si>
    <t>4b356e10-9261-47b3-b2b5-6e12cd5e4656</t>
  </si>
  <si>
    <t>21/01/2026, 16:16:30</t>
  </si>
  <si>
    <t>16.557118, 81.923569</t>
  </si>
  <si>
    <t>http://164.52.221.216/localmedia/media/surveys/samples/recording_2026-01-21_16-11-18_samples_8AESbbnr3h.mp4</t>
  </si>
  <si>
    <t>venkataratnam</t>
  </si>
  <si>
    <t>9d803f04-3091-4a49-bfe5-2315c587f3fb</t>
  </si>
  <si>
    <t>21/01/2026, 16:16:32</t>
  </si>
  <si>
    <t>http://164.52.221.216/localmedia/media/surveys/samples/recording_2026-01-21_16-11-18_samples_NKhJlrn688.mp4</t>
  </si>
  <si>
    <t>23a80a31-695c-4818-ac28-9d5793a94218</t>
  </si>
  <si>
    <t>21/01/2026, 16:24:45</t>
  </si>
  <si>
    <t>16.557431, 81.922884</t>
  </si>
  <si>
    <t>http://164.52.221.216/localmedia/media/surveys/samples/recording_2026-01-21_16-20-03_samples_KNpZkCgfyg.mp4</t>
  </si>
  <si>
    <t>sai babu</t>
  </si>
  <si>
    <t>e1268289-7132-454b-80bb-18c79a5e7099</t>
  </si>
  <si>
    <t>21/01/2026, 16:29:46</t>
  </si>
  <si>
    <t>16.367635, 81.745367</t>
  </si>
  <si>
    <t>SHOP NO.1, SakhinetiPalli, Andhra Pradesh, India</t>
  </si>
  <si>
    <t>http://164.52.221.216/localmedia/media/surveys/samples/recording_2026-01-21_16-27-01_samples_orqMtBRibQ.mp4</t>
  </si>
  <si>
    <t>Nakka Thulasirao</t>
  </si>
  <si>
    <t>cf25e7b8-52e4-4769-a3bf-f8324671ce6b</t>
  </si>
  <si>
    <t>21/01/2026, 16:29:47</t>
  </si>
  <si>
    <t>http://164.52.221.216/localmedia/media/surveys/samples/recording_2026-01-21_16-27-01_samples_SZGs8Pr3nu.mp4</t>
  </si>
  <si>
    <t>c6136e4d-37cd-4ff0-bf26-14eaeb910463</t>
  </si>
  <si>
    <t>21/01/2026, 16:29:57</t>
  </si>
  <si>
    <t>http://164.52.221.216/localmedia/media/surveys/samples/recording_2026-01-21_16-27-01_samples_RbHCTLe98m.mp4</t>
  </si>
  <si>
    <t>6451c599-5b47-44c4-9d6a-2f4bfbdccaf5</t>
  </si>
  <si>
    <t>21/01/2026, 16:38:21</t>
  </si>
  <si>
    <t>16.368059, 81.745052</t>
  </si>
  <si>
    <t>http://164.52.221.216/localmedia/media/surveys/samples/recording_2026-01-21_16-33-22_samples_wdTR4zenxp.mp4</t>
  </si>
  <si>
    <t>Ravi Sahadevudan</t>
  </si>
  <si>
    <t>b32d2fb3-3452-411e-b6e5-c4d81d7540db</t>
  </si>
  <si>
    <t>21/01/2026, 16:38:22</t>
  </si>
  <si>
    <t>http://164.52.221.216/localmedia/media/surveys/samples/recording_2026-01-21_16-33-22_samples_ogqyZgLMjK.mp4</t>
  </si>
  <si>
    <t>30c50ff5-9f5b-45de-9786-d2183f946f70</t>
  </si>
  <si>
    <t>21/01/2026, 16:38:36</t>
  </si>
  <si>
    <t>http://164.52.221.216/localmedia/media/surveys/samples/recording_2026-01-21_16-33-22_samples_hq2i0eLC7j.mp4</t>
  </si>
  <si>
    <t>615320f7-e235-4ee0-8598-6858993f4ea4</t>
  </si>
  <si>
    <t>21/01/2026, 16:39:29</t>
  </si>
  <si>
    <t>16.440288, 81.714897</t>
  </si>
  <si>
    <t>http://164.52.221.216/localmedia/media/surveys/samples/recording_2026-01-21_16-37-52_samples_YEECBgsyhF.mp4</t>
  </si>
  <si>
    <t>d8488677-178a-4418-bcfd-eda1b489a835</t>
  </si>
  <si>
    <t>21/01/2026, 16:41:49</t>
  </si>
  <si>
    <t>16.557143, 81.923216</t>
  </si>
  <si>
    <t>HW4F+W4V, Peddapatnamlanka, Andhra Pradesh, India</t>
  </si>
  <si>
    <t>http://164.52.221.216/localmedia/media/surveys/samples/recording_2026-01-21_16-36-34_samples_PdleawSLlR.mp4</t>
  </si>
  <si>
    <t xml:space="preserve">n. lakshmi </t>
  </si>
  <si>
    <t>eb448b12-1cf0-41ab-a9c6-b422d323dfb7</t>
  </si>
  <si>
    <t>21/01/2026, 16:49:04</t>
  </si>
  <si>
    <t>16.557098, 81.922670</t>
  </si>
  <si>
    <t>http://164.52.221.216/localmedia/media/surveys/samples/recording_2026-01-21_16-45-45_samples_CwuzH2sRkM.mp4</t>
  </si>
  <si>
    <t>kanakadurga</t>
  </si>
  <si>
    <t>c0508b50-b824-4d24-8577-f7ffa69a1015</t>
  </si>
  <si>
    <t>21/01/2026, 16:49:10</t>
  </si>
  <si>
    <t>http://164.52.221.216/localmedia/media/surveys/samples/recording_2026-01-21_16-45-45_samples_lU9VqvI4Lx.mp4</t>
  </si>
  <si>
    <t>8034aa8c-2d78-4381-9bb2-be1f2fd785c0</t>
  </si>
  <si>
    <t>21/01/2026, 16:49:19</t>
  </si>
  <si>
    <t>http://164.52.221.216/localmedia/media/surveys/samples/recording_2026-01-21_16-45-45_samples_WZdtSvAe6P.mp4</t>
  </si>
  <si>
    <t>54b24b2b-80cb-4338-a019-3fc0d93f4995</t>
  </si>
  <si>
    <t>21/01/2026, 16:54:56</t>
  </si>
  <si>
    <t>16.368738, 81.744791</t>
  </si>
  <si>
    <t>http://164.52.221.216/localmedia/media/surveys/samples/recording_2026-01-21_16-51-52_samples_C5nmtOUqlG.mp4</t>
  </si>
  <si>
    <t>Mutyalu</t>
  </si>
  <si>
    <t>0362d16f-6282-42fb-9e54-763302cc0b8f</t>
  </si>
  <si>
    <t>21/01/2026, 16:55:22</t>
  </si>
  <si>
    <t>16.556853, 81.923125</t>
  </si>
  <si>
    <t>http://164.52.221.216/localmedia/media/surveys/samples/recording_2026-01-21_16-52-03_samples_lpBtfhH9Wi.mp4</t>
  </si>
  <si>
    <t>g. boby</t>
  </si>
  <si>
    <t>e4f27887-7466-40c3-8654-632d459abc35</t>
  </si>
  <si>
    <t>21/01/2026, 16:56:53</t>
  </si>
  <si>
    <t>16.441120, 81.715011</t>
  </si>
  <si>
    <t>CPR7+5J9, SakhinetiPalli, Andhra Pradesh, India</t>
  </si>
  <si>
    <t>http://164.52.221.216/localmedia/media/surveys/samples/recording_2026-01-21_16-55-23_samples_AOIjGxizUg.mp4</t>
  </si>
  <si>
    <t>21760f2b-ac5f-4622-ba63-45c49bd9a7a6</t>
  </si>
  <si>
    <t>21/01/2026, 16:59:22</t>
  </si>
  <si>
    <t>16.368119, 81.745083</t>
  </si>
  <si>
    <t>http://164.52.221.216/localmedia/media/surveys/samples/recording_2026-01-21_16-56-24_samples_JY4Uomuo3S.mp4</t>
  </si>
  <si>
    <t>Satyanarayana</t>
  </si>
  <si>
    <t>5b3a966f-807b-4efe-8a05-f22acf43a3f8</t>
  </si>
  <si>
    <t>21/01/2026, 17:03:49</t>
  </si>
  <si>
    <t>16.556398, 81.922958</t>
  </si>
  <si>
    <t>http://164.52.221.216/localmedia/media/surveys/samples/recording_2026-01-21_16-59-42_samples_vRsqsnvpk5.mp4</t>
  </si>
  <si>
    <t>ganga bhavani</t>
  </si>
  <si>
    <t>dc01c1e0-7e1a-4f5c-8ce8-aff3821a946b</t>
  </si>
  <si>
    <t>21/01/2026, 17:09:33</t>
  </si>
  <si>
    <t>16.557452, 81.922482</t>
  </si>
  <si>
    <t>http://164.52.221.216/localmedia/media/surveys/samples/recording_2026-01-21_17-06-18_samples_bSrApESIoG.mp4</t>
  </si>
  <si>
    <t>pranitha</t>
  </si>
  <si>
    <t>fcbf60f4-bf5a-463d-87ce-0cd8345a3767</t>
  </si>
  <si>
    <t>21/01/2026, 17:09:43</t>
  </si>
  <si>
    <t>16.367475, 81.745580</t>
  </si>
  <si>
    <t>http://164.52.221.216/localmedia/media/surveys/samples/recording_2026-01-21_17-07-09_samples_jWwO6zh35x.mp4</t>
  </si>
  <si>
    <t>santhamurthy</t>
  </si>
  <si>
    <t>0dd0977d-666f-43b0-95a9-b64bb35c66ea</t>
  </si>
  <si>
    <t>21/01/2026, 17:15:53</t>
  </si>
  <si>
    <t>16.368028, 81.745087</t>
  </si>
  <si>
    <t>http://164.52.221.216/localmedia/media/surveys/samples/recording_2026-01-21_17-12-54_samples_TiDng6C6Gj.mp4</t>
  </si>
  <si>
    <t>shyamala</t>
  </si>
  <si>
    <t>53730970-fa6e-4707-ba98-9f82382d1b1a</t>
  </si>
  <si>
    <t>21/01/2026, 17:18:20</t>
  </si>
  <si>
    <t>16.557078, 81.922201</t>
  </si>
  <si>
    <t>HW4C+QPM, Peddapatnamlanka, Andhra Pradesh, India</t>
  </si>
  <si>
    <t>http://164.52.221.216/localmedia/media/surveys/samples/recording_2026-01-21_17-15-17_samples_V5WQYPie31.mp4</t>
  </si>
  <si>
    <t>4cf82d9d-418a-4f12-84c8-2d0f3249cda5</t>
  </si>
  <si>
    <t>21/01/2026, 17:18:21</t>
  </si>
  <si>
    <t>http://164.52.221.216/localmedia/media/surveys/samples/recording_2026-01-21_17-15-17_samples_DsWar3e2ce.mp4</t>
  </si>
  <si>
    <t>4097eb5d-9bfd-43ad-b6fa-d30160f54301</t>
  </si>
  <si>
    <t>http://164.52.221.216/localmedia/media/surveys/samples/recording_2026-01-21_17-15-17_samples_rxN44M3khu.mp4</t>
  </si>
  <si>
    <t>d6387fe4-291e-48c5-a929-2b778120de67</t>
  </si>
  <si>
    <t>21/01/2026, 17:19:19</t>
  </si>
  <si>
    <t>16.367475, 81.745634</t>
  </si>
  <si>
    <t>http://164.52.221.216/localmedia/media/surveys/samples/recording_2026-01-21_17-17-07_samples_vsfMej23Sq.mp4</t>
  </si>
  <si>
    <t>5f4cc8f7-9105-4915-a3a8-e11f287ecb01</t>
  </si>
  <si>
    <t>21/01/2026, 17:28:02</t>
  </si>
  <si>
    <t>16.372445, 81.744264</t>
  </si>
  <si>
    <t>9PFV+4G9, Gondi, Andhra Pradesh, India</t>
  </si>
  <si>
    <t>http://164.52.221.216/localmedia/media/surveys/samples/recording_2026-01-21_17-24-12_samples_jcxGHkoQpP.mp4</t>
  </si>
  <si>
    <t>M Raju</t>
  </si>
  <si>
    <t>46c86933-6479-484c-a1d1-18874edb49eb</t>
  </si>
  <si>
    <t>21/01/2026, 17:33:09</t>
  </si>
  <si>
    <t>16.440670, 81.715245</t>
  </si>
  <si>
    <t>http://164.52.221.216/localmedia/media/surveys/samples/recording_2026-01-21_17-31-18_samples_eNQDOMplV5.mp4</t>
  </si>
  <si>
    <t>shlini</t>
  </si>
  <si>
    <t>f111dcd7-ddc8-45a9-9f38-4baddd268fe8</t>
  </si>
  <si>
    <t>21/01/2026, 17:36:39</t>
  </si>
  <si>
    <t>16.396756, 81.749501</t>
  </si>
  <si>
    <t>SHOP NO.5-2, Gondi, Andhra Pradesh, India</t>
  </si>
  <si>
    <t>http://164.52.221.216/localmedia/media/surveys/samples/recording_2026-01-21_17-34-46_samples_L2DN5TBeSP.mp4</t>
  </si>
  <si>
    <t>M padma</t>
  </si>
  <si>
    <t>f4c68e2d-1ba9-45d1-8b9d-7341fd786d07</t>
  </si>
  <si>
    <t>21/01/2026, 17:36:42</t>
  </si>
  <si>
    <t>http://164.52.221.216/localmedia/media/surveys/samples/recording_2026-01-21_17-34-46_samples_NZc4QBMSmN.mp4</t>
  </si>
  <si>
    <t>9095a2da-f0f2-457f-b188-527b184f0384</t>
  </si>
  <si>
    <t>21/01/2026, 17:40:45</t>
  </si>
  <si>
    <t>16.440405, 81.714641</t>
  </si>
  <si>
    <t>http://164.52.221.216/localmedia/media/surveys/samples/recording_2026-01-21_17-38-45_samples_NwiWNchXoA.mp4</t>
  </si>
  <si>
    <t xml:space="preserve">mohan </t>
  </si>
  <si>
    <t>7a6ad7c3-bc97-4e0a-b4ce-7a273072fa5b</t>
  </si>
  <si>
    <t>21/01/2026, 17:43:21</t>
  </si>
  <si>
    <t>16.556888, 81.921241</t>
  </si>
  <si>
    <t>No address</t>
  </si>
  <si>
    <t>http://164.52.221.216/localmedia/media/surveys/samples/recording_2026-01-21_17-38-38_samples_16pKsgq8XF.mp4</t>
  </si>
  <si>
    <t>mahalakshmi</t>
  </si>
  <si>
    <t>bb84f367-70eb-4d83-b171-b945ae01f930</t>
  </si>
  <si>
    <t>21/01/2026, 17:54:07</t>
  </si>
  <si>
    <t>16.411877, 81.751909</t>
  </si>
  <si>
    <t>CQ62+QM9, SakhinetiPalli, Andhra Pradesh, India</t>
  </si>
  <si>
    <t>http://164.52.221.216/localmedia/media/surveys/samples/recording_2026-01-21_17-50-54_samples_VvSOXMTNxT.mp4</t>
  </si>
  <si>
    <t>ravikumar</t>
  </si>
  <si>
    <t>1b128acd-f945-4ad2-a9f5-10b673aa5ffe</t>
  </si>
  <si>
    <t>21/01/2026, 17:56:24</t>
  </si>
  <si>
    <t>16.557618, 81.920586</t>
  </si>
  <si>
    <t>http://164.52.221.216/localmedia/media/surveys/samples/recording_2026-01-21_17-50-44_samples_co1NqQEx92.mp4</t>
  </si>
  <si>
    <t xml:space="preserve">chinna </t>
  </si>
  <si>
    <t>Q2 kept his own</t>
  </si>
  <si>
    <t>Q1 kept his own</t>
  </si>
  <si>
    <t>Q1,5,10 kept his own</t>
  </si>
  <si>
    <t>Q9,10,13 kept his own</t>
  </si>
  <si>
    <t>Q5,6 kept his own</t>
  </si>
  <si>
    <t>Q1,9 kept his own</t>
  </si>
  <si>
    <t>Q6,12 kept his own</t>
  </si>
  <si>
    <t>Q1,6 kept his own</t>
  </si>
  <si>
    <t>Caste - Mala</t>
  </si>
  <si>
    <t>But not asking the Q1 question properly</t>
  </si>
  <si>
    <t>Caste-Gouda</t>
  </si>
  <si>
    <t>Caste-Gouda, Didn''t asked Q4,Q6 questions properly, Skipped Q5 question</t>
  </si>
  <si>
    <t>Didn't asked Q6 properly, kept on his own</t>
  </si>
  <si>
    <t>Q6 Not asking properly</t>
  </si>
  <si>
    <t>Q6 didn't mentioned the options to respondent and also Q8 kept on his own</t>
  </si>
  <si>
    <t>Caste,Q8,9,10 kept on his own</t>
  </si>
  <si>
    <t>Q9,10 kept on his own</t>
  </si>
  <si>
    <t>Didn't ask caste and Q7 respondent mentioned YSRCP</t>
  </si>
  <si>
    <t>Q9 kept on his own</t>
  </si>
  <si>
    <t>Q7 kept his own and not asking caste</t>
  </si>
  <si>
    <t>Q2,3,4,5,7 respondent not said properly</t>
  </si>
  <si>
    <t>Q7 respondent not said properly</t>
  </si>
  <si>
    <t>Q3,5 respondent not said properly</t>
  </si>
  <si>
    <t>Q1,12 kept his own</t>
  </si>
  <si>
    <t>Q5,6,18 kept on his own</t>
  </si>
  <si>
    <t>Q18 kept on his own and didn't ask caste</t>
  </si>
  <si>
    <t>Q18 kept on his own</t>
  </si>
  <si>
    <t>Caste - Settibalija</t>
  </si>
  <si>
    <t>Q6,8 both kept on his own and didn't ask caste</t>
  </si>
  <si>
    <t>respondent is male</t>
  </si>
  <si>
    <t>Q6 didn't asked properly</t>
  </si>
  <si>
    <t>Q1,7,10 kept his own</t>
  </si>
  <si>
    <t>Q7,18 kept his own respondent male but mentioned female</t>
  </si>
  <si>
    <t>Q5,6,9,10 kept on his own</t>
  </si>
  <si>
    <t>Didn't ask caste and Q18 kept on his own</t>
  </si>
  <si>
    <t>wrong caste entered, caste mentioned as Gowda</t>
  </si>
  <si>
    <t>Didn't ask Q6,7</t>
  </si>
  <si>
    <t>Q14 not asking and respondent male but mentioned female</t>
  </si>
  <si>
    <t>Q1,2,3,4,5,6 not asking caste also</t>
  </si>
  <si>
    <t>Fake Audio/Empty Audio</t>
  </si>
  <si>
    <t>surveyor asking some questions but respondent not there</t>
  </si>
  <si>
    <t>Q1,2,3,4,5,6,7,8 not asking</t>
  </si>
  <si>
    <t>Q12 not asking and caste also</t>
  </si>
  <si>
    <t>surveyor asking questions but respondent not there</t>
  </si>
  <si>
    <t>Q6,Q7 didn't asked properly and entered on his own</t>
  </si>
  <si>
    <t>Q6 entered on his own</t>
  </si>
  <si>
    <t>Hurried in completing the questionnaire and not letting the respondent to complete thier response</t>
  </si>
  <si>
    <t>took sample from a drunk person and eneterd responses on his own</t>
  </si>
  <si>
    <t>Entering some questions on hiw own and asking some questions randomly while travelling</t>
  </si>
  <si>
    <t>Saying the question out loud and entering on his own</t>
  </si>
  <si>
    <t>No respondent entered on his own</t>
  </si>
  <si>
    <t>Q6,Q12 kept on his own</t>
  </si>
  <si>
    <t>RAZOLE(SC)</t>
  </si>
  <si>
    <t>116c3a32-db66-4286-8eb7-9ac8a1e9d6f4</t>
  </si>
  <si>
    <t>1/22/2026, 12:07:08 PM</t>
  </si>
  <si>
    <t>16.402218, 81.778123</t>
  </si>
  <si>
    <t>Shop No.4-6/2, SakhinetiPalli, Andhra Pradesh, India</t>
  </si>
  <si>
    <t>http://164.52.221.216/localmedia/media/surveys/samples/recording_2026-01-22_12-05-11_samples_gXg4GnZ9wZ.mp4</t>
  </si>
  <si>
    <t>mallikarjuna</t>
  </si>
  <si>
    <t>Ashish Sk</t>
  </si>
  <si>
    <t>Not Doing it Properly</t>
  </si>
  <si>
    <t>Didn't ask caste, respondent gender is male but mentioned as female, Q8,9 kept on his own</t>
  </si>
  <si>
    <t>70664f94-c891-4996-805c-00f686d1dbbf</t>
  </si>
  <si>
    <t>1/22/2026, 12:08:05 PM</t>
  </si>
  <si>
    <t>16.330898, 81.734835</t>
  </si>
  <si>
    <t>Shop No, Antervedi Pallipalem, Andhra Pradesh, India</t>
  </si>
  <si>
    <t>http://164.52.221.216/localmedia/media/surveys/samples/recording_2026-01-22_12-03-26_samples_GyGxD8bE3I.mp4</t>
  </si>
  <si>
    <t>simhachala swamy</t>
  </si>
  <si>
    <t>Deepika D</t>
  </si>
  <si>
    <t>correctly done</t>
  </si>
  <si>
    <t>3fb96e6d-99ad-43f0-8ea9-46753a1440b8</t>
  </si>
  <si>
    <t>1/22/2026, 1:30:34 PM</t>
  </si>
  <si>
    <t>16.403468, 81.781453</t>
  </si>
  <si>
    <t>CQ3J+F8P, SakhinetiPalli, Andhra Pradesh, India</t>
  </si>
  <si>
    <t>http://164.52.221.216/localmedia/media/surveys/samples/recording_2026-01-22_13-29-15_samples_GvaVKT2JsZ.mp4</t>
  </si>
  <si>
    <t>paveen</t>
  </si>
  <si>
    <t>Q6 kept on his own</t>
  </si>
  <si>
    <t>105e1829-8180-4959-9436-57ce401521f4</t>
  </si>
  <si>
    <t>http://164.52.221.216/localmedia/media/surveys/samples/recording_2026-01-22_12-03-26_samples_frryR5Rxa0.mp4</t>
  </si>
  <si>
    <t>No remarks</t>
  </si>
  <si>
    <t>d0e8f2ec-a871-4844-b32e-f968e0880144</t>
  </si>
  <si>
    <t>1/22/2026, 12:10:19 PM</t>
  </si>
  <si>
    <t>16.504146, 81.878165</t>
  </si>
  <si>
    <t>GV3H+M83, Tatipaka, Andhra Pradesh, India</t>
  </si>
  <si>
    <t>http://164.52.221.216/localmedia/media/surveys/samples/recording_2026-01-22_12-07-20_samples_Lb3C7MnI78.mp4</t>
  </si>
  <si>
    <t>sunil varma</t>
  </si>
  <si>
    <t>effed641-e941-43d7-8582-4cfb99b35699</t>
  </si>
  <si>
    <t>1/22/2026, 12:10:24 PM</t>
  </si>
  <si>
    <t>16.403033, 81.777928</t>
  </si>
  <si>
    <t>CQ3H+558, SakhinetiPalli, Andhra Pradesh, India</t>
  </si>
  <si>
    <t>http://164.52.221.216/localmedia/media/surveys/samples/recording_2026-01-22_12-08-29_samples_ew09VqmqEG.mp4</t>
  </si>
  <si>
    <t>balu</t>
  </si>
  <si>
    <t>c237c19c-7ae1-472e-ba77-fc0baea1ccc7</t>
  </si>
  <si>
    <t>1/22/2026, 1:34:06 PM</t>
  </si>
  <si>
    <t>16.328799, 81.734687</t>
  </si>
  <si>
    <t>Temple road, Antervedi Pallipalem, Andhra Pradesh, India</t>
  </si>
  <si>
    <t>http://164.52.221.216/localmedia/media/surveys/samples/recording_2026-01-22_13-30-40_samples_4p0vvGMRYH.mp4</t>
  </si>
  <si>
    <t>yasodamma</t>
  </si>
  <si>
    <t>all options kept on his own (Fake audio)</t>
  </si>
  <si>
    <t>02baed90-9372-41db-b7ee-723256d1bee1</t>
  </si>
  <si>
    <t>1/22/2026, 2:28:07 PM</t>
  </si>
  <si>
    <t>16.509017, 81.876670</t>
  </si>
  <si>
    <t>SHOP NO.45-21/2, Mamidikududru, Andhra Pradesh, India</t>
  </si>
  <si>
    <t>http://164.52.221.216/localmedia/media/surveys/samples/recording_2026-01-22_14-24-59_samples_AAZvwW57Ms.mp4</t>
  </si>
  <si>
    <t>c27b93d3-5efa-45d0-be6e-cf723ff458b8</t>
  </si>
  <si>
    <t>1/22/2026, 12:19:24 PM</t>
  </si>
  <si>
    <t>16.403084, 81.778672</t>
  </si>
  <si>
    <t>near Antervedi road center, SakhinetiPalli, Andhra Pradesh, India</t>
  </si>
  <si>
    <t>http://164.52.221.216/localmedia/media/surveys/samples/recording_2026-01-22_12-17-37_samples_o7P3suQL4k.mp4</t>
  </si>
  <si>
    <t>naradiharao</t>
  </si>
  <si>
    <t>Q18 kept on his own, Gender - Male</t>
  </si>
  <si>
    <t>d69e05bf-6ab1-440c-9c30-d6cca1e3cedc</t>
  </si>
  <si>
    <t>1/22/2026, 12:04:33 PM</t>
  </si>
  <si>
    <t>16.503772, 81.878394</t>
  </si>
  <si>
    <t>3, Tatipaka, Andhra Pradesh, India</t>
  </si>
  <si>
    <t>http://164.52.221.216/localmedia/media/surveys/samples/recording_2026-01-22_12-01-28_samples_Vm0OK4kRUH.mp4</t>
  </si>
  <si>
    <t>Q4 kept his own</t>
  </si>
  <si>
    <t>23cdcd12-56d3-45a2-a97b-850fc291f9da</t>
  </si>
  <si>
    <t>1/22/2026, 1:39:00 PM</t>
  </si>
  <si>
    <t>16.330221, 81.734986</t>
  </si>
  <si>
    <t>8PHP+X56, Antervedi Pallipalem, Andhra Pradesh, India</t>
  </si>
  <si>
    <t>http://164.52.221.216/localmedia/media/surveys/samples/recording_2026-01-22_13-36-18_samples_RJzNYSjQkI.mp4</t>
  </si>
  <si>
    <t>rajababu</t>
  </si>
  <si>
    <t>fake audio / empty audio</t>
  </si>
  <si>
    <t>d3ce8dda-68ff-453b-9484-12930491b5cb</t>
  </si>
  <si>
    <t>1/22/2026, 2:33:04 PM</t>
  </si>
  <si>
    <t>16.509712, 81.876384</t>
  </si>
  <si>
    <t>GV5G+VCG, Tatipaka, Andhra Pradesh, India</t>
  </si>
  <si>
    <t>http://164.52.221.216/localmedia/media/surveys/samples/recording_2026-01-22_14-30-18_samples_irWdyUoxLW.mp4</t>
  </si>
  <si>
    <t>santosh</t>
  </si>
  <si>
    <t>No Remarks</t>
  </si>
  <si>
    <t>28ae6eca-701b-4444-b76b-27277c2cf199</t>
  </si>
  <si>
    <t>1/22/2026, 3:47:57 PM</t>
  </si>
  <si>
    <t>16.333177, 81.733883</t>
  </si>
  <si>
    <t>SHOP NO.9, SAKHINETIPALLI, Andhra Pradesh, India</t>
  </si>
  <si>
    <t>http://164.52.221.216/localmedia/media/surveys/samples/recording_2026-01-22_15-43-30_samples_m73PrJd7Vl.mp4</t>
  </si>
  <si>
    <t>narasimhamurthy</t>
  </si>
  <si>
    <t>Fake sample</t>
  </si>
  <si>
    <t>3eeedec8-1f5e-4f67-9cb7-dd439f409edb</t>
  </si>
  <si>
    <t>1/22/2026, 3:51:11 PM</t>
  </si>
  <si>
    <t>16.359747, 81.794736</t>
  </si>
  <si>
    <t>9Q5V+QHP, Kesavadasupalem, Andhra Pradesh, India</t>
  </si>
  <si>
    <t>http://164.52.221.216/localmedia/media/surveys/samples/recording_2026-01-22_15-49-32_samples_aURuaNDaIi.mp4</t>
  </si>
  <si>
    <t>vekatanarayana</t>
  </si>
  <si>
    <t>Correctly done</t>
  </si>
  <si>
    <t>e2e8a58a-0819-4e20-9262-f5f0adcc060a</t>
  </si>
  <si>
    <t>1/22/2026, 4:05:52 PM</t>
  </si>
  <si>
    <t>16.359615, 81.792753</t>
  </si>
  <si>
    <t>9Q5V+V3W, Kesavadasupalem, Andhra Pradesh, India</t>
  </si>
  <si>
    <t>http://164.52.221.216/localmedia/media/surveys/samples/recording_2026-01-22_16-03-17_samples_CLdveXrPC5.mp4</t>
  </si>
  <si>
    <t>veravekatarathnam</t>
  </si>
  <si>
    <t>66414b27-5599-471c-ba5b-cd44e6e76b59</t>
  </si>
  <si>
    <t>1/22/2026, 4:30:02 PM</t>
  </si>
  <si>
    <t>16.358432, 81.794141</t>
  </si>
  <si>
    <t>http://164.52.221.216/localmedia/media/surveys/samples/recording_2026-01-22_16-28-45_samples_RT58RIKp9r.mp4</t>
  </si>
  <si>
    <t>vekat</t>
  </si>
  <si>
    <t>d07f0f0f-e02c-4f3a-953b-86de0d3695b6</t>
  </si>
  <si>
    <t>1/22/2026, 4:57:38 PM</t>
  </si>
  <si>
    <t>16.360061, 81.796439</t>
  </si>
  <si>
    <t>9Q6W+377, Kesavadasupalem, Andhra Pradesh, India</t>
  </si>
  <si>
    <t>http://164.52.221.216/localmedia/media/surveys/samples/recording_2026-01-22_16-55-47_samples_a30AVutzoU.mp4</t>
  </si>
  <si>
    <t>Hurried in completing the questionnaire and kept Q12 on his own, didn't mentioned the options to the respondent, the respondent said Rapaka varaprasad</t>
  </si>
  <si>
    <t>908377b1-e04f-426c-9746-2ca4f663ffb1</t>
  </si>
  <si>
    <t>1/22/2026, 12:30:28 PM</t>
  </si>
  <si>
    <t>16.403226, 81.778952</t>
  </si>
  <si>
    <t>Anthervedipalem, Malikipuram, Andhra Pradesh, India</t>
  </si>
  <si>
    <t>http://164.52.221.216/localmedia/media/surveys/samples/recording_2026-01-22_12-28-34_samples_8RSHswoSMi.mp4</t>
  </si>
  <si>
    <t>likith</t>
  </si>
  <si>
    <t>Wrong caste entered</t>
  </si>
  <si>
    <t>b8884263-6e12-4566-bc1d-4aab5fea6d9e</t>
  </si>
  <si>
    <t>1/22/2026, 1:40:15 PM</t>
  </si>
  <si>
    <t>16.401604, 81.782626</t>
  </si>
  <si>
    <t>CQ2M+CCM, Antarvedipalem, Andhra Pradesh, India</t>
  </si>
  <si>
    <t>http://164.52.221.216/localmedia/media/surveys/samples/recording_2026-01-22_13-38-17_samples_P8YrpU8tel.mp4</t>
  </si>
  <si>
    <t>thathajii</t>
  </si>
  <si>
    <t>c4b9f5ba-4fb6-424a-9c96-3152e651b518</t>
  </si>
  <si>
    <t>1/22/2026, 2:42:39 PM</t>
  </si>
  <si>
    <t>16.333514, 81.733830</t>
  </si>
  <si>
    <t>8PMM+CGG, Antervedi Pallipalem, Andhra Pradesh, India</t>
  </si>
  <si>
    <t>http://164.52.221.216/localmedia/media/surveys/samples/recording_2026-01-22_14-39-22_samples_mWkWDX0d43.mp4</t>
  </si>
  <si>
    <t>fake audio</t>
  </si>
  <si>
    <t>3c35886b-3460-4119-bb1c-ff96beaa4dc7</t>
  </si>
  <si>
    <t>1/22/2026, 12:32:21 PM</t>
  </si>
  <si>
    <t>16.505582, 81.878262</t>
  </si>
  <si>
    <t>GV4H+98R, Tatipaka, Andhra Pradesh, India</t>
  </si>
  <si>
    <t>http://164.52.221.216/localmedia/media/surveys/samples/recording_2026-01-22_12-29-48_samples_pj1NzsEf8j.mp4</t>
  </si>
  <si>
    <t>venkateswaramanaa</t>
  </si>
  <si>
    <t>098f4ef6-5e9d-44bc-bbcc-78f79e88af51</t>
  </si>
  <si>
    <t>1/22/2026, 1:42:52 PM</t>
  </si>
  <si>
    <t>16.331085, 81.735005</t>
  </si>
  <si>
    <t>http://164.52.221.216/localmedia/media/surveys/samples/recording_2026-01-22_13-40-21_samples_yNsHyFLn94.mp4</t>
  </si>
  <si>
    <t>yelukoti</t>
  </si>
  <si>
    <t>fake audio/empty audio</t>
  </si>
  <si>
    <t>663f8847-74d8-44e0-ae87-d31d6b4cfc8d</t>
  </si>
  <si>
    <t>1/22/2026, 2:49:24 PM</t>
  </si>
  <si>
    <t>16.506535, 81.875811</t>
  </si>
  <si>
    <t>GV4G+G8H, Tatipaka, Andhra Pradesh, India</t>
  </si>
  <si>
    <t>http://164.52.221.216/localmedia/media/surveys/samples/recording_2026-01-22_14-45-30_samples_nWB8jMk5hr.mp4</t>
  </si>
  <si>
    <t>saronana</t>
  </si>
  <si>
    <t>a724ab57-d0b7-4539-a24a-9825a2a3ec8a</t>
  </si>
  <si>
    <t>1/22/2026, 3:47:58 PM</t>
  </si>
  <si>
    <t>http://164.52.221.216/localmedia/media/surveys/samples/recording_2026-01-22_15-43-30_samples_zoxLFol0bZ.mp4</t>
  </si>
  <si>
    <t>9bb4130d-3781-462f-aad8-a1aad67ef83d</t>
  </si>
  <si>
    <t>1/22/2026, 12:32:40 PM</t>
  </si>
  <si>
    <t>16.403303, 81.780366</t>
  </si>
  <si>
    <t>http://164.52.221.216/localmedia/media/surveys/samples/recording_2026-01-22_12-31-21_samples_gyLRqb5o6e.mp4</t>
  </si>
  <si>
    <t>ajay</t>
  </si>
  <si>
    <t>Q1 kept on his own</t>
  </si>
  <si>
    <t>86f27f0f-91be-4fcf-86ac-26ae96d8d596</t>
  </si>
  <si>
    <t>1/22/2026, 12:32:51 PM</t>
  </si>
  <si>
    <t>16.330588, 81.734401</t>
  </si>
  <si>
    <t>http://164.52.221.216/localmedia/media/surveys/samples/recording_2026-01-22_12-27-21_samples_DU3txvzGCQ.mp4</t>
  </si>
  <si>
    <t>J durgaprasad</t>
  </si>
  <si>
    <t>2e3c2f2b-a2ce-4b8c-a70d-4fb65c317054</t>
  </si>
  <si>
    <t>1/22/2026, 12:37:53 PM</t>
  </si>
  <si>
    <t>16.332176, 81.733073</t>
  </si>
  <si>
    <t>8PJM+WGM, Antervedi Pallipalem, Andhra Pradesh, India</t>
  </si>
  <si>
    <t>http://164.52.221.216/localmedia/media/surveys/samples/recording_2026-01-22_12-34-32_samples_QjYfesgXBV.mp4</t>
  </si>
  <si>
    <t>nagamanidevi</t>
  </si>
  <si>
    <t>673284cb-a99f-403b-8f06-94da032f3c3e</t>
  </si>
  <si>
    <t>1/22/2026, 12:08:17 PM</t>
  </si>
  <si>
    <t>http://164.52.221.216/localmedia/media/surveys/samples/recording_2026-01-22_12-03-26_samples_zImHtL4pr4.mp4</t>
  </si>
  <si>
    <t>2464fb84-e2f4-4d9a-aec1-6b35813562fe</t>
  </si>
  <si>
    <t>1/22/2026, 1:50:50 PM</t>
  </si>
  <si>
    <t>16.400911, 81.781998</t>
  </si>
  <si>
    <t>8-155, Antarvedipalem, Andhra Pradesh, India</t>
  </si>
  <si>
    <t>http://164.52.221.216/localmedia/media/surveys/samples/recording_2026-01-22_13-49-36_samples_KJnRNJqpdx.mp4</t>
  </si>
  <si>
    <t>ramesh</t>
  </si>
  <si>
    <t>respondent male but mentioned feamle</t>
  </si>
  <si>
    <t>b819d39d-6e3e-41d3-b923-4ee894a33a04</t>
  </si>
  <si>
    <t>1/22/2026, 12:26:31 PM</t>
  </si>
  <si>
    <t>16.402865, 81.778272</t>
  </si>
  <si>
    <t>http://164.52.221.216/localmedia/media/surveys/samples/recording_2026-01-22_12-24-32_samples_RCOXnSLl1C.mp4</t>
  </si>
  <si>
    <t>halleshaa</t>
  </si>
  <si>
    <t>Q9 kept his own</t>
  </si>
  <si>
    <t>0ce68bcd-1eed-4e57-b9ee-0437ff8837b4</t>
  </si>
  <si>
    <t>1/22/2026, 12:21:39 PM</t>
  </si>
  <si>
    <t>16.403686, 81.779231</t>
  </si>
  <si>
    <t>CQ3H+GJ3, SakhinetiPalli, Andhra Pradesh, India</t>
  </si>
  <si>
    <t>http://164.52.221.216/localmedia/media/surveys/samples/recording_2026-01-22_12-20-17_samples_hcIwZPUOY1.mp4</t>
  </si>
  <si>
    <t>vasu</t>
  </si>
  <si>
    <t>Q1 kept his own, Q4 not explaining padhakalu to the respondent , respondent male but mentioned female</t>
  </si>
  <si>
    <t>87fe17c3-ec8f-4683-ab63-c935eee66a6a</t>
  </si>
  <si>
    <t>1/22/2026, 12:49:10 PM</t>
  </si>
  <si>
    <t>16.404156, 81.780988</t>
  </si>
  <si>
    <t>CQ3J+F8P, Antarvedipalem, Andhra Pradesh, India</t>
  </si>
  <si>
    <t>http://164.52.221.216/localmedia/media/surveys/samples/recording_2026-01-22_12-46-52_samples_n6lVXxUx8z.mp4</t>
  </si>
  <si>
    <t>rajak</t>
  </si>
  <si>
    <t>not asking caste , Q9,17  kept his own</t>
  </si>
  <si>
    <t>f275f938-97aa-4cee-9267-722db61dbeca</t>
  </si>
  <si>
    <t>1/22/2026, 1:52:34 PM</t>
  </si>
  <si>
    <t>16.506999, 81.878113</t>
  </si>
  <si>
    <t>D.NO:7-50, Tatipaka, Andhra Pradesh, India</t>
  </si>
  <si>
    <t>http://164.52.221.216/localmedia/media/surveys/samples/recording_2026-01-22_13-49-12_samples_j8S6saeVsO.mp4</t>
  </si>
  <si>
    <t>kannaraju</t>
  </si>
  <si>
    <t>Caste is Different</t>
  </si>
  <si>
    <t>266b585b-cd22-48ca-b03c-f8ca84c86a8e</t>
  </si>
  <si>
    <t>1/22/2026, 2:58:39 PM</t>
  </si>
  <si>
    <t>16.504929, 81.874138</t>
  </si>
  <si>
    <t>GV4F+5RM, Tatipaka, Andhra Pradesh, India</t>
  </si>
  <si>
    <t>http://164.52.221.216/localmedia/media/surveys/samples/recording_2026-01-22_14-53-50_samples_TkvmaIsXJN.mp4</t>
  </si>
  <si>
    <t>srinivasa naidu</t>
  </si>
  <si>
    <t>d0b1d62b-6197-4910-bec3-d65787d18f18</t>
  </si>
  <si>
    <t>1/22/2026, 3:48:06 PM</t>
  </si>
  <si>
    <t>http://164.52.221.216/localmedia/media/surveys/samples/recording_2026-01-22_15-43-30_samples_h46o2BS142.mp4</t>
  </si>
  <si>
    <t>2f35d7dd-fcd3-4923-9a1e-bef48e9404a0</t>
  </si>
  <si>
    <t>1/22/2026, 3:56:33 PM</t>
  </si>
  <si>
    <t>16.359525, 81.792788</t>
  </si>
  <si>
    <t>http://164.52.221.216/localmedia/media/surveys/samples/recording_2026-01-22_15-54-13_samples_DLOx9BxGFw.mp4</t>
  </si>
  <si>
    <t>f7d9778a-cb1b-4264-89db-eb5fc4a1f27d</t>
  </si>
  <si>
    <t>1/22/2026, 4:11:46 PM</t>
  </si>
  <si>
    <t>16.359992, 81.793403</t>
  </si>
  <si>
    <t>Shop No, Gondi, Andhra Pradesh, India</t>
  </si>
  <si>
    <t>http://164.52.221.216/localmedia/media/surveys/samples/recording_2026-01-22_16-08-35_samples_IZ9n0AmEAj.mp4</t>
  </si>
  <si>
    <t>sudhir</t>
  </si>
  <si>
    <t>04a42c65-e725-4df0-bdf3-c7f47aec7133</t>
  </si>
  <si>
    <t>1/22/2026, 4:31:27 PM</t>
  </si>
  <si>
    <t>16.332541, 81.734038</t>
  </si>
  <si>
    <t>8PJM+WJW, Antervedi Pallipalem, Andhra Pradesh, India</t>
  </si>
  <si>
    <t>http://164.52.221.216/localmedia/media/surveys/samples/recording_2026-01-22_16-27-47_samples_PWvRAFqdIH.mp4</t>
  </si>
  <si>
    <t>nagarathnamma</t>
  </si>
  <si>
    <t>1798b4bb-5b40-4169-ba62-c0a2adb65abc</t>
  </si>
  <si>
    <t>1/22/2026, 5:00:27 PM</t>
  </si>
  <si>
    <t>16.359858, 81.793711</t>
  </si>
  <si>
    <t>4-183 KALVAMOGA CENTER KESAVADASUPALEM KESAVADASUPALEM SAKH, Kesavadasupalem, Andhra Pradesh, India</t>
  </si>
  <si>
    <t>http://164.52.221.216/localmedia/media/surveys/samples/recording_2026-01-22_16-58-49_samples_1gAFj7wpWE.mp4</t>
  </si>
  <si>
    <t>praveenkumar</t>
  </si>
  <si>
    <t>9cec00cd-4a4c-4f6f-b0cd-76bb4f7d4b99</t>
  </si>
  <si>
    <t>1/22/2026, 5:26:40 PM</t>
  </si>
  <si>
    <t>16.359849, 81.793604</t>
  </si>
  <si>
    <t>http://164.52.221.216/localmedia/media/surveys/samples/recording_2026-01-22_17-25-04_samples_2nU99SH2sO.mp4</t>
  </si>
  <si>
    <t>srinu</t>
  </si>
  <si>
    <t>b40e0b10-09e7-4ae3-bc92-426dc6eba2d6</t>
  </si>
  <si>
    <t>1/22/2026, 12:50:37 PM</t>
  </si>
  <si>
    <t>16.326748, 81.733251</t>
  </si>
  <si>
    <t>8PGM+W8R, Antervedi Pallipalem, Andhra Pradesh, India</t>
  </si>
  <si>
    <t>http://164.52.221.216/localmedia/media/surveys/samples/recording_2026-01-22_12-47-29_samples_PDKpbNFLvG.mp4</t>
  </si>
  <si>
    <t>bhaskar</t>
  </si>
  <si>
    <t>Surveyor kept all options on his own</t>
  </si>
  <si>
    <t>930512c2-de74-44e9-be07-e8cfc4bd3b18</t>
  </si>
  <si>
    <t>http://164.52.221.216/localmedia/media/surveys/samples/recording_2026-01-22_13-49-12_samples_9THEi1zWWf.mp4</t>
  </si>
  <si>
    <t>5688680a-fcd5-4075-a607-107330225163</t>
  </si>
  <si>
    <t>1/22/2026, 12:51:13 PM</t>
  </si>
  <si>
    <t>16.504461, 81.876955</t>
  </si>
  <si>
    <t>Tatipaka Road, Tatipaka, Andhra Pradesh, India</t>
  </si>
  <si>
    <t>http://164.52.221.216/localmedia/media/surveys/samples/recording_2026-01-22_12-37-34_samples_2FVvsJBtaR.mp4</t>
  </si>
  <si>
    <t>k. nageswararao</t>
  </si>
  <si>
    <t>57431ce6-47a3-40b3-ad42-5110ca637da4</t>
  </si>
  <si>
    <t>1/22/2026, 1:56:41 PM</t>
  </si>
  <si>
    <t>16.331666, 81.735239</t>
  </si>
  <si>
    <t>SHOP NO.1, SAKHINETIPALLI, Andhra Pradesh, India</t>
  </si>
  <si>
    <t>http://164.52.221.216/localmedia/media/surveys/samples/recording_2026-01-22_13-45-54_samples_cb6MBCIzBw.mp4</t>
  </si>
  <si>
    <t>srinivasulu</t>
  </si>
  <si>
    <t>Caste wrong- didn't asked the respondent correctly,</t>
  </si>
  <si>
    <t>633be197-bd3f-437f-987e-2f456e3bd712</t>
  </si>
  <si>
    <t>http://164.52.221.216/localmedia/media/surveys/samples/recording_2026-01-22_12-37-34_samples_Duu5ayIEBF.mp4</t>
  </si>
  <si>
    <t>055ad785-de11-4154-8f28-2714f4784691</t>
  </si>
  <si>
    <t>1/22/2026, 12:52:38 PM</t>
  </si>
  <si>
    <t>16.403082, 81.781541</t>
  </si>
  <si>
    <t>CQ3J+9VV, Antarvedipalem, Andhra Pradesh, India</t>
  </si>
  <si>
    <t>http://164.52.221.216/localmedia/media/surveys/samples/recording_2026-01-22_12-51-18_samples_dTeEbYAmcu.mp4</t>
  </si>
  <si>
    <t>muahad</t>
  </si>
  <si>
    <t>Q1,6 kept his own , asked questions too fast to complete the survey</t>
  </si>
  <si>
    <t>692e572a-bc20-484a-bc84-5241be18b549</t>
  </si>
  <si>
    <t>1/22/2026, 1:57:12 PM</t>
  </si>
  <si>
    <t>16.402746, 81.778049</t>
  </si>
  <si>
    <t>CQ3H+359, SakhinetiPalli, Andhra Pradesh, India</t>
  </si>
  <si>
    <t>http://164.52.221.216/localmedia/media/surveys/samples/recording_2026-01-22_13-56-09_samples_xrlt2VYxh8.mp4</t>
  </si>
  <si>
    <t>nani</t>
  </si>
  <si>
    <t>f284194d-300e-445d-bebb-60a45ac1171b</t>
  </si>
  <si>
    <t>1/22/2026, 3:01:44 PM</t>
  </si>
  <si>
    <t>16.332798, 81.733418</t>
  </si>
  <si>
    <t>15-2 Antervedi Devastanam, SakhinetiPalli, Andhra Pradesh, India</t>
  </si>
  <si>
    <t>http://164.52.221.216/localmedia/media/surveys/samples/recording_2026-01-22_14-59-47_samples_tXhAYqPmy2.mp4</t>
  </si>
  <si>
    <t>Madhunuru suryanarayanareddy</t>
  </si>
  <si>
    <t>465e37b5-68c8-45e5-a736-a9ec12690ac2</t>
  </si>
  <si>
    <t>1/22/2026, 11:53:32 AM</t>
  </si>
  <si>
    <t>16.331726, 81.734918</t>
  </si>
  <si>
    <t>SHOP NO. 4-2, Antervedi Pallipalem, Andhra Pradesh, India</t>
  </si>
  <si>
    <t>http://164.52.221.216/localmedia/media/surveys/samples/recording_2026-01-22_11-48-51_samples_1ilCp1qa0T.mp4</t>
  </si>
  <si>
    <t>Pathabathhula devi</t>
  </si>
  <si>
    <t>Bhagya H</t>
  </si>
  <si>
    <t>Q1 Kept on his own, Skipped Q5, Q7,</t>
  </si>
  <si>
    <t>3026f3fa-3136-46fd-b351-6e9fb892ce45</t>
  </si>
  <si>
    <t>1/22/2026, 11:57:21 AM</t>
  </si>
  <si>
    <t>16.503264, 81.878511</t>
  </si>
  <si>
    <t>GV3H+CC5, Jaggannapeta, Andhra Pradesh, India</t>
  </si>
  <si>
    <t>http://164.52.221.216/localmedia/media/surveys/samples/recording_2026-01-22_11-53-44_samples_zFOOyG04JZ.mp4</t>
  </si>
  <si>
    <t>bhagya</t>
  </si>
  <si>
    <t>5f4f4e05-9b93-40c3-be41-7755315344be</t>
  </si>
  <si>
    <t>1/22/2026, 10:28:34 AM</t>
  </si>
  <si>
    <t>16.333917, 81.735719</t>
  </si>
  <si>
    <t>8PMP+GCV, Antervedi Pallipalem, Andhra Pradesh, India</t>
  </si>
  <si>
    <t>http://164.52.221.216/localmedia/media/surveys/samples/recording_2026-01-22_10-24-52_samples_Z5x7pBgk54.mp4</t>
  </si>
  <si>
    <t>G Suresh</t>
  </si>
  <si>
    <t>7bca5efe-67cb-43ba-b422-b950f3fe2a3e</t>
  </si>
  <si>
    <t>1/22/2026, 11:58:24 AM</t>
  </si>
  <si>
    <t>16.331298, 81.735083</t>
  </si>
  <si>
    <t>http://164.52.221.216/localmedia/media/surveys/samples/recording_2026-01-22_11-55-43_samples_7pslxCf2tV.mp4</t>
  </si>
  <si>
    <t>Ramani</t>
  </si>
  <si>
    <t>Surveyor added options on his own</t>
  </si>
  <si>
    <t>f4563090-1486-4d10-a7f0-1b14dab77704</t>
  </si>
  <si>
    <t>1/22/2026, 3:02:09 PM</t>
  </si>
  <si>
    <t>16.505567, 81.874821</t>
  </si>
  <si>
    <t>5-26, Tatipaka, Andhra Pradesh, India</t>
  </si>
  <si>
    <t>http://164.52.221.216/localmedia/media/surveys/samples/recording_2026-01-22_15-00-01_samples_4a1uCM4P0e.mp4</t>
  </si>
  <si>
    <t>Caste- Kamma,</t>
  </si>
  <si>
    <t>9e826bca-207e-488c-8c21-fc16c412efbe</t>
  </si>
  <si>
    <t>1/22/2026, 3:48:35 PM</t>
  </si>
  <si>
    <t>16.359802, 81.793196</t>
  </si>
  <si>
    <t>SHOP NO, SAKHINETIPALLI, Kesavadasupalem, Andhra Pradesh, India</t>
  </si>
  <si>
    <t>http://164.52.221.216/localmedia/media/surveys/samples/recording_2026-01-22_15-46-41_samples_a8XZwNBLca.mp4</t>
  </si>
  <si>
    <t>pardasaradii</t>
  </si>
  <si>
    <t>5bc0ced8-a64a-4028-a95b-5d575a3bcfd3</t>
  </si>
  <si>
    <t>1/22/2026, 1:00:01 PM</t>
  </si>
  <si>
    <t>16.404049, 81.780516</t>
  </si>
  <si>
    <t>http://164.52.221.216/localmedia/media/surveys/samples/recording_2026-01-22_12-56-49_samples_7HSflRmwiX.mp4</t>
  </si>
  <si>
    <t>Q9,16,17 not asking</t>
  </si>
  <si>
    <t>be8ed20d-d292-48d4-84e6-a38da68c813b</t>
  </si>
  <si>
    <t>1/22/2026, 2:00:42 PM</t>
  </si>
  <si>
    <t>16.332118, 81.734544</t>
  </si>
  <si>
    <t>SHOP NO.6-4/2 LAKSHMI NARASIMHA COMPLEX MAIN ROAD ANTERVEDI DEVASTANAM, SakhinetiPalli, Andhra Pradesh, India</t>
  </si>
  <si>
    <t>http://164.52.221.216/localmedia/media/surveys/samples/recording_2026-01-22_13-58-12_samples_qULMxYr28j.mp4</t>
  </si>
  <si>
    <t>Pothuraju pentarao</t>
  </si>
  <si>
    <t>kept all options on his own</t>
  </si>
  <si>
    <t>2c2782dd-f562-4f2b-8aa8-75ec0af9cf99</t>
  </si>
  <si>
    <t>1/22/2026, 3:04:54 PM</t>
  </si>
  <si>
    <t>16.333145, 81.733940</t>
  </si>
  <si>
    <t>http://164.52.221.216/localmedia/media/surveys/samples/recording_2026-01-22_15-02-13_samples_f79jJkeBAC.mp4</t>
  </si>
  <si>
    <t>nagalaxmi</t>
  </si>
  <si>
    <t>ec68fc42-0e92-4af8-80a6-b1315324c327</t>
  </si>
  <si>
    <t>1/22/2026, 3:48:36 PM</t>
  </si>
  <si>
    <t>16.496000, 81.881829</t>
  </si>
  <si>
    <t>FVWJ+9PC, Tatipaka, Andhra Pradesh, India</t>
  </si>
  <si>
    <t>http://164.52.221.216/localmedia/media/surveys/samples/recording_2026-01-22_15-46-32_samples_xdgsNu7nbI.mp4</t>
  </si>
  <si>
    <t>naveen</t>
  </si>
  <si>
    <t>Q1-No issues</t>
  </si>
  <si>
    <t>afa51f67-b7a1-4f21-8f0d-08b0cfd6f823</t>
  </si>
  <si>
    <t>1/22/2026, 3:56:46 PM</t>
  </si>
  <si>
    <t>16.333643, 81.735124</t>
  </si>
  <si>
    <t>8PMP+G4J, Antervedi Pallipalem, Andhra Pradesh, India</t>
  </si>
  <si>
    <t>http://164.52.221.216/localmedia/media/surveys/samples/recording_2026-01-22_15-54-33_samples_5v1sHarXcO.mp4</t>
  </si>
  <si>
    <t>k srirambabu</t>
  </si>
  <si>
    <t>fake/empty audio</t>
  </si>
  <si>
    <t>37897af4-d505-4912-bc31-3b058e2e26ca</t>
  </si>
  <si>
    <t>1/22/2026, 4:13:15 PM</t>
  </si>
  <si>
    <t>16.332692, 81.735488</t>
  </si>
  <si>
    <t>8PMP+33M, Antervedi Pallipalem, Andhra Pradesh, India</t>
  </si>
  <si>
    <t>http://164.52.221.216/localmedia/media/surveys/samples/recording_2026-01-22_16-10-23_samples_5ICZiF9d6c.mp4</t>
  </si>
  <si>
    <t>vadapalli sathhibabu</t>
  </si>
  <si>
    <t>4caa5558-ad2e-4384-8d51-9b8a0874ceb2</t>
  </si>
  <si>
    <t>1/22/2026, 4:35:11 PM</t>
  </si>
  <si>
    <t>16.359580, 81.792846</t>
  </si>
  <si>
    <t>http://164.52.221.216/localmedia/media/surveys/samples/recording_2026-01-22_16-33-57_samples_yW0WKJtg94.mp4</t>
  </si>
  <si>
    <t>manikata</t>
  </si>
  <si>
    <t>8d2163fc-d4eb-4145-87af-84dbc574eb35</t>
  </si>
  <si>
    <t>1/22/2026, 5:00:48 PM</t>
  </si>
  <si>
    <t>16.333218, 81.733895</t>
  </si>
  <si>
    <t>Antarvedi devastanam, Antervedi Pallipalem, Andhra Pradesh, India</t>
  </si>
  <si>
    <t>http://164.52.221.216/localmedia/media/surveys/samples/recording_2026-01-22_16-58-14_samples_MKMgPilt6v.mp4</t>
  </si>
  <si>
    <t>T samudrudu</t>
  </si>
  <si>
    <t>Fake Sample</t>
  </si>
  <si>
    <t>ee927d8a-da08-4dbe-8c0d-48b54e22a740</t>
  </si>
  <si>
    <t>1/22/2026, 5:29:41 PM</t>
  </si>
  <si>
    <t>16.360240, 81.799796</t>
  </si>
  <si>
    <t>9Q6X+7WJ, Kesavadasupalem, Andhra Pradesh, India</t>
  </si>
  <si>
    <t>http://164.52.221.216/localmedia/media/surveys/samples/recording_2026-01-22_17-28-00_samples_BumFwAdzY9.mp4</t>
  </si>
  <si>
    <t>mulaswami</t>
  </si>
  <si>
    <t>0b4ccee0-4018-4460-a628-da53edca9be0</t>
  </si>
  <si>
    <t>1/22/2026, 1:04:28 PM</t>
  </si>
  <si>
    <t>16.403993, 81.779591</t>
  </si>
  <si>
    <t>SHOP NO.6-2 SRI LAKSHMI COMPLEX MAIN ROAD, Malikipuram, Andhra Pradesh, India</t>
  </si>
  <si>
    <t>http://164.52.221.216/localmedia/media/surveys/samples/recording_2026-01-22_13-02-38_samples_nru3x9AyuA.mp4</t>
  </si>
  <si>
    <t>dc931c56-41c3-4fb9-92a6-f6dc59981a56</t>
  </si>
  <si>
    <t>1/22/2026, 2:04:34 PM</t>
  </si>
  <si>
    <t>16.399130, 81.781914</t>
  </si>
  <si>
    <t>9QXJ+MPJ, Antarvedipalem, Andhra Pradesh, India</t>
  </si>
  <si>
    <t>http://164.52.221.216/localmedia/media/surveys/samples/recording_2026-01-22_14-02-53_samples_lbz0KBXzZP.mp4</t>
  </si>
  <si>
    <t>53928585-9f68-4f94-8831-9ffc2e8826b2</t>
  </si>
  <si>
    <t>1/22/2026, 3:09:28 PM</t>
  </si>
  <si>
    <t>16.332139, 81.732944</t>
  </si>
  <si>
    <t>http://164.52.221.216/localmedia/media/surveys/samples/recording_2026-01-22_15-05-29_samples_SVJZitXysw.mp4</t>
  </si>
  <si>
    <t>laxminarasimha</t>
  </si>
  <si>
    <t>fac5e77d-424f-4541-bb44-a8ad5ce176bc</t>
  </si>
  <si>
    <t>1/22/2026, 2:15:43 PM</t>
  </si>
  <si>
    <t>16.399183, 81.781761</t>
  </si>
  <si>
    <t>http://164.52.221.216/localmedia/media/surveys/samples/recording_2026-01-22_14-14-37_samples_AfXtLr0mom.mp4</t>
  </si>
  <si>
    <t>kavitha</t>
  </si>
  <si>
    <t>8e934083-09a8-44ee-b577-2a8771cf4953</t>
  </si>
  <si>
    <t>1/22/2026, 3:58:10 PM</t>
  </si>
  <si>
    <t>16.495812, 81.881040</t>
  </si>
  <si>
    <t>FVWJ+78C, Mogalikuduru, Andhra Pradesh, India</t>
  </si>
  <si>
    <t>http://164.52.221.216/localmedia/media/surveys/samples/recording_2026-01-22_15-56-02_samples_XgL9lCO01E.mp4</t>
  </si>
  <si>
    <t>gangadharao</t>
  </si>
  <si>
    <t>f5ee3614-7a5e-48fb-872d-60f6e650eb80</t>
  </si>
  <si>
    <t>1/22/2026, 4:15:22 PM</t>
  </si>
  <si>
    <t>16.359482, 81.792712</t>
  </si>
  <si>
    <t>9Q5V+P25, Kesavadasupalem, Andhra Pradesh, India</t>
  </si>
  <si>
    <t>http://164.52.221.216/localmedia/media/surveys/samples/recording_2026-01-22_16-13-44_samples_10LriwaQf5.mp4</t>
  </si>
  <si>
    <t>5d155a02-2383-4fdc-a175-d195576a0419</t>
  </si>
  <si>
    <t>1/22/2026, 4:37:17 PM</t>
  </si>
  <si>
    <t>16.331868, 81.734738</t>
  </si>
  <si>
    <t>http://164.52.221.216/localmedia/media/surveys/samples/recording_2026-01-22_16-33-14_samples_c7uwJghGs0.mp4</t>
  </si>
  <si>
    <t>I Venu</t>
  </si>
  <si>
    <t>3df08eb7-c302-414d-a846-d80e2559a21c</t>
  </si>
  <si>
    <t>1/22/2026, 5:02:54 PM</t>
  </si>
  <si>
    <t>16.359841, 81.794636</t>
  </si>
  <si>
    <t>http://164.52.221.216/localmedia/media/surveys/samples/recording_2026-01-22_17-01-21_samples_QfJudJK8hG.mp4</t>
  </si>
  <si>
    <t>nanaji</t>
  </si>
  <si>
    <t>Q7 kept his own and respondent male but mentioned female</t>
  </si>
  <si>
    <t>fbaacf31-e7bd-49e1-90ce-601601216e29</t>
  </si>
  <si>
    <t>1/22/2026, 5:34:40 PM</t>
  </si>
  <si>
    <t>16.360008, 81.793710</t>
  </si>
  <si>
    <t>9Q6V+2G3, Kesavadasupalem, Andhra Pradesh, India</t>
  </si>
  <si>
    <t>http://164.52.221.216/localmedia/media/surveys/samples/recording_2026-01-22_17-32-11_samples_ZAV9Qkacv9.mp4</t>
  </si>
  <si>
    <t>Q5,7,8,9 are kept on his own</t>
  </si>
  <si>
    <t>74c8b244-c9d1-470d-a065-40356aec5b90</t>
  </si>
  <si>
    <t>1/22/2026, 1:07:57 PM</t>
  </si>
  <si>
    <t>16.404066, 81.781501</t>
  </si>
  <si>
    <t>NO 1-234, Antarvedipalem, Andhra Pradesh, India</t>
  </si>
  <si>
    <t>http://164.52.221.216/localmedia/media/surveys/samples/recording_2026-01-22_13-06-22_samples_VlHNG3ZRrv.mp4</t>
  </si>
  <si>
    <t>madhav</t>
  </si>
  <si>
    <t>f2a98919-7338-46ce-b1d1-3de9a3116386</t>
  </si>
  <si>
    <t>1/22/2026, 1:27:02 PM</t>
  </si>
  <si>
    <t>16.403816, 81.782292</t>
  </si>
  <si>
    <t>http://164.52.221.216/localmedia/media/surveys/samples/recording_2026-01-22_13-25-56_samples_3LunDoVdgN.mp4</t>
  </si>
  <si>
    <t>sathish</t>
  </si>
  <si>
    <t>3a18da6e-5911-4896-894c-29f0cab77f2f</t>
  </si>
  <si>
    <t>1/22/2026, 3:14:18 PM</t>
  </si>
  <si>
    <t>16.332048, 81.733498</t>
  </si>
  <si>
    <t>SHOP NO.8-39 SIVALAYAM ROAD NEAR SURIBABU CHICKEN CENTER ANTERVEDI DEVASTANAM, Antervedi Pallipalem, Andhra Pradesh, India</t>
  </si>
  <si>
    <t>http://164.52.221.216/localmedia/media/surveys/samples/recording_2026-01-22_15-11-21_samples_7KtS9HfT73.mp4</t>
  </si>
  <si>
    <t>Ramadevi</t>
  </si>
  <si>
    <t>e7232588-8bb3-4134-b746-ef6cbbd1ec95</t>
  </si>
  <si>
    <t>1/22/2026, 1:27:47 PM</t>
  </si>
  <si>
    <t>16.328815, 81.735645</t>
  </si>
  <si>
    <t>http://164.52.221.216/localmedia/media/surveys/samples/recording_2026-01-22_13-26-11_samples_4cCwiZOqN1.mp4</t>
  </si>
  <si>
    <t>srnivas</t>
  </si>
  <si>
    <t>356b1625-0e6b-433d-8a4e-ca6d4b00470e</t>
  </si>
  <si>
    <t>1/22/2026, 4:01:45 PM</t>
  </si>
  <si>
    <t>16.359286, 81.793546</t>
  </si>
  <si>
    <t>9Q5V+V87, Kesavadasupalem, Andhra Pradesh, India</t>
  </si>
  <si>
    <t>http://164.52.221.216/localmedia/media/surveys/samples/recording_2026-01-22_15-59-43_samples_ORkA5kfhOA.mp4</t>
  </si>
  <si>
    <t>vekartareddye</t>
  </si>
  <si>
    <t>f3151800-fa60-412d-9e1a-9f8a2ad765ae</t>
  </si>
  <si>
    <t>1/22/2026, 4:18:37 PM</t>
  </si>
  <si>
    <t>16.332507, 81.734992</t>
  </si>
  <si>
    <t>8PJP+X2V, Antervedi Pallipalem, Andhra Pradesh, India</t>
  </si>
  <si>
    <t>http://164.52.221.216/localmedia/media/surveys/samples/recording_2026-01-22_16-13-23_samples_ye35kFTOWL.mp4</t>
  </si>
  <si>
    <t>Krishna</t>
  </si>
  <si>
    <t>Q7 explaining the options ,Q9 kept his own</t>
  </si>
  <si>
    <t>96b31f27-2aa4-4cdf-9ec5-37b94edef53a</t>
  </si>
  <si>
    <t>1/22/2026, 4:37:41 PM</t>
  </si>
  <si>
    <t>16.358427, 81.790431</t>
  </si>
  <si>
    <t>Shop No 10 Main Road, Kesavadasupalem, Andhra Pradesh, India</t>
  </si>
  <si>
    <t>http://164.52.221.216/localmedia/media/surveys/samples/recording_2026-01-22_16-36-42_samples_eAJdDjkk00.mp4</t>
  </si>
  <si>
    <t>ravi</t>
  </si>
  <si>
    <t>Q1,Q16,17 kept his own</t>
  </si>
  <si>
    <t>ce13444d-0ddc-4e61-9a9e-7041d3fbe44d</t>
  </si>
  <si>
    <t>1/22/2026, 5:05:25 PM</t>
  </si>
  <si>
    <t>16.359836, 81.793710</t>
  </si>
  <si>
    <t>http://164.52.221.216/localmedia/media/surveys/samples/recording_2026-01-22_17-04-08_samples_pUwMV6riVN.mp4</t>
  </si>
  <si>
    <t>bharath</t>
  </si>
  <si>
    <t>Wrong Gender entered</t>
  </si>
  <si>
    <t>e2191cdb-a4b9-42cb-8fdb-189a4d024599</t>
  </si>
  <si>
    <t>1/22/2026, 1:58:49 PM</t>
  </si>
  <si>
    <t>16.507354, 81.877740</t>
  </si>
  <si>
    <t>http://164.52.221.216/localmedia/media/surveys/samples/recording_2026-01-22_13-54-42_samples_7V76EvevC7.mp4</t>
  </si>
  <si>
    <t>9c7b6e8d-8e8f-4495-befb-32ad27ab1081</t>
  </si>
  <si>
    <t>1/22/2026, 1:09:57 PM</t>
  </si>
  <si>
    <t>16.328635, 81.734766</t>
  </si>
  <si>
    <t>http://164.52.221.216/localmedia/media/surveys/samples/recording_2026-01-22_13-07-45_samples_U4kmKWxiP0.mp4</t>
  </si>
  <si>
    <t>bhagya laxmi</t>
  </si>
  <si>
    <t>Kept all options on his own</t>
  </si>
  <si>
    <t>4f5df611-6ae0-4b03-9f7e-0d8c0afe2aa0</t>
  </si>
  <si>
    <t>1/22/2026, 1:36:58 PM</t>
  </si>
  <si>
    <t>16.504812, 81.878827</t>
  </si>
  <si>
    <t>http://164.52.221.216/localmedia/media/surveys/samples/recording_2026-01-22_13-32-44_samples_Kp3md3kq88.mp4</t>
  </si>
  <si>
    <t>yesu nanu</t>
  </si>
  <si>
    <t>Respondent said no issues, but surveyor kept on his own for Q1</t>
  </si>
  <si>
    <t>5573ac78-b3ba-49db-bde8-8b25a6e874a6</t>
  </si>
  <si>
    <t>1/22/2026, 3:21:24 PM</t>
  </si>
  <si>
    <t>16.332294, 81.734111</t>
  </si>
  <si>
    <t>http://164.52.221.216/localmedia/media/surveys/samples/recording_2026-01-22_15-18-49_samples_NldppabeBt.mp4</t>
  </si>
  <si>
    <t>Manikanta Manupati</t>
  </si>
  <si>
    <t>wrong caste - yerukula, didn't ask Q2,3,5</t>
  </si>
  <si>
    <t>8558e8d1-390a-40cb-aea0-6d2d8e030578</t>
  </si>
  <si>
    <t>1/22/2026, 1:33:30 PM</t>
  </si>
  <si>
    <t>16.402252, 81.783240</t>
  </si>
  <si>
    <t>CQ2M+MJ3, Antarvedipalem, Andhra Pradesh, India</t>
  </si>
  <si>
    <t>http://164.52.221.216/localmedia/media/surveys/samples/recording_2026-01-22_13-32-13_samples_gpoup9ZWaP.mp4</t>
  </si>
  <si>
    <t>asking questions very fast</t>
  </si>
  <si>
    <t>095ecfb5-5a09-4217-ae9e-283511c72740</t>
  </si>
  <si>
    <t>http://164.52.221.216/localmedia/media/surveys/samples/recording_2026-01-22_15-59-43_samples_PjpDKfYjwB.mp4</t>
  </si>
  <si>
    <t>90e999c4-b17c-450e-884a-4a26aeb6f11d</t>
  </si>
  <si>
    <t>http://164.52.221.216/localmedia/media/surveys/samples/recording_2026-01-22_16-13-23_samples_KYEJF5S3Bk.mp4</t>
  </si>
  <si>
    <t>9c9d91f0-eeea-4682-b065-f6cfdcc83511</t>
  </si>
  <si>
    <t>1/22/2026, 4:43:36 PM</t>
  </si>
  <si>
    <t>16.332323, 81.734384</t>
  </si>
  <si>
    <t>Main Road Antervedi Devastanam Village Sakhinetipalli Mandal, Antervedi Pallipalem, Andhra Pradesh, India</t>
  </si>
  <si>
    <t>http://164.52.221.216/localmedia/media/surveys/samples/recording_2026-01-22_16-41-28_samples_g7XfOfwhV4.mp4</t>
  </si>
  <si>
    <t>Nirmala</t>
  </si>
  <si>
    <t>All options entered on his own</t>
  </si>
  <si>
    <t>a7ce2c78-71e9-49ff-b48e-456e739083fe</t>
  </si>
  <si>
    <t>1/22/2026, 5:07:28 PM</t>
  </si>
  <si>
    <t>16.333476, 81.733236</t>
  </si>
  <si>
    <t>8PMM+G78, Antervedi Pallipalem, Andhra Pradesh, India</t>
  </si>
  <si>
    <t>http://164.52.221.216/localmedia/media/surveys/samples/recording_2026-01-22_17-05-29_samples_6MM6E7UKDy.mp4</t>
  </si>
  <si>
    <t>lakshmi</t>
  </si>
  <si>
    <t>51164078-61c3-4b5e-9768-d5399623f86d</t>
  </si>
  <si>
    <t>1/22/2026, 5:53:27 PM</t>
  </si>
  <si>
    <t>16.360651, 81.798000</t>
  </si>
  <si>
    <t>9Q6X+G4H, Kesavadasupalem, Andhra Pradesh, India</t>
  </si>
  <si>
    <t>http://164.52.221.216/localmedia/media/surveys/samples/recording_2026-01-22_17-51-50_samples_Am2F9xVOXw.mp4</t>
  </si>
  <si>
    <t>rambabu</t>
  </si>
  <si>
    <t>cfe7df81-fc79-4c3f-aa31-5630a7a34818</t>
  </si>
  <si>
    <t>1/22/2026, 12:25:22 PM</t>
  </si>
  <si>
    <t>16.504609, 81.878173</t>
  </si>
  <si>
    <t>http://164.52.221.216/localmedia/media/surveys/samples/recording_2026-01-22_12-19-23_samples_8xpzOgSDib.mp4</t>
  </si>
  <si>
    <t>satyanarauana</t>
  </si>
  <si>
    <t>6451217e-5721-4690-8d31-c0a5da5b6006</t>
  </si>
  <si>
    <t>1/22/2026, 1:43:41 PM</t>
  </si>
  <si>
    <t>16.505547, 81.878474</t>
  </si>
  <si>
    <t>http://164.52.221.216/localmedia/media/surveys/samples/recording_2026-01-22_13-40-50_samples_jxfaPRI4zT.mp4</t>
  </si>
  <si>
    <t>balakrishna</t>
  </si>
  <si>
    <t>7a4efe7c-5e32-41a8-9411-da945d79e9f5</t>
  </si>
  <si>
    <t>1/22/2026, 3:30:20 PM</t>
  </si>
  <si>
    <t>16.332084, 81.734616</t>
  </si>
  <si>
    <t>SHOP NO.104 MAIN ROAD NEAR SIXTEEN PILLARS MANDAPAM ANTERVEDI DEVASTANAM, Antervedi Pallipalem, Andhra Pradesh, India</t>
  </si>
  <si>
    <t>http://164.52.221.216/localmedia/media/surveys/samples/recording_2026-01-22_15-28-30_samples_qjFXYYrFC7.mp4</t>
  </si>
  <si>
    <t>Pandurangarao c</t>
  </si>
  <si>
    <t>326d1a8d-b2ed-4f54-9aee-2a97ddee9cde</t>
  </si>
  <si>
    <t>1/22/2026, 1:36:28 PM</t>
  </si>
  <si>
    <t>16.404442, 81.781018</t>
  </si>
  <si>
    <t>DOOR NO, Antarvedipalem, Andhra Pradesh, India</t>
  </si>
  <si>
    <t>http://164.52.221.216/localmedia/media/surveys/samples/recording_2026-01-22_13-35-13_samples_6982vXw8Tw.mp4</t>
  </si>
  <si>
    <t>ramarao</t>
  </si>
  <si>
    <t>Q9 kept his own and asking questions very fast</t>
  </si>
  <si>
    <t>340dcf05-8c7c-4750-9f5e-2fd8fbe9794c</t>
  </si>
  <si>
    <t>1/22/2026, 4:02:00 PM</t>
  </si>
  <si>
    <t>16.333044, 81.735867</t>
  </si>
  <si>
    <t>8PMP+4C8, Antervedi Pallipalem, Andhra Pradesh, India</t>
  </si>
  <si>
    <t>http://164.52.221.216/localmedia/media/surveys/samples/recording_2026-01-22_15-58-35_samples_sGVMYKsVcK.mp4</t>
  </si>
  <si>
    <t>kishore</t>
  </si>
  <si>
    <t>Q5,7,9,10 kept his own</t>
  </si>
  <si>
    <t>8135ae38-45ad-453e-84f5-2058ef057b4e</t>
  </si>
  <si>
    <t>1/22/2026, 4:18:48 PM</t>
  </si>
  <si>
    <t>http://164.52.221.216/localmedia/media/surveys/samples/recording_2026-01-22_16-13-23_samples_8yhvZpAPBr.mp4</t>
  </si>
  <si>
    <t>021911d8-b690-4fe5-a057-35c86618562f</t>
  </si>
  <si>
    <t>1/22/2026, 2:17:57 PM</t>
  </si>
  <si>
    <t>16.508148, 81.877115</t>
  </si>
  <si>
    <t>GV5G+FW4, Tatipaka, Andhra Pradesh, India</t>
  </si>
  <si>
    <t>http://164.52.221.216/localmedia/media/surveys/samples/recording_2026-01-22_14-14-56_samples_8iyzXugWjb.mp4</t>
  </si>
  <si>
    <t>s. rambabu</t>
  </si>
  <si>
    <t>Q1 they said all issues</t>
  </si>
  <si>
    <t>bb50ae77-eaf5-40a1-8e42-e2d3ccc96b62</t>
  </si>
  <si>
    <t>1/22/2026, 5:10:40 PM</t>
  </si>
  <si>
    <t>16.361237, 81.797113</t>
  </si>
  <si>
    <t>http://164.52.221.216/localmedia/media/surveys/samples/recording_2026-01-22_17-09-09_samples_VCYbXV2jWH.mp4</t>
  </si>
  <si>
    <t>550fef15-5649-411d-b9d4-bd8498154bc6</t>
  </si>
  <si>
    <t>1/22/2026, 5:56:09 PM</t>
  </si>
  <si>
    <t>16.360744, 81.798776</t>
  </si>
  <si>
    <t>http://164.52.221.216/localmedia/media/surveys/samples/recording_2026-01-22_17-54-18_samples_O3pzJXMdQT.mp4</t>
  </si>
  <si>
    <t>suvarna raju</t>
  </si>
  <si>
    <t>991f8f84-bbd8-4b0c-a9da-86fc157460f1</t>
  </si>
  <si>
    <t>1/22/2026, 12:37:27 PM</t>
  </si>
  <si>
    <t>16.403570, 81.778758</t>
  </si>
  <si>
    <t>SHOP NO.9, SakhinetiPalli, Andhra Pradesh, India</t>
  </si>
  <si>
    <t>http://164.52.221.216/localmedia/media/surveys/samples/recording_2026-01-22_12-35-52_samples_1ZtPdBg9Tr.mp4</t>
  </si>
  <si>
    <t>Q1,9,10 kept on his own</t>
  </si>
  <si>
    <t>06cf4db5-2e04-4596-83ff-a86f06687236</t>
  </si>
  <si>
    <t>1/22/2026, 1:47:15 PM</t>
  </si>
  <si>
    <t>16.401153, 81.783436</t>
  </si>
  <si>
    <t>http://164.52.221.216/localmedia/media/surveys/samples/recording_2026-01-22_13-45-44_samples_erUR6AJSjR.mp4</t>
  </si>
  <si>
    <t>shakar</t>
  </si>
  <si>
    <t>Didn't ask caste, Gender kept on his own and didn't ask phone number</t>
  </si>
  <si>
    <t>5a77d223-4139-42ca-bc3c-3cae0b949c40</t>
  </si>
  <si>
    <t>1/22/2026, 3:33:25 PM</t>
  </si>
  <si>
    <t>16.332732, 81.734234</t>
  </si>
  <si>
    <t>SHOP NO. 9, SAKHINETIPALLI, Andhra Pradesh, India</t>
  </si>
  <si>
    <t>http://164.52.221.216/localmedia/media/surveys/samples/recording_2026-01-22_15-30-38_samples_9W9HsHsVF8.mp4</t>
  </si>
  <si>
    <t>Pruthiviraj</t>
  </si>
  <si>
    <t>all options entered on his own</t>
  </si>
  <si>
    <t>997bbfc8-e522-435f-bf7c-3c353fa1fec5</t>
  </si>
  <si>
    <t>1/22/2026, 1:44:19 PM</t>
  </si>
  <si>
    <t>16.404183, 81.779860</t>
  </si>
  <si>
    <t>CQ3H+MW6, SakhinetiPalli, Andhra Pradesh, India</t>
  </si>
  <si>
    <t>http://164.52.221.216/localmedia/media/surveys/samples/recording_2026-01-22_13-43-00_samples_yRzm52GLtX.mp4</t>
  </si>
  <si>
    <t>suresh</t>
  </si>
  <si>
    <t>respondent male but mentioned female</t>
  </si>
  <si>
    <t>37532404-c19d-49d0-89ed-8e3f1b2b5ac4</t>
  </si>
  <si>
    <t>1/22/2026, 4:02:08 PM</t>
  </si>
  <si>
    <t>http://164.52.221.216/localmedia/media/surveys/samples/recording_2026-01-22_15-59-43_samples_NhT99ju4qs.mp4</t>
  </si>
  <si>
    <t>c087983a-da55-48dd-bf84-f08074127715</t>
  </si>
  <si>
    <t>1/22/2026, 4:20:11 PM</t>
  </si>
  <si>
    <t>16.359171, 81.793859</t>
  </si>
  <si>
    <t>http://164.52.221.216/localmedia/media/surveys/samples/recording_2026-01-22_16-17-44_samples_R7Xfsk8ZEK.mp4</t>
  </si>
  <si>
    <t xml:space="preserve">anil </t>
  </si>
  <si>
    <t>Sample is taken from male but mentioned as female</t>
  </si>
  <si>
    <t>7ac22075-ca63-40fa-93d8-0a8ab610784b</t>
  </si>
  <si>
    <t>1/22/2026, 4:50:58 PM</t>
  </si>
  <si>
    <t>16.333025, 81.734007</t>
  </si>
  <si>
    <t>http://164.52.221.216/localmedia/media/surveys/samples/recording_2026-01-22_16-48-33_samples_nT3yZ94s4n.mp4</t>
  </si>
  <si>
    <t>rajarajeswari</t>
  </si>
  <si>
    <t>57feecbf-53ef-419c-8317-99f5b58c2d1b</t>
  </si>
  <si>
    <t>1/22/2026, 5:18:20 PM</t>
  </si>
  <si>
    <t>16.361082, 81.798105</t>
  </si>
  <si>
    <t>http://164.52.221.216/localmedia/media/surveys/samples/recording_2026-01-22_17-16-20_samples_b5GSsKgSMW.mp4</t>
  </si>
  <si>
    <t>adinarayana</t>
  </si>
  <si>
    <t>2b628c57-4386-4b01-b2b0-0d99474a9e97</t>
  </si>
  <si>
    <t>1/22/2026, 6:40:58 PM</t>
  </si>
  <si>
    <t>16.361437, 81.800483</t>
  </si>
  <si>
    <t>9R62+927, Kesavadasupalem, Andhra Pradesh, India</t>
  </si>
  <si>
    <t>http://164.52.221.216/localmedia/media/surveys/samples/recording_2026-01-22_18-39-25_samples_UTR4lU9yTD.mp4</t>
  </si>
  <si>
    <t xml:space="preserve">ramesh </t>
  </si>
  <si>
    <t>5b636801-488e-49a4-a3a7-23a3a1ef9216</t>
  </si>
  <si>
    <t>1/22/2026, 12:42:13 PM</t>
  </si>
  <si>
    <t>16.403782, 81.779429</t>
  </si>
  <si>
    <t>http://164.52.221.216/localmedia/media/surveys/samples/recording_2026-01-22_12-39-10_samples_VUDpBou94j.mp4</t>
  </si>
  <si>
    <t>peddiraju</t>
  </si>
  <si>
    <t>caste mentioned as nayi brahmin</t>
  </si>
  <si>
    <t>ec211021-0e03-4589-927f-7b8387bf87ea</t>
  </si>
  <si>
    <t>1/22/2026, 2:08:00 PM</t>
  </si>
  <si>
    <t>16.400884, 81.781818</t>
  </si>
  <si>
    <t>http://164.52.221.216/localmedia/media/surveys/samples/recording_2026-01-22_14-06-09_samples_r1oFL10HJm.mp4</t>
  </si>
  <si>
    <t>791289d5-592f-4845-95bc-f09b0ae8cad2</t>
  </si>
  <si>
    <t>1/22/2026, 3:37:43 PM</t>
  </si>
  <si>
    <t>16.332030, 81.734653</t>
  </si>
  <si>
    <t>http://164.52.221.216/localmedia/media/surveys/samples/recording_2026-01-22_15-34-28_samples_40qjYmk4PU.mp4</t>
  </si>
  <si>
    <t>K Mahalaxmi</t>
  </si>
  <si>
    <t>0c18a3c7-9361-485b-886c-a3dab6064d1e</t>
  </si>
  <si>
    <t>1/22/2026, 2:51:24 PM</t>
  </si>
  <si>
    <t>16.333017, 81.733835</t>
  </si>
  <si>
    <t>http://164.52.221.216/localmedia/media/surveys/samples/recording_2026-01-22_14-49-03_samples_YL7mB000KP.mp4</t>
  </si>
  <si>
    <t>Raju</t>
  </si>
  <si>
    <t>436750c6-393b-4b5e-b0a8-588d54452872</t>
  </si>
  <si>
    <t>http://164.52.221.216/localmedia/media/surveys/samples/recording_2026-01-22_16-03-17_samples_oqfks0hWri.mp4</t>
  </si>
  <si>
    <t>64f9f672-dbc5-4ae7-9715-b336371715ca</t>
  </si>
  <si>
    <t>1/22/2026, 4:25:21 PM</t>
  </si>
  <si>
    <t>16.332465, 81.734512</t>
  </si>
  <si>
    <t>http://164.52.221.216/localmedia/media/surveys/samples/recording_2026-01-22_16-22-45_samples_1kZkFIUpIH.mp4</t>
  </si>
  <si>
    <t>veerababu</t>
  </si>
  <si>
    <t>a4d92d21-a525-4371-9c8c-a024616f008a</t>
  </si>
  <si>
    <t>1/22/2026, 4:53:10 PM</t>
  </si>
  <si>
    <t>16.359882, 81.793661</t>
  </si>
  <si>
    <t>http://164.52.221.216/localmedia/media/surveys/samples/recording_2026-01-22_16-51-31_samples_jywsCXOiQy.mp4</t>
  </si>
  <si>
    <t>chinna</t>
  </si>
  <si>
    <t>8506c280-a796-4c14-ae40-0b3305d2bf56</t>
  </si>
  <si>
    <t>1/22/2026, 5:20:43 PM</t>
  </si>
  <si>
    <t>16.359754, 81.793657</t>
  </si>
  <si>
    <t>http://164.52.221.216/localmedia/media/surveys/samples/recording_2026-01-22_17-18-58_samples_0zBXvVpcQ4.mp4</t>
  </si>
  <si>
    <t>veravekatasurya</t>
  </si>
  <si>
    <t>99b83e9c-67fd-42f7-9ffa-0c7518eeed80</t>
  </si>
  <si>
    <t>1/22/2026, 12:56:46 PM</t>
  </si>
  <si>
    <t>16.327968, 81.733616</t>
  </si>
  <si>
    <t>8PHM+7FQ, Antervedi Pallipalem, Andhra Pradesh, India</t>
  </si>
  <si>
    <t>http://164.52.221.216/localmedia/media/surveys/samples/recording_2026-01-22_12-52-31_samples_jaXs5fb9bk.mp4</t>
  </si>
  <si>
    <t>2d1f1e61-a9bf-43c0-90a0-299bd014c7d5</t>
  </si>
  <si>
    <t>1/22/2026, 2:10:47 PM</t>
  </si>
  <si>
    <t>16.507778, 81.877575</t>
  </si>
  <si>
    <t>GV5H+54W, Tatipaka, Andhra Pradesh, India</t>
  </si>
  <si>
    <t>http://164.52.221.216/localmedia/media/surveys/samples/recording_2026-01-22_14-04-41_samples_wVqYrbStjl.mp4</t>
  </si>
  <si>
    <t>durga</t>
  </si>
  <si>
    <t>3054a86a-edd4-4f82-830f-0b5276920139</t>
  </si>
  <si>
    <t>1/22/2026, 3:38:48 PM</t>
  </si>
  <si>
    <t>http://164.52.221.216/localmedia/media/surveys/samples/recording_2026-01-22_14-14-37_samples_XIdRBNnRKF.mp4</t>
  </si>
  <si>
    <t>0496e09c-a596-4ec5-aec4-c7ece06edcc1</t>
  </si>
  <si>
    <t>1/22/2026, 1:59:40 PM</t>
  </si>
  <si>
    <t>16.402872, 81.780461</t>
  </si>
  <si>
    <t>http://164.52.221.216/localmedia/media/surveys/samples/recording_2026-01-22_13-58-36_samples_PWZCeb1RgF.mp4</t>
  </si>
  <si>
    <t>muthyalarao</t>
  </si>
  <si>
    <t>Q1 kept his own and respondent male but mentioned female</t>
  </si>
  <si>
    <t>30d5ccd7-ad6b-4057-bc08-757e009a6947</t>
  </si>
  <si>
    <t>http://164.52.221.216/localmedia/media/surveys/samples/recording_2026-01-22_16-03-17_samples_9WHzgC8Rf3.mp4</t>
  </si>
  <si>
    <t>b8efd62c-65c3-4fd4-b556-622be301d99c</t>
  </si>
  <si>
    <t>1/22/2026, 4:25:26 PM</t>
  </si>
  <si>
    <t>16.359444, 81.792670</t>
  </si>
  <si>
    <t>http://164.52.221.216/localmedia/media/surveys/samples/recording_2026-01-22_16-23-11_samples_wthnfDnuAT.mp4</t>
  </si>
  <si>
    <t>Didn't ask his caste</t>
  </si>
  <si>
    <t>87881bac-c3da-48bf-8ce2-0c49e90af0e4</t>
  </si>
  <si>
    <t>1/22/2026, 4:55:18 PM</t>
  </si>
  <si>
    <t>16.333306, 81.734549</t>
  </si>
  <si>
    <t>8PMM+CWC, Antervedi Pallipalem, Andhra Pradesh, India</t>
  </si>
  <si>
    <t>http://164.52.221.216/localmedia/media/surveys/samples/recording_2026-01-22_16-51-54_samples_FNpYw0XlP3.mp4</t>
  </si>
  <si>
    <t>B prabhakarrao</t>
  </si>
  <si>
    <t>4362c68c-1472-485f-afbd-e3baaf5fbeb7</t>
  </si>
  <si>
    <t>1/22/2026, 5:23:52 PM</t>
  </si>
  <si>
    <t>16.360925, 81.798132</t>
  </si>
  <si>
    <t>http://164.52.221.216/localmedia/media/surveys/samples/recording_2026-01-22_17-22-10_samples_xtTr9SjfVs.mp4</t>
  </si>
  <si>
    <t>16f9d79b-afea-4a20-9b54-81b28edd6ed2</t>
  </si>
  <si>
    <t>1/22/2026, 10:38:44 AM</t>
  </si>
  <si>
    <t>16.332050, 81.733503</t>
  </si>
  <si>
    <t>http://164.52.221.216/localmedia/media/surveys/samples/recording_2026-01-22_10-36-31_samples_wIhVjdK0Xs.mp4</t>
  </si>
  <si>
    <t>k vasu</t>
  </si>
  <si>
    <t>Fake sample entered on his own</t>
  </si>
  <si>
    <t>8466e21a-b991-4ed1-99a2-37875ef93353</t>
  </si>
  <si>
    <t>1/22/2026, 10:48:42 AM</t>
  </si>
  <si>
    <t>16.332089, 81.732964</t>
  </si>
  <si>
    <t>http://164.52.221.216/localmedia/media/surveys/samples/recording_2026-01-22_10-45-49_samples_nJpfnUm3d3.mp4</t>
  </si>
  <si>
    <t>N satyanarayana</t>
  </si>
  <si>
    <t>Enetring on his own</t>
  </si>
  <si>
    <t>b6fd985f-660d-49b1-be85-3148eb3b187b</t>
  </si>
  <si>
    <t>1/22/2026, 10:50:02 AM</t>
  </si>
  <si>
    <t>16.500507, 81.879285</t>
  </si>
  <si>
    <t>GV2H+4RV, Tatipaka, Andhra Pradesh, India</t>
  </si>
  <si>
    <t>http://164.52.221.216/localmedia/media/surveys/samples/recording_2026-01-22_10-46-50_samples_d9uljEWsbx.mp4</t>
  </si>
  <si>
    <t>ram durga prasad</t>
  </si>
  <si>
    <t>Q6 Not selected proper response</t>
  </si>
  <si>
    <t>6c728f57-8c3c-4c60-b45b-3d933c4d2082</t>
  </si>
  <si>
    <t>1/22/2026, 11:04:35 AM</t>
  </si>
  <si>
    <t>16.501062, 81.879070</t>
  </si>
  <si>
    <t>Shop No.3, Tatipaka, Andhra Pradesh, India</t>
  </si>
  <si>
    <t>http://164.52.221.216/localmedia/media/surveys/samples/recording_2026-01-22_11-01-15_samples_qmBqEyducr.mp4</t>
  </si>
  <si>
    <t>tatnaraju</t>
  </si>
  <si>
    <t>373cb6d4-cff0-405c-b9e4-40ca5b39e645</t>
  </si>
  <si>
    <t>http://164.52.221.216/localmedia/media/surveys/samples/recording_2026-01-22_11-01-15_samples_D7lZaRhztx.mp4</t>
  </si>
  <si>
    <t>1ee697fe-21b1-4774-99c2-0e7aedd84d33</t>
  </si>
  <si>
    <t>1/22/2026, 11:04:50 AM</t>
  </si>
  <si>
    <t>http://164.52.221.216/localmedia/media/surveys/samples/recording_2026-01-22_11-01-15_samples_AN9iOLm6sd.mp4</t>
  </si>
  <si>
    <t>76ba4cde-931e-4d53-a985-1923537cfe1d</t>
  </si>
  <si>
    <t>16.400858, 81.777848</t>
  </si>
  <si>
    <t>CQ2H+C6Q, Antarvedipalem, Andhra Pradesh, India</t>
  </si>
  <si>
    <t>http://164.52.221.216/localmedia/media/surveys/samples/recording_2026-01-22_11-00-36_samples_CKrY43B5Bb.mp4</t>
  </si>
  <si>
    <t>vekatapathiraju</t>
  </si>
  <si>
    <t>Didn't asked caste, Q6 Kept on his own, Q9 response was inaudible, Q12 to Q14,Q17 didn't asked quesions</t>
  </si>
  <si>
    <t>6cb09c68-ff89-40a3-af22-eba5d725cfda</t>
  </si>
  <si>
    <t>1/22/2026, 11:06:38 AM</t>
  </si>
  <si>
    <t>16.332035, 81.733572</t>
  </si>
  <si>
    <t>http://164.52.221.216/localmedia/media/surveys/samples/recording_2026-01-22_11-04-03_samples_o3RE5IhqRC.mp4</t>
  </si>
  <si>
    <t>Peddiraju</t>
  </si>
  <si>
    <t>Entered on his own</t>
  </si>
  <si>
    <t>317fafb9-dd8b-4449-bc41-21a8d6a1a1c4</t>
  </si>
  <si>
    <t>1/22/2026, 11:09:15 AM</t>
  </si>
  <si>
    <t>16.395859, 81.782528</t>
  </si>
  <si>
    <t>9QWJ+FWJ, Antarvedipalem, Andhra Pradesh, India</t>
  </si>
  <si>
    <t>http://164.52.221.216/localmedia/media/surveys/samples/recording_2026-01-22_11-07-46_samples_TQZWbGD8oK.mp4</t>
  </si>
  <si>
    <t>narayanaswami</t>
  </si>
  <si>
    <t>Hurried in completing the questionnaire not letting the respondent to give thier response. And skipped Q8,9,10,14 questions.kept q5 response before the respondent answers.</t>
  </si>
  <si>
    <t>5b2f2093-dbc1-4841-8139-730087848aea</t>
  </si>
  <si>
    <t>1/22/2026, 11:11:39 AM</t>
  </si>
  <si>
    <t>16.499720, 81.879250</t>
  </si>
  <si>
    <t>DOOR NO.8, Tatipaka, Andhra Pradesh, India</t>
  </si>
  <si>
    <t>http://164.52.221.216/localmedia/media/surveys/samples/recording_2026-01-22_11-09-07_samples_KG3m6fNCnR.mp4</t>
  </si>
  <si>
    <t>venkataramana</t>
  </si>
  <si>
    <t>Kept Q1 on his own.</t>
  </si>
  <si>
    <t>aca4b837-05b2-475f-9f01-6e0abe62b630</t>
  </si>
  <si>
    <t>1/22/2026, 11:12:48 AM</t>
  </si>
  <si>
    <t>16.397745, 81.781672</t>
  </si>
  <si>
    <t>SHOP NO.6, ANTERDIPALEM, SakhinetiPalli, Andhra Pradesh, India</t>
  </si>
  <si>
    <t>http://164.52.221.216/localmedia/media/surveys/samples/recording_2026-01-22_11-10-38_samples_T7ohwd7ahY.mp4</t>
  </si>
  <si>
    <t>gopal krishna</t>
  </si>
  <si>
    <t>Q6 Kept on his own, didn't asked properly.Q8 kept on his own.</t>
  </si>
  <si>
    <t>c46d9d3d-76e1-4dd3-aeb3-0ac95a1d1cb6</t>
  </si>
  <si>
    <t>1/22/2026, 11:16:30 AM</t>
  </si>
  <si>
    <t>16.332266, 81.733997</t>
  </si>
  <si>
    <t>Viswanath Home, Antervedi Pallipalem, Andhra Pradesh, India</t>
  </si>
  <si>
    <t>http://164.52.221.216/localmedia/media/surveys/samples/recording_2026-01-22_11-13-12_samples_cgHnB48ncb.mp4</t>
  </si>
  <si>
    <t>Prasad</t>
  </si>
  <si>
    <t>Caste- Yerukula, Q1 kept on hiw own,</t>
  </si>
  <si>
    <t>05b082e2-15f2-4e2b-8acd-3954b7e97a87</t>
  </si>
  <si>
    <t>1/22/2026, 11:17:23 AM</t>
  </si>
  <si>
    <t>16.398394, 81.781569</t>
  </si>
  <si>
    <t>9QXJ+CJM, Antervedi Pallipalem, Andhra Pradesh, India</t>
  </si>
  <si>
    <t>http://164.52.221.216/localmedia/media/surveys/samples/recording_2026-01-22_11-16-14_samples_qgQ5aLnnJ9.mp4</t>
  </si>
  <si>
    <t>Too hurried in completeing the questionnaire</t>
  </si>
  <si>
    <t>9d1689fe-8683-4df7-a336-9751e6c646d0</t>
  </si>
  <si>
    <t>1/22/2026, 11:17:56 AM</t>
  </si>
  <si>
    <t>16.499512, 81.878792</t>
  </si>
  <si>
    <t>http://164.52.221.216/localmedia/media/surveys/samples/recording_2026-01-22_11-14-51_samples_tnirSuC0bU.mp4</t>
  </si>
  <si>
    <t>ch. jarj</t>
  </si>
  <si>
    <t>597ca3bd-99d2-46d6-beec-44f7f1d13ebf</t>
  </si>
  <si>
    <t>1/22/2026, 11:22:51 AM</t>
  </si>
  <si>
    <t>16.398883, 81.781735</t>
  </si>
  <si>
    <t>http://164.52.221.216/localmedia/media/surveys/samples/recording_2026-01-22_11-20-53_samples_X7VdkM2H00.mp4</t>
  </si>
  <si>
    <t>Q1,Q6 entered on hiw own, Too hurried to complete the questionnaire</t>
  </si>
  <si>
    <t>9f1ae943-9904-4852-a1eb-5e9af86ec36b</t>
  </si>
  <si>
    <t>1/22/2026, 11:24:00 AM</t>
  </si>
  <si>
    <t>16.332460, 81.734522</t>
  </si>
  <si>
    <t>http://164.52.221.216/localmedia/media/surveys/samples/recording_2026-01-22_11-19-34_samples_7GZxu97tsd.mp4</t>
  </si>
  <si>
    <t>kesavarao</t>
  </si>
  <si>
    <t>Q9 response is inaudible, and also seems like respondent didn't said anything.</t>
  </si>
  <si>
    <t>30fe40e8-a5a0-4d82-99f1-8c2a1f5d4bfb</t>
  </si>
  <si>
    <t>1/22/2026, 11:33:46 AM</t>
  </si>
  <si>
    <t>16.401373, 81.778207</t>
  </si>
  <si>
    <t>CQ2H+G6V, Kakinada, Andhra Pradesh, India</t>
  </si>
  <si>
    <t>http://164.52.221.216/localmedia/media/surveys/samples/recording_2026-01-22_11-32-03_samples_3oBFEvC8gB.mp4</t>
  </si>
  <si>
    <t>hanumathrao</t>
  </si>
  <si>
    <t>Caste didn't mentioned, Not letting respondent to finish the responses asking the next question.</t>
  </si>
  <si>
    <t>ae212192-f249-4a6d-ae60-abd91953ba83</t>
  </si>
  <si>
    <t>1/22/2026, 11:34:48 AM</t>
  </si>
  <si>
    <t>16.332027, 81.734670</t>
  </si>
  <si>
    <t>http://164.52.221.216/localmedia/media/surveys/samples/recording_2026-01-22_11-31-17_samples_IjRgiCMMpT.mp4</t>
  </si>
  <si>
    <t>Naeasimhaswamy</t>
  </si>
  <si>
    <t>8789a033-c295-4e63-abbe-762cceced6c5</t>
  </si>
  <si>
    <t>1/22/2026, 11:37:09 AM</t>
  </si>
  <si>
    <t>16.503128, 81.878955</t>
  </si>
  <si>
    <t>FVXJ+82F, Tatipaka, Andhra Pradesh, India</t>
  </si>
  <si>
    <t>http://164.52.221.216/localmedia/media/surveys/samples/recording_2026-01-22_11-33-21_samples_SFahlo1PEz.mp4</t>
  </si>
  <si>
    <t>Q1,Q6 entered on his own.</t>
  </si>
  <si>
    <t>6d4d44f7-b21e-4758-b11f-161b45dad703</t>
  </si>
  <si>
    <t>1/22/2026, 11:47:02 AM</t>
  </si>
  <si>
    <t>16.502782, 81.878555</t>
  </si>
  <si>
    <t>DOOR NO 8, Tatipaka, Andhra Pradesh, India</t>
  </si>
  <si>
    <t>http://164.52.221.216/localmedia/media/surveys/samples/recording_2026-01-22_11-42-27_samples_usciPSkGwv.mp4</t>
  </si>
  <si>
    <t>ramkrishna</t>
  </si>
  <si>
    <t>f430679f-c1cb-46e4-bdeb-c7a3e5533252</t>
  </si>
  <si>
    <t>1/22/2026, 11:47:16 AM</t>
  </si>
  <si>
    <t>16.331291, 81.735101</t>
  </si>
  <si>
    <t>http://164.52.221.216/localmedia/media/surveys/samples/recording_2026-01-22_11-45-31_samples_Px4LEtLejU.mp4</t>
  </si>
  <si>
    <t>Entered fake sample</t>
  </si>
  <si>
    <t>f1385543-bb0c-4fa8-a0e1-105ea8b9db04</t>
  </si>
  <si>
    <t>1/22/2026, 1:24:22 PM</t>
  </si>
  <si>
    <t>16.404924, 81.781604</t>
  </si>
  <si>
    <t>SHOP NO.1 SRI RAMACHANDRA MURTHY COMPLEX MAIN ROAD, Malikipuram, Andhra Pradesh, India</t>
  </si>
  <si>
    <t>http://164.52.221.216/localmedia/media/surveys/samples/recording_2026-01-22_13-22-43_samples_UxSNRfcWUA.mp4</t>
  </si>
  <si>
    <t>raj</t>
  </si>
  <si>
    <t>339855c0-ceb4-48a9-85b1-8f92bd183e39</t>
  </si>
  <si>
    <t>1/22/2026, 2:15:42 PM</t>
  </si>
  <si>
    <t>http://164.52.221.216/localmedia/media/surveys/samples/recording_2026-01-22_14-14-37_samples_i0zXDI7Usz.mp4</t>
  </si>
  <si>
    <t>691efe0f-4bee-4f3e-bcc0-8e258d026d30</t>
  </si>
  <si>
    <t>1/22/2026, 3:40:59 PM</t>
  </si>
  <si>
    <t>16.332720, 81.734418</t>
  </si>
  <si>
    <t>http://164.52.221.216/localmedia/media/surveys/samples/recording_2026-01-22_15-37-58_samples_J0lqmkrg5J.mp4</t>
  </si>
  <si>
    <t>prasannakumari</t>
  </si>
  <si>
    <t>All options kept on his own</t>
  </si>
  <si>
    <t>Sum of Caste Factor</t>
  </si>
  <si>
    <t>Sum of 2024 Factor</t>
  </si>
  <si>
    <t>Sum of Factor_1</t>
  </si>
  <si>
    <t>Sum of Factor_2</t>
  </si>
  <si>
    <t>Sum of Gender factor</t>
  </si>
  <si>
    <t>Sum of Multi Factor</t>
  </si>
  <si>
    <t>.</t>
  </si>
  <si>
    <t>MLA Satisfaction</t>
  </si>
  <si>
    <t>CM/Current Govt Satisfaction</t>
  </si>
  <si>
    <t>1ddd85bf-6e5c-41a4-9507-3ea90e0e3112</t>
  </si>
  <si>
    <t>23/01/2026, 08:49:01</t>
  </si>
  <si>
    <t>16.505425, 81.878629</t>
  </si>
  <si>
    <t>GV4H+9HC, Tatipaka, Andhra Pradesh, India</t>
  </si>
  <si>
    <t>http://164.52.221.216/localmedia/media/surveys/samples/recording_2026-01-23_08-45-57_samples_1KWXY0CdQd.mp4</t>
  </si>
  <si>
    <t>durga lakshmi</t>
  </si>
  <si>
    <t>fc3d602c-c0b8-428d-8eff-eefb8b64685f</t>
  </si>
  <si>
    <t>23/01/2026, 09:47:42</t>
  </si>
  <si>
    <t>16.496456, 81.881603</t>
  </si>
  <si>
    <t>FVWJ+QMM, Mogalikuduru, Andhra Pradesh, India</t>
  </si>
  <si>
    <t>http://164.52.221.216/localmedia/media/surveys/samples/recording_2026-01-23_09-44-47_samples_hPQahuahon.mp4</t>
  </si>
  <si>
    <t>సమస్యలు లేవు</t>
  </si>
  <si>
    <t>pramila</t>
  </si>
  <si>
    <t>403374c7-6a44-48bf-ae57-20125fcba96d</t>
  </si>
  <si>
    <t>23/01/2026, 09:58:32</t>
  </si>
  <si>
    <t>16.366643, 81.806827</t>
  </si>
  <si>
    <t>9R94+4V, Kesavadasupalem, Andhra Pradesh, India</t>
  </si>
  <si>
    <t>http://164.52.221.216/localmedia/media/surveys/samples/recording_2026-01-23_09-56-39_samples_QpuV5NnsjW.mp4</t>
  </si>
  <si>
    <t>babu</t>
  </si>
  <si>
    <t>e9acb51a-4f52-4810-8fd5-d56bd8f8a975</t>
  </si>
  <si>
    <t>23/01/2026, 10:38:06</t>
  </si>
  <si>
    <t>16.512958, 81.904674</t>
  </si>
  <si>
    <t>http://164.52.221.216/localmedia/media/surveys/samples/recording_2026-01-23_10-33-55_samples_8f26uyC8m3.mp4</t>
  </si>
  <si>
    <t>k. madhavarao</t>
  </si>
  <si>
    <t>a4bc2513-b96b-4827-b726-9d963b259611</t>
  </si>
  <si>
    <t>23/01/2026, 10:52:04</t>
  </si>
  <si>
    <t>16.359516, 81.795246</t>
  </si>
  <si>
    <t>http://164.52.221.216/localmedia/media/surveys/samples/recording_2026-01-23_10-49-56_samples_gBeV9C0qN7.mp4</t>
  </si>
  <si>
    <t>naresh</t>
  </si>
  <si>
    <t>e7798d42-0d87-4a44-b94e-87fa47068cc0</t>
  </si>
  <si>
    <t>23/01/2026, 11:18:30</t>
  </si>
  <si>
    <t>16.332081, 81.732966</t>
  </si>
  <si>
    <t>http://164.52.221.216/localmedia/media/surveys/samples/recording_2026-01-23_11-15-47_samples_CRhRFowiZY.mp4</t>
  </si>
  <si>
    <t>sandeep</t>
  </si>
  <si>
    <t>5a03a689-093d-48af-ac8b-fe2a25edc988</t>
  </si>
  <si>
    <t>23/01/2026, 11:41:24</t>
  </si>
  <si>
    <t>16.355805, 81.790435</t>
  </si>
  <si>
    <t>9Q4R+59V, Kesavadasupalem, Andhra Pradesh, India</t>
  </si>
  <si>
    <t>http://164.52.221.216/localmedia/media/surveys/samples/recording_2026-01-23_11-39-56_samples_NB6pMgq0Tb.mp4</t>
  </si>
  <si>
    <t>veraraju</t>
  </si>
  <si>
    <t>3055d0bd-3bb4-4289-b4f3-5ef6ea3d2b68</t>
  </si>
  <si>
    <t>23/01/2026, 08:59:30</t>
  </si>
  <si>
    <t>16.506380, 81.877325</t>
  </si>
  <si>
    <t>http://164.52.221.216/localmedia/media/surveys/samples/recording_2026-01-23_08-54-33_samples_9yByhzR0d0.mp4</t>
  </si>
  <si>
    <t>ed6d19c3-e197-4532-b3f3-9ecdcabd247f</t>
  </si>
  <si>
    <t>23/01/2026, 09:47:59</t>
  </si>
  <si>
    <t>16.362654, 81.803019</t>
  </si>
  <si>
    <t>9R63+FHW, Kesavadasupalem, Andhra Pradesh, India</t>
  </si>
  <si>
    <t>http://164.52.221.216/localmedia/media/surveys/samples/recording_2026-01-23_09-45-57_samples_5aQIssfa7z.mp4</t>
  </si>
  <si>
    <t>gnapathi</t>
  </si>
  <si>
    <t>348fc2e7-65f5-4060-9537-002ab4f24832</t>
  </si>
  <si>
    <t>23/01/2026, 10:02:35</t>
  </si>
  <si>
    <t>16.363199, 81.807043</t>
  </si>
  <si>
    <t>SHOP NO.9, Kesavadasupalem, Andhra Pradesh, India</t>
  </si>
  <si>
    <t>http://164.52.221.216/localmedia/media/surveys/samples/recording_2026-01-23_10-00-09_samples_V6kJVdbUtT.mp4</t>
  </si>
  <si>
    <t>f268e569-b19d-4dec-b804-3cf0632008d8</t>
  </si>
  <si>
    <t>23/01/2026, 10:41:11</t>
  </si>
  <si>
    <t>16.333535, 81.733207</t>
  </si>
  <si>
    <t>http://164.52.221.216/localmedia/media/surveys/samples/recording_2026-01-23_10-36-32_samples_ve4eGYwUqj.mp4</t>
  </si>
  <si>
    <t>B Srinivasulu</t>
  </si>
  <si>
    <t>baff47ff-0527-4806-ae8a-ce5e1f79f9d9</t>
  </si>
  <si>
    <t>23/01/2026, 10:53:04</t>
  </si>
  <si>
    <t>16.511404, 81.899023</t>
  </si>
  <si>
    <t>GV6X+VHP, Mamidikududru, Andhra Pradesh, India</t>
  </si>
  <si>
    <t>http://164.52.221.216/localmedia/media/surveys/samples/recording_2026-01-23_10-50-09_samples_fGrje9gtZE.mp4</t>
  </si>
  <si>
    <t>chndhini</t>
  </si>
  <si>
    <t>9c2969b3-8b20-4483-97b4-7f69a17362b8</t>
  </si>
  <si>
    <t>23/01/2026, 11:24:10</t>
  </si>
  <si>
    <t>16.357293, 81.795214</t>
  </si>
  <si>
    <t>9Q4W+V28, Kesavadasupalem, Andhra Pradesh, India</t>
  </si>
  <si>
    <t>http://164.52.221.216/localmedia/media/surveys/samples/recording_2026-01-23_11-22-51_samples_GVLygLlPFd.mp4</t>
  </si>
  <si>
    <t>anji</t>
  </si>
  <si>
    <t>512c6ad5-086a-4065-a9c8-d49f9aa1a714</t>
  </si>
  <si>
    <t>23/01/2026, 11:46:55</t>
  </si>
  <si>
    <t>16.360150, 81.793307</t>
  </si>
  <si>
    <t>Shop No.2, Sakhinetipalli Mandal, Gondi, Andhra Pradesh, India</t>
  </si>
  <si>
    <t>http://164.52.221.216/localmedia/media/surveys/samples/recording_2026-01-23_11-45-03_samples_f0X2g2fhuk.mp4</t>
  </si>
  <si>
    <t>navanith</t>
  </si>
  <si>
    <t>98ed6e75-3956-4b26-b193-f85c617695d5</t>
  </si>
  <si>
    <t>23/01/2026, 11:58:23</t>
  </si>
  <si>
    <t>16.359297, 81.792446</t>
  </si>
  <si>
    <t>http://164.52.221.216/localmedia/media/surveys/samples/recording_2026-01-23_11-57-06_samples_qWE4molSv3.mp4</t>
  </si>
  <si>
    <t>yesubabau</t>
  </si>
  <si>
    <t>60af232e-1f24-4677-b5f0-80c086ffbcdf</t>
  </si>
  <si>
    <t>23/01/2026, 12:12:40</t>
  </si>
  <si>
    <t>16.333544, 81.733816</t>
  </si>
  <si>
    <t>8PMM+CGG, అంతర్వేదిపాలెం, ఆంధ్ర ప్రదేశ్, India</t>
  </si>
  <si>
    <t>http://164.52.221.216/localmedia/media/surveys/samples/recording_2026-01-23_12-08-43_samples_xWpJpH8DZE.mp4</t>
  </si>
  <si>
    <t>Sandeep</t>
  </si>
  <si>
    <t>87c75dfd-1c68-40d6-9110-95913a809093</t>
  </si>
  <si>
    <t>23/01/2026, 12:48:12</t>
  </si>
  <si>
    <t>16.519616, 81.906891</t>
  </si>
  <si>
    <t>9-9, Pedapatnam, Andhra Pradesh, India</t>
  </si>
  <si>
    <t>http://164.52.221.216/localmedia/media/surveys/samples/recording_2026-01-23_12-44-51_samples_pzAd1TUg9f.mp4</t>
  </si>
  <si>
    <t>suryakumari</t>
  </si>
  <si>
    <t>2262c336-f006-40ef-b547-d3fedd9df72e</t>
  </si>
  <si>
    <t>23/01/2026, 09:04:52</t>
  </si>
  <si>
    <t>16.504363, 81.876825</t>
  </si>
  <si>
    <t>http://164.52.221.216/localmedia/media/surveys/samples/recording_2026-01-23_09-02-03_samples_XzJorOFzJr.mp4</t>
  </si>
  <si>
    <t>57f8628c-7f50-4627-b271-66bc3990a858</t>
  </si>
  <si>
    <t>23/01/2026, 09:48:02</t>
  </si>
  <si>
    <t>http://164.52.221.216/localmedia/media/surveys/samples/recording_2026-01-23_09-45-57_samples_0ODnQvJft7.mp4</t>
  </si>
  <si>
    <t>80528fbd-f9fa-4196-a9fb-00109846e15d</t>
  </si>
  <si>
    <t>23/01/2026, 10:21:06</t>
  </si>
  <si>
    <t>16.513861, 81.907822</t>
  </si>
  <si>
    <t>http://164.52.221.216/localmedia/media/surveys/samples/recording_2026-01-23_10-17-23_samples_yPFoXfkzl4.mp4</t>
  </si>
  <si>
    <t>resh kumar</t>
  </si>
  <si>
    <t>7fe28a97-f821-4a53-98aa-f60620e672b1</t>
  </si>
  <si>
    <t>23/01/2026, 10:44:33</t>
  </si>
  <si>
    <t>16.359039, 81.797713</t>
  </si>
  <si>
    <t>9Q5W+FH8, Kesavadasupalem, Andhra Pradesh, India</t>
  </si>
  <si>
    <t>http://164.52.221.216/localmedia/media/surveys/samples/recording_2026-01-23_10-43-04_samples_nvhjlcgPnz.mp4</t>
  </si>
  <si>
    <t>670bb7c1-f6d1-43ca-8c8d-e129300fc712</t>
  </si>
  <si>
    <t>23/01/2026, 10:55:14</t>
  </si>
  <si>
    <t>16.358760, 81.794044</t>
  </si>
  <si>
    <t>http://164.52.221.216/localmedia/media/surveys/samples/recording_2026-01-23_10-52-57_samples_GgPWmlt0EH.mp4</t>
  </si>
  <si>
    <t>1d687f28-c817-4b60-9a4b-62b6c5902a48</t>
  </si>
  <si>
    <t>23/01/2026, 11:26:13</t>
  </si>
  <si>
    <t>16.360118, 81.793809</t>
  </si>
  <si>
    <t>http://164.52.221.216/localmedia/media/surveys/samples/recording_2026-01-23_11-24-48_samples_fiAE1pQvRE.mp4</t>
  </si>
  <si>
    <t>banu</t>
  </si>
  <si>
    <t>ed50ad5d-af17-4ce1-b5f9-1b03701c2377</t>
  </si>
  <si>
    <t>23/01/2026, 11:49:48</t>
  </si>
  <si>
    <t>16.357920, 81.790623</t>
  </si>
  <si>
    <t>9Q5Q+3WC, Kesavadasupalem, Andhra Pradesh, India</t>
  </si>
  <si>
    <t>http://164.52.221.216/localmedia/media/surveys/samples/recording_2026-01-23_11-48-07_samples_ZuATcy86eu.mp4</t>
  </si>
  <si>
    <t>INC (కాంగ్రెస్)</t>
  </si>
  <si>
    <t>solmonraju</t>
  </si>
  <si>
    <t>2561ddbc-c70a-4372-8735-9fefe5445bfc</t>
  </si>
  <si>
    <t>23/01/2026, 12:00:16</t>
  </si>
  <si>
    <t>16.359120, 81.793844</t>
  </si>
  <si>
    <t>http://164.52.221.216/localmedia/media/surveys/samples/recording_2026-01-23_11-59-02_samples_vca0nVZAWP.mp4</t>
  </si>
  <si>
    <t>prabukumar</t>
  </si>
  <si>
    <t>5b905f7f-5a17-4679-b5bc-ef6aed632e84</t>
  </si>
  <si>
    <t>23/01/2026, 12:18:13</t>
  </si>
  <si>
    <t>16.358167, 81.796449</t>
  </si>
  <si>
    <t>http://164.52.221.216/localmedia/media/surveys/samples/recording_2026-01-23_12-16-32_samples_jEj2xknqdz.mp4</t>
  </si>
  <si>
    <t>e983e196-a67c-40f3-83be-4c82088ad7e3</t>
  </si>
  <si>
    <t>23/01/2026, 13:11:55</t>
  </si>
  <si>
    <t>16.515957, 81.906761</t>
  </si>
  <si>
    <t>GW85+V78, Pedapatnam, Andhra Pradesh, India</t>
  </si>
  <si>
    <t>http://164.52.221.216/localmedia/media/surveys/samples/recording_2026-01-23_13-06-24_samples_jad1s5ZDct.mp4</t>
  </si>
  <si>
    <t>pedintlu</t>
  </si>
  <si>
    <t>b7c73281-0567-4944-9c99-89ff98902cb7</t>
  </si>
  <si>
    <t>23/01/2026, 13:47:57</t>
  </si>
  <si>
    <t>16.360378, 81.799829</t>
  </si>
  <si>
    <t>http://164.52.221.216/localmedia/media/surveys/samples/recording_2026-01-23_13-46-38_samples_Vp5nXOc2nU.mp4</t>
  </si>
  <si>
    <t>a93fc63f-0e83-4938-96ae-5ce27561a6b9</t>
  </si>
  <si>
    <t>23/01/2026, 09:14:12</t>
  </si>
  <si>
    <t>16.503872, 81.876852</t>
  </si>
  <si>
    <t>GV3G+GQ4, Tatipaka, Andhra Pradesh, India</t>
  </si>
  <si>
    <t>http://164.52.221.216/localmedia/media/surveys/samples/recording_2026-01-23_09-10-24_samples_viwFKdqOXk.mp4</t>
  </si>
  <si>
    <t>d5a4abf0-cec1-4e57-b0ce-e8bc9a476558</t>
  </si>
  <si>
    <t>23/01/2026, 09:48:24</t>
  </si>
  <si>
    <t>http://164.52.221.216/localmedia/media/surveys/samples/recording_2026-01-23_09-45-57_samples_orOecgdeFx.mp4</t>
  </si>
  <si>
    <t>bb28083a-47c2-4e27-8160-a61a39f7a267</t>
  </si>
  <si>
    <t>23/01/2026, 10:28:43</t>
  </si>
  <si>
    <t>16.361389, 81.804807</t>
  </si>
  <si>
    <t>http://164.52.221.216/localmedia/media/surveys/samples/recording_2026-01-23_10-26-11_samples_1vdDo7Y3kL.mp4</t>
  </si>
  <si>
    <t>bekatesh</t>
  </si>
  <si>
    <t>0e1e9954-d0f6-4682-b3d4-685184931b51</t>
  </si>
  <si>
    <t>23/01/2026, 10:48:57</t>
  </si>
  <si>
    <t>16.333408, 81.733882</t>
  </si>
  <si>
    <t>http://164.52.221.216/localmedia/media/surveys/samples/recording_2026-01-23_10-45-29_samples_VQepvzMXKc.mp4</t>
  </si>
  <si>
    <t>B N Raju</t>
  </si>
  <si>
    <t>8c4226b1-13f2-4451-9ed2-42bdca6c0485</t>
  </si>
  <si>
    <t>23/01/2026, 10:58:33</t>
  </si>
  <si>
    <t>16.511949, 81.898521</t>
  </si>
  <si>
    <t>http://164.52.221.216/localmedia/media/surveys/samples/recording_2026-01-23_10-54-41_samples_ay8sq4bZVV.mp4</t>
  </si>
  <si>
    <t>ravi shekar</t>
  </si>
  <si>
    <t>f9637631-10d7-4461-8987-b66fbc40adf8</t>
  </si>
  <si>
    <t>23/01/2026, 11:29:00</t>
  </si>
  <si>
    <t>16.358154, 81.794706</t>
  </si>
  <si>
    <t>9Q4V+WXF, Kesavadasupalem, Andhra Pradesh, India</t>
  </si>
  <si>
    <t>http://164.52.221.216/localmedia/media/surveys/samples/recording_2026-01-23_11-27-24_samples_8Pti37J0m6.mp4</t>
  </si>
  <si>
    <t>nageswrao</t>
  </si>
  <si>
    <t>188f125c-607e-498b-b8e9-a674affca57e</t>
  </si>
  <si>
    <t>23/01/2026, 11:52:36</t>
  </si>
  <si>
    <t>16.358792, 81.792128</t>
  </si>
  <si>
    <t>http://164.52.221.216/localmedia/media/surveys/samples/recording_2026-01-23_11-51-05_samples_gngq7oOgU7.mp4</t>
  </si>
  <si>
    <t>seelraj</t>
  </si>
  <si>
    <t>03a08b5c-a5a6-4fe2-97a8-c0c4ebb5a4b1</t>
  </si>
  <si>
    <t>23/01/2026, 12:00:32</t>
  </si>
  <si>
    <t>16.519405, 81.906542</t>
  </si>
  <si>
    <t>GW94+JHX, Pedapatnam, Andhra Pradesh, India</t>
  </si>
  <si>
    <t>http://164.52.221.216/localmedia/media/surveys/samples/recording_2026-01-23_11-57-21_samples_uImCBzLEps.mp4</t>
  </si>
  <si>
    <t>uesjdasu</t>
  </si>
  <si>
    <t>3cbdda62-c445-4094-a588-0ab0eb19ecdc</t>
  </si>
  <si>
    <t>23/01/2026, 12:22:51</t>
  </si>
  <si>
    <t>16.359145, 81.798287</t>
  </si>
  <si>
    <t>9Q5X+VM5, Kesavadasupalem, Andhra Pradesh, India</t>
  </si>
  <si>
    <t>http://164.52.221.216/localmedia/media/surveys/samples/recording_2026-01-23_12-20-39_samples_yOQfIwwSTk.mp4</t>
  </si>
  <si>
    <t>vektesh</t>
  </si>
  <si>
    <t>aa32dc9f-dcec-4b69-8154-accab1b238d2</t>
  </si>
  <si>
    <t>23/01/2026, 09:17:37</t>
  </si>
  <si>
    <t>16.439523, 81.711723</t>
  </si>
  <si>
    <t>http://164.52.221.216/localmedia/media/surveys/samples/recording_2026-01-23_09-13-57_samples_6N2RFXdKVz.mp4</t>
  </si>
  <si>
    <t>kumar</t>
  </si>
  <si>
    <t>90838397-096b-406c-bd0d-476e6d86c6ac</t>
  </si>
  <si>
    <t>23/01/2026, 09:51:36</t>
  </si>
  <si>
    <t>16.363819, 81.804494</t>
  </si>
  <si>
    <t>Chitturi vari group, Kesavadasupalem, Andhra Pradesh, India</t>
  </si>
  <si>
    <t>http://164.52.221.216/localmedia/media/surveys/samples/recording_2026-01-23_09-49-52_samples_CWlWIzxyXf.mp4</t>
  </si>
  <si>
    <t>f4a4c3b8-07d9-43b6-aedd-c247c7a99578</t>
  </si>
  <si>
    <t>23/01/2026, 10:28:58</t>
  </si>
  <si>
    <t>16.513553, 81.907150</t>
  </si>
  <si>
    <t>http://164.52.221.216/localmedia/media/surveys/samples/recording_2026-01-23_10-25-15_samples_5x04G66Zl4.mp4</t>
  </si>
  <si>
    <t>k. chitti venkayya</t>
  </si>
  <si>
    <t>0897cf16-5dd6-4791-8091-2f0a24e8ac98</t>
  </si>
  <si>
    <t>http://164.52.221.216/localmedia/media/surveys/samples/recording_2026-01-23_10-45-29_samples_qFxzuQ6JvM.mp4</t>
  </si>
  <si>
    <t>bbd7c6f1-4c24-48a9-8cac-afaf3aaea4cb</t>
  </si>
  <si>
    <t>23/01/2026, 10:59:56</t>
  </si>
  <si>
    <t>16.332454, 81.734144</t>
  </si>
  <si>
    <t>http://164.52.221.216/localmedia/media/surveys/samples/recording_2026-01-23_10-55-50_samples_c4ctKvWeCL.mp4</t>
  </si>
  <si>
    <t>Thote Venkatareddy</t>
  </si>
  <si>
    <t>35035f21-4bf2-4c48-a3d6-5d47591c3d49</t>
  </si>
  <si>
    <t>23/01/2026, 11:31:39</t>
  </si>
  <si>
    <t>16.357301, 81.795178</t>
  </si>
  <si>
    <t>http://164.52.221.216/localmedia/media/surveys/samples/recording_2026-01-23_11-30-29_samples_zOO8Z0MkGt.mp4</t>
  </si>
  <si>
    <t>e5d77c0d-0ca4-4475-8d5d-61a393796efb</t>
  </si>
  <si>
    <t>23/01/2026, 11:54:27</t>
  </si>
  <si>
    <t>16.520205, 81.905923</t>
  </si>
  <si>
    <t>http://164.52.221.216/localmedia/media/surveys/samples/recording_2026-01-23_11-52-05_samples_cvtHwTok1i.mp4</t>
  </si>
  <si>
    <t>sangeetha</t>
  </si>
  <si>
    <t>9cef0664-10a8-48ad-ba68-8bc63823cd3c</t>
  </si>
  <si>
    <t>23/01/2026, 12:04:11</t>
  </si>
  <si>
    <t>16.358506, 81.793817</t>
  </si>
  <si>
    <t>http://164.52.221.216/localmedia/media/surveys/samples/recording_2026-01-23_12-02-26_samples_rA7SvQLUYX.mp4</t>
  </si>
  <si>
    <t>92eb2710-9167-4cc4-8456-c6945ca34630</t>
  </si>
  <si>
    <t>23/01/2026, 12:26:02</t>
  </si>
  <si>
    <t>16.519447, 81.906855</t>
  </si>
  <si>
    <t>GW94+JMP, Pedapatnam, Andhra Pradesh, India</t>
  </si>
  <si>
    <t>http://164.52.221.216/localmedia/media/surveys/samples/recording_2026-01-23_12-23-35_samples_sPPXYCp9Jd.mp4</t>
  </si>
  <si>
    <t>chandra shekae</t>
  </si>
  <si>
    <t>d9e7b7cb-4290-40cd-975b-d983a7daacd1</t>
  </si>
  <si>
    <t>23/01/2026, 13:17:47</t>
  </si>
  <si>
    <t>16.515693, 81.907369</t>
  </si>
  <si>
    <t>http://164.52.221.216/localmedia/media/surveys/samples/recording_2026-01-23_13-14-22_samples_rsbRu3j7rs.mp4</t>
  </si>
  <si>
    <t>dirga</t>
  </si>
  <si>
    <t>dbea4ec0-32f6-4155-bc69-d1236f881ea0</t>
  </si>
  <si>
    <t>23/01/2026, 09:23:04</t>
  </si>
  <si>
    <t>16.504268, 81.875143</t>
  </si>
  <si>
    <t>GV3G+J5Q, Tatipaka, Andhra Pradesh, India</t>
  </si>
  <si>
    <t>http://164.52.221.216/localmedia/media/surveys/samples/recording_2026-01-23_09-19-00_samples_WPCO6AS2K8.mp4</t>
  </si>
  <si>
    <t>sireeshi</t>
  </si>
  <si>
    <t>8444c6df-ee9e-43c7-b39e-02a3c50b3cf2</t>
  </si>
  <si>
    <t>23/01/2026, 09:55:57</t>
  </si>
  <si>
    <t>16.365840, 81.804125</t>
  </si>
  <si>
    <t>9R83+58Q, Kesavadasupalem, Andhra Pradesh, India</t>
  </si>
  <si>
    <t>http://164.52.221.216/localmedia/media/surveys/samples/recording_2026-01-23_09-54-04_samples_vWOtqmi5va.mp4</t>
  </si>
  <si>
    <t>0eecee35-e830-4876-a773-f8b319b01f55</t>
  </si>
  <si>
    <t>23/01/2026, 10:31:15</t>
  </si>
  <si>
    <t>16.360767, 81.800488</t>
  </si>
  <si>
    <t>http://164.52.221.216/localmedia/media/surveys/samples/recording_2026-01-23_10-29-55_samples_I03KT7LYZs.mp4</t>
  </si>
  <si>
    <t>murthi</t>
  </si>
  <si>
    <t>cadc753e-da5c-432c-a839-2a84ee55db6d</t>
  </si>
  <si>
    <t>23/01/2026, 10:49:10</t>
  </si>
  <si>
    <t>http://164.52.221.216/localmedia/media/surveys/samples/recording_2026-01-23_10-45-29_samples_5tJnnMVydq.mp4</t>
  </si>
  <si>
    <t>59204d4b-ffd9-468b-8740-ad26c9adc11f</t>
  </si>
  <si>
    <t>23/01/2026, 11:11:29</t>
  </si>
  <si>
    <t>16.332021, 81.733442</t>
  </si>
  <si>
    <t>http://164.52.221.216/localmedia/media/surveys/samples/recording_2026-01-23_11-08-17_samples_hv5KCFHQYT.mp4</t>
  </si>
  <si>
    <t>410c08b3-5762-41ec-a474-ef39a198f16c</t>
  </si>
  <si>
    <t>23/01/2026, 11:34:44</t>
  </si>
  <si>
    <t>16.356535, 81.793533</t>
  </si>
  <si>
    <t>Church peta Road, Kesavadasupalem, Andhra Pradesh, India</t>
  </si>
  <si>
    <t>http://164.52.221.216/localmedia/media/surveys/samples/recording_2026-01-23_11-33-01_samples_0QvRCgRJt1.mp4</t>
  </si>
  <si>
    <t>rajarthnam</t>
  </si>
  <si>
    <t>f7900104-8b3e-4722-81d3-bfc5438a58f0</t>
  </si>
  <si>
    <t>23/01/2026, 11:54:49</t>
  </si>
  <si>
    <t>16.332827, 81.734152</t>
  </si>
  <si>
    <t>http://164.52.221.216/localmedia/media/surveys/samples/recording_2026-01-23_11-52-13_samples_KokalkGN7g.mp4</t>
  </si>
  <si>
    <t>Manikyarao</t>
  </si>
  <si>
    <t>3b06f96e-0efb-434d-abb2-b33ba00827d0</t>
  </si>
  <si>
    <t>23/01/2026, 12:06:19</t>
  </si>
  <si>
    <t>16.358316, 81.794728</t>
  </si>
  <si>
    <t>http://164.52.221.216/localmedia/media/surveys/samples/recording_2026-01-23_12-05-16_samples_8cIokMPYr9.mp4</t>
  </si>
  <si>
    <t>saikumar</t>
  </si>
  <si>
    <t>0c353eea-c554-408f-a1e5-6a42c36a2962</t>
  </si>
  <si>
    <t>23/01/2026, 12:28:08</t>
  </si>
  <si>
    <t>16.333447, 81.733299</t>
  </si>
  <si>
    <t>http://164.52.221.216/localmedia/media/surveys/samples/recording_2026-01-23_12-23-37_samples_ZIHOPNGbxD.mp4</t>
  </si>
  <si>
    <t>kinda trinathrao</t>
  </si>
  <si>
    <t>83507b2c-71f4-4f1a-b2eb-f04d15d41602</t>
  </si>
  <si>
    <t>23/01/2026, 09:23:05</t>
  </si>
  <si>
    <t>http://164.52.221.216/localmedia/media/surveys/samples/recording_2026-01-23_09-19-00_samples_wULGBc7dQA.mp4</t>
  </si>
  <si>
    <t>1188a320-025c-4ca4-b16c-6169ae4dd7cf</t>
  </si>
  <si>
    <t>23/01/2026, 09:58:19</t>
  </si>
  <si>
    <t>http://164.52.221.216/localmedia/media/surveys/samples/recording_2026-01-23_09-56-39_samples_cBLLFSXFfY.mp4</t>
  </si>
  <si>
    <t>1698331f-7baa-4af4-87cb-d42401cbcb60</t>
  </si>
  <si>
    <t>23/01/2026, 10:34:27</t>
  </si>
  <si>
    <t>16.360168, 81.799873</t>
  </si>
  <si>
    <t>http://164.52.221.216/localmedia/media/surveys/samples/recording_2026-01-23_10-32-34_samples_zM15rh8kbn.mp4</t>
  </si>
  <si>
    <t>94610092-5338-4d90-b2b0-40bba3b90e61</t>
  </si>
  <si>
    <t>23/01/2026, 10:51:54</t>
  </si>
  <si>
    <t>http://164.52.221.216/localmedia/media/surveys/samples/recording_2026-01-23_10-49-56_samples_bOuSUk86gD.mp4</t>
  </si>
  <si>
    <t>0c229e73-bf25-4419-9f5c-058ac4ea5e20</t>
  </si>
  <si>
    <t>23/01/2026, 11:15:46</t>
  </si>
  <si>
    <t>16.519167, 81.898559</t>
  </si>
  <si>
    <t>DOR NO 2-2-2, Manepally, Andhra Pradesh, India</t>
  </si>
  <si>
    <t>http://164.52.221.216/localmedia/media/surveys/samples/recording_2026-01-23_11-11-37_samples_9DVNNWaIVb.mp4</t>
  </si>
  <si>
    <t>sravani</t>
  </si>
  <si>
    <t>0afef30e-236e-4d92-99a9-163f1bf3e59c</t>
  </si>
  <si>
    <t>23/01/2026, 11:38:04</t>
  </si>
  <si>
    <t>16.355246, 81.791859</t>
  </si>
  <si>
    <t>9Q4R+6R9, Kesavadasupalem, Andhra Pradesh, India</t>
  </si>
  <si>
    <t>http://164.52.221.216/localmedia/media/surveys/samples/recording_2026-01-23_11-35-44_samples_0wfFTj1iou.mp4</t>
  </si>
  <si>
    <t>mutyam</t>
  </si>
  <si>
    <t>5326bd31-d762-4d5c-81d5-c2329b8536c9</t>
  </si>
  <si>
    <t>23/01/2026, 11:54:50</t>
  </si>
  <si>
    <t>http://164.52.221.216/localmedia/media/surveys/samples/recording_2026-01-23_11-52-13_samples_i7lFpjGJVi.mp4</t>
  </si>
  <si>
    <t>3982290a-bed4-4006-ab48-cb3f65a6ac6a</t>
  </si>
  <si>
    <t>23/01/2026, 12:08:52</t>
  </si>
  <si>
    <t>16.357684, 81.795169</t>
  </si>
  <si>
    <t>http://164.52.221.216/localmedia/media/surveys/samples/recording_2026-01-23_12-07-12_samples_e04VwTA2x9.mp4</t>
  </si>
  <si>
    <t>303a7802-cf4c-46ac-83be-bf76bdf92dda</t>
  </si>
  <si>
    <t>23/01/2026, 12:36:58</t>
  </si>
  <si>
    <t>16.520188, 81.906244</t>
  </si>
  <si>
    <t>GWC4+5GW, Pedapatnam, Andhra Pradesh, India</t>
  </si>
  <si>
    <t>http://164.52.221.216/localmedia/media/surveys/samples/recording_2026-01-23_12-33-29_samples_CzpKzUfI1v.mp4</t>
  </si>
  <si>
    <t>satya yakambre swari</t>
  </si>
  <si>
    <t>a8373b7d-a61f-4fd6-a3a8-33f9cb0182f4</t>
  </si>
  <si>
    <t>23/01/2026, 13:25:41</t>
  </si>
  <si>
    <t>16.514946, 81.907340</t>
  </si>
  <si>
    <t>GW85+9JH, Pedapatnam, Andhra Pradesh, India</t>
  </si>
  <si>
    <t>http://164.52.221.216/localmedia/media/surveys/samples/recording_2026-01-23_13-21-17_samples_YR72SqCjOW.mp4</t>
  </si>
  <si>
    <t>syam lakshmi</t>
  </si>
  <si>
    <t>687d6647-de69-4e2b-b7c3-33da3a801b26</t>
  </si>
  <si>
    <t>23/01/2026, 13:50:32</t>
  </si>
  <si>
    <t>16.515759, 81.907654</t>
  </si>
  <si>
    <t>http://164.52.221.216/localmedia/media/surveys/samples/recording_2026-01-23_13-47-23_samples_pFtf8fidNd.mp4</t>
  </si>
  <si>
    <t>p. durga</t>
  </si>
  <si>
    <t>c3d3728a-dcca-4c79-914b-7757c100cbec</t>
  </si>
  <si>
    <t>23/01/2026, 08:22:49</t>
  </si>
  <si>
    <t>16.486343, 81.885331</t>
  </si>
  <si>
    <t>FVPM+F9M, Palagummi, Andhra Pradesh, India</t>
  </si>
  <si>
    <t>http://164.52.221.216/localmedia/media/surveys/samples/recording_2026-01-23_08-19-17_samples_ebgElLwseS.mp4</t>
  </si>
  <si>
    <t>dankarao</t>
  </si>
  <si>
    <t>366b5e08-4530-44a0-aa41-6ab09b28d1bd</t>
  </si>
  <si>
    <t>23/01/2026, 09:27:10</t>
  </si>
  <si>
    <t>16.503810, 81.875126</t>
  </si>
  <si>
    <t>GV3G+G4F, Tatipaka, Andhra Pradesh, India</t>
  </si>
  <si>
    <t>http://164.52.221.216/localmedia/media/surveys/samples/recording_2026-01-23_09-24-13_samples_gIncoeSSxS.mp4</t>
  </si>
  <si>
    <t>nageswararao</t>
  </si>
  <si>
    <t>ddf404e9-fb0a-482a-9bf3-97943020adde</t>
  </si>
  <si>
    <t>23/01/2026, 09:58:21</t>
  </si>
  <si>
    <t>http://164.52.221.216/localmedia/media/surveys/samples/recording_2026-01-23_09-56-39_samples_JMSAPs4Khv.mp4</t>
  </si>
  <si>
    <t>e345225b-81b0-4195-8074-b9ab01bfd7ff</t>
  </si>
  <si>
    <t>23/01/2026, 10:37:34</t>
  </si>
  <si>
    <t>16.359409, 81.798690</t>
  </si>
  <si>
    <t>http://164.52.221.216/localmedia/media/surveys/samples/recording_2026-01-23_10-35-20_samples_fvikyz2M18.mp4</t>
  </si>
  <si>
    <t>vekatasubaro</t>
  </si>
  <si>
    <t>c5a6d6a4-530b-491a-8f29-3507e252c656</t>
  </si>
  <si>
    <t>http://164.52.221.216/localmedia/media/surveys/samples/recording_2026-01-23_10-49-56_samples_UQLKV5skVA.mp4</t>
  </si>
  <si>
    <t>e8e6bc72-a296-41e7-a783-c68b3c75acba</t>
  </si>
  <si>
    <t>23/01/2026, 11:18:19</t>
  </si>
  <si>
    <t>16.359171, 81.793614</t>
  </si>
  <si>
    <t>http://164.52.221.216/localmedia/media/surveys/samples/recording_2026-01-23_11-16-45_samples_N70p9xcfXW.mp4</t>
  </si>
  <si>
    <t>manoj</t>
  </si>
  <si>
    <t>b07f39fe-9655-4ab7-b74d-d01b38e7b356</t>
  </si>
  <si>
    <t>23/01/2026, 11:39:05</t>
  </si>
  <si>
    <t>16.521039, 81.902969</t>
  </si>
  <si>
    <t>http://164.52.221.216/localmedia/media/surveys/samples/recording_2026-01-23_11-34-52_samples_L48BV8F4ac.mp4</t>
  </si>
  <si>
    <t>semeswararao</t>
  </si>
  <si>
    <t>6630ac31-9e11-49e9-9324-6584ea0b069b</t>
  </si>
  <si>
    <t>23/01/2026, 11:55:07</t>
  </si>
  <si>
    <t>http://164.52.221.216/localmedia/media/surveys/samples/recording_2026-01-23_11-52-13_samples_N4leKzQi2d.mp4</t>
  </si>
  <si>
    <t>091d4ab0-715a-49a6-b8b3-1fe6041ef669</t>
  </si>
  <si>
    <t>23/01/2026, 12:11:44</t>
  </si>
  <si>
    <t>16.518708, 81.907259</t>
  </si>
  <si>
    <t>GW94+HR9, Pedapatnam, Andhra Pradesh, India</t>
  </si>
  <si>
    <t>http://164.52.221.216/localmedia/media/surveys/samples/recording_2026-01-23_12-08-18_samples_X8H5zQTpwh.mp4</t>
  </si>
  <si>
    <t>1cc281dd-4918-4b1b-892c-ea6cc6f09be2</t>
  </si>
  <si>
    <t>23/01/2026, 12:41:36</t>
  </si>
  <si>
    <t>16.519647, 81.907845</t>
  </si>
  <si>
    <t>Pedapattanam Road, Pedapatnam, Andhra Pradesh, India</t>
  </si>
  <si>
    <t>http://164.52.221.216/localmedia/media/surveys/samples/recording_2026-01-23_12-38-15_samples_jngVoLB5V5.mp4</t>
  </si>
  <si>
    <t>satya narayana</t>
  </si>
  <si>
    <t>e0a124da-e0cb-4c65-bfe8-239e4ad9b28a</t>
  </si>
  <si>
    <t>23/01/2026, 13:41:22</t>
  </si>
  <si>
    <t>16.514572, 81.907602</t>
  </si>
  <si>
    <t>GW75+VQH, Pedapatnam, Andhra Pradesh, India</t>
  </si>
  <si>
    <t>http://164.52.221.216/localmedia/media/surveys/samples/recording_2026-01-23_13-37-28_samples_fCHoHUN54T.mp4</t>
  </si>
  <si>
    <t>gangarao</t>
  </si>
  <si>
    <t>e510b39f-7b90-4659-a6df-7a0b685973e8</t>
  </si>
  <si>
    <t>23/01/2026, 13:50:36</t>
  </si>
  <si>
    <t>16.359691, 81.799424</t>
  </si>
  <si>
    <t>http://164.52.221.216/localmedia/media/surveys/samples/recording_2026-01-23_13-49-07_samples_1FB1n4zWRe.mp4</t>
  </si>
  <si>
    <t>54dd07a1-4f1d-458b-8fd8-86306f00cd45</t>
  </si>
  <si>
    <t>23/01/2026, 13:51:41</t>
  </si>
  <si>
    <t>16.333227, 81.732828</t>
  </si>
  <si>
    <t>8PMM+F2H, Antervedi Pallipalem, Andhra Pradesh, India</t>
  </si>
  <si>
    <t>http://164.52.221.216/localmedia/media/surveys/samples/recording_2026-01-23_13-47-57_samples_XPRU0I4nZI.mp4</t>
  </si>
  <si>
    <t>ramanamma</t>
  </si>
  <si>
    <t>d72e8415-f339-4ed4-bfb4-edf497f4eaec</t>
  </si>
  <si>
    <t>23/01/2026, 13:55:18</t>
  </si>
  <si>
    <t>16.359394, 81.798737</t>
  </si>
  <si>
    <t>http://164.52.221.216/localmedia/media/surveys/samples/recording_2026-01-23_13-52-30_samples_3vtXYM1dJ5.mp4</t>
  </si>
  <si>
    <t>vekatastynarayana</t>
  </si>
  <si>
    <t>c7c0e2e8-c7de-41e2-a8ff-87dde1c3b31c</t>
  </si>
  <si>
    <t>23/01/2026, 13:56:49</t>
  </si>
  <si>
    <t>16.516339, 81.907655</t>
  </si>
  <si>
    <t>http://164.52.221.216/localmedia/media/surveys/samples/recording_2026-01-23_13-53-10_samples_15Ghk3b368.mp4</t>
  </si>
  <si>
    <t>p. nagaraju</t>
  </si>
  <si>
    <t>73b5aa68-72ce-4181-a1b0-2ac535ca585e</t>
  </si>
  <si>
    <t>23/01/2026, 13:58:33</t>
  </si>
  <si>
    <t>16.359047, 81.798016</t>
  </si>
  <si>
    <t>http://164.52.221.216/localmedia/media/surveys/samples/recording_2026-01-23_13-56-59_samples_oqdRjgoN4N.mp4</t>
  </si>
  <si>
    <t>b50acef2-a105-4329-99f0-b90e25a4ef03</t>
  </si>
  <si>
    <t>23/01/2026, 14:02:20</t>
  </si>
  <si>
    <t>16.359077, 81.797376</t>
  </si>
  <si>
    <t>http://164.52.221.216/localmedia/media/surveys/samples/recording_2026-01-23_14-00-21_samples_2GxjVwpgr2.mp4</t>
  </si>
  <si>
    <t>b.manikata</t>
  </si>
  <si>
    <t>17652389-de23-4617-8f4a-ceef8424546b</t>
  </si>
  <si>
    <t>23/01/2026, 14:04:13</t>
  </si>
  <si>
    <t>16.516523, 81.906727</t>
  </si>
  <si>
    <t>http://164.52.221.216/localmedia/media/surveys/samples/recording_2026-01-23_13-58-30_samples_Yl7jugUUsF.mp4</t>
  </si>
  <si>
    <t>nagaratnam</t>
  </si>
  <si>
    <t>a7eea778-96f7-473d-8664-a975302f3f90</t>
  </si>
  <si>
    <t>23/01/2026, 14:04:41</t>
  </si>
  <si>
    <t>16.358228, 81.796721</t>
  </si>
  <si>
    <t>http://164.52.221.216/localmedia/media/surveys/samples/recording_2026-01-23_14-03-02_samples_eXgWxI00hm.mp4</t>
  </si>
  <si>
    <t>srilaxmi</t>
  </si>
  <si>
    <t>08bf3bc2-63fa-4631-b424-569b4ae49e76</t>
  </si>
  <si>
    <t>23/01/2026, 14:05:14</t>
  </si>
  <si>
    <t>16.330278, 81.733839</t>
  </si>
  <si>
    <t>8PJM+4CW, Antervedi Pallipalem, Andhra Pradesh, India</t>
  </si>
  <si>
    <t>http://164.52.221.216/localmedia/media/surveys/samples/recording_2026-01-23_14-03-23_samples_RNcbGXPbhg.mp4</t>
  </si>
  <si>
    <t>yelisha raju</t>
  </si>
  <si>
    <t>d325191f-33c7-48eb-9c60-a0aa07389437</t>
  </si>
  <si>
    <t>23/01/2026, 14:07:32</t>
  </si>
  <si>
    <t>16.357636, 81.795546</t>
  </si>
  <si>
    <t>http://164.52.221.216/localmedia/media/surveys/samples/recording_2026-01-23_14-06-13_samples_PEUyH7XIsB.mp4</t>
  </si>
  <si>
    <t>9c36420a-1f8c-4843-bded-d45ac5c6db5a</t>
  </si>
  <si>
    <t>23/01/2026, 14:09:42</t>
  </si>
  <si>
    <t>16.358387, 81.794763</t>
  </si>
  <si>
    <t>http://164.52.221.216/localmedia/media/surveys/samples/recording_2026-01-23_14-08-19_samples_qFWQh1zkAn.mp4</t>
  </si>
  <si>
    <t>harish</t>
  </si>
  <si>
    <t>513110d4-bcfb-4190-8a8f-e9d61460c8c3</t>
  </si>
  <si>
    <t>23/01/2026, 14:10:18</t>
  </si>
  <si>
    <t>16.403374, 81.802471</t>
  </si>
  <si>
    <t>SHOP NO.9-6/6, SAKHINETIPALLI, Malikipuram, Andhra Pradesh, India</t>
  </si>
  <si>
    <t>Bommappagari Obulapathi</t>
  </si>
  <si>
    <t>http://164.52.221.216/localmedia/media/surveys/samples/recording_2026-01-23_14-04-20_samples_oxKxYsFVFJ.mp4</t>
  </si>
  <si>
    <t>dharmaraja</t>
  </si>
  <si>
    <t>919d22d0-9756-4434-a413-6554b1225dae</t>
  </si>
  <si>
    <t>23/01/2026, 14:14:39</t>
  </si>
  <si>
    <t>16.334264, 81.736756</t>
  </si>
  <si>
    <t>Antarvedi devastanam road 2, Antervedi Pallipalem, Andhra Pradesh, India</t>
  </si>
  <si>
    <t>http://164.52.221.216/localmedia/media/surveys/samples/recording_2026-01-23_14-12-35_samples_Qn1mQBcldK.mp4</t>
  </si>
  <si>
    <t>v. radha</t>
  </si>
  <si>
    <t>f1f798c7-f14d-4f30-a637-e458502ddab1</t>
  </si>
  <si>
    <t>23/01/2026, 14:14:44</t>
  </si>
  <si>
    <t>16.359434, 81.794073</t>
  </si>
  <si>
    <t>http://164.52.221.216/localmedia/media/surveys/samples/recording_2026-01-23_14-13-17_samples_yCpIUDfyhp.mp4</t>
  </si>
  <si>
    <t>1e3e0086-cd43-4d9a-af0f-0095ce2a6fcd</t>
  </si>
  <si>
    <t>23/01/2026, 14:17:59</t>
  </si>
  <si>
    <t>16.402559, 81.802478</t>
  </si>
  <si>
    <t>MARKET ROAD VUYYURIVARI MERAKA, Antarvedipalem, Andhra Pradesh, India</t>
  </si>
  <si>
    <t>http://164.52.221.216/localmedia/media/surveys/samples/recording_2026-01-23_14-14-54_samples_b7VQnz20MZ.mp4</t>
  </si>
  <si>
    <t xml:space="preserve">మరి surya </t>
  </si>
  <si>
    <t>5167432e-ea34-4c8d-bcb1-2ea503b694e7</t>
  </si>
  <si>
    <t>23/01/2026, 14:18:54</t>
  </si>
  <si>
    <t>16.358957, 81.793869</t>
  </si>
  <si>
    <t>http://164.52.221.216/localmedia/media/surveys/samples/recording_2026-01-23_14-16-14_samples_Xbz6co42qA.mp4</t>
  </si>
  <si>
    <t>ce187911-8329-4bfd-858d-d13666886c58</t>
  </si>
  <si>
    <t>23/01/2026, 14:19:11</t>
  </si>
  <si>
    <t>16.333291, 81.736878</t>
  </si>
  <si>
    <t>http://164.52.221.216/localmedia/media/surveys/samples/recording_2026-01-23_14-17-15_samples_ryskmzTC0y.mp4</t>
  </si>
  <si>
    <t>Bonam lavanya</t>
  </si>
  <si>
    <t>d0c2966a-78b6-45ec-a4fa-ac1148143d6d</t>
  </si>
  <si>
    <t>23/01/2026, 14:23:12</t>
  </si>
  <si>
    <t>16.358682, 81.793253</t>
  </si>
  <si>
    <t>http://164.52.221.216/localmedia/media/surveys/samples/recording_2026-01-23_14-21-06_samples_xRuhPahhI9.mp4</t>
  </si>
  <si>
    <t>nayudu</t>
  </si>
  <si>
    <t>3f06d76b-ccde-4e39-8c20-52e557e91039</t>
  </si>
  <si>
    <t>23/01/2026, 14:26:47</t>
  </si>
  <si>
    <t>16.402058, 81.802868</t>
  </si>
  <si>
    <t>Shop No.3-4/7 Sri Lakshmi Complex Mori Road, Vuyyurivari Meraka, SakhinetiPalli, Andhra Pradesh, India</t>
  </si>
  <si>
    <t>http://164.52.221.216/localmedia/media/surveys/samples/recording_2026-01-23_14-21-08_samples_KEbvdV2bz6.mp4</t>
  </si>
  <si>
    <t xml:space="preserve">ramanayudu </t>
  </si>
  <si>
    <t>7693ea76-f0b7-4555-b67c-9b6999f15e45</t>
  </si>
  <si>
    <t>23/01/2026, 14:27:18</t>
  </si>
  <si>
    <t>16.358444, 81.794212</t>
  </si>
  <si>
    <t>http://164.52.221.216/localmedia/media/surveys/samples/recording_2026-01-23_14-25-11_samples_GW5kd8dBLF.mp4</t>
  </si>
  <si>
    <t>Balla Prasanna Kumari</t>
  </si>
  <si>
    <t>jan babu</t>
  </si>
  <si>
    <t>d04a67c4-85a0-4d9f-9b60-26c1212f4ad5</t>
  </si>
  <si>
    <t>23/01/2026, 14:31:31</t>
  </si>
  <si>
    <t>16.333581, 81.737266</t>
  </si>
  <si>
    <t>http://164.52.221.216/localmedia/media/surveys/samples/recording_2026-01-23_14-24-43_samples_pIo5msrU6u.mp4</t>
  </si>
  <si>
    <t>Bollapragada satyanarayana</t>
  </si>
  <si>
    <t>230e80eb-8c22-483d-8526-2d2b562a1634</t>
  </si>
  <si>
    <t>http://164.52.221.216/localmedia/media/surveys/samples/recording_2026-01-23_14-24-43_samples_X3oqSzXK8F.mp4</t>
  </si>
  <si>
    <t>93ba2d8a-92fc-4255-8f97-1abfe001328d</t>
  </si>
  <si>
    <t>23/01/2026, 14:32:02</t>
  </si>
  <si>
    <t>16.358128, 81.794881</t>
  </si>
  <si>
    <t>http://164.52.221.216/localmedia/media/surveys/samples/recording_2026-01-23_14-30-21_samples_ID0dBXFGeT.mp4</t>
  </si>
  <si>
    <t>fb17253b-8ef8-4e34-aee8-e8b53b1977b4</t>
  </si>
  <si>
    <t>23/01/2026, 14:42:31</t>
  </si>
  <si>
    <t>16.332558, 81.734916</t>
  </si>
  <si>
    <t>http://164.52.221.216/localmedia/media/surveys/samples/recording_2026-01-23_14-40-48_samples_4dSBR2OXjE.mp4</t>
  </si>
  <si>
    <t>Bommidi Krishna</t>
  </si>
  <si>
    <t>0f1d374e-ebfb-45fa-ad54-cd2e45294725</t>
  </si>
  <si>
    <t>23/01/2026, 14:46:45</t>
  </si>
  <si>
    <t>16.400863, 81.803134</t>
  </si>
  <si>
    <t>CR23+78F, Mori Podu, Malikipuram, Andhra Pradesh, India</t>
  </si>
  <si>
    <t>http://164.52.221.216/localmedia/media/surveys/samples/recording_2026-01-23_14-39-11_samples_9vRSvvbVQc.mp4</t>
  </si>
  <si>
    <t>surya</t>
  </si>
  <si>
    <t>7d0ba9e8-a85f-41e1-be19-20d1c00c1b78</t>
  </si>
  <si>
    <t>23/01/2026, 14:52:20</t>
  </si>
  <si>
    <t>16.511313, 81.908386</t>
  </si>
  <si>
    <t>DOR NO 3, Pedapatnam, Andhra Pradesh, India</t>
  </si>
  <si>
    <t>http://164.52.221.216/localmedia/media/surveys/samples/recording_2026-01-23_14-49-22_samples_0ECNAbscGF.mp4</t>
  </si>
  <si>
    <t>ram murtjy</t>
  </si>
  <si>
    <t>530e1f66-4110-4942-b010-7dee185c2132</t>
  </si>
  <si>
    <t>23/01/2026, 14:54:51</t>
  </si>
  <si>
    <t>16.399865, 81.803388</t>
  </si>
  <si>
    <t>Main Road Vuyyurivari Meraka Sakhinetipalli Mandal, Antarvedipalem, Andhra Pradesh, India</t>
  </si>
  <si>
    <t>http://164.52.221.216/localmedia/media/surveys/samples/recording_2026-01-23_14-52-05_samples_HEOCiZQfnE.mp4</t>
  </si>
  <si>
    <t>sreenivas</t>
  </si>
  <si>
    <t>9df83f20-b542-477e-8281-9cd39a883ab3</t>
  </si>
  <si>
    <t>23/01/2026, 14:56:04</t>
  </si>
  <si>
    <t>16.366637, 81.793726</t>
  </si>
  <si>
    <t>http://164.52.221.216/localmedia/media/surveys/samples/recording_2026-01-23_14-55-07_samples_cVy3jKP697.mp4</t>
  </si>
  <si>
    <t>narashiharaju</t>
  </si>
  <si>
    <t>1f3cebd5-512a-481e-93c6-d372b0969414</t>
  </si>
  <si>
    <t>23/01/2026, 15:00:22</t>
  </si>
  <si>
    <t>16.398277, 81.803961</t>
  </si>
  <si>
    <t>9RX3+CHF, Mori Podu, Malikipuram, Andhra Pradesh, India</t>
  </si>
  <si>
    <t>http://164.52.221.216/localmedia/media/surveys/samples/recording_2026-01-23_14-56-33_samples_NxXwQQFHP7.mp4</t>
  </si>
  <si>
    <t>k krisna</t>
  </si>
  <si>
    <t>23dd774e-f977-4dc2-bacd-f3882b2a0523</t>
  </si>
  <si>
    <t>23/01/2026, 15:01:07</t>
  </si>
  <si>
    <t>16.513360, 81.908006</t>
  </si>
  <si>
    <t>http://164.52.221.216/localmedia/media/surveys/samples/recording_2026-01-23_14-56-41_samples_BKrJhD1hPN.mp4</t>
  </si>
  <si>
    <t>akil</t>
  </si>
  <si>
    <t>0e0fd3fa-27b9-4305-b43c-bba218b5fae0</t>
  </si>
  <si>
    <t>23/01/2026, 15:01:09</t>
  </si>
  <si>
    <t>http://164.52.221.216/localmedia/media/surveys/samples/recording_2026-01-23_14-56-41_samples_0uifIIXxuu.mp4</t>
  </si>
  <si>
    <t>99a3f8fb-a4fd-4de3-9a00-00bd8068e3cb</t>
  </si>
  <si>
    <t>23/01/2026, 15:02:26</t>
  </si>
  <si>
    <t>16.332030, 81.734661</t>
  </si>
  <si>
    <t>http://164.52.221.216/localmedia/media/surveys/samples/recording_2026-01-23_14-58-28_samples_rBMhNczPcu.mp4</t>
  </si>
  <si>
    <t>p. p. rao</t>
  </si>
  <si>
    <t>d261a336-8850-4612-941f-9beae3d17088</t>
  </si>
  <si>
    <t>23/01/2026, 15:09:30</t>
  </si>
  <si>
    <t>16.512964, 81.906102</t>
  </si>
  <si>
    <t>http://164.52.221.216/localmedia/media/surveys/samples/recording_2026-01-23_15-05-58_samples_M2gIEcU5jJ.mp4</t>
  </si>
  <si>
    <t>venkateo</t>
  </si>
  <si>
    <t>b1881fbe-b2fa-424d-8cb8-bab5be624587</t>
  </si>
  <si>
    <t>23/01/2026, 15:14:12</t>
  </si>
  <si>
    <t>16.331277, 81.735107</t>
  </si>
  <si>
    <t>http://164.52.221.216/localmedia/media/surveys/samples/recording_2026-01-23_15-11-42_samples_cYNhXl4jNx.mp4</t>
  </si>
  <si>
    <t>28404552-d5bb-4b2e-b97e-15f04cbce890</t>
  </si>
  <si>
    <t>23/01/2026, 15:14:30</t>
  </si>
  <si>
    <t>16.513458, 81.907243</t>
  </si>
  <si>
    <t>http://164.52.221.216/localmedia/media/surveys/samples/recording_2026-01-23_15-12-17_samples_ssqxlioJAi.mp4</t>
  </si>
  <si>
    <t>suresh kumar</t>
  </si>
  <si>
    <t>f441a89b-c325-418e-b750-32965cc8576c</t>
  </si>
  <si>
    <t>23/01/2026, 15:20:15</t>
  </si>
  <si>
    <t>16.426298, 81.716937</t>
  </si>
  <si>
    <t>CPG8+FHW, SakhinetiPalli, Andhra Pradesh, India</t>
  </si>
  <si>
    <t>http://164.52.221.216/localmedia/media/surveys/samples/recording_2026-01-23_15-18-25_samples_DeV99kUWpi.mp4</t>
  </si>
  <si>
    <t>chittibabau</t>
  </si>
  <si>
    <t>ea836cf9-78b1-4af3-908a-db5bcb8938e5</t>
  </si>
  <si>
    <t>23/01/2026, 15:20:20</t>
  </si>
  <si>
    <t>16.397048, 81.804508</t>
  </si>
  <si>
    <t>9RW3+QQ2, Mori Podu, Mori, Andhra Pradesh, India</t>
  </si>
  <si>
    <t>http://164.52.221.216/localmedia/media/surveys/samples/recording_2026-01-23_15-15-35_samples_5QwF8uOkne.mp4</t>
  </si>
  <si>
    <t>3499a967-0ec0-464d-9366-924eb01d4c5d</t>
  </si>
  <si>
    <t>23/01/2026, 15:21:06</t>
  </si>
  <si>
    <t>16.513968, 81.907762</t>
  </si>
  <si>
    <t>http://164.52.221.216/localmedia/media/surveys/samples/recording_2026-01-23_15-18-57_samples_u8s20zNOGd.mp4</t>
  </si>
  <si>
    <t>cc0f7f66-891d-4ca5-9d27-05ebae8c9ffd</t>
  </si>
  <si>
    <t>23/01/2026, 15:22:43</t>
  </si>
  <si>
    <t>16.426671, 81.716456</t>
  </si>
  <si>
    <t>CPG8+JF3, SakhinetiPalli, Andhra Pradesh, India</t>
  </si>
  <si>
    <t>http://164.52.221.216/localmedia/media/surveys/samples/recording_2026-01-23_15-21-25_samples_7SvvgMrGR7.mp4</t>
  </si>
  <si>
    <t>sursh</t>
  </si>
  <si>
    <t>50bdae98-915f-44f9-8fbc-76512497871e</t>
  </si>
  <si>
    <t>23/01/2026, 15:25:04</t>
  </si>
  <si>
    <t>16.426025, 81.715992</t>
  </si>
  <si>
    <t>7-54/1, SakhinetiPalli, Andhra Pradesh, India</t>
  </si>
  <si>
    <t>http://164.52.221.216/localmedia/media/surveys/samples/recording_2026-01-23_15-23-58_samples_5T57gYzW04.mp4</t>
  </si>
  <si>
    <t>parabakar</t>
  </si>
  <si>
    <t>c0a1dfbb-289f-4c5d-b90c-4849a88e86a7</t>
  </si>
  <si>
    <t>23/01/2026, 15:28:57</t>
  </si>
  <si>
    <t>16.395870, 81.804993</t>
  </si>
  <si>
    <t>9RW3+8X3, Mori Podu, Mori, Andhra Pradesh, India</t>
  </si>
  <si>
    <t>http://164.52.221.216/localmedia/media/surveys/samples/recording_2026-01-23_15-22-59_samples_s9d1H6aYT1.mp4</t>
  </si>
  <si>
    <t>baburao</t>
  </si>
  <si>
    <t>2c2877e7-7f79-46a5-8e10-f9c1722f5f07</t>
  </si>
  <si>
    <t>23/01/2026, 15:31:48</t>
  </si>
  <si>
    <t>16.425495, 81.715512</t>
  </si>
  <si>
    <t>CPG8+65R, chintavariperta, Andhra Pradesh, India</t>
  </si>
  <si>
    <t>http://164.52.221.216/localmedia/media/surveys/samples/recording_2026-01-23_15-30-13_samples_fexRZ0huuS.mp4</t>
  </si>
  <si>
    <t>saibaba</t>
  </si>
  <si>
    <t>95a6ce46-c2fa-4c47-a276-cab6a52b007b</t>
  </si>
  <si>
    <t>23/01/2026, 15:33:54</t>
  </si>
  <si>
    <t>16.426162, 81.715268</t>
  </si>
  <si>
    <t>http://164.52.221.216/localmedia/media/surveys/samples/recording_2026-01-23_15-32-38_samples_EnLreWx70t.mp4</t>
  </si>
  <si>
    <t>nages</t>
  </si>
  <si>
    <t>25f804bf-9247-45e2-be1a-bccc27eff8b2</t>
  </si>
  <si>
    <t>23/01/2026, 15:35:40</t>
  </si>
  <si>
    <t>16.394764, 81.804890</t>
  </si>
  <si>
    <t>9RV3+XXH, Mori Podu, Mori, Andhra Pradesh, India</t>
  </si>
  <si>
    <t>http://164.52.221.216/localmedia/media/surveys/samples/recording_2026-01-23_15-32-01_samples_CSEx9KiCGD.mp4</t>
  </si>
  <si>
    <t>kamala</t>
  </si>
  <si>
    <t>ca2f2a67-f735-4f9a-aec0-e3b53b00be12</t>
  </si>
  <si>
    <t>23/01/2026, 15:37:49</t>
  </si>
  <si>
    <t>16.343578, 81.764606</t>
  </si>
  <si>
    <t>MDR58, Antervedi Pallipalem, Andhra Pradesh, India</t>
  </si>
  <si>
    <t>http://164.52.221.216/localmedia/media/surveys/samples/recording_2026-01-23_15-34-13_samples_58Z1QrK08a.mp4</t>
  </si>
  <si>
    <t>muksteswararao</t>
  </si>
  <si>
    <t>dc13a809-d6b3-4422-8a61-4894a9dc57fb</t>
  </si>
  <si>
    <t>23/01/2026, 15:45:30</t>
  </si>
  <si>
    <t>16.343278, 81.763927</t>
  </si>
  <si>
    <t>8QV7+8GQ, Kesavadasupalem, Andhra Pradesh, India</t>
  </si>
  <si>
    <t>http://164.52.221.216/localmedia/media/surveys/samples/recording_2026-01-23_15-38-26_samples_BMpcHuxgUQ.mp4</t>
  </si>
  <si>
    <t>poturaju nageswararao</t>
  </si>
  <si>
    <t>f9855556-5494-4ee0-b920-9bb7d02d9bd3</t>
  </si>
  <si>
    <t>23/01/2026, 16:24:14</t>
  </si>
  <si>
    <t>16.426419, 81.716752</t>
  </si>
  <si>
    <t>http://164.52.221.216/localmedia/media/surveys/samples/recording_2026-01-23_16-22-51_samples_1o77hTlJkX.mp4</t>
  </si>
  <si>
    <t>6580e064-d0f5-4bcf-9f90-0f1388c9e795</t>
  </si>
  <si>
    <t>23/01/2026, 15:53:54</t>
  </si>
  <si>
    <t>16.426954, 81.715523</t>
  </si>
  <si>
    <t>SHOP NO.2-381 SUNKA REVU NEAR DURGAMMA TEMPLE SAKHINETIPALLI LANKA SAKHINETIPALLI MANDAL, SakhinetiPalli, Andhra Pradesh, India</t>
  </si>
  <si>
    <t>http://164.52.221.216/localmedia/media/surveys/samples/recording_2026-01-23_15-52-22_samples_YLrbmYw0FB.mp4</t>
  </si>
  <si>
    <t>d746c38a-eb98-4315-9e6f-0142899d829d</t>
  </si>
  <si>
    <t>23/01/2026, 15:55:28</t>
  </si>
  <si>
    <t>16.395657, 81.805050</t>
  </si>
  <si>
    <t>9RW4+729, Mori Podu, Mori, Andhra Pradesh, India</t>
  </si>
  <si>
    <t>http://164.52.221.216/localmedia/media/surveys/samples/recording_2026-01-23_15-48-49_samples_CDPm4oFQRk.mp4</t>
  </si>
  <si>
    <t>banu semmarju</t>
  </si>
  <si>
    <t>bf244295-c421-41fb-8d0c-898292f15b68</t>
  </si>
  <si>
    <t>23/01/2026, 15:57:03</t>
  </si>
  <si>
    <t>16.537087, 81.935622</t>
  </si>
  <si>
    <t>GWPP+V3, Appannapalle, Andhra Pradesh, India</t>
  </si>
  <si>
    <t>http://164.52.221.216/localmedia/media/surveys/samples/recording_2026-01-23_15-52-26_samples_uzTk4IIpZw.mp4</t>
  </si>
  <si>
    <t>veranna</t>
  </si>
  <si>
    <t>2a93feee-08c1-47ab-84c2-0ef228fcdff8</t>
  </si>
  <si>
    <t>23/01/2026, 15:57:07</t>
  </si>
  <si>
    <t>http://164.52.221.216/localmedia/media/surveys/samples/recording_2026-01-23_15-52-26_samples_Joi2MBlSTu.mp4</t>
  </si>
  <si>
    <t>ca7a4019-cfb7-44be-af32-f9003c9be8c2</t>
  </si>
  <si>
    <t>23/01/2026, 15:58:33</t>
  </si>
  <si>
    <t>16.342478, 81.762785</t>
  </si>
  <si>
    <t>8QR6+VX8, Antervedi Pallipalem, Andhra Pradesh, India</t>
  </si>
  <si>
    <t>http://164.52.221.216/localmedia/media/surveys/samples/recording_2026-01-23_15-54-49_samples_fTrU4DquoP.mp4</t>
  </si>
  <si>
    <t>Srinivas</t>
  </si>
  <si>
    <t>9e2c1233-ff42-49cb-bc3c-73584ec88ca5</t>
  </si>
  <si>
    <t>23/01/2026, 15:59:32</t>
  </si>
  <si>
    <t>16.426572, 81.715834</t>
  </si>
  <si>
    <t>http://164.52.221.216/localmedia/media/surveys/samples/recording_2026-01-23_15-57-19_samples_om5Ir9h38P.mp4</t>
  </si>
  <si>
    <t>madu</t>
  </si>
  <si>
    <t>0eb39829-89fc-42e2-b4ff-0dc47020cc1f</t>
  </si>
  <si>
    <t>23/01/2026, 16:03:34</t>
  </si>
  <si>
    <t>16.425760, 81.715835</t>
  </si>
  <si>
    <t>http://164.52.221.216/localmedia/media/surveys/samples/recording_2026-01-23_16-02-11_samples_tDS9wqXYtI.mp4</t>
  </si>
  <si>
    <t>aamel</t>
  </si>
  <si>
    <t>7c2e0f68-b38c-404e-8124-f56ab91931c3</t>
  </si>
  <si>
    <t>23/01/2026, 16:06:37</t>
  </si>
  <si>
    <t>16.426606, 81.716570</t>
  </si>
  <si>
    <t>http://164.52.221.216/localmedia/media/surveys/samples/recording_2026-01-23_16-05-07_samples_VbUcQI4xz5.mp4</t>
  </si>
  <si>
    <t>ramavekatamalleswarao</t>
  </si>
  <si>
    <t>a8355915-7949-4dec-92b1-263e059cda0b</t>
  </si>
  <si>
    <t>23/01/2026, 16:08:02</t>
  </si>
  <si>
    <t>16.396414, 81.804759</t>
  </si>
  <si>
    <t>9RW4+C2C, Mori Podu, Mori, Andhra Pradesh, India</t>
  </si>
  <si>
    <t>http://164.52.221.216/localmedia/media/surveys/samples/recording_2026-01-23_16-05-22_samples_5TZjmUTEWp.mp4</t>
  </si>
  <si>
    <t>rukmini</t>
  </si>
  <si>
    <t>11f53fb7-f37d-4c16-8435-45e977bc1253</t>
  </si>
  <si>
    <t>23/01/2026, 16:09:17</t>
  </si>
  <si>
    <t>16.427191, 81.717222</t>
  </si>
  <si>
    <t>CPG8+QRC, Gudimula Kandrika, Andhra Pradesh, India</t>
  </si>
  <si>
    <t>http://164.52.221.216/localmedia/media/surveys/samples/recording_2026-01-23_16-07-48_samples_a3BJ4AqlGQ.mp4</t>
  </si>
  <si>
    <t>sunny</t>
  </si>
  <si>
    <t>eea0b012-b712-4212-9075-461b0ee68f9b</t>
  </si>
  <si>
    <t>23/01/2026, 16:10:53</t>
  </si>
  <si>
    <t>16.330043, 81.739011</t>
  </si>
  <si>
    <t>http://164.52.221.216/localmedia/media/surveys/samples/recording_2026-01-23_16-09-23_samples_P2KxO96sMM.mp4</t>
  </si>
  <si>
    <t>336b176b-f7fc-4d4b-8c33-da4b6f368c59</t>
  </si>
  <si>
    <t>23/01/2026, 16:11:30</t>
  </si>
  <si>
    <t>16.396774, 81.804160</t>
  </si>
  <si>
    <t>9RW3+MH6, Mori Podu, Mori, Andhra Pradesh, India</t>
  </si>
  <si>
    <t>http://164.52.221.216/localmedia/media/surveys/samples/recording_2026-01-23_16-09-30_samples_IzSCMuuk53.mp4</t>
  </si>
  <si>
    <t>jala</t>
  </si>
  <si>
    <t>56a5a8e7-935d-42c6-a429-8f7c46c5f22c</t>
  </si>
  <si>
    <t>23/01/2026, 16:12:20</t>
  </si>
  <si>
    <t>16.427962, 81.717775</t>
  </si>
  <si>
    <t>3-87, SakhinetiPalli, Andhra Pradesh, India</t>
  </si>
  <si>
    <t>http://164.52.221.216/localmedia/media/surveys/samples/recording_2026-01-23_16-10-25_samples_zAzUf2XE5m.mp4</t>
  </si>
  <si>
    <t>huseen</t>
  </si>
  <si>
    <t>6e6ab21d-59dc-4cc3-8cd3-409967b09fd2</t>
  </si>
  <si>
    <t>23/01/2026, 16:14:20</t>
  </si>
  <si>
    <t>16.532838, 81.941176</t>
  </si>
  <si>
    <t>http://164.52.221.216/localmedia/media/surveys/samples/recording_2026-01-23_16-09-15_samples_5bRbZTIXXT.mp4</t>
  </si>
  <si>
    <t>19992e6d-fdd4-4122-84db-9d7ff7eaf189</t>
  </si>
  <si>
    <t>23/01/2026, 16:16:04</t>
  </si>
  <si>
    <t>16.427435, 81.718445</t>
  </si>
  <si>
    <t>CPH9+29G, SakhinetiPalli, Andhra Pradesh, India</t>
  </si>
  <si>
    <t>http://164.52.221.216/localmedia/media/surveys/samples/recording_2026-01-23_16-14-45_samples_dQo6QNsSUG.mp4</t>
  </si>
  <si>
    <t>d0812715-1025-465e-b720-6db95cdedeab</t>
  </si>
  <si>
    <t>23/01/2026, 16:18:14</t>
  </si>
  <si>
    <t>16.393880, 81.804843</t>
  </si>
  <si>
    <t>9RV3+GW5, Mori Podu, Mori, Andhra Pradesh, India</t>
  </si>
  <si>
    <t>http://164.52.221.216/localmedia/media/surveys/samples/recording_2026-01-23_16-14-38_samples_GC2Bfxu17X.mp4</t>
  </si>
  <si>
    <t>ramesh kukunuri</t>
  </si>
  <si>
    <t>46f331b0-08d2-4e74-8517-cfa7e5b43d8e</t>
  </si>
  <si>
    <t>23/01/2026, 16:20:02</t>
  </si>
  <si>
    <t>16.533388, 81.942332</t>
  </si>
  <si>
    <t>GWMR+CR4, Botlakurru Doddavaram, Andhra Pradesh, India</t>
  </si>
  <si>
    <t>http://164.52.221.216/localmedia/media/surveys/samples/recording_2026-01-23_16-16-00_samples_ASBnsYAfSW.mp4</t>
  </si>
  <si>
    <t>a. mani</t>
  </si>
  <si>
    <t>73480121-a92d-4a5d-a390-67e5a96f960b</t>
  </si>
  <si>
    <t>23/01/2026, 16:21:56</t>
  </si>
  <si>
    <t>16.427211, 81.717047</t>
  </si>
  <si>
    <t>http://164.52.221.216/localmedia/media/surveys/samples/recording_2026-01-23_16-20-28_samples_Urlfr3Nx53.mp4</t>
  </si>
  <si>
    <t>pavankumar</t>
  </si>
  <si>
    <t>df7c0e9d-6ed2-425d-9141-dec50cd48e95</t>
  </si>
  <si>
    <t>23/01/2026, 16:26:43</t>
  </si>
  <si>
    <t>16.333776, 81.733187</t>
  </si>
  <si>
    <t>http://164.52.221.216/localmedia/media/surveys/samples/recording_2026-01-23_16-22-45_samples_8LYJTGPhAP.mp4</t>
  </si>
  <si>
    <t>PPLN Raju</t>
  </si>
  <si>
    <t>d34536f7-f9c8-4c23-80f9-6d3ddc3256af</t>
  </si>
  <si>
    <t>23/01/2026, 16:28:27</t>
  </si>
  <si>
    <t>16.426178, 81.716036</t>
  </si>
  <si>
    <t>http://164.52.221.216/localmedia/media/surveys/samples/recording_2026-01-23_16-26-13_samples_jGmDfFTOLP.mp4</t>
  </si>
  <si>
    <t>nataraj</t>
  </si>
  <si>
    <t>3d8e9281-d010-49ac-85c6-2fd363e036a0</t>
  </si>
  <si>
    <t>23/01/2026, 16:28:50</t>
  </si>
  <si>
    <t>16.394597, 81.804502</t>
  </si>
  <si>
    <t>9RV3+MWX, Mori Podu, Mori, Andhra Pradesh, India</t>
  </si>
  <si>
    <t>http://164.52.221.216/localmedia/media/surveys/samples/recording_2026-01-23_16-19-13_samples_cWSa0kKgZe.mp4</t>
  </si>
  <si>
    <t>varalaksmi konda</t>
  </si>
  <si>
    <t>0556dc82-10dd-4671-9829-41059f9fa6b1</t>
  </si>
  <si>
    <t>23/01/2026, 16:39:43</t>
  </si>
  <si>
    <t>16.333380, 81.733422</t>
  </si>
  <si>
    <t>14-21, Mandal, Andhra Pradesh, India</t>
  </si>
  <si>
    <t>http://164.52.221.216/localmedia/media/surveys/samples/recording_2026-01-23_16-37-57_samples_pJrjTLEFe8.mp4</t>
  </si>
  <si>
    <t>sattibabu</t>
  </si>
  <si>
    <t>79e242f3-086a-44ba-a28f-af1c07d571c1</t>
  </si>
  <si>
    <t>23/01/2026, 16:45:41</t>
  </si>
  <si>
    <t>16.332816, 81.732012</t>
  </si>
  <si>
    <t>8PMJ+2RJ, Antervedi Pallipalem, Andhra Pradesh, India</t>
  </si>
  <si>
    <t>http://164.52.221.216/localmedia/media/surveys/samples/recording_2026-01-23_16-43-07_samples_rCFFWoJLIC.mp4</t>
  </si>
  <si>
    <t>vijaya</t>
  </si>
  <si>
    <t>e7b4451d-284d-455c-ab09-6079d236ed18</t>
  </si>
  <si>
    <t>23/01/2026, 16:46:08</t>
  </si>
  <si>
    <t>16.397510, 81.802128</t>
  </si>
  <si>
    <t>9RX2+CRW, Devangula, Antarvedipalem, Andhra Pradesh, India</t>
  </si>
  <si>
    <t>http://164.52.221.216/localmedia/media/surveys/samples/recording_2026-01-23_16-36-22_samples_Udi2erZ2AK.mp4</t>
  </si>
  <si>
    <t>e6c238da-af3a-43d0-9f21-143ff19c71a6</t>
  </si>
  <si>
    <t>23/01/2026, 16:53:08</t>
  </si>
  <si>
    <t>16.429815, 81.719856</t>
  </si>
  <si>
    <t>CPJ9+6X9, SakhinetiPalli, Andhra Pradesh, India</t>
  </si>
  <si>
    <t>http://164.52.221.216/localmedia/media/surveys/samples/recording_2026-01-23_16-51-15_samples_n90oBgBUm9.mp4</t>
  </si>
  <si>
    <t>kadhar</t>
  </si>
  <si>
    <t>1efec9ed-13a6-4b46-b8ec-5872e5bb440c</t>
  </si>
  <si>
    <t>23/01/2026, 16:57:04</t>
  </si>
  <si>
    <t>16.355466, 81.728740</t>
  </si>
  <si>
    <t>Sakhinetipalli - Antervedi Rd, Antervedi Pallipalem, Andhra Pradesh, India</t>
  </si>
  <si>
    <t>http://164.52.221.216/localmedia/media/surveys/samples/recording_2026-01-23_16-54-29_samples_nKlFq7jeMC.mp4</t>
  </si>
  <si>
    <t>5c3e0bc0-f303-41d7-8dd9-cf2dd932ba19</t>
  </si>
  <si>
    <t>23/01/2026, 16:57:37</t>
  </si>
  <si>
    <t>16.431205, 81.720430</t>
  </si>
  <si>
    <t>http://164.52.221.216/localmedia/media/surveys/samples/recording_2026-01-23_16-56-11_samples_EKoiFCik0D.mp4</t>
  </si>
  <si>
    <t>pani</t>
  </si>
  <si>
    <t>d9be4c14-cff9-40ca-82f1-302556ec695a</t>
  </si>
  <si>
    <t>23/01/2026, 17:00:37</t>
  </si>
  <si>
    <t>16.431761, 81.721279</t>
  </si>
  <si>
    <t>CPJC+JHV, SakhinetiPalli, Andhra Pradesh, India</t>
  </si>
  <si>
    <t>http://164.52.221.216/localmedia/media/surveys/samples/recording_2026-01-23_16-59-44_samples_stMWm3tfxT.mp4</t>
  </si>
  <si>
    <t>089e28bb-fa7c-47c6-8dce-a54d0a2912ef</t>
  </si>
  <si>
    <t>23/01/2026, 17:02:33</t>
  </si>
  <si>
    <t>16.431186, 81.720641</t>
  </si>
  <si>
    <t>CPJC+MC9, SakhinetiPalli, Andhra Pradesh, India</t>
  </si>
  <si>
    <t>http://164.52.221.216/localmedia/media/surveys/samples/recording_2026-01-23_17-01-18_samples_v9MaDljikg.mp4</t>
  </si>
  <si>
    <t>eff00960-68f1-4aa5-bec1-343a262d3f87</t>
  </si>
  <si>
    <t>23/01/2026, 17:05:43</t>
  </si>
  <si>
    <t>16.401231, 81.798686</t>
  </si>
  <si>
    <t>V.V, Antarvedipalem, Andhra Pradesh, India</t>
  </si>
  <si>
    <t>http://164.52.221.216/localmedia/media/surveys/samples/recording_2026-01-23_17-02-25_samples_I7fsVe8071.mp4</t>
  </si>
  <si>
    <t>lalitha</t>
  </si>
  <si>
    <t>ca4bdcb9-01a2-4987-8067-fd269f0aa895</t>
  </si>
  <si>
    <t>23/01/2026, 17:06:21</t>
  </si>
  <si>
    <t>16.430358, 81.719624</t>
  </si>
  <si>
    <t>http://164.52.221.216/localmedia/media/surveys/samples/recording_2026-01-23_17-04-02_samples_e5OTmtd3GV.mp4</t>
  </si>
  <si>
    <t>jevajalam</t>
  </si>
  <si>
    <t>13a6120c-da47-4991-b91d-c247315c7831</t>
  </si>
  <si>
    <t>23/01/2026, 17:08:36</t>
  </si>
  <si>
    <t>16.429562, 81.719768</t>
  </si>
  <si>
    <t>CPH9+PHX, SakhinetiPalli, Andhra Pradesh, India</t>
  </si>
  <si>
    <t>http://164.52.221.216/localmedia/media/surveys/samples/recording_2026-01-23_17-07-43_samples_CdLXwuUd1w.mp4</t>
  </si>
  <si>
    <t>ravali</t>
  </si>
  <si>
    <t>715792c1-57dd-4fc9-8673-ffa10b1bf418</t>
  </si>
  <si>
    <t>23/01/2026, 17:12:25</t>
  </si>
  <si>
    <t>16.356032, 81.728876</t>
  </si>
  <si>
    <t>http://164.52.221.216/localmedia/media/surveys/samples/recording_2026-01-23_17-10-18_samples_OCpgvctyEC.mp4</t>
  </si>
  <si>
    <t>v mounika</t>
  </si>
  <si>
    <t>515b1e1e-109f-4d7a-9bff-07189a40d31a</t>
  </si>
  <si>
    <t>23/01/2026, 17:20:11</t>
  </si>
  <si>
    <t>16.357473, 81.728763</t>
  </si>
  <si>
    <t>http://164.52.221.216/localmedia/media/surveys/samples/recording_2026-01-23_17-18-18_samples_dxbR7phJbF.mp4</t>
  </si>
  <si>
    <t>7cad93ac-6a8d-4455-82b3-ccdc621a5ff7</t>
  </si>
  <si>
    <t>23/01/2026, 17:22:48</t>
  </si>
  <si>
    <t>16.404264, 81.800388</t>
  </si>
  <si>
    <t>CQ3X+RX8, Antarvedipalem, Andhra Pradesh, India</t>
  </si>
  <si>
    <t>http://164.52.221.216/localmedia/media/surveys/samples/recording_2026-01-23_17-19-21_samples_JhUtSAcGhW.mp4</t>
  </si>
  <si>
    <t>jaysree</t>
  </si>
  <si>
    <t>ae911852-a863-4681-9c1a-987588495af6</t>
  </si>
  <si>
    <t>23/01/2026, 17:27:04</t>
  </si>
  <si>
    <t>16.357997, 81.728681</t>
  </si>
  <si>
    <t>9P5H+Q7H, Gondi, Andhra Pradesh, India</t>
  </si>
  <si>
    <t>http://164.52.221.216/localmedia/media/surveys/samples/recording_2026-01-23_17-24-34_samples_71a06QOHbS.mp4</t>
  </si>
  <si>
    <t>venkateswararao</t>
  </si>
  <si>
    <t>d2345a80-c08c-491c-b36b-c18bd67953bf</t>
  </si>
  <si>
    <t>23/01/2026, 17:28:27</t>
  </si>
  <si>
    <t>16.404589, 81.804426</t>
  </si>
  <si>
    <t>CR33+WV8, Antarvedipalem, Andhra Pradesh, India</t>
  </si>
  <si>
    <t>http://164.52.221.216/localmedia/media/surveys/samples/recording_2026-01-23_17-26-35_samples_lqBVatarID.mp4</t>
  </si>
  <si>
    <t>pullamma</t>
  </si>
  <si>
    <t>021fd4cf-4114-43c5-966a-ef38c1e8ec43</t>
  </si>
  <si>
    <t>23/01/2026, 17:31:01</t>
  </si>
  <si>
    <t>16.358544, 81.728548</t>
  </si>
  <si>
    <t>http://164.52.221.216/localmedia/media/surveys/samples/recording_2026-01-23_17-29-14_samples_g3ZpkBwN36.mp4</t>
  </si>
  <si>
    <t>narayayana</t>
  </si>
  <si>
    <t>a6b1bbc1-2055-4916-b022-1cfefc4cbde0</t>
  </si>
  <si>
    <t>23/01/2026, 17:33:17</t>
  </si>
  <si>
    <t>16.405337, 81.805807</t>
  </si>
  <si>
    <t>SHOP NO. 5, SAKHINETIPALLI MANDAL, Andhra Pradesh, India</t>
  </si>
  <si>
    <t>http://164.52.221.216/localmedia/media/surveys/samples/recording_2026-01-23_17-30-27_samples_TxgPacjcFl.mp4</t>
  </si>
  <si>
    <t>d3d5ac08-5ef2-49b8-b3a8-63484e28bf5f</t>
  </si>
  <si>
    <t>23/01/2026, 17:45:39</t>
  </si>
  <si>
    <t>16.359934, 81.729336</t>
  </si>
  <si>
    <t>9P5H+PCR, Antervedi Pallipalem, Andhra Pradesh, India</t>
  </si>
  <si>
    <t>http://164.52.221.216/localmedia/media/surveys/samples/recording_2026-01-23_17-43-23_samples_oAueKiKU06.mp4</t>
  </si>
  <si>
    <t>4a006dee-5c3c-4e78-9fb9-71079590ac99</t>
  </si>
  <si>
    <t>23/01/2026, 17:46:06</t>
  </si>
  <si>
    <t>16.404419, 81.802812</t>
  </si>
  <si>
    <t>CR33+Q5H, Antarvedipalem, Andhra Pradesh, India</t>
  </si>
  <si>
    <t>http://164.52.221.216/localmedia/media/surveys/samples/recording_2026-01-23_17-43-20_samples_y7xLkgKSuj.mp4</t>
  </si>
  <si>
    <t>dcb09a97-7126-4ba1-93c5-3f2000abae48</t>
  </si>
  <si>
    <t>23/01/2026, 17:55:13</t>
  </si>
  <si>
    <t>16.360678, 81.729056</t>
  </si>
  <si>
    <t>9P6H+GC9, Gondi, Andhra Pradesh, India</t>
  </si>
  <si>
    <t>http://164.52.221.216/localmedia/media/surveys/samples/recording_2026-01-23_17-52-32_samples_xpLj8qvz4c.mp4</t>
  </si>
  <si>
    <t>tirumala narayanamurthy</t>
  </si>
  <si>
    <t>5201ecb5-6982-4d69-97e9-bf5aeb8cd258</t>
  </si>
  <si>
    <t>23/01/2026, 18:05:46</t>
  </si>
  <si>
    <t>16.359726, 81.728962</t>
  </si>
  <si>
    <t>http://164.52.221.216/localmedia/media/surveys/samples/recording_2026-01-23_18-03-13_samples_xDjzo0o6uR.mp4</t>
  </si>
  <si>
    <t>6c857e08-767e-458f-a3b3-33638a152b2b</t>
  </si>
  <si>
    <t>23/01/2026, 18:11:04</t>
  </si>
  <si>
    <t>16.359447, 81.728486</t>
  </si>
  <si>
    <t>http://164.52.221.216/localmedia/media/surveys/samples/recording_2026-01-23_18-09-07_samples_j6R6RCVQWE.mp4</t>
  </si>
  <si>
    <t>veeramma</t>
  </si>
  <si>
    <t>09bdf8d5-296a-463b-b25b-5e868339fcd0</t>
  </si>
  <si>
    <t>23/01/2026, 18:22:04</t>
  </si>
  <si>
    <t>16.356616, 81.728846</t>
  </si>
  <si>
    <t>http://164.52.221.216/localmedia/media/surveys/samples/recording_2026-01-23_18-20-04_samples_LDRPPygCS9.mp4</t>
  </si>
  <si>
    <t>veeraraju</t>
  </si>
  <si>
    <t>Q1 kept his own , Q9,10 respondent not said properly</t>
  </si>
  <si>
    <t>Q5,7 ,9,18 kept his own</t>
  </si>
  <si>
    <t>Q12 kept on his own</t>
  </si>
  <si>
    <t>Didn't ask caste</t>
  </si>
  <si>
    <t>Didn't ask Q12,17 and respondent is male</t>
  </si>
  <si>
    <t>Q7,8,9,10 kept on his own</t>
  </si>
  <si>
    <t>Caste - Madiga</t>
  </si>
  <si>
    <t>Q11,12 options entered on his own</t>
  </si>
  <si>
    <t>Q1,6,9,10 kept his own</t>
  </si>
  <si>
    <t>Q5,9 kept his own</t>
  </si>
  <si>
    <t>For Q6 not saying out the options to the respondent</t>
  </si>
  <si>
    <t>Q6 Saying out only those options he selected to the respondent</t>
  </si>
  <si>
    <t>No Issues-Q1</t>
  </si>
  <si>
    <t>Fake / Sample taken from multpile people and entering responses on his own</t>
  </si>
  <si>
    <t>Didn't ask caste and Q9 kept on his own</t>
  </si>
  <si>
    <t>Q6,7,9,10 kept on his own</t>
  </si>
  <si>
    <t>surveyor not asking properly</t>
  </si>
  <si>
    <t>not asking any questions</t>
  </si>
  <si>
    <t>Q4,6 kept his own and Q7,8,9,10 not asking</t>
  </si>
  <si>
    <t>Q5,6,7,9,10 respondent not said properly then kept his own options</t>
  </si>
  <si>
    <t>respondent not said properly</t>
  </si>
  <si>
    <t>wrong caste entered</t>
  </si>
  <si>
    <t>Entered on his own while travelling</t>
  </si>
  <si>
    <t>Q6 Kept on his own</t>
  </si>
  <si>
    <t>Q9- Said dont know</t>
  </si>
  <si>
    <t>Respondent said he doen't belong to that village, Q6 didn't asked properly,</t>
  </si>
  <si>
    <t>Kept Q4,Q5 ,Q10 on his own</t>
  </si>
  <si>
    <t>Hurried in completing the questionnaire</t>
  </si>
  <si>
    <t>Respondent voice no clarity very low voice</t>
  </si>
  <si>
    <t>Q7,9 kept his own</t>
  </si>
  <si>
    <t>Q5 kept his own , not asking caste</t>
  </si>
  <si>
    <t>Q7 to 15 not asking</t>
  </si>
  <si>
    <t>Q8,9,10,13 kept on his own</t>
  </si>
  <si>
    <t>Q11,Q12 kept on his own</t>
  </si>
  <si>
    <t>Respondent said 2 names, Rajeswari &amp; Suryarao</t>
  </si>
  <si>
    <t>Caste wrong, Q6,Q12 Kept on his own</t>
  </si>
  <si>
    <t>Q5,Q10 Kept on his own</t>
  </si>
  <si>
    <t>Q1- No Issues, Q6 -Kept on his own</t>
  </si>
  <si>
    <t>Didn't asked Q11,Q12 questions, Caste- Muslim</t>
  </si>
  <si>
    <t>Q9,Q10 not asking proeprly</t>
  </si>
  <si>
    <t>Didn't asked caste</t>
  </si>
  <si>
    <t>Q7-Kept on his own</t>
  </si>
  <si>
    <t>Q4,7 and caste kept on his own</t>
  </si>
  <si>
    <t>Q5 and caste kept on his own</t>
  </si>
  <si>
    <t>Q4,5,6,7,8,9,10,11,12 kept on his own</t>
  </si>
  <si>
    <t>Q3 to 10 not asking , not asking properly</t>
  </si>
  <si>
    <t>Q11,12 kept his own</t>
  </si>
  <si>
    <t>surveyor asking questions but respindent not there</t>
  </si>
  <si>
    <t>Not letting respondent to finish speaking</t>
  </si>
  <si>
    <t>Just saying out questions out loud and entering on his own</t>
  </si>
  <si>
    <t>Q3,5,7,8,9 entered on his own</t>
  </si>
  <si>
    <t>Skipped Q8,9 questions</t>
  </si>
  <si>
    <t>Q2,3,5 kept on his own</t>
  </si>
  <si>
    <t>Q7,8 kept his own</t>
  </si>
  <si>
    <t>b9e12a55-c504-4c6b-b561-9669956411aa</t>
  </si>
  <si>
    <t>1/24/2026, 1:35:24 PM</t>
  </si>
  <si>
    <t>16.422563, 81.840420</t>
  </si>
  <si>
    <t>CRCR+X3W, Lakkavaram, Andhra Pradesh, India</t>
  </si>
  <si>
    <t>http://164.52.221.216/localmedia/media/surveys/samples/recording_2026-01-24_13-28-46_samples_nNKYnGkvQy.mp4</t>
  </si>
  <si>
    <t>karri mangadevi</t>
  </si>
  <si>
    <t>a511273b-95b6-41a0-9fbd-7fdafc9b7140</t>
  </si>
  <si>
    <t>1/24/2026, 2:05:46 PM</t>
  </si>
  <si>
    <t>16.466544, 81.890078</t>
  </si>
  <si>
    <t>FV8Q+CJ8, Kadali, Andhra Pradesh, India</t>
  </si>
  <si>
    <t>http://164.52.221.216/localmedia/media/surveys/samples/recording_2026-01-24_14-02-19_samples_Z5Un0PgUnA.mp4</t>
  </si>
  <si>
    <t>viravemkata ramana</t>
  </si>
  <si>
    <t>fe6a89bf-ad0b-4345-9b7c-23c3fe772fde</t>
  </si>
  <si>
    <t>1/24/2026, 5:18:28 PM</t>
  </si>
  <si>
    <t>16.458562, 81.905608</t>
  </si>
  <si>
    <t>http://164.52.221.216/localmedia/media/surveys/samples/recording_2026-01-24_17-12-44_samples_n874YVzO26.mp4</t>
  </si>
  <si>
    <t>63bd10ab-447d-4741-9018-5f8252ee2450</t>
  </si>
  <si>
    <t>1/24/2026, 3:06:08 PM</t>
  </si>
  <si>
    <t>16.463868, 81.886425</t>
  </si>
  <si>
    <t>FV7P+MG5, Razole, Andhra Pradesh, India</t>
  </si>
  <si>
    <t>http://164.52.221.216/localmedia/media/surveys/samples/recording_2026-01-24_14-59-20_samples_6HRjU27RxF.mp4</t>
  </si>
  <si>
    <t>j.peshsdurao</t>
  </si>
  <si>
    <t>751bfc79-2077-47e3-862a-f4b4494e4504</t>
  </si>
  <si>
    <t>1/24/2026, 12:18:25 PM</t>
  </si>
  <si>
    <t>16.419272, 81.840130</t>
  </si>
  <si>
    <t>SHOP NO.1 MANGENA VARI, Lakkavaram, Andhra Pradesh, India</t>
  </si>
  <si>
    <t>http://164.52.221.216/localmedia/media/surveys/samples/recording_2026-01-24_12-14-50_samples_YSzdfjIfsK.mp4</t>
  </si>
  <si>
    <t>k durgarao</t>
  </si>
  <si>
    <t>aae92188-5471-4fe8-922a-1ea829209469</t>
  </si>
  <si>
    <t>1/24/2026, 12:08:52 PM</t>
  </si>
  <si>
    <t>16.408901, 81.800990</t>
  </si>
  <si>
    <t>CR52+C89, Malikipuram, Andhra Pradesh, India</t>
  </si>
  <si>
    <t>http://164.52.221.216/localmedia/media/surveys/samples/recording_2026-01-24_12-07-37_samples_Zg9eddvoQf.mp4</t>
  </si>
  <si>
    <t>chandu</t>
  </si>
  <si>
    <t>28ea38dc-7390-478b-bedc-8d28cb574544</t>
  </si>
  <si>
    <t>1/24/2026, 3:25:08 PM</t>
  </si>
  <si>
    <t>16.422435, 81.864077</t>
  </si>
  <si>
    <t>CVC7+QHV, Gudapalli, Andhra Pradesh, India</t>
  </si>
  <si>
    <t>http://164.52.221.216/localmedia/media/surveys/samples/recording_2026-01-24_15-22-10_samples_JJUf5rrPbS.mp4</t>
  </si>
  <si>
    <t>0bea9248-929f-4239-85bb-1c1e35cdd52a</t>
  </si>
  <si>
    <t>1/24/2026, 12:41:16 PM</t>
  </si>
  <si>
    <t>16.422135, 81.860467</t>
  </si>
  <si>
    <t>CVF6+2F8, Gudapalli, Andhra Pradesh, India</t>
  </si>
  <si>
    <t>http://164.52.221.216/localmedia/media/surveys/samples/recording_2026-01-24_12-38-08_samples_ysKfagqVDM.mp4</t>
  </si>
  <si>
    <t>Swathi</t>
  </si>
  <si>
    <t>ff779782-d934-4705-a06e-375b4421f39d</t>
  </si>
  <si>
    <t>1/24/2026, 9:12:47 AM</t>
  </si>
  <si>
    <t>16.415313, 81.807685</t>
  </si>
  <si>
    <t>CR85+33Q, మలికిపురం, ఆంధ్ర ప్రదేశ్, India</t>
  </si>
  <si>
    <t>http://164.52.221.216/localmedia/media/surveys/samples/recording_2026-01-24_09-11-12_samples_QUOy9cXO3g.mp4</t>
  </si>
  <si>
    <t>9967cd7d-45b4-4f65-a124-b2f362fce4d7</t>
  </si>
  <si>
    <t>1/24/2026, 2:04:28 PM</t>
  </si>
  <si>
    <t>16.423071, 81.863142</t>
  </si>
  <si>
    <t>CVF7+59W, Gudapalli, Andhra Pradesh, India</t>
  </si>
  <si>
    <t>http://164.52.221.216/localmedia/media/surveys/samples/recording_2026-01-24_14-01-28_samples_3mMdlvQ3iE.mp4</t>
  </si>
  <si>
    <t>chelluboyena balayya</t>
  </si>
  <si>
    <t>c444f7b8-469f-4956-96ac-d959655b6e44</t>
  </si>
  <si>
    <t>1/24/2026, 9:47:49 AM</t>
  </si>
  <si>
    <t>16.412945, 81.808010</t>
  </si>
  <si>
    <t>CR75+533, Malikipuram, Andhra Pradesh, India</t>
  </si>
  <si>
    <t>http://164.52.221.216/localmedia/media/surveys/samples/recording_2026-01-24_09-45-38_samples_fxrwmBIvot.mp4</t>
  </si>
  <si>
    <t>20f3f47b-2b22-4fca-ad71-c4cf6313849c</t>
  </si>
  <si>
    <t>1/24/2026, 10:31:11 AM</t>
  </si>
  <si>
    <t>16.533877, 81.939138</t>
  </si>
  <si>
    <t>GWMQ+7JP, Botlakurru Doddavaram, Andhra Pradesh, India</t>
  </si>
  <si>
    <t>http://164.52.221.216/localmedia/media/surveys/samples/recording_2026-01-24_10-27-20_samples_vu9tj6Kx2l.mp4</t>
  </si>
  <si>
    <t xml:space="preserve">surya narayana </t>
  </si>
  <si>
    <t>8868c5e7-faee-4b36-8c8f-6ec5f6f9d15d</t>
  </si>
  <si>
    <t>1/24/2026, 11:20:01 AM</t>
  </si>
  <si>
    <t>16.412812, 81.804387</t>
  </si>
  <si>
    <t>SHOP NO.8, Malikipuram, Andhra Pradesh, India</t>
  </si>
  <si>
    <t>http://164.52.221.216/localmedia/media/surveys/samples/recording_2026-01-24_11-18-29_samples_sDBSJnXQFk.mp4</t>
  </si>
  <si>
    <t>37383ecd-c407-40d5-8f27-35e1330ba040</t>
  </si>
  <si>
    <t>1/24/2026, 1:17:45 PM</t>
  </si>
  <si>
    <t>16.467589, 81.875818</t>
  </si>
  <si>
    <t>Razole - Ponnamanda Rd, B. Savaram, Andhra Pradesh, India</t>
  </si>
  <si>
    <t>http://164.52.221.216/localmedia/media/surveys/samples/recording_2026-01-24_13-09-44_samples_Cu4F8nQX6X.mp4</t>
  </si>
  <si>
    <t>nagarathanam</t>
  </si>
  <si>
    <t>f349f18b-534a-418c-af3b-d4e6c8949a64</t>
  </si>
  <si>
    <t>1/24/2026, 9:55:42 AM</t>
  </si>
  <si>
    <t>16.538589, 81.939444</t>
  </si>
  <si>
    <t>http://164.52.221.216/localmedia/media/surveys/samples/recording_2026-01-24_09-51-21_samples_4ojiXKZrpa.mp4</t>
  </si>
  <si>
    <t>govindarao</t>
  </si>
  <si>
    <t>40e6fdb5-6a9a-48ac-8e08-41734fb35fd1</t>
  </si>
  <si>
    <t>1/24/2026, 2:55:39 PM</t>
  </si>
  <si>
    <t>16.422936, 81.865365</t>
  </si>
  <si>
    <t>CVC7+XWJ, Gudapalli, Andhra Pradesh, India</t>
  </si>
  <si>
    <t>http://164.52.221.216/localmedia/media/surveys/samples/recording_2026-01-24_14-49-29_samples_M2ScXfvhci.mp4</t>
  </si>
  <si>
    <t>vani</t>
  </si>
  <si>
    <t>f506a8d6-98d8-4d92-a806-09cf9b5702b3</t>
  </si>
  <si>
    <t>1/24/2026, 9:24:17 AM</t>
  </si>
  <si>
    <t>16.414857, 81.808155</t>
  </si>
  <si>
    <t>CR75+W77, Malikipuram, Andhra Pradesh, India</t>
  </si>
  <si>
    <t>http://164.52.221.216/localmedia/media/surveys/samples/recording_2026-01-24_09-22-24_samples_BwnMcfTTF1.mp4</t>
  </si>
  <si>
    <t>2f42cda5-ba4f-4c71-8abf-ab22f9d1ee4a</t>
  </si>
  <si>
    <t>1/24/2026, 10:24:25 AM</t>
  </si>
  <si>
    <t>16.423971, 81.867400</t>
  </si>
  <si>
    <t>CVF8+PR6, Gudapalli, Andhra Pradesh, India</t>
  </si>
  <si>
    <t>http://164.52.221.216/localmedia/media/surveys/samples/recording_2026-01-24_10-21-15_samples_bZbb49Aug7.mp4</t>
  </si>
  <si>
    <t>Moka Akhil</t>
  </si>
  <si>
    <t>dcfdaa85-2882-4f6e-b9ba-924f65ffeecb</t>
  </si>
  <si>
    <t>1/24/2026, 12:00:19 PM</t>
  </si>
  <si>
    <t>16.409602, 81.802930</t>
  </si>
  <si>
    <t>food court, మలికిపురం, ఆంధ్ర ప్రదేశ్, India</t>
  </si>
  <si>
    <t>http://164.52.221.216/localmedia/media/surveys/samples/recording_2026-01-24_11-58-49_samples_9dprnlRFPW.mp4</t>
  </si>
  <si>
    <t>namdu</t>
  </si>
  <si>
    <t>5469acae-bd72-4d7c-8c55-c923ea3264f2</t>
  </si>
  <si>
    <t>1/24/2026, 11:34:54 AM</t>
  </si>
  <si>
    <t>16.410493, 81.804250</t>
  </si>
  <si>
    <t>Shop No, Mandal, Malikipuram, Andhra Pradesh, India</t>
  </si>
  <si>
    <t>http://164.52.221.216/localmedia/media/surveys/samples/recording_2026-01-24_11-33-09_samples_jYWIWMT4zO.mp4</t>
  </si>
  <si>
    <t>057329c7-76a5-4086-834d-2e0e421036ca</t>
  </si>
  <si>
    <t>1/24/2026, 4:02:04 PM</t>
  </si>
  <si>
    <t>16.418388, 81.835120</t>
  </si>
  <si>
    <t>CR9P+76G, Visweswaraya Puram, Lakkavaram, Andhra Pradesh, India</t>
  </si>
  <si>
    <t>http://164.52.221.216/localmedia/media/surveys/samples/recording_2026-01-24_15-57-21_samples_BtvYYLIuy2.mp4</t>
  </si>
  <si>
    <t>veera venkata satyanarayana</t>
  </si>
  <si>
    <t>3844753f-f59f-48bc-9ccf-d1b692e44b5e</t>
  </si>
  <si>
    <t>1/24/2026, 3:53:45 PM</t>
  </si>
  <si>
    <t>16.418301, 81.835810</t>
  </si>
  <si>
    <t>sri Sainadh Complex, Lakkavaram, Andhra Pradesh, India</t>
  </si>
  <si>
    <t>http://164.52.221.216/localmedia/media/surveys/samples/recording_2026-01-24_15-49-36_samples_MmQQYEeLeU.mp4</t>
  </si>
  <si>
    <t>ambati nagendra</t>
  </si>
  <si>
    <t>f480585a-0db5-4637-a40a-7272ad0dc4ba</t>
  </si>
  <si>
    <t>1/24/2026, 5:45:18 PM</t>
  </si>
  <si>
    <t>16.447101, 81.906928</t>
  </si>
  <si>
    <t>Sri venkateswara enterprises and wood works ponnamanda madugu center start point of ponnamanda, ponnamanada, Andhra Pradesh, India</t>
  </si>
  <si>
    <t>http://164.52.221.216/localmedia/media/surveys/samples/recording_2026-01-24_17-41-08_samples_x7WiUkhj7l.mp4</t>
  </si>
  <si>
    <t>prasadhu.kadali</t>
  </si>
  <si>
    <t>a208ed74-07eb-4c1e-bfcb-b6504c476c4a</t>
  </si>
  <si>
    <t>1/24/2026, 1:59:07 PM</t>
  </si>
  <si>
    <t>16.422534, 81.861408</t>
  </si>
  <si>
    <t>2-128 Gudapalli, Malikipuram, Andhra Pradesh, India</t>
  </si>
  <si>
    <t>http://164.52.221.216/localmedia/media/surveys/samples/recording_2026-01-24_13-56-22_samples_zN2Ou2LOxl.mp4</t>
  </si>
  <si>
    <t>manikanta</t>
  </si>
  <si>
    <t>2910a55b-80f4-4495-8527-658f602208c6</t>
  </si>
  <si>
    <t>1/24/2026, 11:56:22 AM</t>
  </si>
  <si>
    <t>16.410546, 81.806334</t>
  </si>
  <si>
    <t>CR64+3C4, Malikipuram, Andhra Pradesh, India</t>
  </si>
  <si>
    <t>http://164.52.221.216/localmedia/media/surveys/samples/recording_2026-01-24_11-54-56_samples_xTz3FdDYek.mp4</t>
  </si>
  <si>
    <t>8b4c543b-7595-4c22-9962-e26f1f0d66a8</t>
  </si>
  <si>
    <t>1/24/2026, 10:14:30 AM</t>
  </si>
  <si>
    <t>16.423101, 81.847928</t>
  </si>
  <si>
    <t>CRFX+768, Lakkavaram, Andhra Pradesh, India</t>
  </si>
  <si>
    <t>http://164.52.221.216/localmedia/media/surveys/samples/recording_2026-01-24_10-01-41_samples_fp1s6A31jJ.mp4</t>
  </si>
  <si>
    <t>injeti raju</t>
  </si>
  <si>
    <t>7ba9454e-21ca-4dfb-a1f2-7e7ca9d98e02</t>
  </si>
  <si>
    <t>1/24/2026, 12:09:53 PM</t>
  </si>
  <si>
    <t>16.423099, 81.863076</t>
  </si>
  <si>
    <t>http://164.52.221.216/localmedia/media/surveys/samples/recording_2026-01-24_12-06-53_samples_wT8Y8MdYQh.mp4</t>
  </si>
  <si>
    <t>7bb4e4ad-2647-41ee-8479-015258e0a5a0</t>
  </si>
  <si>
    <t>1/24/2026, 3:06:57 PM</t>
  </si>
  <si>
    <t>16.423117, 81.863879</t>
  </si>
  <si>
    <t>http://164.52.221.216/localmedia/media/surveys/samples/recording_2026-01-24_15-01-50_samples_DKPYb5Mkzj.mp4</t>
  </si>
  <si>
    <t>kolla Gangadharrao</t>
  </si>
  <si>
    <t>2b87c46f-eeab-42d4-96ad-485de1d1b797</t>
  </si>
  <si>
    <t>1/24/2026, 3:18:33 PM</t>
  </si>
  <si>
    <t>16.437286, 81.911956</t>
  </si>
  <si>
    <t>CWQ6+HHG, Katrenipadu, Andhra Pradesh, India</t>
  </si>
  <si>
    <t>http://164.52.221.216/localmedia/media/surveys/samples/recording_2026-01-24_15-14-58_samples_Vbvze4HTTc.mp4</t>
  </si>
  <si>
    <t>chandrika</t>
  </si>
  <si>
    <t>d5afbf15-11fe-4031-8f84-56a1f362a17c</t>
  </si>
  <si>
    <t>1/24/2026, 3:53:58 PM</t>
  </si>
  <si>
    <t>16.459388, 81.894498</t>
  </si>
  <si>
    <t>FV5V+QR6, Kadali, Andhra Pradesh, India</t>
  </si>
  <si>
    <t>http://164.52.221.216/localmedia/media/surveys/samples/recording_2026-01-24_15-50-08_samples_B7eqwkfTqz.mp4</t>
  </si>
  <si>
    <t>anadharao</t>
  </si>
  <si>
    <t>04703ed0-70f1-447e-b0d7-7a5e7ae2cdd8</t>
  </si>
  <si>
    <t>1/24/2026, 2:27:23 PM</t>
  </si>
  <si>
    <t>16.422532, 81.839866</t>
  </si>
  <si>
    <t>CRFR+22R, Lakkavaram, Andhra Pradesh, India</t>
  </si>
  <si>
    <t>http://164.52.221.216/localmedia/media/surveys/samples/recording_2026-01-24_14-20-14_samples_sHG8kbToeM.mp4</t>
  </si>
  <si>
    <t>venkataqchalam</t>
  </si>
  <si>
    <t>6b4f695d-f028-4768-bb04-7fbe7591530b</t>
  </si>
  <si>
    <t>1/24/2026, 4:03:37 PM</t>
  </si>
  <si>
    <t>16.437555, 81.914167</t>
  </si>
  <si>
    <t>CWP7+QGQ, Katrenipadu, Andhra Pradesh, India</t>
  </si>
  <si>
    <t>http://164.52.221.216/localmedia/media/surveys/samples/recording_2026-01-24_15-59-54_samples_jpfXv7ymrD.mp4</t>
  </si>
  <si>
    <t>p. poleru</t>
  </si>
  <si>
    <t>6297619f-df41-4a3e-9eb8-fce02abcdf90</t>
  </si>
  <si>
    <t>1/24/2026, 2:33:44 PM</t>
  </si>
  <si>
    <t>16.461321, 81.891159</t>
  </si>
  <si>
    <t>FV6R+W9G, Kadali, Andhra Pradesh, India</t>
  </si>
  <si>
    <t>http://164.52.221.216/localmedia/media/surveys/samples/recording_2026-01-24_14-30-42_samples_xL0CBnbLny.mp4</t>
  </si>
  <si>
    <t>vaddi nageswararao</t>
  </si>
  <si>
    <t>268a8c73-1486-44d9-bcfd-606eaf38004c</t>
  </si>
  <si>
    <t>1/24/2026, 11:27:57 AM</t>
  </si>
  <si>
    <t>16.411153, 81.804276</t>
  </si>
  <si>
    <t>near Ambica Restaurant, Malikipuram, Andhra Pradesh, India</t>
  </si>
  <si>
    <t>http://164.52.221.216/localmedia/media/surveys/samples/recording_2026-01-24_11-26-32_samples_W9SOpCTVja.mp4</t>
  </si>
  <si>
    <t>gagachalam</t>
  </si>
  <si>
    <t>bf41d8b3-370d-422e-8339-f2dcae633168</t>
  </si>
  <si>
    <t>1/24/2026, 6:25:29 PM</t>
  </si>
  <si>
    <t>16.445874, 81.905930</t>
  </si>
  <si>
    <t>7-139/1, Ponnamanda, Andhra Pradesh, India</t>
  </si>
  <si>
    <t>http://164.52.221.216/localmedia/media/surveys/samples/recording_2026-01-24_18-23-20_samples_4zkPBjuf7g.mp4</t>
  </si>
  <si>
    <t>kuthanavevi.r</t>
  </si>
  <si>
    <t>804ac2c2-08ff-4b97-a8d1-3a0078569d76</t>
  </si>
  <si>
    <t>1/24/2026, 6:32:14 PM</t>
  </si>
  <si>
    <t>16.444772, 81.908713</t>
  </si>
  <si>
    <t>1-42, Ponnamanda, Andhra Pradesh, India</t>
  </si>
  <si>
    <t>http://164.52.221.216/localmedia/media/surveys/samples/recording_2026-01-24_18-29-11_samples_niZ6yk9XBQ.mp4</t>
  </si>
  <si>
    <t>vaviteja.b</t>
  </si>
  <si>
    <t>ec6e7e91-d1ee-4abd-b613-6140ac0b818b</t>
  </si>
  <si>
    <t>1/24/2026, 12:42:40 PM</t>
  </si>
  <si>
    <t>16.421541, 81.840025</t>
  </si>
  <si>
    <t>Kandikatla vari Group, Lakkavaram, Andhra Pradesh, India</t>
  </si>
  <si>
    <t>http://164.52.221.216/localmedia/media/surveys/samples/recording_2026-01-24_12-36-10_samples_8ngxvWOozM.mp4</t>
  </si>
  <si>
    <t>salini</t>
  </si>
  <si>
    <t>3a75df6b-d378-4f2c-874a-01f2f76b2014</t>
  </si>
  <si>
    <t>1/24/2026, 2:04:07 PM</t>
  </si>
  <si>
    <t>http://164.52.221.216/localmedia/media/surveys/samples/recording_2026-01-24_14-01-28_samples_b8qx7gQpro.mp4</t>
  </si>
  <si>
    <t>edddcb01-cdf9-4a8b-8bb9-7ab58d091807</t>
  </si>
  <si>
    <t>1/24/2026, 2:48:14 PM</t>
  </si>
  <si>
    <t>16.423247, 81.863536</t>
  </si>
  <si>
    <t>http://164.52.221.216/localmedia/media/surveys/samples/recording_2026-01-24_14-43-37_samples_8x8Vgkny61.mp4</t>
  </si>
  <si>
    <t>trimurthulu</t>
  </si>
  <si>
    <t>3facd237-40b8-45a0-bd17-ac7ea2529107</t>
  </si>
  <si>
    <t>1/24/2026, 10:25:27 AM</t>
  </si>
  <si>
    <t>16.534519, 81.938565</t>
  </si>
  <si>
    <t>B DODDAVARAM, MANDAL, Andhra Pradesh, India</t>
  </si>
  <si>
    <t>http://164.52.221.216/localmedia/media/surveys/samples/recording_2026-01-24_10-22-36_samples_2mQoxWU4Iu.mp4</t>
  </si>
  <si>
    <t>janshi</t>
  </si>
  <si>
    <t>a5736d03-bbd8-4219-85ad-d11fb73b7e46</t>
  </si>
  <si>
    <t>1/24/2026, 12:37:38 PM</t>
  </si>
  <si>
    <t>16.422531, 81.861259</t>
  </si>
  <si>
    <t>http://164.52.221.216/localmedia/media/surveys/samples/recording_2026-01-24_12-34-07_samples_JiOM6NhhKR.mp4</t>
  </si>
  <si>
    <t xml:space="preserve">Ramesh </t>
  </si>
  <si>
    <t>c5dad55b-2454-4ec4-a2b2-a11b75744b84</t>
  </si>
  <si>
    <t>1/24/2026, 2:05:59 PM</t>
  </si>
  <si>
    <t>http://164.52.221.216/localmedia/media/surveys/samples/recording_2026-01-24_14-02-19_samples_lUC9dpLVQk.mp4</t>
  </si>
  <si>
    <t>1d6bf6a8-3661-400f-9115-a20704017619</t>
  </si>
  <si>
    <t>1/24/2026, 11:38:33 AM</t>
  </si>
  <si>
    <t>16.411138, 81.804939</t>
  </si>
  <si>
    <t>157, Malikipuram, Andhra Pradesh, India</t>
  </si>
  <si>
    <t>http://164.52.221.216/localmedia/media/surveys/samples/recording_2026-01-24_11-36-46_samples_2i4gZclLya.mp4</t>
  </si>
  <si>
    <t>43741ac5-11e6-4bb3-a8d2-e638f124407b</t>
  </si>
  <si>
    <t>1/24/2026, 3:05:03 PM</t>
  </si>
  <si>
    <t>16.419289, 81.839803</t>
  </si>
  <si>
    <t>CR9Q+MWX, Lakkavaram, Andhra Pradesh, India</t>
  </si>
  <si>
    <t>http://164.52.221.216/localmedia/media/surveys/samples/recording_2026-01-24_15-01-15_samples_iyuho4t3zM.mp4</t>
  </si>
  <si>
    <t>AVS prakash rao</t>
  </si>
  <si>
    <t>bf555c14-ef5a-4dab-8b6c-106aef13cfe3</t>
  </si>
  <si>
    <t>1/24/2026, 9:53:36 AM</t>
  </si>
  <si>
    <t>16.412805, 81.809135</t>
  </si>
  <si>
    <t>CR75+3M, Malikipuram, Andhra Pradesh, India</t>
  </si>
  <si>
    <t>http://164.52.221.216/localmedia/media/surveys/samples/recording_2026-01-24_09-51-19_samples_n0IWQ3wwCW.mp4</t>
  </si>
  <si>
    <t>c3a12eab-d117-44ad-ba52-e1ab00601204</t>
  </si>
  <si>
    <t>1/24/2026, 12:19:13 PM</t>
  </si>
  <si>
    <t>16.536887, 81.934024</t>
  </si>
  <si>
    <t>http://164.52.221.216/localmedia/media/surveys/samples/recording_2026-01-24_12-16-42_samples_pt6hKRdMIb.mp4</t>
  </si>
  <si>
    <t>malleswarao</t>
  </si>
  <si>
    <t>f615e891-2715-43ae-8269-5f4f1a2126fa</t>
  </si>
  <si>
    <t>1/24/2026, 2:24:21 PM</t>
  </si>
  <si>
    <t>16.462280, 81.884881</t>
  </si>
  <si>
    <t>FV6M+RJQ, Palagummi, Andhra Pradesh, India</t>
  </si>
  <si>
    <t>http://164.52.221.216/localmedia/media/surveys/samples/recording_2026-01-24_14-17-51_samples_93E5X2BlQX.mp4</t>
  </si>
  <si>
    <t>yasuu.c.h</t>
  </si>
  <si>
    <t>7c48710c-b25f-40ea-b09c-1d82ff51496d</t>
  </si>
  <si>
    <t>1/24/2026, 2:14:34 PM</t>
  </si>
  <si>
    <t>16.423250, 81.863551</t>
  </si>
  <si>
    <t>http://164.52.221.216/localmedia/media/surveys/samples/recording_2026-01-24_14-12-10_samples_yIFSPR08YX.mp4</t>
  </si>
  <si>
    <t>mounika</t>
  </si>
  <si>
    <t>349f414e-4990-42f0-bbfe-bf52595ba526</t>
  </si>
  <si>
    <t>1/24/2026, 11:43:42 AM</t>
  </si>
  <si>
    <t>16.409713, 81.804066</t>
  </si>
  <si>
    <t>CR53+WH9, Arthamuru, Andhra Pradesh, India</t>
  </si>
  <si>
    <t>http://164.52.221.216/localmedia/media/surveys/samples/recording_2026-01-24_11-42-24_samples_9qj7ANbkah.mp4</t>
  </si>
  <si>
    <t>srinuvas</t>
  </si>
  <si>
    <t>4b8c22bb-68d9-4628-a42a-828dc655effc</t>
  </si>
  <si>
    <t>1/24/2026, 4:03:39 PM</t>
  </si>
  <si>
    <t>http://164.52.221.216/localmedia/media/surveys/samples/recording_2026-01-24_15-59-54_samples_gEVsQS7z0v.mp4</t>
  </si>
  <si>
    <t>00998510-6b6a-4154-8162-b85530948568</t>
  </si>
  <si>
    <t>1/24/2026, 11:42:53 AM</t>
  </si>
  <si>
    <t>16.423589, 81.863725</t>
  </si>
  <si>
    <t>CVF7+CFR, Gudapalli, Andhra Pradesh, India</t>
  </si>
  <si>
    <t>http://164.52.221.216/localmedia/media/surveys/samples/recording_2026-01-24_11-37-23_samples_VPnaBVoo9G.mp4</t>
  </si>
  <si>
    <t xml:space="preserve">S. V Suryanarayana </t>
  </si>
  <si>
    <t>5f9a6a6f-abab-4435-828d-d0858eeddf68</t>
  </si>
  <si>
    <t>1/24/2026, 9:25:51 AM</t>
  </si>
  <si>
    <t>16.539226, 81.943684</t>
  </si>
  <si>
    <t>GWQV+M2V, Lanka, Botlakurru Doddavaram, Andhra Pradesh, India</t>
  </si>
  <si>
    <t>http://164.52.221.216/localmedia/media/surveys/samples/recording_2026-01-24_09-22-18_samples_5Clvg3GVjJ.mp4</t>
  </si>
  <si>
    <t>c65e2f0a-3fe3-4bcd-bb45-203612755842</t>
  </si>
  <si>
    <t>1/24/2026, 9:31:38 AM</t>
  </si>
  <si>
    <t>16.424766, 81.864835</t>
  </si>
  <si>
    <t>CVF7+WW4, Gudapalli, Andhra Pradesh, India</t>
  </si>
  <si>
    <t>http://164.52.221.216/localmedia/media/surveys/samples/recording_2026-01-24_09-26-13_samples_Ah8pNiWLLL.mp4</t>
  </si>
  <si>
    <t>Ramakrishna</t>
  </si>
  <si>
    <t>c5fe41aa-2f45-4dfc-9cee-c14e530a3370</t>
  </si>
  <si>
    <t>1/24/2026, 2:08:57 PM</t>
  </si>
  <si>
    <t>16.422579, 81.861208</t>
  </si>
  <si>
    <t>http://164.52.221.216/localmedia/media/surveys/samples/recording_2026-01-24_14-05-25_samples_D8QA1QIEYz.mp4</t>
  </si>
  <si>
    <t>kolla satyanarayana</t>
  </si>
  <si>
    <t>78f01e5d-50e7-476b-9812-e1a1248158bc</t>
  </si>
  <si>
    <t>1/24/2026, 12:55:47 PM</t>
  </si>
  <si>
    <t>16.422306, 81.838702</t>
  </si>
  <si>
    <t>6-244, Malkipuram Mandal, Lakkavaram, Andhra Pradesh, India</t>
  </si>
  <si>
    <t>http://164.52.221.216/localmedia/media/surveys/samples/recording_2026-01-24_12-46-30_samples_pm9NM3zmI2.mp4</t>
  </si>
  <si>
    <t>latha</t>
  </si>
  <si>
    <t>c8add588-7667-455d-9413-da9c7ab7acef</t>
  </si>
  <si>
    <t>1/24/2026, 10:48:32 AM</t>
  </si>
  <si>
    <t>16.423030, 81.843046</t>
  </si>
  <si>
    <t>CRFV+53W, Lakkavaram, Andhra Pradesh, India</t>
  </si>
  <si>
    <t>http://164.52.221.216/localmedia/media/surveys/samples/recording_2026-01-24_10-43-37_samples_fUvHyL7Ea7.mp4</t>
  </si>
  <si>
    <t>lakshmi prasanna</t>
  </si>
  <si>
    <t>03027f11-9adc-4931-bbe4-24345aeda4ca</t>
  </si>
  <si>
    <t>1/24/2026, 12:05:23 PM</t>
  </si>
  <si>
    <t>16.409151, 81.802741</t>
  </si>
  <si>
    <t>CR53+J49, Malikipuram, Andhra Pradesh, India</t>
  </si>
  <si>
    <t>http://164.52.221.216/localmedia/media/surveys/samples/recording_2026-01-24_12-04-08_samples_TdpkkksAqE.mp4</t>
  </si>
  <si>
    <t>9928d06e-4747-4120-8086-736f52f2c2a5</t>
  </si>
  <si>
    <t>1/24/2026, 12:03:09 PM</t>
  </si>
  <si>
    <t>16.409531, 81.802461</t>
  </si>
  <si>
    <t>No. 4/231 &amp; 4/232, Malikipuram, Andhra Pradesh, India</t>
  </si>
  <si>
    <t>http://164.52.221.216/localmedia/media/surveys/samples/recording_2026-01-24_12-02-04_samples_hEBQwaHlEi.mp4</t>
  </si>
  <si>
    <t>b3553c28-2bfa-4e68-aa59-65a2054ee548</t>
  </si>
  <si>
    <t>1/24/2026, 11:21:24 AM</t>
  </si>
  <si>
    <t>16.423999, 81.867215</t>
  </si>
  <si>
    <t>http://164.52.221.216/localmedia/media/surveys/samples/recording_2026-01-24_11-17-04_samples_9qYi1EHeZq.mp4</t>
  </si>
  <si>
    <t>chikka padmaraju</t>
  </si>
  <si>
    <t>3c866d87-09c1-4570-88b4-5a5c7e74d762</t>
  </si>
  <si>
    <t>1/24/2026, 9:33:46 AM</t>
  </si>
  <si>
    <t>16.539216, 81.943143</t>
  </si>
  <si>
    <t>http://164.52.221.216/localmedia/media/surveys/samples/recording_2026-01-24_09-27-33_samples_fm0pZJayJs.mp4</t>
  </si>
  <si>
    <t>mani</t>
  </si>
  <si>
    <t>6f4f2756-0c6f-4092-b55a-505485dc5031</t>
  </si>
  <si>
    <t>http://164.52.221.216/localmedia/media/surveys/samples/recording_2026-01-24_15-01-50_samples_i4MZS4XtPD.mp4</t>
  </si>
  <si>
    <t>91ecb6ae-6f8f-4a1a-9039-49a34ff175dd</t>
  </si>
  <si>
    <t>1/24/2026, 12:37:45 PM</t>
  </si>
  <si>
    <t>16.467814, 81.881469</t>
  </si>
  <si>
    <t>FV9J+7H, Palagummi, Andhra Pradesh, India</t>
  </si>
  <si>
    <t>http://164.52.221.216/localmedia/media/surveys/samples/recording_2026-01-24_12-32-45_samples_E3JcOTYvy3.mp4</t>
  </si>
  <si>
    <t>v.s.raju</t>
  </si>
  <si>
    <t>f00c809a-414a-4aff-abdf-4e254fbe139c</t>
  </si>
  <si>
    <t>1/24/2026, 2:10:19 PM</t>
  </si>
  <si>
    <t>16.467071, 81.889978</t>
  </si>
  <si>
    <t>http://164.52.221.216/localmedia/media/surveys/samples/recording_2026-01-24_14-07-26_samples_6hiRdbtNnZ.mp4</t>
  </si>
  <si>
    <t xml:space="preserve">satya vathi </t>
  </si>
  <si>
    <t>e1ad3eed-5b36-46d5-b5df-da69c5e113e3</t>
  </si>
  <si>
    <t>1/24/2026, 1:34:11 PM</t>
  </si>
  <si>
    <t>http://164.52.221.216/localmedia/media/surveys/samples/recording_2026-01-24_13-28-46_samples_unDXARzWVB.mp4</t>
  </si>
  <si>
    <t>327574f9-0016-4636-9ee2-7b941ddddf2b</t>
  </si>
  <si>
    <t>1/24/2026, 12:06:43 PM</t>
  </si>
  <si>
    <t>16.534810, 81.936819</t>
  </si>
  <si>
    <t>http://164.52.221.216/localmedia/media/surveys/samples/recording_2026-01-24_12-02-10_samples_LRQaxYKtR1.mp4</t>
  </si>
  <si>
    <t>p ganapathi</t>
  </si>
  <si>
    <t>14823da4-d770-427a-a4d6-8e99f2f595e4</t>
  </si>
  <si>
    <t>1/24/2026, 3:27:19 PM</t>
  </si>
  <si>
    <t>16.418592, 81.837546</t>
  </si>
  <si>
    <t>Shop No.4 Main Road Near MG Garden Lakkavaram, Malikipuram, Andhra Pradesh, India</t>
  </si>
  <si>
    <t>http://164.52.221.216/localmedia/media/surveys/samples/recording_2026-01-24_15-22-50_samples_FkE4qvFXIC.mp4</t>
  </si>
  <si>
    <t>678e3705-a263-4f0e-a46c-e145b3ea419b</t>
  </si>
  <si>
    <t>1/24/2026, 1:20:38 PM</t>
  </si>
  <si>
    <t>16.422624, 81.863256</t>
  </si>
  <si>
    <t>CVC7+X75, Gudapalli, Andhra Pradesh, India</t>
  </si>
  <si>
    <t>http://164.52.221.216/localmedia/media/surveys/samples/recording_2026-01-24_13-13-12_samples_3hbXY1Mxu8.mp4</t>
  </si>
  <si>
    <t>kamanramu gudapalli</t>
  </si>
  <si>
    <t>96eea5b6-f81c-446f-bba6-8ba844ad1b1b</t>
  </si>
  <si>
    <t>1/24/2026, 1:52:33 PM</t>
  </si>
  <si>
    <t>16.424041, 81.838767</t>
  </si>
  <si>
    <t>http://164.52.221.216/localmedia/media/surveys/samples/recording_2026-01-24_13-47-54_samples_gxUMb24g6F.mp4</t>
  </si>
  <si>
    <t>nagarjuna varanasi</t>
  </si>
  <si>
    <t>ae7e5ec1-59cf-49c8-b1fa-6a850ee1c203</t>
  </si>
  <si>
    <t>1/24/2026, 2:33:49 PM</t>
  </si>
  <si>
    <t>16.461715, 81.886407</t>
  </si>
  <si>
    <t>Kadali Village Razole Mandal, Kadali, Andhra Pradesh, India</t>
  </si>
  <si>
    <t>http://164.52.221.216/localmedia/media/surveys/samples/recording_2026-01-24_14-27-44_samples_O8UtCj6PJB.mp4</t>
  </si>
  <si>
    <t>Hemant.k</t>
  </si>
  <si>
    <t>22f7f996-6530-4211-ae14-5792419e2f2c</t>
  </si>
  <si>
    <t>1/24/2026, 10:49:02 AM</t>
  </si>
  <si>
    <t>16.538360, 81.939528</t>
  </si>
  <si>
    <t>B DODDAVARAM, Botlakurru Doddavaram, Andhra Pradesh, India</t>
  </si>
  <si>
    <t>http://164.52.221.216/localmedia/media/surveys/samples/recording_2026-01-24_10-45-30_samples_418XqdSnZP.mp4</t>
  </si>
  <si>
    <t>satya namdam</t>
  </si>
  <si>
    <t>e0bdea83-6df6-488a-b0df-92ae378faeb9</t>
  </si>
  <si>
    <t>1/24/2026, 2:47:11 PM</t>
  </si>
  <si>
    <t>16.419285, 81.840839</t>
  </si>
  <si>
    <t>CR9R+R8J, Lakkavaram, Andhra Pradesh, India</t>
  </si>
  <si>
    <t>http://164.52.221.216/localmedia/media/surveys/samples/recording_2026-01-24_14-40-59_samples_uL3Eiqg4Ea.mp4</t>
  </si>
  <si>
    <t>sreenivasa</t>
  </si>
  <si>
    <t>e934ab80-91cb-4a3c-ac22-ad7980d7f6bb</t>
  </si>
  <si>
    <t>1/24/2026, 12:03:28 PM</t>
  </si>
  <si>
    <t>16.423555, 81.863375</t>
  </si>
  <si>
    <t>http://164.52.221.216/localmedia/media/surveys/samples/recording_2026-01-24_12-01-51_samples_DiciG4C2G7.mp4</t>
  </si>
  <si>
    <t>mangamma</t>
  </si>
  <si>
    <t>15b53744-7ce2-4195-9d4f-64c6d699b469</t>
  </si>
  <si>
    <t>http://164.52.221.216/localmedia/media/surveys/samples/recording_2026-01-24_14-07-26_samples_62EmeBlexo.mp4</t>
  </si>
  <si>
    <t>df5da142-7a21-4885-ac57-27372eff82cc</t>
  </si>
  <si>
    <t>http://164.52.221.216/localmedia/media/surveys/samples/recording_2026-01-24_15-01-50_samples_oP9U2f2370.mp4</t>
  </si>
  <si>
    <t>eb2d9457-6e70-47d0-b1f6-fe7e64b379db</t>
  </si>
  <si>
    <t>1/24/2026, 11:59:21 AM</t>
  </si>
  <si>
    <t>16.423158, 81.864001</t>
  </si>
  <si>
    <t>http://164.52.221.216/localmedia/media/surveys/samples/recording_2026-01-24_11-57-29_samples_GHN28GXv9M.mp4</t>
  </si>
  <si>
    <t>Balaram</t>
  </si>
  <si>
    <t>0261d636-3507-442e-84db-bffaaab60907</t>
  </si>
  <si>
    <t>1/24/2026, 10:37:44 AM</t>
  </si>
  <si>
    <t>16.424125, 81.867202</t>
  </si>
  <si>
    <t>http://164.52.221.216/localmedia/media/surveys/samples/recording_2026-01-24_10-34-42_samples_3ztQplFIXb.mp4</t>
  </si>
  <si>
    <t>YVD Prasad</t>
  </si>
  <si>
    <t>f843d8d4-b016-4534-930c-5b16654cad5d</t>
  </si>
  <si>
    <t>1/24/2026, 12:48:40 PM</t>
  </si>
  <si>
    <t>16.468723, 81.881292</t>
  </si>
  <si>
    <t>http://164.52.221.216/localmedia/media/surveys/samples/recording_2026-01-24_12-41-38_samples_7CNnXTUJXd.mp4</t>
  </si>
  <si>
    <t>g.pesadhu</t>
  </si>
  <si>
    <t>d5617ed0-7939-4b08-a30e-72b5dc97c45e</t>
  </si>
  <si>
    <t>1/24/2026, 11:47:23 AM</t>
  </si>
  <si>
    <t>16.410617, 81.805100</t>
  </si>
  <si>
    <t>Shop No.5-6/3 Arudra Complex Main Road, Malikipuram, Andhra Pradesh, India</t>
  </si>
  <si>
    <t>http://164.52.221.216/localmedia/media/surveys/samples/recording_2026-01-24_11-44-32_samples_uWr0I2TdOU.mp4</t>
  </si>
  <si>
    <t>maheshbabau</t>
  </si>
  <si>
    <t>e511eb07-23c3-4ec7-b85a-1b761a90df4c</t>
  </si>
  <si>
    <t>1/24/2026, 9:42:42 AM</t>
  </si>
  <si>
    <t>16.423469, 81.865758</t>
  </si>
  <si>
    <t>2-242, Gudapalli, Andhra Pradesh, India</t>
  </si>
  <si>
    <t>http://164.52.221.216/localmedia/media/surveys/samples/recording_2026-01-24_09-38-05_samples_xAW2dswJEv.mp4</t>
  </si>
  <si>
    <t>cf4c9aa5-1957-42e9-b9bc-af7e6cb1b490</t>
  </si>
  <si>
    <t>1/24/2026, 4:04:47 PM</t>
  </si>
  <si>
    <t>16.458822, 81.896535</t>
  </si>
  <si>
    <t>FV5W+HGH, Razole, Andhra Pradesh, India</t>
  </si>
  <si>
    <t>http://164.52.221.216/localmedia/media/surveys/samples/recording_2026-01-24_15-57-59_samples_dNtcdcngWL.mp4</t>
  </si>
  <si>
    <t>Kattan.nagaraju</t>
  </si>
  <si>
    <t>f0a132ab-db8e-4b8a-a5b7-3dec9354ec22</t>
  </si>
  <si>
    <t>1/24/2026, 12:06:56 PM</t>
  </si>
  <si>
    <t>16.409181, 81.801788</t>
  </si>
  <si>
    <t>106, Malikipuram, Andhra Pradesh, India</t>
  </si>
  <si>
    <t>http://164.52.221.216/localmedia/media/surveys/samples/recording_2026-01-24_12-06-02_samples_TXFUglAFZg.mp4</t>
  </si>
  <si>
    <t>5017dbba-d67d-4cf4-a4e5-a857da5d7f50</t>
  </si>
  <si>
    <t>1/24/2026, 10:29:49 AM</t>
  </si>
  <si>
    <t>16.414338, 81.806591</t>
  </si>
  <si>
    <t>opp. PADMAJA THEATOR, Malikipuram, Andhra Pradesh, India</t>
  </si>
  <si>
    <t>http://164.52.221.216/localmedia/media/surveys/samples/recording_2026-01-24_10-28-07_samples_yl5DirVjEc.mp4</t>
  </si>
  <si>
    <t>ramana</t>
  </si>
  <si>
    <t>24166c03-4e01-476a-aa8b-2eac030bb8a6</t>
  </si>
  <si>
    <t>1/24/2026, 1:58:47 PM</t>
  </si>
  <si>
    <t>http://164.52.221.216/localmedia/media/surveys/samples/recording_2026-01-24_13-56-22_samples_dV0gZyjLfp.mp4</t>
  </si>
  <si>
    <t>af032c75-9c8c-4e3d-aaa1-57dba2d4fadb</t>
  </si>
  <si>
    <t>1/24/2026, 1:50:29 PM</t>
  </si>
  <si>
    <t>16.422527, 81.861452</t>
  </si>
  <si>
    <t>3-90, Gudapalli, Andhra Pradesh, India</t>
  </si>
  <si>
    <t>http://164.52.221.216/localmedia/media/surveys/samples/recording_2026-01-24_13-45-25_samples_RKzv0nnvCL.mp4</t>
  </si>
  <si>
    <t>402884b7-99d9-426c-863c-e326c90c9ee4</t>
  </si>
  <si>
    <t>1/24/2026, 3:38:46 PM</t>
  </si>
  <si>
    <t>16.418286, 81.836663</t>
  </si>
  <si>
    <t>CR9P+FF3, Lakkavaram, Andhra Pradesh, India</t>
  </si>
  <si>
    <t>http://164.52.221.216/localmedia/media/surveys/samples/recording_2026-01-24_15-32-23_samples_CNFhB6f3CW.mp4</t>
  </si>
  <si>
    <t>satyababu</t>
  </si>
  <si>
    <t>e4086260-1ac2-4f70-b0d0-1eb5df85bb8f</t>
  </si>
  <si>
    <t>1/24/2026, 1:25:36 PM</t>
  </si>
  <si>
    <t>16.422536, 81.839893</t>
  </si>
  <si>
    <t>http://164.52.221.216/localmedia/media/surveys/samples/recording_2026-01-24_13-21-53_samples_wzZNHPfywy.mp4</t>
  </si>
  <si>
    <t>y kalyani</t>
  </si>
  <si>
    <t>91d5b226-b9ea-4da9-9b23-efc22696e3ee</t>
  </si>
  <si>
    <t>1/24/2026, 1:52:51 PM</t>
  </si>
  <si>
    <t>16.466275, 81.886505</t>
  </si>
  <si>
    <t>Kadali center, Kadali, Andhra Pradesh, India</t>
  </si>
  <si>
    <t>http://164.52.221.216/localmedia/media/surveys/samples/recording_2026-01-24_13-46-33_samples_YWVsSrzOWI.mp4</t>
  </si>
  <si>
    <t>kodeti.ajunarao</t>
  </si>
  <si>
    <t>5bf8ebac-1050-4b5d-9fee-5b3bc116ab2e</t>
  </si>
  <si>
    <t>1/24/2026, 3:30:26 PM</t>
  </si>
  <si>
    <t>16.437513, 81.911417</t>
  </si>
  <si>
    <t>http://164.52.221.216/localmedia/media/surveys/samples/recording_2026-01-24_15-23-01_samples_ULT4mulX8q.mp4</t>
  </si>
  <si>
    <t>rohini</t>
  </si>
  <si>
    <t>7d0f0a12-1938-4927-8937-e1e35e8be7d7</t>
  </si>
  <si>
    <t>1/24/2026, 10:14:36 AM</t>
  </si>
  <si>
    <t>16.533035, 81.938980</t>
  </si>
  <si>
    <t>http://164.52.221.216/localmedia/media/surveys/samples/recording_2026-01-24_10-11-43_samples_tqgnE9R2MF.mp4</t>
  </si>
  <si>
    <t>dhana lakshmi</t>
  </si>
  <si>
    <t>a123e9cc-4e5a-4a15-a1fe-00d0dd6ca6ab</t>
  </si>
  <si>
    <t>1/24/2026, 4:27:27 PM</t>
  </si>
  <si>
    <t>16.458810, 81.901541</t>
  </si>
  <si>
    <t>FW52+9JX, Kadali, Andhra Pradesh, India</t>
  </si>
  <si>
    <t>http://164.52.221.216/localmedia/media/surveys/samples/recording_2026-01-24_16-22-54_samples_VGNmcimUnY.mp4</t>
  </si>
  <si>
    <t>Pradeep kumar</t>
  </si>
  <si>
    <t>60c09237-c32a-499e-af79-4ce8e520282d</t>
  </si>
  <si>
    <t>1/24/2026, 10:59:14 AM</t>
  </si>
  <si>
    <t>16.424683, 81.866040</t>
  </si>
  <si>
    <t>http://164.52.221.216/localmedia/media/surveys/samples/recording_2026-01-24_10-56-20_samples_tEb22WDfUa.mp4</t>
  </si>
  <si>
    <t>rathamma</t>
  </si>
  <si>
    <t>3cb232df-6107-4cf5-ac3f-c66c27e1fbcf</t>
  </si>
  <si>
    <t>1/24/2026, 1:55:07 PM</t>
  </si>
  <si>
    <t>16.422182, 81.860244</t>
  </si>
  <si>
    <t>http://164.52.221.216/localmedia/media/surveys/samples/recording_2026-01-24_13-51-58_samples_G1g1GusT6v.mp4</t>
  </si>
  <si>
    <t>7c6b2cd0-db19-48fc-bce7-0cb559be9662</t>
  </si>
  <si>
    <t>1/24/2026, 9:52:09 AM</t>
  </si>
  <si>
    <t>16.423345, 81.867925</t>
  </si>
  <si>
    <t>CVC9+W2R, Gudapalli, Andhra Pradesh, India</t>
  </si>
  <si>
    <t>http://164.52.221.216/localmedia/media/surveys/samples/recording_2026-01-24_09-48-19_samples_sAZl8Abbc1.mp4</t>
  </si>
  <si>
    <t>Satheeshkumar</t>
  </si>
  <si>
    <t>3d36ba6c-b531-4c96-a00b-df51e25e75b1</t>
  </si>
  <si>
    <t>1/24/2026, 9:37:11 AM</t>
  </si>
  <si>
    <t>16.415176, 81.808117</t>
  </si>
  <si>
    <t>padmaja theatre, Malikipuram, Andhra Pradesh, India</t>
  </si>
  <si>
    <t>http://164.52.221.216/localmedia/media/surveys/samples/recording_2026-01-24_09-35-44_samples_9PoENQSHMe.mp4</t>
  </si>
  <si>
    <t>vinay</t>
  </si>
  <si>
    <t>2bbe5c40-a18b-41a1-956d-f71babd411ae</t>
  </si>
  <si>
    <t>1/24/2026, 10:37:26 AM</t>
  </si>
  <si>
    <t>16.535412, 81.938235</t>
  </si>
  <si>
    <t>http://164.52.221.216/localmedia/media/surveys/samples/recording_2026-01-24_10-34-48_samples_akyDAYZO86.mp4</t>
  </si>
  <si>
    <t>pawan</t>
  </si>
  <si>
    <t>8f1739f0-bc98-4b9b-90e4-37882d34d1e3</t>
  </si>
  <si>
    <t>http://164.52.221.216/localmedia/media/surveys/samples/recording_2026-01-24_14-01-28_samples_CmlxSOgEJv.mp4</t>
  </si>
  <si>
    <t>6b549f1f-0fdb-4565-a5af-b479aefc4660</t>
  </si>
  <si>
    <t>1/24/2026, 5:07:15 PM</t>
  </si>
  <si>
    <t>16.462504, 81.905969</t>
  </si>
  <si>
    <t>Toorpu polam colony, Razole, ఆంధ్ర ప్రదేశ్, India</t>
  </si>
  <si>
    <t>http://164.52.221.216/localmedia/media/surveys/samples/recording_2026-01-24_17-02-03_samples_8E39rT7FFQ.mp4</t>
  </si>
  <si>
    <t>vamkateswarao</t>
  </si>
  <si>
    <t>c03ca336-cfa6-44fd-a2c2-53599b6f5c41</t>
  </si>
  <si>
    <t>http://164.52.221.216/localmedia/media/surveys/samples/recording_2026-01-24_13-51-58_samples_jOcSHDaBnl.mp4</t>
  </si>
  <si>
    <t>32848ff3-5f61-4fcb-893d-49c35223498d</t>
  </si>
  <si>
    <t>1/24/2026, 2:09:07 PM</t>
  </si>
  <si>
    <t>16.424047, 81.840147</t>
  </si>
  <si>
    <t>Lakkavaram Rd, Lakkavaram, Andhra Pradesh, India</t>
  </si>
  <si>
    <t>http://164.52.221.216/localmedia/media/surveys/samples/recording_2026-01-24_14-04-07_samples_tUPzG1zQ8p.mp4</t>
  </si>
  <si>
    <t>t sathish</t>
  </si>
  <si>
    <t>d58c2189-16cb-4957-a756-2e2f7594887a</t>
  </si>
  <si>
    <t>1/24/2026, 3:58:43 PM</t>
  </si>
  <si>
    <t>16.437113, 81.913909</t>
  </si>
  <si>
    <t>http://164.52.221.216/localmedia/media/surveys/samples/recording_2026-01-24_15-55-54_samples_oeq2Ji6ZB3.mp4</t>
  </si>
  <si>
    <t>manga thayaru</t>
  </si>
  <si>
    <t>7848a7a5-5e07-4ead-83cc-1a69cec1f50d</t>
  </si>
  <si>
    <t>1/24/2026, 11:05:25 AM</t>
  </si>
  <si>
    <t>16.535973, 81.937308</t>
  </si>
  <si>
    <t>GWPP+VQG, Peddapatnamlanka, Andhra Pradesh, India</t>
  </si>
  <si>
    <t>http://164.52.221.216/localmedia/media/surveys/samples/recording_2026-01-24_11-01-59_samples_BQObYvIbza.mp4</t>
  </si>
  <si>
    <t>divenakumari</t>
  </si>
  <si>
    <t>26bc9a7f-ebd0-472c-91da-858953c5c9a7</t>
  </si>
  <si>
    <t>1/24/2026, 10:58:30 AM</t>
  </si>
  <si>
    <t>16.413527, 81.804407</t>
  </si>
  <si>
    <t>CR73+9QM, Malikipuram, Andhra Pradesh, India</t>
  </si>
  <si>
    <t>http://164.52.221.216/localmedia/media/surveys/samples/recording_2026-01-24_10-56-42_samples_zZ80wGggwQ.mp4</t>
  </si>
  <si>
    <t>chndra</t>
  </si>
  <si>
    <t>4e3305a0-14c3-4b01-8ad0-a42adb2e9b2a</t>
  </si>
  <si>
    <t>1/24/2026, 11:27:59 AM</t>
  </si>
  <si>
    <t>16.420880, 81.841690</t>
  </si>
  <si>
    <t>CRCR+6HR NTR gardens, Lakkavaram, Andhra Pradesh, India</t>
  </si>
  <si>
    <t>http://164.52.221.216/localmedia/media/surveys/samples/recording_2026-01-24_11-22-00_samples_XrtoXtV8bT.mp4</t>
  </si>
  <si>
    <t>kottu anjineyulu</t>
  </si>
  <si>
    <t>9018edb2-55e4-4bc3-adb1-e4aa7e644bef</t>
  </si>
  <si>
    <t>1/24/2026, 9:18:44 AM</t>
  </si>
  <si>
    <t>16.414777, 81.807163</t>
  </si>
  <si>
    <t>No 3/346, Malikipuram, Andhra Pradesh, India</t>
  </si>
  <si>
    <t>http://164.52.221.216/localmedia/media/surveys/samples/recording_2026-01-24_09-16-57_samples_XOVgi9IVZY.mp4</t>
  </si>
  <si>
    <t xml:space="preserve">srinevas </t>
  </si>
  <si>
    <t>5190f443-1b12-4110-a508-dc2f09b8803e</t>
  </si>
  <si>
    <t>1/24/2026, 3:12:47 PM</t>
  </si>
  <si>
    <t>16.437177, 81.912766</t>
  </si>
  <si>
    <t>http://164.52.221.216/localmedia/media/surveys/samples/recording_2026-01-24_15-09-11_samples_GjoZGffMmY.mp4</t>
  </si>
  <si>
    <t>venkata vijayalakshmi</t>
  </si>
  <si>
    <t>e298adef-31c8-4712-b2c5-f3133ba95aae</t>
  </si>
  <si>
    <t>1/24/2026, 10:00:07 AM</t>
  </si>
  <si>
    <t>16.423200, 81.846574</t>
  </si>
  <si>
    <t>CRFW+66C, Lakkavaram, Andhra Pradesh, India</t>
  </si>
  <si>
    <t>http://164.52.221.216/localmedia/media/surveys/samples/recording_2026-01-24_09-54-48_samples_r0hCWuRUOO.mp4</t>
  </si>
  <si>
    <t/>
  </si>
  <si>
    <t>beera nageswara rao</t>
  </si>
  <si>
    <t>8a8570d2-d79f-4b68-b4f7-de0f903cdb45</t>
  </si>
  <si>
    <t>http://164.52.221.216/localmedia/media/surveys/samples/recording_2026-01-24_11-58-49_samples_t53B6qw1AV.mp4</t>
  </si>
  <si>
    <t>d34340f6-4b9a-4d6a-8e4f-fd181bcd6470</t>
  </si>
  <si>
    <t>1/24/2026, 4:13:39 PM</t>
  </si>
  <si>
    <t>16.423209, 81.863873</t>
  </si>
  <si>
    <t>http://164.52.221.216/localmedia/media/surveys/samples/recording_2026-01-24_16-04-56_samples_PnAhiX2EaD.mp4</t>
  </si>
  <si>
    <t>laxmanrao</t>
  </si>
  <si>
    <t>8252ac21-3ee0-492a-9861-361fd75b99b4</t>
  </si>
  <si>
    <t>1/24/2026, 9:31:47 AM</t>
  </si>
  <si>
    <t>http://164.52.221.216/localmedia/media/surveys/samples/recording_2026-01-24_09-26-13_samples_Aw1FTVtIS2.mp4</t>
  </si>
  <si>
    <t>6436659f-5288-4fa0-b6fc-a7a381127c5f</t>
  </si>
  <si>
    <t>1/24/2026, 10:32:38 AM</t>
  </si>
  <si>
    <t>16.412269, 81.806872</t>
  </si>
  <si>
    <t>CR74+4MF, Malikipuram, Andhra Pradesh, India</t>
  </si>
  <si>
    <t>http://164.52.221.216/localmedia/media/surveys/samples/recording_2026-01-24_10-31-22_samples_ADowGvSq0o.mp4</t>
  </si>
  <si>
    <t>1a1b5044-69c3-43fd-9955-660f3ed484c0</t>
  </si>
  <si>
    <t>1/24/2026, 10:42:36 AM</t>
  </si>
  <si>
    <t>16.413932, 81.805527</t>
  </si>
  <si>
    <t>CR74+J6M, Malikipuram, Andhra Pradesh, India</t>
  </si>
  <si>
    <t>http://164.52.221.216/localmedia/media/surveys/samples/recording_2026-01-24_10-41-10_samples_EK0YGHfZVs.mp4</t>
  </si>
  <si>
    <t>vekatarao</t>
  </si>
  <si>
    <t>1032cc96-0b0e-45b3-9fcc-ce37d5f51b87</t>
  </si>
  <si>
    <t>1/24/2026, 11:15:44 AM</t>
  </si>
  <si>
    <t>16.424760, 81.867186</t>
  </si>
  <si>
    <t>http://164.52.221.216/localmedia/media/surveys/samples/recording_2026-01-24_11-12-22_samples_FCfg9lXwgQ.mp4</t>
  </si>
  <si>
    <t>b0825117-ebdb-4a39-a980-b1b29a1f2905</t>
  </si>
  <si>
    <t>1/24/2026, 6:42:44 PM</t>
  </si>
  <si>
    <t>16.446639, 81.905069</t>
  </si>
  <si>
    <t>MADUGU CENTER, Ponnamanda, Andhra Pradesh, India</t>
  </si>
  <si>
    <t>http://164.52.221.216/localmedia/media/surveys/samples/recording_2026-01-24_18-38-18_samples_dEO0I9Way0.mp4</t>
  </si>
  <si>
    <t>kuthanamutti.s</t>
  </si>
  <si>
    <t>40059950-2586-41a2-b9e5-3eb18205433f</t>
  </si>
  <si>
    <t>1/24/2026, 10:17:56 AM</t>
  </si>
  <si>
    <t>16.424730, 81.866609</t>
  </si>
  <si>
    <t>http://164.52.221.216/localmedia/media/surveys/samples/recording_2026-01-24_10-15-00_samples_IND6rVIG7X.mp4</t>
  </si>
  <si>
    <t>cinthapalli prasad</t>
  </si>
  <si>
    <t>68d04dd0-733c-4971-a715-abfdb4e5c8be</t>
  </si>
  <si>
    <t>http://164.52.221.216/localmedia/media/surveys/samples/recording_2026-01-24_13-56-22_samples_kqenRNchVj.mp4</t>
  </si>
  <si>
    <t>a07159f9-84a3-4bc9-a2da-f3c9b8618f5a</t>
  </si>
  <si>
    <t>1/24/2026, 4:52:09 PM</t>
  </si>
  <si>
    <t>16.428872, 81.918624</t>
  </si>
  <si>
    <t>CWJ9+9X, Katrevupadu, Andhra Pradesh, India</t>
  </si>
  <si>
    <t>http://164.52.221.216/localmedia/media/surveys/samples/recording_2026-01-24_16-47-51_samples_oMIw5MrLGU.mp4</t>
  </si>
  <si>
    <t>yesubabu</t>
  </si>
  <si>
    <t>1eba5827-94e6-478e-b2ce-6226a9455428</t>
  </si>
  <si>
    <t>1/24/2026, 4:03:41 PM</t>
  </si>
  <si>
    <t>http://164.52.221.216/localmedia/media/surveys/samples/recording_2026-01-24_15-59-54_samples_DBFK9Zkk5n.mp4</t>
  </si>
  <si>
    <t>42a731bf-ec61-409e-97e1-ee7aeb092fd8</t>
  </si>
  <si>
    <t>1/24/2026, 10:29:41 AM</t>
  </si>
  <si>
    <t>16.423912, 81.868575</t>
  </si>
  <si>
    <t>http://164.52.221.216/localmedia/media/surveys/samples/recording_2026-01-24_10-25-57_samples_G97LDrzFPr.mp4</t>
  </si>
  <si>
    <t>P Srinivasarao</t>
  </si>
  <si>
    <t>30324ba7-5818-44cd-89bf-8a45c3c0aec1</t>
  </si>
  <si>
    <t>http://164.52.221.216/localmedia/media/surveys/samples/recording_2026-01-24_14-05-25_samples_09psBprQrW.mp4</t>
  </si>
  <si>
    <t>f501881a-e53f-443e-811a-427157577aa7</t>
  </si>
  <si>
    <t>1/24/2026, 1:01:56 PM</t>
  </si>
  <si>
    <t>16.423581, 81.859396</t>
  </si>
  <si>
    <t>CVF6+R5, Gudapalli, Andhra Pradesh, India</t>
  </si>
  <si>
    <t>http://164.52.221.216/localmedia/media/surveys/samples/recording_2026-01-24_13-00-05_samples_hWfAMaTjaE.mp4</t>
  </si>
  <si>
    <t>d3efd746-3d24-4cb3-839a-99bcd710f7ed</t>
  </si>
  <si>
    <t>1/24/2026, 3:06:35 PM</t>
  </si>
  <si>
    <t>16.436910, 81.913166</t>
  </si>
  <si>
    <t>http://164.52.221.216/localmedia/media/surveys/samples/recording_2026-01-24_15-03-55_samples_KHjDmUkz6K.mp4</t>
  </si>
  <si>
    <t>surya nagalakshmi</t>
  </si>
  <si>
    <t>ba3d9678-d6bf-4fc1-a27c-3f07b5781020</t>
  </si>
  <si>
    <t>1/24/2026, 1:12:42 PM</t>
  </si>
  <si>
    <t>16.422164, 81.836989</t>
  </si>
  <si>
    <t>Alluri Vari St, Lakkavaram, Andhra Pradesh, India</t>
  </si>
  <si>
    <t>http://164.52.221.216/localmedia/media/surveys/samples/recording_2026-01-24_13-06-18_samples_AwN4B8KWDv.mp4</t>
  </si>
  <si>
    <t>arjuna</t>
  </si>
  <si>
    <t>96738174-40ff-4541-83bf-756f0003bdd9</t>
  </si>
  <si>
    <t>1/24/2026, 4:39:34 PM</t>
  </si>
  <si>
    <t>16.458907, 81.904929</t>
  </si>
  <si>
    <t>FW53+2W7, Razole, Andhra Pradesh, India</t>
  </si>
  <si>
    <t>http://164.52.221.216/localmedia/media/surveys/samples/recording_2026-01-24_16-35-53_samples_mWtBBjLxIV.mp4</t>
  </si>
  <si>
    <t>Sriram old.kodela</t>
  </si>
  <si>
    <t>42fcdafc-40c3-4f61-a4f3-35eba223858e</t>
  </si>
  <si>
    <t>1/24/2026, 10:19:55 AM</t>
  </si>
  <si>
    <t>16.533711, 81.938391</t>
  </si>
  <si>
    <t>http://164.52.221.216/localmedia/media/surveys/samples/recording_2026-01-24_10-17-16_samples_gpBhh5eYCJ.mp4</t>
  </si>
  <si>
    <t>lakshmi devi</t>
  </si>
  <si>
    <t>01dbe0b2-8244-401a-8481-fd9c93d166c4</t>
  </si>
  <si>
    <t>1/24/2026, 11:54:09 AM</t>
  </si>
  <si>
    <t>16.410270, 81.805407</t>
  </si>
  <si>
    <t>CR64+256, Malikipuram, Andhra Pradesh, India</t>
  </si>
  <si>
    <t>http://164.52.221.216/localmedia/media/surveys/samples/recording_2026-01-24_11-52-36_samples_HOG70jjng2.mp4</t>
  </si>
  <si>
    <t>asubabu</t>
  </si>
  <si>
    <t>5443a04f-37f3-49c0-a67b-48d1449d30b6</t>
  </si>
  <si>
    <t>1/24/2026, 5:29:33 PM</t>
  </si>
  <si>
    <t>16.456323, 81.905170</t>
  </si>
  <si>
    <t>http://164.52.221.216/localmedia/media/surveys/samples/recording_2026-01-24_17-23-31_samples_7qSzH5UWGE.mp4</t>
  </si>
  <si>
    <t>marinara.madiki</t>
  </si>
  <si>
    <t>15a6f19a-7c93-48cc-97e3-fcb174ed2e75</t>
  </si>
  <si>
    <t>1/24/2026, 1:50:15 PM</t>
  </si>
  <si>
    <t>http://164.52.221.216/localmedia/media/surveys/samples/recording_2026-01-24_13-45-25_samples_PwS5Y5lqG1.mp4</t>
  </si>
  <si>
    <t>c4e5cc60-af18-4df0-9411-82372a28ec38</t>
  </si>
  <si>
    <t>1/24/2026, 3:02:01 PM</t>
  </si>
  <si>
    <t>16.437003, 81.913879</t>
  </si>
  <si>
    <t>http://164.52.221.216/localmedia/media/surveys/samples/recording_2026-01-24_14-59-30_samples_gyD7ejaoqO.mp4</t>
  </si>
  <si>
    <t>narasimha rao</t>
  </si>
  <si>
    <t>edaeb504-efd0-4542-b69c-ea65b60bbce6</t>
  </si>
  <si>
    <t>1/24/2026, 12:59:21 PM</t>
  </si>
  <si>
    <t>16.422753, 81.859352</t>
  </si>
  <si>
    <t>CVC5+WH3, Gudapalli, Andhra Pradesh, India</t>
  </si>
  <si>
    <t>http://164.52.221.216/localmedia/media/surveys/samples/recording_2026-01-24_12-56-57_samples_3i9AVmlP3a.mp4</t>
  </si>
  <si>
    <t>rohith</t>
  </si>
  <si>
    <t>c3b654b7-bf69-4515-8be5-d385c97407da</t>
  </si>
  <si>
    <t>1/24/2026, 11:32:46 AM</t>
  </si>
  <si>
    <t>16.423454, 81.866838</t>
  </si>
  <si>
    <t>http://164.52.221.216/localmedia/media/surveys/samples/recording_2026-01-24_11-30-33_samples_upFBjrYqMc.mp4</t>
  </si>
  <si>
    <t>Gajula padmavati</t>
  </si>
  <si>
    <t>aadb6739-39ae-47b0-9872-194415f346ec</t>
  </si>
  <si>
    <t>1/24/2026, 6:55:04 PM</t>
  </si>
  <si>
    <t>16.447015, 81.902208</t>
  </si>
  <si>
    <t>CWW2+MWQ, Ponnamanda, Andhra Pradesh, India</t>
  </si>
  <si>
    <t>http://164.52.221.216/localmedia/media/surveys/samples/recording_2026-01-24_18-51-24_samples_ShADVMyuLH.mp4</t>
  </si>
  <si>
    <t>Murali.adabala</t>
  </si>
  <si>
    <t>b9df657c-6812-45c0-8d73-84855f98de72</t>
  </si>
  <si>
    <t>1/24/2026, 3:48:55 PM</t>
  </si>
  <si>
    <t>16.423249, 81.864711</t>
  </si>
  <si>
    <t>http://164.52.221.216/localmedia/media/surveys/samples/recording_2026-01-24_15-45-04_samples_HYrkWDyhSi.mp4</t>
  </si>
  <si>
    <t>vishal</t>
  </si>
  <si>
    <t>afc6625c-ee69-4f92-8a38-179479c5d9a8</t>
  </si>
  <si>
    <t>1/24/2026, 9:31:31 AM</t>
  </si>
  <si>
    <t>16.424152, 81.843397</t>
  </si>
  <si>
    <t>CRFV+J7H, Lakkavaram, Andhra Pradesh, India</t>
  </si>
  <si>
    <t>http://164.52.221.216/localmedia/media/surveys/samples/recording_2026-01-24_09-26-02_samples_XIB5IsVRq2.mp4</t>
  </si>
  <si>
    <t>asirvad</t>
  </si>
  <si>
    <t>8cb092e8-bc84-4e6c-958c-cc1fdda0ce02</t>
  </si>
  <si>
    <t>1/24/2026, 1:34:09 PM</t>
  </si>
  <si>
    <t>http://164.52.221.216/localmedia/media/surveys/samples/recording_2026-01-24_13-28-46_samples_jcWKaoRrCh.mp4</t>
  </si>
  <si>
    <t>c690d006-06b2-49a3-b7ac-c53c46b2fe4d</t>
  </si>
  <si>
    <t>http://164.52.221.216/localmedia/media/surveys/samples/recording_2026-01-24_14-02-19_samples_AoO58Lbfjk.mp4</t>
  </si>
  <si>
    <t>81bf867d-f376-45a4-93b6-5520ab4cba0b</t>
  </si>
  <si>
    <t>1/24/2026, 10:53:54 AM</t>
  </si>
  <si>
    <t>16.411007, 81.809168</t>
  </si>
  <si>
    <t>CR65+MMH, Malikipuram, Andhra Pradesh, India</t>
  </si>
  <si>
    <t>http://164.52.221.216/localmedia/media/surveys/samples/recording_2026-01-24_10-50-57_samples_cIjonhCLvG.mp4</t>
  </si>
  <si>
    <t>3b56e718-cf98-4d89-b9c2-45c936ddd71e</t>
  </si>
  <si>
    <t>1/24/2026, 4:33:40 PM</t>
  </si>
  <si>
    <t>16.428546, 81.918448</t>
  </si>
  <si>
    <t>Gudapalli pallipalem, Katrevupadu, Andhra Pradesh, India</t>
  </si>
  <si>
    <t>http://164.52.221.216/localmedia/media/surveys/samples/recording_2026-01-24_16-31-38_samples_SLAXIGaFbc.mp4</t>
  </si>
  <si>
    <t>67f79fab-32b4-4236-a019-67c74a2e991d</t>
  </si>
  <si>
    <t>1/24/2026, 11:01:14 AM</t>
  </si>
  <si>
    <t>16.411496, 81.808097</t>
  </si>
  <si>
    <t>CR65+H94, Malikipuram, Andhra Pradesh, India</t>
  </si>
  <si>
    <t>http://164.52.221.216/localmedia/media/surveys/samples/recording_2026-01-24_10-59-39_samples_mm7k6tS6v8.mp4</t>
  </si>
  <si>
    <t>1eda127c-5a65-4b4e-956c-c0221dedc641</t>
  </si>
  <si>
    <t>1/24/2026, 4:09:48 PM</t>
  </si>
  <si>
    <t>16.436412, 81.914262</t>
  </si>
  <si>
    <t>CWP7+JJG, Katrenipadu, Andhra Pradesh, India</t>
  </si>
  <si>
    <t>http://164.52.221.216/localmedia/media/surveys/samples/recording_2026-01-24_16-06-01_samples_96ejiXoeYz.mp4</t>
  </si>
  <si>
    <t>3dbed387-733c-4aa2-88be-e6a643b3d38b</t>
  </si>
  <si>
    <t>1/24/2026, 4:45:32 PM</t>
  </si>
  <si>
    <t>16.429534, 81.918779</t>
  </si>
  <si>
    <t>http://164.52.221.216/localmedia/media/surveys/samples/recording_2026-01-24_16-40-13_samples_DtrhYQSXUA.mp4</t>
  </si>
  <si>
    <t>padma</t>
  </si>
  <si>
    <t>6245c784-a841-435f-88b3-f53402bb00c6</t>
  </si>
  <si>
    <t>1/24/2026, 2:01:48 PM</t>
  </si>
  <si>
    <t>16.424027, 81.839307</t>
  </si>
  <si>
    <t>http://164.52.221.216/localmedia/media/surveys/samples/recording_2026-01-24_13-56-25_samples_mIJjt3Yyls.mp4</t>
  </si>
  <si>
    <t>savithri</t>
  </si>
  <si>
    <t>8cee684d-ac0e-40f4-aca5-8718d9c53f4d</t>
  </si>
  <si>
    <t>1/24/2026, 10:56:17 AM</t>
  </si>
  <si>
    <t>16.422730, 81.842597</t>
  </si>
  <si>
    <t>Suryanarayana Complex, Lakkavaram, Andhra Pradesh, India</t>
  </si>
  <si>
    <t>http://164.52.221.216/localmedia/media/surveys/samples/recording_2026-01-24_10-50-14_samples_iKnCpoC8wQ.mp4</t>
  </si>
  <si>
    <t>baby</t>
  </si>
  <si>
    <t>665b8af0-3955-4e97-8a6e-3752e11409f5</t>
  </si>
  <si>
    <t>1/24/2026, 1:33:54 PM</t>
  </si>
  <si>
    <t>16.467705, 81.877547</t>
  </si>
  <si>
    <t>http://164.52.221.216/localmedia/media/surveys/samples/recording_2026-01-24_13-21-52_samples_wif3yZ5cmk.mp4</t>
  </si>
  <si>
    <t>raamarao.medidi</t>
  </si>
  <si>
    <t>a793aa3e-efac-4ea1-b228-e22c9a4a6dd7</t>
  </si>
  <si>
    <t>1/24/2026, 9:10:30 AM</t>
  </si>
  <si>
    <t>16.426136, 81.843769</t>
  </si>
  <si>
    <t>CRGV+GGC, Lakkavaram, Andhra Pradesh, India</t>
  </si>
  <si>
    <t>http://164.52.221.216/localmedia/media/surveys/samples/recording_2026-01-24_09-05-32_samples_jK9aQmDCi0.mp4</t>
  </si>
  <si>
    <t>p rambabu</t>
  </si>
  <si>
    <t>c6c61fe3-74af-4811-ab0e-b2ed56fa8598</t>
  </si>
  <si>
    <t>1/24/2026, 9:23:51 AM</t>
  </si>
  <si>
    <t>16.425244, 81.844033</t>
  </si>
  <si>
    <t>CRFV+XMQ, Lakkavaram, Andhra Pradesh, India</t>
  </si>
  <si>
    <t>http://164.52.221.216/localmedia/media/surveys/samples/recording_2026-01-24_09-16-39_samples_Ia0xfNUuQO.mp4</t>
  </si>
  <si>
    <t>k padmavathi</t>
  </si>
  <si>
    <t>0666c358-a835-4488-9770-6c073d87d325</t>
  </si>
  <si>
    <t>1/24/2026, 2:36:08 PM</t>
  </si>
  <si>
    <t>16.420923, 81.839676</t>
  </si>
  <si>
    <t>3-410, Lakkavaram village, Andhra Pradesh, India</t>
  </si>
  <si>
    <t>http://164.52.221.216/localmedia/media/surveys/samples/recording_2026-01-24_14-31-19_samples_l5GyrwTg2r.mp4</t>
  </si>
  <si>
    <t>9b6bdf83-f760-4891-bff2-d88144905fd5</t>
  </si>
  <si>
    <t>http://164.52.221.216/localmedia/media/surveys/samples/recording_2026-01-24_13-56-22_samples_AwzTr5XJR6.mp4</t>
  </si>
  <si>
    <t>a87274ac-0bc0-4c6c-bfa5-9a8c289ebd7f</t>
  </si>
  <si>
    <t>1/24/2026, 11:10:36 AM</t>
  </si>
  <si>
    <t>16.411721, 81.808906</t>
  </si>
  <si>
    <t>http://164.52.221.216/localmedia/media/surveys/samples/recording_2026-01-24_11-08-47_samples_EQoxvZIQWD.mp4</t>
  </si>
  <si>
    <t>srinubabu</t>
  </si>
  <si>
    <t>95196fe1-33af-4231-b39a-902b32663df1</t>
  </si>
  <si>
    <t>1/24/2026, 2:54:51 PM</t>
  </si>
  <si>
    <t>16.465746, 81.887763</t>
  </si>
  <si>
    <t>Konaseema, Razole, Andhra Pradesh, India</t>
  </si>
  <si>
    <t>http://164.52.221.216/localmedia/media/surveys/samples/recording_2026-01-24_14-45-19_samples_p0i6W5ZHTx.mp4</t>
  </si>
  <si>
    <t>Ramya.choppala</t>
  </si>
  <si>
    <t>4ddbb550-9a83-4ee0-bb13-84ffb76e1fda</t>
  </si>
  <si>
    <t>1/24/2026, 7:09:02 PM</t>
  </si>
  <si>
    <t>16.447446, 81.892662</t>
  </si>
  <si>
    <t>http://164.52.221.216/localmedia/media/surveys/samples/recording_2026-01-24_19-05-55_samples_ES5yfaAmxu.mp4</t>
  </si>
  <si>
    <t>Lakshmi.devi.i</t>
  </si>
  <si>
    <t>2b4689ce-8718-4dbf-82e9-6a09ae51705c</t>
  </si>
  <si>
    <t>1/24/2026, 11:41:45 AM</t>
  </si>
  <si>
    <t>16.419190, 81.840836</t>
  </si>
  <si>
    <t>CR9R+J53, Lakkavaram, Andhra Pradesh, India</t>
  </si>
  <si>
    <t>http://164.52.221.216/localmedia/media/surveys/samples/recording_2026-01-24_11-32-18_samples_fJSzrD52cQ.mp4</t>
  </si>
  <si>
    <t>champati sitha ramaraju</t>
  </si>
  <si>
    <t>3c72c2f3-935f-4aec-b2c1-ca4a391bab67</t>
  </si>
  <si>
    <t>1/24/2026, 2:55:25 PM</t>
  </si>
  <si>
    <t>http://164.52.221.216/localmedia/media/surveys/samples/recording_2026-01-24_14-49-29_samples_m8M03zurzQ.mp4</t>
  </si>
  <si>
    <t>aa470628-587b-4e33-9809-5889330cf284</t>
  </si>
  <si>
    <t>1/24/2026, 10:48:42 AM</t>
  </si>
  <si>
    <t>http://164.52.221.216/localmedia/media/surveys/samples/recording_2026-01-24_10-45-30_samples_zf0sDs2s44.mp4</t>
  </si>
  <si>
    <t>03d496a9-0cd7-403b-84fb-541591675a55</t>
  </si>
  <si>
    <t>1/24/2026, 9:56:24 AM</t>
  </si>
  <si>
    <t>16.413243, 81.807831</t>
  </si>
  <si>
    <t>http://164.52.221.216/localmedia/media/surveys/samples/recording_2026-01-24_09-54-19_samples_b5cBqdtF9S.mp4</t>
  </si>
  <si>
    <t>dhurgarao</t>
  </si>
  <si>
    <t>d2bf9f19-a1f3-42af-8da9-6c53178d9347</t>
  </si>
  <si>
    <t>1/24/2026, 12:06:41 PM</t>
  </si>
  <si>
    <t>http://164.52.221.216/localmedia/media/surveys/samples/recording_2026-01-24_12-02-10_samples_VSyLkh1sju.mp4</t>
  </si>
  <si>
    <t>8e6b772f-9a37-4bcf-91c3-afb309790118</t>
  </si>
  <si>
    <t>1/24/2026, 4:29:02 PM</t>
  </si>
  <si>
    <t>16.426760, 81.917799</t>
  </si>
  <si>
    <t>http://164.52.221.216/localmedia/media/surveys/samples/recording_2026-01-24_16-27-07_samples_3ch4Xv9N3g.mp4</t>
  </si>
  <si>
    <t xml:space="preserve">srinu </t>
  </si>
  <si>
    <t>2ba06d3e-a502-4444-b5ed-60d0f9f4be66</t>
  </si>
  <si>
    <t>1/24/2026, 4:19:10 PM</t>
  </si>
  <si>
    <t>16.459444, 81.899720</t>
  </si>
  <si>
    <t>FV5X+VQ5, Ponnamanda, Andhra Pradesh, India</t>
  </si>
  <si>
    <t>http://164.52.221.216/localmedia/media/surveys/samples/recording_2026-01-24_16-15-30_samples_eSgtMGvmyp.mp4</t>
  </si>
  <si>
    <t>v.balaakuthana</t>
  </si>
  <si>
    <t>c30a94e5-e1f4-4a4b-a3e6-2cc3961d9e8c</t>
  </si>
  <si>
    <t>1/24/2026, 9:09:20 AM</t>
  </si>
  <si>
    <t>16.414616, 81.806789</t>
  </si>
  <si>
    <t>Shop No.7-1/2 Dorababu Complex Main Road, Malikipuram, Andhra Pradesh, India</t>
  </si>
  <si>
    <t>http://164.52.221.216/localmedia/media/surveys/samples/recording_2026-01-24_09-06-34_samples_0w0mRBHi2I.mp4</t>
  </si>
  <si>
    <t>f2852494-e5b0-44a1-b8dc-9c63717b2ba3</t>
  </si>
  <si>
    <t>1/24/2026, 11:50:56 AM</t>
  </si>
  <si>
    <t>16.409693, 81.803724</t>
  </si>
  <si>
    <t>6-144-1, Malikipuram, Andhra Pradesh, India</t>
  </si>
  <si>
    <t>http://164.52.221.216/localmedia/media/surveys/samples/recording_2026-01-24_11-49-13_samples_y7JuEeoihB.mp4</t>
  </si>
  <si>
    <t>bbeaaa7f-2b83-4032-a1c1-24237765cd94</t>
  </si>
  <si>
    <t>1/24/2026, 10:50:06 AM</t>
  </si>
  <si>
    <t>16.413831, 81.805198</t>
  </si>
  <si>
    <t>Malkipuram, Malikipuram, Andhra Pradesh, India</t>
  </si>
  <si>
    <t>http://164.52.221.216/localmedia/media/surveys/samples/recording_2026-01-24_10-48-06_samples_vCIi6DqNgX.mp4</t>
  </si>
  <si>
    <t>1505997b-89b9-4bf2-998e-5a5e7e79108b</t>
  </si>
  <si>
    <t>1/24/2026, 9:53:30 AM</t>
  </si>
  <si>
    <t>http://164.52.221.216/localmedia/media/surveys/samples/recording_2026-01-24_09-51-19_samples_5pCzKBReXG.mp4</t>
  </si>
  <si>
    <t>9bf83151-ca9f-486e-a5be-10c8abc06d4a</t>
  </si>
  <si>
    <t>1/24/2026, 3:33:08 PM</t>
  </si>
  <si>
    <t>16.422459, 81.863292</t>
  </si>
  <si>
    <t>http://164.52.221.216/localmedia/media/surveys/samples/recording_2026-01-24_15-29-55_samples_YDVd0ENsvE.mp4</t>
  </si>
  <si>
    <t>f230d673-9d66-4d40-a968-ce28bb713030</t>
  </si>
  <si>
    <t>1/24/2026, 12:11:23 PM</t>
  </si>
  <si>
    <t>16.409175, 81.802291</t>
  </si>
  <si>
    <t>3-54, Malikipuram, Andhra Pradesh, India</t>
  </si>
  <si>
    <t>http://164.52.221.216/localmedia/media/surveys/samples/recording_2026-01-24_12-09-58_samples_bWDD8Cu4Yz.mp4</t>
  </si>
  <si>
    <t>rajaesh</t>
  </si>
  <si>
    <t>981a1a21-4cec-4db3-981f-b0f38e07928d</t>
  </si>
  <si>
    <t>http://164.52.221.216/localmedia/media/surveys/samples/recording_2026-01-24_11-58-49_samples_G6v5a3L1bD.mp4</t>
  </si>
  <si>
    <t>4f9991ac-abf8-4354-839c-cca5fcfa8c72</t>
  </si>
  <si>
    <t>1/24/2026, 12:37:18 PM</t>
  </si>
  <si>
    <t>http://164.52.221.216/localmedia/media/surveys/samples/recording_2026-01-24_12-34-07_samples_7hD8xsm5i5.mp4</t>
  </si>
  <si>
    <t>5931488f-98bb-4438-81d1-9a9b78e27b01</t>
  </si>
  <si>
    <t>1/24/2026, 1:33:10 PM</t>
  </si>
  <si>
    <t>16.422436, 81.862533</t>
  </si>
  <si>
    <t>CVF6+3R4, Gudapalli, Andhra Pradesh, India</t>
  </si>
  <si>
    <t>http://164.52.221.216/localmedia/media/surveys/samples/recording_2026-01-24_13-29-45_samples_21gz0D57lD.mp4</t>
  </si>
  <si>
    <t>Durgarao</t>
  </si>
  <si>
    <t>f96bceaa-87f1-4fde-bf83-17741a05f6b2</t>
  </si>
  <si>
    <t>1/24/2026, 7:27:22 PM</t>
  </si>
  <si>
    <t>16.465530, 81.886805</t>
  </si>
  <si>
    <t>http://164.52.221.216/localmedia/media/surveys/samples/recording_2026-01-24_19-23-45_samples_qtMi8AtEq4.mp4</t>
  </si>
  <si>
    <t>Kumari.javadi</t>
  </si>
  <si>
    <t>5643758e-da37-4394-ad0a-d534291b368d</t>
  </si>
  <si>
    <t>1/24/2026, 6:05:46 PM</t>
  </si>
  <si>
    <t>16.446530, 81.907233</t>
  </si>
  <si>
    <t>CWW4+GW3, Ponnamanda, Andhra Pradesh, India</t>
  </si>
  <si>
    <t>http://164.52.221.216/localmedia/media/surveys/samples/recording_2026-01-24_17-48-12_samples_0rbdSfpjUl.mp4</t>
  </si>
  <si>
    <t>nagamani</t>
  </si>
  <si>
    <t>bd226a86-8d0e-41d2-ba32-ab44656a7bba</t>
  </si>
  <si>
    <t>1/24/2026, 2:15:43 PM</t>
  </si>
  <si>
    <t>16.462241, 81.885391</t>
  </si>
  <si>
    <t>http://164.52.221.216/localmedia/media/surveys/samples/recording_2026-01-24_14-09-02_samples_ZyAPYFhcv2.mp4</t>
  </si>
  <si>
    <t>dhanalakshmi.k</t>
  </si>
  <si>
    <t>24b7d668-c780-4733-86e5-50af73c1b83b</t>
  </si>
  <si>
    <t>1/24/2026, 11:22:13 AM</t>
  </si>
  <si>
    <t>16.411156, 81.809249</t>
  </si>
  <si>
    <t>http://164.52.221.216/localmedia/media/surveys/samples/recording_2026-01-24_11-20-54_samples_X4DVcK2Zp0.mp4</t>
  </si>
  <si>
    <t>vijay</t>
  </si>
  <si>
    <t>f9f7f6b2-0b79-47ad-9e33-2915181a847a</t>
  </si>
  <si>
    <t>1/24/2026, 11:04:24 AM</t>
  </si>
  <si>
    <t>16.412359, 81.807927</t>
  </si>
  <si>
    <t>CR65+V24, Malikipuram, Andhra Pradesh, India</t>
  </si>
  <si>
    <t>http://164.52.221.216/localmedia/media/surveys/samples/recording_2026-01-24_11-02-17_samples_wdn7Q4m3fH.mp4</t>
  </si>
  <si>
    <t>98c367b9-5be7-4b2a-a157-49c27c3de97b</t>
  </si>
  <si>
    <t>http://164.52.221.216/localmedia/media/surveys/samples/recording_2026-01-24_13-56-22_samples_QnffHWHc42.mp4</t>
  </si>
  <si>
    <t>8a63a9c2-dbb1-47ad-9c25-8faa65c501cf</t>
  </si>
  <si>
    <t>1/24/2026, 3:17:24 PM</t>
  </si>
  <si>
    <t>16.418580, 81.839528</t>
  </si>
  <si>
    <t>CR9Q+CR5, Visweswaraya Puram, Lakkavaram, Andhra Pradesh, India</t>
  </si>
  <si>
    <t>http://164.52.221.216/localmedia/media/surveys/samples/recording_2026-01-24_15-10-39_samples_oAhbp3WgUE.mp4</t>
  </si>
  <si>
    <t>sreeramakrishna</t>
  </si>
  <si>
    <t>f77c3421-a26a-4c46-9a9c-ac80628ce8ac</t>
  </si>
  <si>
    <t>1/24/2026, 1:50:13 PM</t>
  </si>
  <si>
    <t>http://164.52.221.216/localmedia/media/surveys/samples/recording_2026-01-24_13-45-25_samples_3YfKKbxdZD.mp4</t>
  </si>
  <si>
    <t>67ce97d0-42ab-45d2-9232-d3dceef0741c</t>
  </si>
  <si>
    <t>1/24/2026, 10:45:12 AM</t>
  </si>
  <si>
    <t>16.411305, 81.808685</t>
  </si>
  <si>
    <t>http://164.52.221.216/localmedia/media/surveys/samples/recording_2026-01-24_10-43-41_samples_NbJkucZw3u.mp4</t>
  </si>
  <si>
    <t>e37df804-b91b-4b76-a068-4784ab044da9</t>
  </si>
  <si>
    <t>1/24/2026, 10:36:21 AM</t>
  </si>
  <si>
    <t>16.410968, 81.807711</t>
  </si>
  <si>
    <t>CR64+4XX, Malikipuram, Andhra Pradesh, India</t>
  </si>
  <si>
    <t>http://164.52.221.216/localmedia/media/surveys/samples/recording_2026-01-24_10-34-29_samples_FUO520zpEr.mp4</t>
  </si>
  <si>
    <t>rajash</t>
  </si>
  <si>
    <t>35eee2c1-c97c-460f-aab5-2826efa29d83</t>
  </si>
  <si>
    <t>1/24/2026, 2:20:18 PM</t>
  </si>
  <si>
    <t>16.423171, 81.864013</t>
  </si>
  <si>
    <t>http://164.52.221.216/localmedia/media/surveys/samples/recording_2026-01-24_14-17-56_samples_av4r6hhMma.mp4</t>
  </si>
  <si>
    <t>bandaru satyanarayana</t>
  </si>
  <si>
    <t>afc4ec70-3910-4443-97fa-ebbbd3a138b5</t>
  </si>
  <si>
    <t>1/24/2026, 10:13:50 AM</t>
  </si>
  <si>
    <t>16.423544, 81.867944</t>
  </si>
  <si>
    <t>http://164.52.221.216/localmedia/media/surveys/samples/recording_2026-01-24_10-11-19_samples_kd9XWnYOz1.mp4</t>
  </si>
  <si>
    <t>R venkateswararao</t>
  </si>
  <si>
    <t>82681f9a-0359-443d-a94a-d906a7a073b1</t>
  </si>
  <si>
    <t>1/24/2026, 7:02:57 PM</t>
  </si>
  <si>
    <t>16.447291, 81.898698</t>
  </si>
  <si>
    <t>ponnamanda Main Road, Ponnamanda, Andhra Pradesh, India</t>
  </si>
  <si>
    <t>http://164.52.221.216/localmedia/media/surveys/samples/recording_2026-01-24_18-59-38_samples_Ncb5jcfje8.mp4</t>
  </si>
  <si>
    <t>Lakshmi.a</t>
  </si>
  <si>
    <t>006df53a-5037-4b4b-81f4-2c236e3d7713</t>
  </si>
  <si>
    <t>1/24/2026, 10:08:09 AM</t>
  </si>
  <si>
    <t>16.532226, 81.938970</t>
  </si>
  <si>
    <t>GWJQ+VWJ, Botlakurru Doddavaram, Andhra Pradesh, India</t>
  </si>
  <si>
    <t>http://164.52.221.216/localmedia/media/surveys/samples/recording_2026-01-24_10-04-40_samples_Pf4DMBBxVY.mp4</t>
  </si>
  <si>
    <t>ramohanrao</t>
  </si>
  <si>
    <t>446dbf0b-7c2a-4a49-8ef3-8d3de3d41ba3</t>
  </si>
  <si>
    <t>1/24/2026, 12:00:54 PM</t>
  </si>
  <si>
    <t>16.535258, 81.936592</t>
  </si>
  <si>
    <t>http://164.52.221.216/localmedia/media/surveys/samples/recording_2026-01-24_11-57-34_samples_7UoRCeHJrp.mp4</t>
  </si>
  <si>
    <t>bushanam</t>
  </si>
  <si>
    <t>7bd8c8fc-b2bd-49a5-966f-3bc2d5498d18</t>
  </si>
  <si>
    <t>1/24/2026, 3:11:46 PM</t>
  </si>
  <si>
    <t>18.658872, 77.896192</t>
  </si>
  <si>
    <t>MV5W+HG2, Saraswathi Nagar, Pandu Tarfa (Bodhan Urban), Telangana, India</t>
  </si>
  <si>
    <t>Nageswararao Nukala</t>
  </si>
  <si>
    <t>http://164.52.221.216/localmedia/media/surveys/samples/recording_2026-01-24_15-10-49_samples_kl1BGxhWV2.mp4</t>
  </si>
  <si>
    <t>dummy</t>
  </si>
  <si>
    <t>91ce88b4-7772-482f-8959-7047a48946d6</t>
  </si>
  <si>
    <t>1/24/2026, 6:49:33 PM</t>
  </si>
  <si>
    <t>16.446685, 81.903746</t>
  </si>
  <si>
    <t>CWW3+P94, Ponnamanda, Andhra Pradesh, India</t>
  </si>
  <si>
    <t>http://164.52.221.216/localmedia/media/surveys/samples/recording_2026-01-24_18-44-12_samples_PSNSgx0EAz.mp4</t>
  </si>
  <si>
    <t>devanagari.d</t>
  </si>
  <si>
    <t>8b882434-3f7d-40dd-8807-e95dbc08c707</t>
  </si>
  <si>
    <t>1/24/2026, 2:04:54 PM</t>
  </si>
  <si>
    <t>16.464958, 81.886203</t>
  </si>
  <si>
    <t>Sy No : 535-1 536-1, Kadali, Andhra Pradesh, India</t>
  </si>
  <si>
    <t>http://164.52.221.216/localmedia/media/surveys/samples/recording_2026-01-24_13-58-30_samples_kqADOeCqmB.mp4</t>
  </si>
  <si>
    <t>Kumari.c.h</t>
  </si>
  <si>
    <t>41e8ddeb-6fa1-469e-bf55-f1c4f7c1e6b1</t>
  </si>
  <si>
    <t>1/24/2026, 11:29:51 AM</t>
  </si>
  <si>
    <t>16.410713, 81.807991</t>
  </si>
  <si>
    <t>CR65+684, Malikipuram, Andhra Pradesh, India</t>
  </si>
  <si>
    <t>http://164.52.221.216/localmedia/media/surveys/samples/recording_2026-01-24_11-28-40_samples_egq2Yo4aX5.mp4</t>
  </si>
  <si>
    <t>a5901ac5-1d2b-4690-9c6e-6de2e7fe55f4</t>
  </si>
  <si>
    <t>1/24/2026, 11:15:38 AM</t>
  </si>
  <si>
    <t>16.422261, 81.842430</t>
  </si>
  <si>
    <t>SHOP NO.1, MALIKIPURAM, Andhra Pradesh, India</t>
  </si>
  <si>
    <t>http://164.52.221.216/localmedia/media/surveys/samples/recording_2026-01-24_11-06-18_samples_DctLhFDQov.mp4</t>
  </si>
  <si>
    <t>venkatarao</t>
  </si>
  <si>
    <t>55efd9f5-383d-4a63-93f5-62f89fb81e0e</t>
  </si>
  <si>
    <t>1/24/2026, 2:23:45 PM</t>
  </si>
  <si>
    <t>16.465995, 81.889985</t>
  </si>
  <si>
    <t>FV8Q+7PW, Kadali, Andhra Pradesh, India</t>
  </si>
  <si>
    <t>http://164.52.221.216/localmedia/media/surveys/samples/recording_2026-01-24_14-20-53_samples_Ah7fe9HsZW.mp4</t>
  </si>
  <si>
    <t>nirmala</t>
  </si>
  <si>
    <t>49d7067a-f443-4e95-97c1-94641eda30b6</t>
  </si>
  <si>
    <t>1/24/2026, 11:16:01 AM</t>
  </si>
  <si>
    <t>http://164.52.221.216/localmedia/media/surveys/samples/recording_2026-01-24_11-12-22_samples_57cfQUVQgU.mp4</t>
  </si>
  <si>
    <t>6ef2344e-6c80-4489-a6b6-8c377e855ccc</t>
  </si>
  <si>
    <t>1/24/2026, 9:31:09 AM</t>
  </si>
  <si>
    <t>16.413826, 81.808124</t>
  </si>
  <si>
    <t>Medicherla.Satyanarayana's House, Malikipuram, Andhra Pradesh, India</t>
  </si>
  <si>
    <t>http://164.52.221.216/localmedia/media/surveys/samples/recording_2026-01-24_09-29-15_samples_UWnLPR3nQT.mp4</t>
  </si>
  <si>
    <t>vekatasubarao</t>
  </si>
  <si>
    <t>2958cb8f-6512-4e53-bcd4-a489e94b1bdb</t>
  </si>
  <si>
    <t>1/24/2026, 9:33:59 AM</t>
  </si>
  <si>
    <t>16.413476, 81.808867</t>
  </si>
  <si>
    <t>http://164.52.221.216/localmedia/media/surveys/samples/recording_2026-01-24_09-31-58_samples_u1grI8S2L4.mp4</t>
  </si>
  <si>
    <t>d4ea8f2f-33d8-43a3-a0c3-c8a069fbd83d</t>
  </si>
  <si>
    <t>1/24/2026, 11:54:25 AM</t>
  </si>
  <si>
    <t>16.535717, 81.936694</t>
  </si>
  <si>
    <t>http://164.52.221.216/localmedia/media/surveys/samples/recording_2026-01-24_11-52-13_samples_O2vw1pNMIv.mp4</t>
  </si>
  <si>
    <t>p. yedu kondalu</t>
  </si>
  <si>
    <t>991af40d-50de-4637-ab0e-b49241109cfc</t>
  </si>
  <si>
    <t>1/24/2026, 1:03:19 PM</t>
  </si>
  <si>
    <t>16.466897, 81.880008</t>
  </si>
  <si>
    <t>FV8H+QW, Aravapalem, Andhra Pradesh, India</t>
  </si>
  <si>
    <t>http://164.52.221.216/localmedia/media/surveys/samples/recording_2026-01-24_12-56-37_samples_5YuqqUgHSg.mp4</t>
  </si>
  <si>
    <t>s.raamesh</t>
  </si>
  <si>
    <t>9bcf045f-e0da-4873-a12e-67774e2ad4ce</t>
  </si>
  <si>
    <t>1/24/2026, 1:45:25 PM</t>
  </si>
  <si>
    <t>16.424026, 81.839305</t>
  </si>
  <si>
    <t>http://164.52.221.216/localmedia/media/surveys/samples/recording_2026-01-24_13-39-34_samples_yX8ixjru5x.mp4</t>
  </si>
  <si>
    <t>miriyala satyavathi</t>
  </si>
  <si>
    <t>ea2b84e8-1ee4-45c4-8917-8302debbfab9</t>
  </si>
  <si>
    <t>1/24/2026, 11:42:19 AM</t>
  </si>
  <si>
    <t>16.539086, 81.942078</t>
  </si>
  <si>
    <t>GWQR+MGH, Pedapatnam, Andhra Pradesh, India</t>
  </si>
  <si>
    <t>http://164.52.221.216/localmedia/media/surveys/samples/recording_2026-01-24_11-38-26_samples_0ZMLriTgFo.mp4</t>
  </si>
  <si>
    <t>31ed4e98-e261-4183-b935-86d32cdef316</t>
  </si>
  <si>
    <t>1/24/2026, 1:05:06 PM</t>
  </si>
  <si>
    <t>16.422172, 81.837587</t>
  </si>
  <si>
    <t>http://164.52.221.216/localmedia/media/surveys/samples/recording_2026-01-24_13-00-29_samples_uT7h9uG4dw.mp4</t>
  </si>
  <si>
    <t>challabayan suryaprakash rao</t>
  </si>
  <si>
    <t>b3a2a85b-2f3f-4181-a284-854d764ae035</t>
  </si>
  <si>
    <t>http://164.52.221.216/localmedia/media/surveys/samples/recording_2026-01-24_13-45-25_samples_DGoWgrzuzr.mp4</t>
  </si>
  <si>
    <t>b6124d2c-966c-4ad8-b6c2-2848c6e24f43</t>
  </si>
  <si>
    <t>1/24/2026, 2:48:27 PM</t>
  </si>
  <si>
    <t>http://164.52.221.216/localmedia/media/surveys/samples/recording_2026-01-24_14-43-37_samples_ZEuLDGMkeK.mp4</t>
  </si>
  <si>
    <t>1bfc4526-b2ad-4a42-86fa-62d668047a78</t>
  </si>
  <si>
    <t>1/24/2026, 9:59:53 AM</t>
  </si>
  <si>
    <t>16.423212, 81.866658</t>
  </si>
  <si>
    <t>http://164.52.221.216/localmedia/media/surveys/samples/recording_2026-01-24_09-55-43_samples_1RPBhZ1jAm.mp4</t>
  </si>
  <si>
    <t>Tadi thatharao</t>
  </si>
  <si>
    <t>c9666003-83e6-4653-a687-3c09185b88b2</t>
  </si>
  <si>
    <t>http://164.52.221.216/localmedia/media/surveys/samples/recording_2026-01-24_11-12-22_samples_3OyFjUAdH0.mp4</t>
  </si>
  <si>
    <t>da82b416-e9a0-475d-9824-706b5b76d3e2</t>
  </si>
  <si>
    <t>http://164.52.221.216/localmedia/media/surveys/samples/recording_2026-01-24_14-05-25_samples_LxOqqe2yvn.mp4</t>
  </si>
  <si>
    <t>b9ceb552-73f2-46e5-a59c-75f66841a93c</t>
  </si>
  <si>
    <t>1/24/2026, 2:15:18 PM</t>
  </si>
  <si>
    <t>16.423539, 81.840102</t>
  </si>
  <si>
    <t>http://164.52.221.216/localmedia/media/surveys/samples/recording_2026-01-24_14-11-17_samples_bZ9FRiV1QR.mp4</t>
  </si>
  <si>
    <t>eeswari durga</t>
  </si>
  <si>
    <t>7e521e16-6b5b-48cd-b564-84d39bc27776</t>
  </si>
  <si>
    <t>1/24/2026, 2:48:15 PM</t>
  </si>
  <si>
    <t>http://164.52.221.216/localmedia/media/surveys/samples/recording_2026-01-24_14-43-37_samples_XF0m3cWps3.mp4</t>
  </si>
  <si>
    <t>0a4c31d3-c49a-477a-b3c0-5b23e94b3f7c</t>
  </si>
  <si>
    <t>1/24/2026, 11:15:23 AM</t>
  </si>
  <si>
    <t>16.536277, 81.937958</t>
  </si>
  <si>
    <t>http://164.52.221.216/localmedia/media/surveys/samples/recording_2026-01-24_11-10-34_samples_JKkKhBoblR.mp4</t>
  </si>
  <si>
    <t>satyavathi</t>
  </si>
  <si>
    <t>0d2d9f31-046d-431e-832d-49dacb37b035</t>
  </si>
  <si>
    <t>1/24/2026, 6:13:35 PM</t>
  </si>
  <si>
    <t>16.446467, 81.903618</t>
  </si>
  <si>
    <t>http://164.52.221.216/localmedia/media/surveys/samples/recording_2026-01-24_18-08-47_samples_DfslnAxAxR.mp4</t>
  </si>
  <si>
    <t>viraraju.s</t>
  </si>
  <si>
    <t>47796fc3-ed37-4a91-ad2a-8c380d389aa4</t>
  </si>
  <si>
    <t>1/24/2026, 3:39:38 PM</t>
  </si>
  <si>
    <t>16.437787, 81.909818</t>
  </si>
  <si>
    <t>CWQ6+F37, Razole, Andhra Pradesh, India</t>
  </si>
  <si>
    <t>http://164.52.221.216/localmedia/media/surveys/samples/recording_2026-01-24_15-37-33_samples_u8Kqs2uG4R.mp4</t>
  </si>
  <si>
    <t>peddiraku</t>
  </si>
  <si>
    <t>a06f0413-57d3-4ba7-aa89-641a34f66557</t>
  </si>
  <si>
    <t>1/24/2026, 7:22:10 PM</t>
  </si>
  <si>
    <t>16.459958, 81.886957</t>
  </si>
  <si>
    <t>SHOP NO.5-9 VENKATESWARA COMPLEX KADALI ROAD, Razole, Andhra Pradesh, India</t>
  </si>
  <si>
    <t>http://164.52.221.216/localmedia/media/surveys/samples/recording_2026-01-24_19-18-55_samples_NuQk6kIZzg.mp4</t>
  </si>
  <si>
    <t>ravikumar.g</t>
  </si>
  <si>
    <t>748c5923-bfad-4a43-bb28-5c8e4aa6dc7e</t>
  </si>
  <si>
    <t>1/24/2026, 3:19:53 PM</t>
  </si>
  <si>
    <t>16.462971, 81.889786</t>
  </si>
  <si>
    <t>FV7Q+5R7, Kadali, Andhra Pradesh, India</t>
  </si>
  <si>
    <t>http://164.52.221.216/localmedia/media/surveys/samples/recording_2026-01-24_15-15-24_samples_apf7NJD4mk.mp4</t>
  </si>
  <si>
    <t>g.vekanababu</t>
  </si>
  <si>
    <t>wrong caste - Vysya</t>
  </si>
  <si>
    <t>Q6,7,9,10,11 entered on his own and wrong caste enetred - Nayi Brahmin</t>
  </si>
  <si>
    <t>Q9,10 kept on his own and wrong caste entered - Yadava</t>
  </si>
  <si>
    <t>Didn't ask questions from Q7 to Q12</t>
  </si>
  <si>
    <t>Q1,10 entered on his own</t>
  </si>
  <si>
    <t>Q9 and caste entered on his own</t>
  </si>
  <si>
    <t>Q4,5,7 respondent not telling properly surveyor kept his own options</t>
  </si>
  <si>
    <t>not asking phone number</t>
  </si>
  <si>
    <t>Q13,14,17 kept his own</t>
  </si>
  <si>
    <t>Q1,12 kept his own not asking phone number</t>
  </si>
  <si>
    <t>Q5 kept his own not asking caste</t>
  </si>
  <si>
    <t>Q3,5,7 kept his own, not asking caste</t>
  </si>
  <si>
    <t>Q6 only mentioning the options he selected to the respondent</t>
  </si>
  <si>
    <t>Caste didn't asked</t>
  </si>
  <si>
    <t>Skipped Q12 question and Didn't asked Q6 properly</t>
  </si>
  <si>
    <t>Caste didn't asked,Q6 only mentioning the options he selected to the respondent</t>
  </si>
  <si>
    <t>Q12 kept on his own as repondent isn't responding properly</t>
  </si>
  <si>
    <t>Caste- Telaga</t>
  </si>
  <si>
    <t>from Q11 to Q16 entered options on his own</t>
  </si>
  <si>
    <t>Didn't ask Caste and Q6 entered on his own</t>
  </si>
  <si>
    <t>Caste-Kshatriya/Rajulu</t>
  </si>
  <si>
    <t>Gender -Male</t>
  </si>
  <si>
    <t>q9,10 Skipped</t>
  </si>
  <si>
    <t>caste wrong , Q6,10 kept his own</t>
  </si>
  <si>
    <t>Q4,12 kept his own</t>
  </si>
  <si>
    <t>Q3,7,8,9 kept his own</t>
  </si>
  <si>
    <t>Q5,7,12 kept his own</t>
  </si>
  <si>
    <t>Wrong caste - Gouda</t>
  </si>
  <si>
    <t>Q8,9 kept his own</t>
  </si>
  <si>
    <t>Q5 kept his own,not asking caste</t>
  </si>
  <si>
    <t>Q1 to 5,7,8 not asking</t>
  </si>
  <si>
    <t>surveyor asking questions but respondent not there fake audio</t>
  </si>
  <si>
    <t>took from male and female</t>
  </si>
  <si>
    <t>Dummy audio</t>
  </si>
  <si>
    <t>Q6,7,9,10 entered on his own</t>
  </si>
  <si>
    <t>respondent age is less than 18</t>
  </si>
  <si>
    <t>Q9,10 entered on his own</t>
  </si>
  <si>
    <t>Q9 entered on his own</t>
  </si>
  <si>
    <t>Q6,9 entered on his own</t>
  </si>
  <si>
    <t>insteading of entering three options entering all options for Q6 on his own</t>
  </si>
  <si>
    <t>Need to select only three options in Q6 and please ask question like mentioned in the app</t>
  </si>
  <si>
    <t>Q5,7,9,10 entered on his own</t>
  </si>
  <si>
    <t>019e12aa-01bf-45f9-b7ba-05edc75c0cd4</t>
  </si>
  <si>
    <t>25/01/2026, 08:24:05</t>
  </si>
  <si>
    <t>16.437743, 81.910251</t>
  </si>
  <si>
    <t>http://164.52.221.216/localmedia/media/surveys/samples/recording_2026-01-25_08-21-37_samples_xYbKMzEe8h.mp4</t>
  </si>
  <si>
    <t>ravi kumar</t>
  </si>
  <si>
    <t>f51788d7-2926-43d5-ac63-3a2db23ab4d1</t>
  </si>
  <si>
    <t>25/01/2026, 08:30:22</t>
  </si>
  <si>
    <t>16.437677, 81.910720</t>
  </si>
  <si>
    <t>http://164.52.221.216/localmedia/media/surveys/samples/recording_2026-01-25_08-26-15_samples_zygLHJjxiW.mp4</t>
  </si>
  <si>
    <t>rajamani</t>
  </si>
  <si>
    <t>Respondent isn't answering properly</t>
  </si>
  <si>
    <t>d1593529-8b68-4176-ae68-ce4c7e8dc36f</t>
  </si>
  <si>
    <t>25/01/2026, 08:37:48</t>
  </si>
  <si>
    <t>16.437505, 81.911286</t>
  </si>
  <si>
    <t>http://164.52.221.216/localmedia/media/surveys/samples/recording_2026-01-25_08-33-14_samples_dE5KHSmcGO.mp4</t>
  </si>
  <si>
    <t>reddy</t>
  </si>
  <si>
    <t>Kept Q12 on his own</t>
  </si>
  <si>
    <t>7be86650-3069-48e3-b8d3-8bd7d9711096</t>
  </si>
  <si>
    <t>25/01/2026, 08:37:50</t>
  </si>
  <si>
    <t>http://164.52.221.216/localmedia/media/surveys/samples/recording_2026-01-25_08-33-14_samples_6iinjvOB7K.mp4</t>
  </si>
  <si>
    <t>44b8c5b5-94cd-4cba-bbce-d58a63b31a45</t>
  </si>
  <si>
    <t>25/01/2026, 08:47:47</t>
  </si>
  <si>
    <t>16.434016, 81.915441</t>
  </si>
  <si>
    <t>CWM8+G2M, Katrenipadu, Andhra Pradesh, India</t>
  </si>
  <si>
    <t>http://164.52.221.216/localmedia/media/surveys/samples/recording_2026-01-25_08-44-40_samples_qmXWkDLgBu.mp4</t>
  </si>
  <si>
    <t>1b7aa76e-8316-44c6-898f-0f3a77e9c54b</t>
  </si>
  <si>
    <t>25/01/2026, 08:55:31</t>
  </si>
  <si>
    <t>16.435488, 81.918956</t>
  </si>
  <si>
    <t>CWP9+3MV, Katrenipadu, Andhra Pradesh, India</t>
  </si>
  <si>
    <t>http://164.52.221.216/localmedia/media/surveys/samples/recording_2026-01-25_08-52-47_samples_hsNf9dEC1p.mp4</t>
  </si>
  <si>
    <t>sri lakshmi</t>
  </si>
  <si>
    <t>a468abd1-80c0-4440-961b-71605a481774</t>
  </si>
  <si>
    <t>25/01/2026, 09:03:43</t>
  </si>
  <si>
    <t>16.435616, 81.918501</t>
  </si>
  <si>
    <t>CWP9+89F, Ponnamanda, Andhra Pradesh, India</t>
  </si>
  <si>
    <t>http://164.52.221.216/localmedia/media/surveys/samples/recording_2026-01-25_08-57-32_samples_S3S6Am7UNi.mp4</t>
  </si>
  <si>
    <t>pattabi ramanna</t>
  </si>
  <si>
    <t>880c27e6-5a05-426e-8a58-4bc2aa547bff</t>
  </si>
  <si>
    <t>25/01/2026, 09:09:14</t>
  </si>
  <si>
    <t>16.435427, 81.919037</t>
  </si>
  <si>
    <t>http://164.52.221.216/localmedia/media/surveys/samples/recording_2026-01-25_09-06-30_samples_DlQ9Vm4Nxf.mp4</t>
  </si>
  <si>
    <t>tatarao</t>
  </si>
  <si>
    <t>Caste - Inaudible</t>
  </si>
  <si>
    <t>28b76f45-14bd-4cdf-880d-dbba0726b30d</t>
  </si>
  <si>
    <t>25/01/2026, 09:16:46</t>
  </si>
  <si>
    <t>16.435084, 81.920683</t>
  </si>
  <si>
    <t>CWP9+6P6, Katrevupadu, Andhra Pradesh, India</t>
  </si>
  <si>
    <t>http://164.52.221.216/localmedia/media/surveys/samples/recording_2026-01-25_09-12-52_samples_m1rLmkZLkk.mp4</t>
  </si>
  <si>
    <t>0e41ad65-760e-4df0-a12f-12c44a3dfec1</t>
  </si>
  <si>
    <t>25/01/2026, 09:34:26</t>
  </si>
  <si>
    <t>16.434878, 81.921230</t>
  </si>
  <si>
    <t>CWMC+WFV, Katrevupadu, Andhra Pradesh, India</t>
  </si>
  <si>
    <t>http://164.52.221.216/localmedia/media/surveys/samples/recording_2026-01-25_09-31-31_samples_1PuSnnCBfZ.mp4</t>
  </si>
  <si>
    <t>anathalalshmi</t>
  </si>
  <si>
    <t>38a78d8a-f345-4ab9-a981-bac9fb9789d3</t>
  </si>
  <si>
    <t>25/01/2026, 09:38:58</t>
  </si>
  <si>
    <t>16.434977, 81.922960</t>
  </si>
  <si>
    <t>http://164.52.221.216/localmedia/media/surveys/samples/recording_2026-01-25_09-36-08_samples_5A5S5hLpb8.mp4</t>
  </si>
  <si>
    <t>shiva</t>
  </si>
  <si>
    <t>bbb83879-4417-4139-a2e5-e7c917f62c6d</t>
  </si>
  <si>
    <t>25/01/2026, 09:48:54</t>
  </si>
  <si>
    <t>16.434441, 81.923196</t>
  </si>
  <si>
    <t>CWMF+75, Katrenipadu, Andhra Pradesh, India</t>
  </si>
  <si>
    <t>http://164.52.221.216/localmedia/media/surveys/samples/recording_2026-01-25_09-42-26_samples_nwcm54Xo84.mp4</t>
  </si>
  <si>
    <t>aad96586-73db-4279-be7e-072872e98a4b</t>
  </si>
  <si>
    <t>25/01/2026, 10:01:28</t>
  </si>
  <si>
    <t>16.434421, 81.923708</t>
  </si>
  <si>
    <t>CWMF+698, Katrenipadu, Andhra Pradesh, India</t>
  </si>
  <si>
    <t>http://164.52.221.216/localmedia/media/surveys/samples/recording_2026-01-25_09-51-39_samples_TrBC2NTaZe.mp4</t>
  </si>
  <si>
    <t>k. njavani</t>
  </si>
  <si>
    <t>58ffcc90-7e29-47bf-9282-c1157f6f0ddc</t>
  </si>
  <si>
    <t>25/01/2026, 10:09:43</t>
  </si>
  <si>
    <t>16.434322, 81.924367</t>
  </si>
  <si>
    <t>http://164.52.221.216/localmedia/media/surveys/samples/recording_2026-01-25_10-06-35_samples_Dp4JIPelH3.mp4</t>
  </si>
  <si>
    <t>p. rami</t>
  </si>
  <si>
    <t>f81cc97a-0f8d-4b62-b1e1-888c251368fa</t>
  </si>
  <si>
    <t>25/01/2026, 10:16:35</t>
  </si>
  <si>
    <t>16.434015, 81.925223</t>
  </si>
  <si>
    <t>http://164.52.221.216/localmedia/media/surveys/samples/recording_2026-01-25_10-13-26_samples_VdNDozgu8d.mp4</t>
  </si>
  <si>
    <t>madavi</t>
  </si>
  <si>
    <t>e3896bd6-13ae-47be-a340-136c304ef4b9</t>
  </si>
  <si>
    <t>25/01/2026, 10:33:56</t>
  </si>
  <si>
    <t>16.433730, 81.926830</t>
  </si>
  <si>
    <t>CWMH+8J, Katrenipadu, Andhra Pradesh, India</t>
  </si>
  <si>
    <t>http://164.52.221.216/localmedia/media/surveys/samples/recording_2026-01-25_10-29-14_samples_J7VP5U5Zu6.mp4</t>
  </si>
  <si>
    <t>23f403aa-c766-4393-b1ee-4545618e01da</t>
  </si>
  <si>
    <t>25/01/2026, 10:33:57</t>
  </si>
  <si>
    <t>http://164.52.221.216/localmedia/media/surveys/samples/recording_2026-01-25_10-29-14_samples_IG8AXaZcG4.mp4</t>
  </si>
  <si>
    <t>90106002-1775-4e81-b45d-ea63a32912ce</t>
  </si>
  <si>
    <t>25/01/2026, 10:38:18</t>
  </si>
  <si>
    <t>16.433522, 81.927709</t>
  </si>
  <si>
    <t>http://164.52.221.216/localmedia/media/surveys/samples/recording_2026-01-25_10-36-04_samples_NXbRtUH0CR.mp4</t>
  </si>
  <si>
    <t>ch. rambanu</t>
  </si>
  <si>
    <t>Respondent didn't answer Q9,10</t>
  </si>
  <si>
    <t>7e7bdf42-8923-4871-ad7d-26f858e898f2</t>
  </si>
  <si>
    <t>25/01/2026, 10:42:29</t>
  </si>
  <si>
    <t>16.433444, 81.928440</t>
  </si>
  <si>
    <t>http://164.52.221.216/localmedia/media/surveys/samples/recording_2026-01-25_10-39-18_samples_mxjzKaIu9o.mp4</t>
  </si>
  <si>
    <t>nalayya</t>
  </si>
  <si>
    <t>9d5b42a7-ac7f-4efe-b0c5-d627279e2a06</t>
  </si>
  <si>
    <t>25/01/2026, 10:54:23</t>
  </si>
  <si>
    <t>16.433142, 81.929588</t>
  </si>
  <si>
    <t>http://164.52.221.216/localmedia/media/surveys/samples/recording_2026-01-25_10-51-31_samples_LRGBfMTdR1.mp4</t>
  </si>
  <si>
    <t>haripriya</t>
  </si>
  <si>
    <t>d0de4218-7c36-4f87-98fa-3481fa318cb7</t>
  </si>
  <si>
    <t>25/01/2026, 11:04:53</t>
  </si>
  <si>
    <t>16.432009, 81.929340</t>
  </si>
  <si>
    <t>CWJH+JPP, Katrenipadu, Andhra Pradesh, India</t>
  </si>
  <si>
    <t>http://164.52.221.216/localmedia/media/surveys/samples/recording_2026-01-25_10-59-17_samples_Rr3vt3Ybka.mp4</t>
  </si>
  <si>
    <t>6cf53e6f-a9dc-47a3-8da3-8675560d7488</t>
  </si>
  <si>
    <t>http://164.52.221.216/localmedia/media/surveys/samples/recording_2026-01-25_10-59-17_samples_PteOv0cNLe.mp4</t>
  </si>
  <si>
    <t>d2b0973e-2eb2-4be8-bf24-e8f69231eef6</t>
  </si>
  <si>
    <t>http://164.52.221.216/localmedia/media/surveys/samples/recording_2026-01-25_10-59-17_samples_D9ndkDz2V4.mp4</t>
  </si>
  <si>
    <t>e74d8575-23e0-4f6a-b336-4dba0f9512c9</t>
  </si>
  <si>
    <t>25/01/2026, 11:04:54</t>
  </si>
  <si>
    <t>http://164.52.221.216/localmedia/media/surveys/samples/recording_2026-01-25_10-59-17_samples_KMz8mRNgf4.mp4</t>
  </si>
  <si>
    <t>841f5a56-8913-4652-b84a-7b1282426e2f</t>
  </si>
  <si>
    <t>http://164.52.221.216/localmedia/media/surveys/samples/recording_2026-01-25_10-59-17_samples_lBOIWUppgC.mp4</t>
  </si>
  <si>
    <t>a9ed9eb2-6105-475e-97d9-d6839f052d8e</t>
  </si>
  <si>
    <t>25/01/2026, 11:11:52</t>
  </si>
  <si>
    <t>16.431078, 81.930978</t>
  </si>
  <si>
    <t>CWJJ+G3X, Katrevupadu, Andhra Pradesh, India</t>
  </si>
  <si>
    <t>http://164.52.221.216/localmedia/media/surveys/samples/recording_2026-01-25_11-08-02_samples_bxv4QyroDZ.mp4</t>
  </si>
  <si>
    <t>e112dbc8-ca03-475f-a69a-26e64169a1e4</t>
  </si>
  <si>
    <t>25/01/2026, 11:20:38</t>
  </si>
  <si>
    <t>16.430482, 81.932781</t>
  </si>
  <si>
    <t>Airtel cell tower, Gogannamattam, Andhra Pradesh, India</t>
  </si>
  <si>
    <t>http://164.52.221.216/localmedia/media/surveys/samples/recording_2026-01-25_11-16-16_samples_cf99nM35eX.mp4</t>
  </si>
  <si>
    <t>no</t>
  </si>
  <si>
    <t>49c090ec-a58c-428b-a37e-5dc29b663887</t>
  </si>
  <si>
    <t>25/01/2026, 11:30:27</t>
  </si>
  <si>
    <t>16.430284, 81.933230</t>
  </si>
  <si>
    <t>CWJM+284, mutyalapaalam, Gogannamattam, Andhra Pradesh, India</t>
  </si>
  <si>
    <t>http://164.52.221.216/localmedia/media/surveys/samples/recording_2026-01-25_11-23-30_samples_jIyPXEW1HM.mp4</t>
  </si>
  <si>
    <t>durga devi</t>
  </si>
  <si>
    <t>632d1681-8e10-4f5b-b4c4-e734856d53c8</t>
  </si>
  <si>
    <t>25/01/2026, 11:45:55</t>
  </si>
  <si>
    <t>16.431275, 81.936544</t>
  </si>
  <si>
    <t>CWJP+J8, Gogannamattam, Andhra Pradesh, India</t>
  </si>
  <si>
    <t>http://164.52.221.216/localmedia/media/surveys/samples/recording_2026-01-25_11-43-41_samples_LnPxR9cyNu.mp4</t>
  </si>
  <si>
    <t>m. peddiraji</t>
  </si>
  <si>
    <t>4ccf85fc-cda4-496f-9a7f-c2cbec891638</t>
  </si>
  <si>
    <t>25/01/2026, 12:01:30</t>
  </si>
  <si>
    <t>16.463613, 81.816249</t>
  </si>
  <si>
    <t>214, Gudimellanka, Andhra Pradesh, India</t>
  </si>
  <si>
    <t>http://164.52.221.216/localmedia/media/surveys/samples/recording_2026-01-25_11-51-26_samples_qHkd5cLo47.mp4</t>
  </si>
  <si>
    <t>dhamarao</t>
  </si>
  <si>
    <t>bea036bd-a0ff-4a02-8e1b-20de0744d904</t>
  </si>
  <si>
    <t>25/01/2026, 12:11:13</t>
  </si>
  <si>
    <t>16.462769, 81.823282</t>
  </si>
  <si>
    <t>http://164.52.221.216/localmedia/media/surveys/samples/recording_2026-01-25_12-04-36_samples_SDF2wOBbqf.mp4</t>
  </si>
  <si>
    <t>Chadha.kosuma</t>
  </si>
  <si>
    <t>2d6b672f-f2ba-472e-a85a-da6aa01f329d</t>
  </si>
  <si>
    <t>25/01/2026, 12:16:25</t>
  </si>
  <si>
    <t>16.461893, 81.823152</t>
  </si>
  <si>
    <t>FR6F+H6R, Sivakodu Palem, Andhra Pradesh, India</t>
  </si>
  <si>
    <t>http://164.52.221.216/localmedia/media/surveys/samples/recording_2026-01-25_12-12-18_samples_Lft5qrGo5Z.mp4</t>
  </si>
  <si>
    <t>Raji.k</t>
  </si>
  <si>
    <t>c09cf341-8cd6-431b-bc2b-57e070fdebbd</t>
  </si>
  <si>
    <t>25/01/2026, 12:23:45</t>
  </si>
  <si>
    <t>16.463177, 81.823925</t>
  </si>
  <si>
    <t>http://164.52.221.216/localmedia/media/surveys/samples/recording_2026-01-25_12-19-42_samples_pihgF4fFwJ.mp4</t>
  </si>
  <si>
    <t>srinuvasrao.k</t>
  </si>
  <si>
    <t>55461791-fc16-4092-bb87-c5aec1b879d4</t>
  </si>
  <si>
    <t>25/01/2026, 12:31:02</t>
  </si>
  <si>
    <t>16.462305, 81.826013</t>
  </si>
  <si>
    <t>3-171, Sivakodu, Andhra Pradesh, India</t>
  </si>
  <si>
    <t>http://164.52.221.216/localmedia/media/surveys/samples/recording_2026-01-25_12-27-09_samples_q3uroUvJ69.mp4</t>
  </si>
  <si>
    <t>vemkataswrao.k</t>
  </si>
  <si>
    <t>d1fd9173-230c-43fd-b28e-8cab787a15bf</t>
  </si>
  <si>
    <t>25/01/2026, 12:38:26</t>
  </si>
  <si>
    <t>16.463260, 81.827227</t>
  </si>
  <si>
    <t>http://164.52.221.216/localmedia/media/surveys/samples/recording_2026-01-25_12-32-44_samples_qMJeaUQBD9.mp4</t>
  </si>
  <si>
    <t>bolla.pratapu</t>
  </si>
  <si>
    <t>368c5dba-f0ea-4d04-a44e-2af0b9ba736a</t>
  </si>
  <si>
    <t>25/01/2026, 12:43:36</t>
  </si>
  <si>
    <t>16.462511, 81.827518</t>
  </si>
  <si>
    <t>Sivakodu SIVAKODU Sivakodu, Rajahmundry, Andhra Pradesh, India</t>
  </si>
  <si>
    <t>http://164.52.221.216/localmedia/media/surveys/samples/recording_2026-01-25_12-39-50_samples_5U6FsVyjYu.mp4</t>
  </si>
  <si>
    <t>dhugarao.kadali</t>
  </si>
  <si>
    <t>d5d6ec03-931d-41b8-b31c-4c1de8c58b66</t>
  </si>
  <si>
    <t>25/01/2026, 12:50:00</t>
  </si>
  <si>
    <t>16.463727, 81.829082</t>
  </si>
  <si>
    <t>FR7H+5VP, Sivakodu, Andhra Pradesh, India</t>
  </si>
  <si>
    <t>http://164.52.221.216/localmedia/media/surveys/samples/recording_2026-01-25_12-45-51_samples_zXbs2WQm3y.mp4</t>
  </si>
  <si>
    <t>subaarao</t>
  </si>
  <si>
    <t>02653eb4-c87f-454e-bcf7-505e5c07ebb3</t>
  </si>
  <si>
    <t>25/01/2026, 12:57:34</t>
  </si>
  <si>
    <t>16.460577, 81.835257</t>
  </si>
  <si>
    <t>http://164.52.221.216/localmedia/media/surveys/samples/recording_2026-01-25_12-54-22_samples_rMcUPoKNTX.mp4</t>
  </si>
  <si>
    <t>sivaji</t>
  </si>
  <si>
    <t>4735c2b9-5cc0-4b02-a98c-2b1d08e436cf</t>
  </si>
  <si>
    <t>25/01/2026, 13:05:02</t>
  </si>
  <si>
    <t>16.462342, 81.836145</t>
  </si>
  <si>
    <t>FR6P+WFV, Sivakodu, Andhra Pradesh, India</t>
  </si>
  <si>
    <t>http://164.52.221.216/localmedia/media/surveys/samples/recording_2026-01-25_13-01-43_samples_Ax3VD8UH1J.mp4</t>
  </si>
  <si>
    <t>gubala.satyanaraya</t>
  </si>
  <si>
    <t>63566539-ae30-49fb-965c-5184daf6ece4</t>
  </si>
  <si>
    <t>25/01/2026, 13:16:43</t>
  </si>
  <si>
    <t>16.462594, 81.832760</t>
  </si>
  <si>
    <t>FR6M+V82, Sivakodu, Andhra Pradesh, India</t>
  </si>
  <si>
    <t>http://164.52.221.216/localmedia/media/surveys/samples/recording_2026-01-25_13-13-34_samples_MBBcGKPFOB.mp4</t>
  </si>
  <si>
    <t>ramadevi.c</t>
  </si>
  <si>
    <t>68c53753-236e-4d7a-ad96-eddad7315989</t>
  </si>
  <si>
    <t>25/01/2026, 14:13:15</t>
  </si>
  <si>
    <t>16.462227, 81.833342</t>
  </si>
  <si>
    <t>http://164.52.221.216/localmedia/media/surveys/samples/recording_2026-01-25_14-09-21_samples_XjvhENlRer.mp4</t>
  </si>
  <si>
    <t>Maddala Rupa naresh</t>
  </si>
  <si>
    <t>ff22a148-a361-4577-96a5-8d71c08c4dbd</t>
  </si>
  <si>
    <t>25/01/2026, 14:52:32</t>
  </si>
  <si>
    <t>16.462591, 81.832843</t>
  </si>
  <si>
    <t>http://164.52.221.216/localmedia/media/surveys/samples/recording_2026-01-25_14-48-59_samples_MfL6gr3Z3h.mp4</t>
  </si>
  <si>
    <t>c.h.j.manikumar</t>
  </si>
  <si>
    <t>57998c18-be08-4f31-8564-e39ecc627461</t>
  </si>
  <si>
    <t>25/01/2026, 13:49:06</t>
  </si>
  <si>
    <t>16.462212, 81.833355</t>
  </si>
  <si>
    <t>http://164.52.221.216/localmedia/media/surveys/samples/recording_2026-01-25_13-46-11_samples_9vm4Cno6pT.mp4</t>
  </si>
  <si>
    <t>ramakuthana.p</t>
  </si>
  <si>
    <t>bed2ae74-f2f1-48b8-a5b6-7e03daba37b6</t>
  </si>
  <si>
    <t>25/01/2026, 13:45:26</t>
  </si>
  <si>
    <t>16.462594, 81.832772</t>
  </si>
  <si>
    <t>http://164.52.221.216/localmedia/media/surveys/samples/recording_2026-01-25_13-42-04_samples_QLv2dAj1vw.mp4</t>
  </si>
  <si>
    <t>harassed.m</t>
  </si>
  <si>
    <t>98066f73-14f3-4034-aaaf-109633415ab9</t>
  </si>
  <si>
    <t>25/01/2026, 14:07:32</t>
  </si>
  <si>
    <t>16.464220, 81.831971</t>
  </si>
  <si>
    <t>FR7M+W2, Sivakodu, Andhra Pradesh, India</t>
  </si>
  <si>
    <t>http://164.52.221.216/localmedia/media/surveys/samples/recording_2026-01-25_14-02-25_samples_NEJH3aIqot.mp4</t>
  </si>
  <si>
    <t>Srinath.appari</t>
  </si>
  <si>
    <t>40f77a95-4855-483c-a250-36877e214832</t>
  </si>
  <si>
    <t>25/01/2026, 14:45:35</t>
  </si>
  <si>
    <t>16.462690, 81.833501</t>
  </si>
  <si>
    <t>2-83, Razole, Andhra Pradesh, India</t>
  </si>
  <si>
    <t>http://164.52.221.216/localmedia/media/surveys/samples/recording_2026-01-25_14-41-35_samples_tDRx5wRGgG.mp4</t>
  </si>
  <si>
    <t>anathalakshmi.chagati</t>
  </si>
  <si>
    <t>213a560a-2288-433b-9b6e-2ad64d971133</t>
  </si>
  <si>
    <t>25/01/2026, 14:58:25</t>
  </si>
  <si>
    <t>16.462367, 81.835853</t>
  </si>
  <si>
    <t>FR6P+XC9, Sivakodu, Andhra Pradesh, India</t>
  </si>
  <si>
    <t>http://164.52.221.216/localmedia/media/surveys/samples/recording_2026-01-25_14-55-22_samples_FXCbXc7uNR.mp4</t>
  </si>
  <si>
    <t>ramakrishna.pinisetii</t>
  </si>
  <si>
    <t>4f42ef6e-587e-4083-b2f1-aaac64fc522f</t>
  </si>
  <si>
    <t>25/01/2026, 14:01:00</t>
  </si>
  <si>
    <t>16.463178, 81.832073</t>
  </si>
  <si>
    <t>FR7J+3RG, Sivakodu, Andhra Pradesh, India</t>
  </si>
  <si>
    <t>http://164.52.221.216/localmedia/media/surveys/samples/recording_2026-01-25_13-57-11_samples_7HbfwMJ36Z.mp4</t>
  </si>
  <si>
    <t>kodalarao.n</t>
  </si>
  <si>
    <t>9b741eeb-8416-4bb2-adde-994b288ed39d</t>
  </si>
  <si>
    <t>25/01/2026, 13:29:54</t>
  </si>
  <si>
    <t>16.462210, 81.833359</t>
  </si>
  <si>
    <t>http://164.52.221.216/localmedia/media/surveys/samples/recording_2026-01-25_13-26-10_samples_asRbsx2UZb.mp4</t>
  </si>
  <si>
    <t>madhalaviravemka.satyanarana</t>
  </si>
  <si>
    <t>13e42070-bc99-4b8b-a9fa-76223b5882e5</t>
  </si>
  <si>
    <t>25/01/2026, 13:54:06</t>
  </si>
  <si>
    <t>16.462660, 81.832679</t>
  </si>
  <si>
    <t>http://164.52.221.216/localmedia/media/surveys/samples/recording_2026-01-25_13-50-04_samples_yayPNAYwJM.mp4</t>
  </si>
  <si>
    <t>rajeswaridevi.l</t>
  </si>
  <si>
    <t>eae40039-7c58-474a-9625-63866710174f</t>
  </si>
  <si>
    <t>25/01/2026, 15:03:41</t>
  </si>
  <si>
    <t>16.461710, 81.837368</t>
  </si>
  <si>
    <t>FR6P+VG6, Sivakodu, Andhra Pradesh, India</t>
  </si>
  <si>
    <t>http://164.52.221.216/localmedia/media/surveys/samples/recording_2026-01-25_15-00-12_samples_Exxb462Y6O.mp4</t>
  </si>
  <si>
    <t>Naka.raamarao</t>
  </si>
  <si>
    <t>e8f12e36-5062-4b43-bf22-e478ed1943b1</t>
  </si>
  <si>
    <t>25/01/2026, 15:09:14</t>
  </si>
  <si>
    <t>16.460273, 81.841220</t>
  </si>
  <si>
    <t>FR6R+6P2, Sivakodu, Andhra Pradesh, India</t>
  </si>
  <si>
    <t>http://164.52.221.216/localmedia/media/surveys/samples/recording_2026-01-25_15-05-39_samples_bj5H18MK7E.mp4</t>
  </si>
  <si>
    <t>Tejas.borra</t>
  </si>
  <si>
    <t>6d227896-89f1-464c-bc97-d40a869ac5c7</t>
  </si>
  <si>
    <t>25/01/2026, 15:14:32</t>
  </si>
  <si>
    <t>16.460587, 81.840438</t>
  </si>
  <si>
    <t>near Musalamma Temple, Razole, Andhra Pradesh, India</t>
  </si>
  <si>
    <t>http://164.52.221.216/localmedia/media/surveys/samples/recording_2026-01-25_15-11-17_samples_ItbF8RwTac.mp4</t>
  </si>
  <si>
    <t>appaarao</t>
  </si>
  <si>
    <t>d3720581-165a-48ee-b7bd-a645e7759e24</t>
  </si>
  <si>
    <t>25/01/2026, 15:19:27</t>
  </si>
  <si>
    <t>16.458638, 81.839893</t>
  </si>
  <si>
    <t>FR5Q+FW3, Chintalapalli, Andhra Pradesh, India</t>
  </si>
  <si>
    <t>http://164.52.221.216/localmedia/media/surveys/samples/recording_2026-01-25_15-15-27_samples_Wvy2vY70oU.mp4</t>
  </si>
  <si>
    <t>adi.lakshmi.ramisetii</t>
  </si>
  <si>
    <t>0f89bda2-e434-45f4-a342-e23fd1593b6e</t>
  </si>
  <si>
    <t>25/01/2026, 15:23:55</t>
  </si>
  <si>
    <t>16.460780, 81.839221</t>
  </si>
  <si>
    <t>FR6Q+CR8, Razole, Andhra Pradesh, India</t>
  </si>
  <si>
    <t>http://164.52.221.216/localmedia/media/surveys/samples/recording_2026-01-25_15-21-08_samples_BxJA5ph54e.mp4</t>
  </si>
  <si>
    <t>srivas</t>
  </si>
  <si>
    <t>c01986bc-b6ef-4d7b-b706-1ffdbac06335</t>
  </si>
  <si>
    <t>25/01/2026, 15:28:31</t>
  </si>
  <si>
    <t>16.460427, 81.841366</t>
  </si>
  <si>
    <t>http://164.52.221.216/localmedia/media/surveys/samples/recording_2026-01-25_15-25-30_samples_jjssrelGrN.mp4</t>
  </si>
  <si>
    <t>c.manikamta</t>
  </si>
  <si>
    <t>ced7f3a3-7033-4ac0-b0f3-675e25530479</t>
  </si>
  <si>
    <t>25/01/2026, 15:32:48</t>
  </si>
  <si>
    <t>16.461140, 81.838853</t>
  </si>
  <si>
    <t>http://164.52.221.216/localmedia/media/surveys/samples/recording_2026-01-25_15-30-03_samples_v0Bd7J2OXp.mp4</t>
  </si>
  <si>
    <t>savithiri.b</t>
  </si>
  <si>
    <t>7d84363c-2e00-4b3e-8227-f91201325a95</t>
  </si>
  <si>
    <t>25/01/2026, 15:38:41</t>
  </si>
  <si>
    <t>16.462567, 81.835276</t>
  </si>
  <si>
    <t>FR7P+32X, Sivakodu, Andhra Pradesh, India</t>
  </si>
  <si>
    <t>http://164.52.221.216/localmedia/media/surveys/samples/recording_2026-01-25_15-35-28_samples_hdUnuAfxLW.mp4</t>
  </si>
  <si>
    <t>ramaana</t>
  </si>
  <si>
    <t>d30d10f3-5d07-4c56-a773-ce8719e8979e</t>
  </si>
  <si>
    <t>25/01/2026, 15:44:47</t>
  </si>
  <si>
    <t>16.462210, 81.833364</t>
  </si>
  <si>
    <t>http://164.52.221.216/localmedia/media/surveys/samples/recording_2026-01-25_15-41-12_samples_CeOVWha667.mp4</t>
  </si>
  <si>
    <t>Durga.devi</t>
  </si>
  <si>
    <t>Seems like he is making the respondent say that particular option</t>
  </si>
  <si>
    <t>d9e0051f-687f-4d31-b7ab-a5aa8433cafb</t>
  </si>
  <si>
    <t>25/01/2026, 15:55:21</t>
  </si>
  <si>
    <t>16.462518, 81.834427</t>
  </si>
  <si>
    <t>Shop No.1-67 Sri Narayani Nivas Main Road, Razole, Andhra Pradesh, India</t>
  </si>
  <si>
    <t>http://164.52.221.216/localmedia/media/surveys/samples/recording_2026-01-25_15-52-06_samples_wc7pFqZfvm.mp4</t>
  </si>
  <si>
    <t>Satyanarayana.h</t>
  </si>
  <si>
    <t>0196a6ee-c5a5-451b-9a66-dc242ce08762</t>
  </si>
  <si>
    <t>25/01/2026, 16:00:16</t>
  </si>
  <si>
    <t>16.460853, 81.839362</t>
  </si>
  <si>
    <t>http://164.52.221.216/localmedia/media/surveys/samples/recording_2026-01-25_15-57-05_samples_jOpmfOyg8P.mp4</t>
  </si>
  <si>
    <t>durgabavani</t>
  </si>
  <si>
    <t>5adb5609-e0ac-47c2-8d27-93a76365c784</t>
  </si>
  <si>
    <t>25/01/2026, 16:04:59</t>
  </si>
  <si>
    <t>16.458641, 81.839900</t>
  </si>
  <si>
    <t>http://164.52.221.216/localmedia/media/surveys/samples/recording_2026-01-25_16-01-11_samples_C3vaFoWqeH.mp4</t>
  </si>
  <si>
    <t>d9007d8b-cfe5-4409-a98b-ce4f346e54bc</t>
  </si>
  <si>
    <t>26/01/2026, 09:12:39</t>
  </si>
  <si>
    <t>16.447640, 81.862067</t>
  </si>
  <si>
    <t>CVX6+3FG, Chintalapalli, Andhra Pradesh, India</t>
  </si>
  <si>
    <t>http://164.52.221.216/localmedia/media/surveys/samples/recording_2026-01-26_09-09-05_samples_BJQ37S0mdC.mp4</t>
  </si>
  <si>
    <t>subbaraju</t>
  </si>
  <si>
    <t>d493884e-0bc5-419c-9627-07a2dc92a205</t>
  </si>
  <si>
    <t>26/01/2026, 09:21:22</t>
  </si>
  <si>
    <t>16.448328, 81.866069</t>
  </si>
  <si>
    <t>CVX8+595, Chintalapalli, Andhra Pradesh, India</t>
  </si>
  <si>
    <t>http://164.52.221.216/localmedia/media/surveys/samples/recording_2026-01-26_09-18-40_samples_nLPZrtilzw.mp4</t>
  </si>
  <si>
    <t>janakiram</t>
  </si>
  <si>
    <t>f9b52600-78ac-405b-ae79-5adea80746ea</t>
  </si>
  <si>
    <t>26/01/2026, 09:26:42</t>
  </si>
  <si>
    <t>16.448217, 81.866548</t>
  </si>
  <si>
    <t>1-102, Razole, Razole, Andhra Pradesh, India</t>
  </si>
  <si>
    <t>http://164.52.221.216/localmedia/media/surveys/samples/recording_2026-01-26_09-23-23_samples_iV9s4129bi.mp4</t>
  </si>
  <si>
    <t>m. jyothi</t>
  </si>
  <si>
    <t>d5a5415c-6d0c-4d55-8a75-76214754087c</t>
  </si>
  <si>
    <t>26/01/2026, 09:33:20</t>
  </si>
  <si>
    <t>16.447960, 81.867044</t>
  </si>
  <si>
    <t>CVX8+4X, Chintalapalli, Andhra Pradesh, India</t>
  </si>
  <si>
    <t>http://164.52.221.216/localmedia/media/surveys/samples/recording_2026-01-26_09-30-46_samples_nNuMk0Klap.mp4</t>
  </si>
  <si>
    <t>d1f69ca5-a6d7-45a8-8816-90f693b5df9c</t>
  </si>
  <si>
    <t>26/01/2026, 09:52:53</t>
  </si>
  <si>
    <t>16.448102, 81.865632</t>
  </si>
  <si>
    <t>SHOP NO.2-4 SAI COMPLEX MAIN ROAD, Razole, Andhra Pradesh, India</t>
  </si>
  <si>
    <t>http://164.52.221.216/localmedia/media/surveys/samples/recording_2026-01-26_09-46-53_samples_KRKb6fRFWM.mp4</t>
  </si>
  <si>
    <t>martha</t>
  </si>
  <si>
    <t>6f5f3b4b-ed76-411f-a5c8-c6fffc14fda3</t>
  </si>
  <si>
    <t>26/01/2026, 09:57:15</t>
  </si>
  <si>
    <t>16.447939, 81.869299</t>
  </si>
  <si>
    <t>http://164.52.221.216/localmedia/media/surveys/samples/recording_2026-01-26_09-55-16_samples_4C8SHBYNE0.mp4</t>
  </si>
  <si>
    <t>c4332f90-7235-46ec-9b35-ecfd83f9b7a0</t>
  </si>
  <si>
    <t>26/01/2026, 10:03:52</t>
  </si>
  <si>
    <t>16.447990, 81.868792</t>
  </si>
  <si>
    <t>http://164.52.221.216/localmedia/media/surveys/samples/recording_2026-01-26_10-00-42_samples_cftUSV0BKB.mp4</t>
  </si>
  <si>
    <t>marasimharao</t>
  </si>
  <si>
    <t>528968cd-3665-40f7-8344-d2cdeb6c87ef</t>
  </si>
  <si>
    <t>26/01/2026, 10:13:05</t>
  </si>
  <si>
    <t>16.447294, 81.872214</t>
  </si>
  <si>
    <t>1-101, Kunavaram, Andhra Pradesh, India</t>
  </si>
  <si>
    <t>http://164.52.221.216/localmedia/media/surveys/samples/recording_2026-01-26_10-09-38_samples_vwnnIna4kC.mp4</t>
  </si>
  <si>
    <t>jhothi</t>
  </si>
  <si>
    <t>1dc0c33b-30f0-485b-9230-864e8884800d</t>
  </si>
  <si>
    <t>26/01/2026, 10:20:40</t>
  </si>
  <si>
    <t>16.447974, 81.872161</t>
  </si>
  <si>
    <t>254/4, Chintalapalli, Andhra Pradesh, India</t>
  </si>
  <si>
    <t>http://164.52.221.216/localmedia/media/surveys/samples/recording_2026-01-26_10-16-19_samples_SNEZTPpvAt.mp4</t>
  </si>
  <si>
    <t>namitha</t>
  </si>
  <si>
    <t>1a00bad4-8900-4ee1-ac72-5203d37d4444</t>
  </si>
  <si>
    <t>http://164.52.221.216/localmedia/media/surveys/samples/recording_2026-01-26_10-16-19_samples_nbBCxQUz0k.mp4</t>
  </si>
  <si>
    <t>569aae80-3679-40f9-bd2c-8d78fbeed7ce</t>
  </si>
  <si>
    <t>26/01/2026, 10:26:42</t>
  </si>
  <si>
    <t>16.447188, 81.872743</t>
  </si>
  <si>
    <t>5, RAZOLE MANDAL, Andhra Pradesh, India</t>
  </si>
  <si>
    <t>http://164.52.221.216/localmedia/media/surveys/samples/recording_2026-01-26_10-23-59_samples_SVd4ghNVr5.mp4</t>
  </si>
  <si>
    <t>nagalakahi</t>
  </si>
  <si>
    <t>937fbb31-3c97-4bcf-9009-3f6e6cf975fb</t>
  </si>
  <si>
    <t>26/01/2026, 10:31:36</t>
  </si>
  <si>
    <t>16.448038, 81.871866</t>
  </si>
  <si>
    <t>http://164.52.221.216/localmedia/media/surveys/samples/recording_2026-01-26_10-28-23_samples_PqoUPDHs3I.mp4</t>
  </si>
  <si>
    <t>71853e8d-2afa-4b43-b6af-454ae3c900f5</t>
  </si>
  <si>
    <t>26/01/2026, 10:38:19</t>
  </si>
  <si>
    <t>16.448113, 81.871395</t>
  </si>
  <si>
    <t>http://164.52.221.216/localmedia/media/surveys/samples/recording_2026-01-26_10-34-42_samples_RN5cEynn3l.mp4</t>
  </si>
  <si>
    <t>malleswari</t>
  </si>
  <si>
    <t>a4cb84cc-9205-4a82-9d32-3b853816ed15</t>
  </si>
  <si>
    <t>26/01/2026, 10:44:40</t>
  </si>
  <si>
    <t>16.448206, 81.870810</t>
  </si>
  <si>
    <t>CVXC+49V, Chintalapalli, Andhra Pradesh, India</t>
  </si>
  <si>
    <t>http://164.52.221.216/localmedia/media/surveys/samples/recording_2026-01-26_10-39-56_samples_FJ2M76OmXv.mp4</t>
  </si>
  <si>
    <t>venkata lakshmi</t>
  </si>
  <si>
    <t>4f5e0630-a388-41a7-b373-00c31f76f96e</t>
  </si>
  <si>
    <t>26/01/2026, 10:56:44</t>
  </si>
  <si>
    <t>16.447710, 81.870739</t>
  </si>
  <si>
    <t>http://164.52.221.216/localmedia/media/surveys/samples/recording_2026-01-26_10-47-53_samples_ncHjg6FQPB.mp4</t>
  </si>
  <si>
    <t>ramudu</t>
  </si>
  <si>
    <t>27e5cf43-75fb-4089-a173-c86088343796</t>
  </si>
  <si>
    <t>26/01/2026, 10:56:45</t>
  </si>
  <si>
    <t>http://164.52.221.216/localmedia/media/surveys/samples/recording_2026-01-26_10-47-53_samples_NjsCBSJf8J.mp4</t>
  </si>
  <si>
    <t>e876e7c2-a806-45d5-8cd8-929d5f0f0338</t>
  </si>
  <si>
    <t>26/01/2026, 11:04:05</t>
  </si>
  <si>
    <t>16.448178, 81.871025</t>
  </si>
  <si>
    <t>http://164.52.221.216/localmedia/media/surveys/samples/recording_2026-01-26_10-59-31_samples_CceWAc3QKU.mp4</t>
  </si>
  <si>
    <t>rani</t>
  </si>
  <si>
    <t>0bde770a-bae3-454e-8f97-4f204a5fe240</t>
  </si>
  <si>
    <t>26/01/2026, 11:12:26</t>
  </si>
  <si>
    <t>16.447579, 81.871029</t>
  </si>
  <si>
    <t>http://164.52.221.216/localmedia/media/surveys/samples/recording_2026-01-26_11-09-36_samples_RdJuivitlk.mp4</t>
  </si>
  <si>
    <t>ch. siryanarayana</t>
  </si>
  <si>
    <t>de5b0b81-4969-405a-8d1e-4733b4c026e6</t>
  </si>
  <si>
    <t>26/01/2026, 11:18:42</t>
  </si>
  <si>
    <t>16.447378, 81.871555</t>
  </si>
  <si>
    <t>Shop No. 1, Chintalapalli, Andhra Pradesh, India</t>
  </si>
  <si>
    <t>http://164.52.221.216/localmedia/media/surveys/samples/recording_2026-01-26_11-15-16_samples_rDPU9tsN6D.mp4</t>
  </si>
  <si>
    <t>779ccd70-0921-458c-91bb-2ca1ac2324c2</t>
  </si>
  <si>
    <t>http://164.52.221.216/localmedia/media/surveys/samples/recording_2026-01-26_11-15-16_samples_542O42UXKU.mp4</t>
  </si>
  <si>
    <t>54ed1d01-bbcf-4451-86f0-0c7ff4c7e7f0</t>
  </si>
  <si>
    <t>http://164.52.221.216/localmedia/media/surveys/samples/recording_2026-01-26_11-15-16_samples_YS2K4rZQYw.mp4</t>
  </si>
  <si>
    <t>634256cc-d2fe-4fc8-a846-0202d90e9080</t>
  </si>
  <si>
    <t>26/01/2026, 11:32:24</t>
  </si>
  <si>
    <t>16.447255, 81.871019</t>
  </si>
  <si>
    <t>http://164.52.221.216/localmedia/media/surveys/samples/recording_2026-01-26_11-27-07_samples_bYtZ4m3Pzn.mp4</t>
  </si>
  <si>
    <t>billa suryanarayana</t>
  </si>
  <si>
    <t>2066f312-a1b0-42aa-8c37-196c6eb9f8ff</t>
  </si>
  <si>
    <t>26/01/2026, 11:57:46</t>
  </si>
  <si>
    <t>16.441824, 81.870811</t>
  </si>
  <si>
    <t>CVRC+97F, Kunavaram, Andhra Pradesh, India</t>
  </si>
  <si>
    <t>http://164.52.221.216/localmedia/media/surveys/samples/recording_2026-01-26_11-55-06_samples_VBIUhsxbqH.mp4</t>
  </si>
  <si>
    <t>c9f1b222-82dd-4808-958b-c6dd9f62e16b</t>
  </si>
  <si>
    <t>26/01/2026, 12:05:22</t>
  </si>
  <si>
    <t>16.441381, 81.868403</t>
  </si>
  <si>
    <t>Rudra vari meraka, Chintalapalli, Andhra Pradesh, India</t>
  </si>
  <si>
    <t>http://164.52.221.216/localmedia/media/surveys/samples/recording_2026-01-26_12-01-41_samples_QByJohnSX5.mp4</t>
  </si>
  <si>
    <t>parvathi</t>
  </si>
  <si>
    <t>7e3b1b05-a7ff-4e03-afab-3a5944c04030</t>
  </si>
  <si>
    <t>26/01/2026, 12:11:15</t>
  </si>
  <si>
    <t>http://164.52.221.216/localmedia/media/surveys/samples/recording_2026-01-26_12-07-44_samples_3VKzIwk396.mp4</t>
  </si>
  <si>
    <t>55c42c61-6582-4757-a2f9-3a7a1af85f1f</t>
  </si>
  <si>
    <t>26/01/2026, 12:16:18</t>
  </si>
  <si>
    <t>16.441581, 81.867346</t>
  </si>
  <si>
    <t>CVR8+HFX, Chintapalle, Andhra Pradesh, India</t>
  </si>
  <si>
    <t>http://164.52.221.216/localmedia/media/surveys/samples/recording_2026-01-26_12-12-42_samples_2I7tIzClv7.mp4</t>
  </si>
  <si>
    <t>983039bc-cd0e-475e-8701-e80d0505bdf1</t>
  </si>
  <si>
    <t>26/01/2026, 12:16:19</t>
  </si>
  <si>
    <t>http://164.52.221.216/localmedia/media/surveys/samples/recording_2026-01-26_12-12-42_samples_1SysNcPUWg.mp4</t>
  </si>
  <si>
    <t>6df90f0c-52ba-4dd7-8cbb-66f6baf2693c</t>
  </si>
  <si>
    <t>26/01/2026, 12:23:07</t>
  </si>
  <si>
    <t>16.441640, 81.865615</t>
  </si>
  <si>
    <t>http://164.52.221.216/localmedia/media/surveys/samples/recording_2026-01-26_12-20-07_samples_vd9P7QFjlp.mp4</t>
  </si>
  <si>
    <t>mamatha</t>
  </si>
  <si>
    <t>f02558d8-a1a7-40f4-8c17-98d41a53c4d1</t>
  </si>
  <si>
    <t>26/01/2026, 12:45:01</t>
  </si>
  <si>
    <t>16.447182, 81.860261</t>
  </si>
  <si>
    <t>Gubbalapalem panchayithi, Gudapalli, Andhra Pradesh, India</t>
  </si>
  <si>
    <t>http://164.52.221.216/localmedia/media/surveys/samples/recording_2026-01-26_12-42-30_samples_IIOQVmDbd4.mp4</t>
  </si>
  <si>
    <t>32f85e48-3e9a-41de-9e8c-830e5cbac702</t>
  </si>
  <si>
    <t>26/01/2026, 12:50:05</t>
  </si>
  <si>
    <t>16.447497, 81.859554</t>
  </si>
  <si>
    <t>CVX5+374, Chintalapalli, Andhra Pradesh, India</t>
  </si>
  <si>
    <t>http://164.52.221.216/localmedia/media/surveys/samples/recording_2026-01-26_12-47-05_samples_Oq5qeTy3Xg.mp4</t>
  </si>
  <si>
    <t>a. vasu</t>
  </si>
  <si>
    <t>0e107848-85ee-41d3-86d0-83411bb7be50</t>
  </si>
  <si>
    <t>26/01/2026, 12:55:19</t>
  </si>
  <si>
    <t>16.447579, 81.859031</t>
  </si>
  <si>
    <t>http://164.52.221.216/localmedia/media/surveys/samples/recording_2026-01-26_12-51-58_samples_ahcMKvpCOM.mp4</t>
  </si>
  <si>
    <t>srirama murthy</t>
  </si>
  <si>
    <t>1439551f-f822-401d-a8f6-f8920607f234</t>
  </si>
  <si>
    <t>26/01/2026, 13:04:23</t>
  </si>
  <si>
    <t>16.447636, 81.857821</t>
  </si>
  <si>
    <t>http://164.52.221.216/localmedia/media/surveys/samples/recording_2026-01-26_13-01-37_samples_2KpA8MXMkW.mp4</t>
  </si>
  <si>
    <t>sadolu</t>
  </si>
  <si>
    <t>22ffcd48-3cc3-42f0-b754-eabac81b40d8</t>
  </si>
  <si>
    <t>26/01/2026, 13:10:17</t>
  </si>
  <si>
    <t>16.447522, 81.856887</t>
  </si>
  <si>
    <t>Thompson.Geddam, Chintapalle, Andhra Pradesh, India</t>
  </si>
  <si>
    <t>http://164.52.221.216/localmedia/media/surveys/samples/recording_2026-01-26_13-07-19_samples_7eOgjG5XQJ.mp4</t>
  </si>
  <si>
    <t>anu</t>
  </si>
  <si>
    <t>3e83793b-1f47-45b9-a22f-df9d5f9341e5</t>
  </si>
  <si>
    <t>26/01/2026, 13:14:56</t>
  </si>
  <si>
    <t>16.447328, 81.855510</t>
  </si>
  <si>
    <t>http://164.52.221.216/localmedia/media/surveys/samples/recording_2026-01-26_13-12-18_samples_8HhnpvjJ5J.mp4</t>
  </si>
  <si>
    <t>krashna rao</t>
  </si>
  <si>
    <t>59dfa38f-9f0f-4712-986d-695b10d178ad</t>
  </si>
  <si>
    <t>26/01/2026, 13:15:01</t>
  </si>
  <si>
    <t>http://164.52.221.216/localmedia/media/surveys/samples/recording_2026-01-26_13-12-18_samples_PhigsVHiqe.mp4</t>
  </si>
  <si>
    <t>f1c2a1c0-ecea-4763-9a4d-3debdbd0d999</t>
  </si>
  <si>
    <t>26/01/2026, 13:15:05</t>
  </si>
  <si>
    <t>http://164.52.221.216/localmedia/media/surveys/samples/recording_2026-01-26_13-12-18_samples_Yn8T8cRAUt.mp4</t>
  </si>
  <si>
    <t>afba9d4b-3786-4bbf-91b1-cb54f99cffd6</t>
  </si>
  <si>
    <t>26/01/2026, 13:39:19</t>
  </si>
  <si>
    <t>16.444766, 81.854790</t>
  </si>
  <si>
    <t>CVV3+RWM, Razole, Andhra Pradesh, India</t>
  </si>
  <si>
    <t>http://164.52.221.216/localmedia/media/surveys/samples/recording_2026-01-26_13-36-35_samples_YTGcejXqy2.mp4</t>
  </si>
  <si>
    <t>xh. sai lakshmi</t>
  </si>
  <si>
    <t>0e58d0f1-dbda-4cb6-9e4a-61687ed561f1</t>
  </si>
  <si>
    <t>26/01/2026, 13:39:20</t>
  </si>
  <si>
    <t>http://164.52.221.216/localmedia/media/surveys/samples/recording_2026-01-26_13-36-35_samples_9Nu7e75tLp.mp4</t>
  </si>
  <si>
    <t>657a4635-5471-4261-968f-ea624efc81bc</t>
  </si>
  <si>
    <t>26/01/2026, 13:39:24</t>
  </si>
  <si>
    <t>http://164.52.221.216/localmedia/media/surveys/samples/recording_2026-01-26_13-36-35_samples_nTj1FcdLGM.mp4</t>
  </si>
  <si>
    <t>fbec91da-22f7-4650-8453-aebd9c03cf51</t>
  </si>
  <si>
    <t>26/01/2026, 13:46:24</t>
  </si>
  <si>
    <t>16.444823, 81.855392</t>
  </si>
  <si>
    <t>http://164.52.221.216/localmedia/media/surveys/samples/recording_2026-01-26_13-40-20_samples_uEQIAdBQDc.mp4</t>
  </si>
  <si>
    <t>73f60f73-1831-4f09-b236-1994b3bdc889</t>
  </si>
  <si>
    <t>26/01/2026, 13:46:38</t>
  </si>
  <si>
    <t>http://164.52.221.216/localmedia/media/surveys/samples/recording_2026-01-26_13-40-20_samples_KStOIs8ooT.mp4</t>
  </si>
  <si>
    <t>0fc51288-f33b-4e1b-ba45-6905fae55164</t>
  </si>
  <si>
    <t>26/01/2026, 13:55:16</t>
  </si>
  <si>
    <t>16.445406, 81.855808</t>
  </si>
  <si>
    <t>http://164.52.221.216/localmedia/media/surveys/samples/recording_2026-01-26_13-52-47_samples_MbPwviZD15.mp4</t>
  </si>
  <si>
    <t>v. eswari</t>
  </si>
  <si>
    <t>bb872674-5b37-4e9e-9cc0-7c86e81e8adf</t>
  </si>
  <si>
    <t>26/01/2026, 14:04:49</t>
  </si>
  <si>
    <t>16.447241, 81.854168</t>
  </si>
  <si>
    <t>http://164.52.221.216/localmedia/media/surveys/samples/recording_2026-01-26_14-00-45_samples_69WWnJOR7x.mp4</t>
  </si>
  <si>
    <t>nirmalakumari</t>
  </si>
  <si>
    <t>b265d3ed-8cdd-4817-a5ca-98589d60c369</t>
  </si>
  <si>
    <t>26/01/2026, 14:11:58</t>
  </si>
  <si>
    <t>16.447330, 81.853253</t>
  </si>
  <si>
    <t>1, Chintalapalli, Andhra Pradesh, India</t>
  </si>
  <si>
    <t>http://164.52.221.216/localmedia/media/surveys/samples/recording_2026-01-26_14-07-44_samples_HCrMhKIelp.mp4</t>
  </si>
  <si>
    <t xml:space="preserve">lakshmanrao </t>
  </si>
  <si>
    <t>81e14a48-3faa-447d-aee8-f43d072fee58</t>
  </si>
  <si>
    <t>26/01/2026, 14:17:21</t>
  </si>
  <si>
    <t>16.447275, 81.851759</t>
  </si>
  <si>
    <t>1-299, Chintalapalli, Andhra Pradesh, India</t>
  </si>
  <si>
    <t>http://164.52.221.216/localmedia/media/surveys/samples/recording_2026-01-26_14-14-22_samples_aAIkdIqrtX.mp4</t>
  </si>
  <si>
    <t>juothi</t>
  </si>
  <si>
    <t>444f2948-0b1b-4e44-89b8-d436a7a5f6f5</t>
  </si>
  <si>
    <t>26/01/2026, 14:26:58</t>
  </si>
  <si>
    <t>16.447470, 81.853769</t>
  </si>
  <si>
    <t>No 1, Chintalapalli, Andhra Pradesh, India</t>
  </si>
  <si>
    <t>http://164.52.221.216/localmedia/media/surveys/samples/recording_2026-01-26_14-22-11_samples_CFtzGjMwFF.mp4</t>
  </si>
  <si>
    <t>pushpa latha</t>
  </si>
  <si>
    <t>48ab12af-b164-40c1-ab4e-c27ec5f629cd</t>
  </si>
  <si>
    <t>26/01/2026, 14:27:40</t>
  </si>
  <si>
    <t>http://164.52.221.216/localmedia/media/surveys/samples/recording_2026-01-26_14-22-11_samples_hTjTeboajJ.mp4</t>
  </si>
  <si>
    <t>81acd977-6abe-4103-b7a2-b101024858fa</t>
  </si>
  <si>
    <t>26/01/2026, 15:35:43</t>
  </si>
  <si>
    <t>16.461739, 81.837397</t>
  </si>
  <si>
    <t>http://164.52.221.216/localmedia/media/surveys/samples/recording_2026-01-26_15-29-58_samples_yhvRB8c7OM.mp4</t>
  </si>
  <si>
    <t>31b36549-c0a6-4c48-ae07-9f7fe46273b2</t>
  </si>
  <si>
    <t>26/01/2026, 15:44:30</t>
  </si>
  <si>
    <t>16.463697, 81.838681</t>
  </si>
  <si>
    <t>FR7Q+86, Sivakodu, Andhra Pradesh, India</t>
  </si>
  <si>
    <t>http://164.52.221.216/localmedia/media/surveys/samples/recording_2026-01-26_15-42-11_samples_ASvIc6De1q.mp4</t>
  </si>
  <si>
    <t>62e5a34e-c09d-4f1a-8923-2dca88668dfc</t>
  </si>
  <si>
    <t>26/01/2026, 15:57:30</t>
  </si>
  <si>
    <t>16.465294, 81.839618</t>
  </si>
  <si>
    <t>FR8Q+3CC, Razole, Andhra Pradesh, India</t>
  </si>
  <si>
    <t>http://164.52.221.216/localmedia/media/surveys/samples/recording_2026-01-26_15-54-30_samples_KG2Ty7nZ0L.mp4</t>
  </si>
  <si>
    <t>d6c14a0e-70a4-48f7-b449-f3ce8b9551e5</t>
  </si>
  <si>
    <t>26/01/2026, 16:02:26</t>
  </si>
  <si>
    <t>16.465018, 81.842577</t>
  </si>
  <si>
    <t>FR7V+X7, Razole, Andhra Pradesh, India</t>
  </si>
  <si>
    <t>http://164.52.221.216/localmedia/media/surveys/samples/recording_2026-01-26_16-00-03_samples_gag8Bz8dqm.mp4</t>
  </si>
  <si>
    <t>pram lumar</t>
  </si>
  <si>
    <t>ec05e108-9572-4e92-95ce-6dc38f805150</t>
  </si>
  <si>
    <t>26/01/2026, 16:09:21</t>
  </si>
  <si>
    <t>16.465006, 81.843065</t>
  </si>
  <si>
    <t>http://164.52.221.216/localmedia/media/surveys/samples/recording_2026-01-26_16-04-15_samples_ykkfElvs14.mp4</t>
  </si>
  <si>
    <t>bhavani</t>
  </si>
  <si>
    <t>f397a75a-ed67-42c3-8ada-165097daf13e</t>
  </si>
  <si>
    <t>26/01/2026, 16:18:32</t>
  </si>
  <si>
    <t>16.464068, 81.842603</t>
  </si>
  <si>
    <t>http://164.52.221.216/localmedia/media/surveys/samples/recording_2026-01-26_16-16-14_samples_8oj0WN2Ax9.mp4</t>
  </si>
  <si>
    <t>savitri</t>
  </si>
  <si>
    <t>784e0b74-2d1c-4bad-97dc-e299eac59991</t>
  </si>
  <si>
    <t>26/01/2026, 16:26:57</t>
  </si>
  <si>
    <t>16.463612, 81.842493</t>
  </si>
  <si>
    <t>http://164.52.221.216/localmedia/media/surveys/samples/recording_2026-01-26_16-21-36_samples_wpeAg9GhMd.mp4</t>
  </si>
  <si>
    <t>c4106fca-ca2d-4362-94b4-399ba83d9bd4</t>
  </si>
  <si>
    <t>26/01/2026, 16:26:58</t>
  </si>
  <si>
    <t>http://164.52.221.216/localmedia/media/surveys/samples/recording_2026-01-26_16-21-36_samples_YFuzIsHKPk.mp4</t>
  </si>
  <si>
    <t>8f478978-f28d-466f-96a8-192319351654</t>
  </si>
  <si>
    <t>26/01/2026, 16:30:13</t>
  </si>
  <si>
    <t>16.464078, 81.842399</t>
  </si>
  <si>
    <t>http://164.52.221.216/localmedia/media/surveys/samples/recording_2026-01-26_16-27-47_samples_kvhKmdqyje.mp4</t>
  </si>
  <si>
    <t>satya sai</t>
  </si>
  <si>
    <t>9ce741f8-2073-476c-8cd0-136e9ac5d9d7</t>
  </si>
  <si>
    <t>26/01/2026, 16:35:57</t>
  </si>
  <si>
    <t>16.463134, 81.842403</t>
  </si>
  <si>
    <t>FR7V+2JC, Sivakodu, Andhra Pradesh, India</t>
  </si>
  <si>
    <t>http://164.52.221.216/localmedia/media/surveys/samples/recording_2026-01-26_16-33-52_samples_myXsnXGHwJ.mp4</t>
  </si>
  <si>
    <t>bhagya lakshmi</t>
  </si>
  <si>
    <t>04e304af-182d-4d5d-8372-b1adbbcb8960</t>
  </si>
  <si>
    <t>26/01/2026, 16:35:58</t>
  </si>
  <si>
    <t>http://164.52.221.216/localmedia/media/surveys/samples/recording_2026-01-26_16-33-52_samples_6DazYKsHJ2.mp4</t>
  </si>
  <si>
    <t>f60afb21-84bc-4acc-9883-04c6b38ded88</t>
  </si>
  <si>
    <t>26/01/2026, 16:36:16</t>
  </si>
  <si>
    <t>http://164.52.221.216/localmedia/media/surveys/samples/recording_2026-01-26_16-33-52_samples_3ojFtBSMZ6.mp4</t>
  </si>
  <si>
    <t>1e34f5d1-5537-4681-8212-c8a5d9a7a45d</t>
  </si>
  <si>
    <t>26/01/2026, 16:40:33</t>
  </si>
  <si>
    <t>16.462667, 81.842307</t>
  </si>
  <si>
    <t>http://164.52.221.216/localmedia/media/surveys/samples/recording_2026-01-26_16-38-12_samples_o1ca3L4Pwv.mp4</t>
  </si>
  <si>
    <t>mani kanta</t>
  </si>
  <si>
    <t>377722c1-127f-4e16-9907-7746e58a8ffe</t>
  </si>
  <si>
    <t>26/01/2026, 16:40:34</t>
  </si>
  <si>
    <t>http://164.52.221.216/localmedia/media/surveys/samples/recording_2026-01-26_16-38-12_samples_EskWzIYRU2.mp4</t>
  </si>
  <si>
    <t>b059ea09-293e-4ff5-ac63-c78337416979</t>
  </si>
  <si>
    <t>26/01/2026, 16:51:01</t>
  </si>
  <si>
    <t>16.463961, 81.842759</t>
  </si>
  <si>
    <t>http://164.52.221.216/localmedia/media/surveys/samples/recording_2026-01-26_16-46-58_samples_cokzn4jCDC.mp4</t>
  </si>
  <si>
    <t xml:space="preserve">k. satya vathi </t>
  </si>
  <si>
    <t>c822e1ec-98ba-42eb-9759-ac4d512cb677</t>
  </si>
  <si>
    <t>26/01/2026, 16:57:21</t>
  </si>
  <si>
    <t>16.464941, 81.842918</t>
  </si>
  <si>
    <t>http://164.52.221.216/localmedia/media/surveys/samples/recording_2026-01-26_16-55-02_samples_GUpoLMx1rU.mp4</t>
  </si>
  <si>
    <t>m. nagaraku</t>
  </si>
  <si>
    <t>3f12cf6d-e3cc-4326-b4f4-01e64a43912f</t>
  </si>
  <si>
    <t>26/01/2026, 17:12:44</t>
  </si>
  <si>
    <t>16.465023, 81.843963</t>
  </si>
  <si>
    <t>http://164.52.221.216/localmedia/media/surveys/samples/recording_2026-01-26_17-10-35_samples_OdCWqYCnxe.mp4</t>
  </si>
  <si>
    <t>ch. naresh kumar</t>
  </si>
  <si>
    <t>243db275-b060-4212-a6e9-621c7f9e31a2</t>
  </si>
  <si>
    <t>26/01/2026, 17:19:15</t>
  </si>
  <si>
    <t>16.465653, 81.843388</t>
  </si>
  <si>
    <t>http://164.52.221.216/localmedia/media/surveys/samples/recording_2026-01-26_17-15-56_samples_R9zSlDUoAp.mp4</t>
  </si>
  <si>
    <t>jaya lakshmi</t>
  </si>
  <si>
    <t>7a7aa911-e7d1-43bf-bd2a-e7ad5e2c5a99</t>
  </si>
  <si>
    <t>26/01/2026, 17:25:23</t>
  </si>
  <si>
    <t>16.464988, 81.843182</t>
  </si>
  <si>
    <t>http://164.52.221.216/localmedia/media/surveys/samples/recording_2026-01-26_17-21-09_samples_IqGuslv2lr.mp4</t>
  </si>
  <si>
    <t xml:space="preserve">g. satyanarayana </t>
  </si>
  <si>
    <t>65ae159c-9e90-4fd9-8afb-84d9bce17ef9</t>
  </si>
  <si>
    <t>26/01/2026, 17:32:44</t>
  </si>
  <si>
    <t>16.465246, 81.839790</t>
  </si>
  <si>
    <t>http://164.52.221.216/localmedia/media/surveys/samples/recording_2026-01-26_17-29-50_samples_HgJ0WuRZbI.mp4</t>
  </si>
  <si>
    <t>chitti babu</t>
  </si>
  <si>
    <t>Caste -Yadav</t>
  </si>
  <si>
    <t>Respondent voice is too low</t>
  </si>
  <si>
    <t>Q5,7,10 kept his own</t>
  </si>
  <si>
    <t>Q10 kept his own not asking phone number</t>
  </si>
  <si>
    <t>Q5,6,7 kept his own</t>
  </si>
  <si>
    <t>Wrong caste entered - Viswabrahmin</t>
  </si>
  <si>
    <t>wrong caste enetered</t>
  </si>
  <si>
    <t>ffaa91c8-7feb-454f-a2b5-bf71b3f85537</t>
  </si>
  <si>
    <t>27/01/2026, 09:20:31</t>
  </si>
  <si>
    <t>16.460126, 81.829758</t>
  </si>
  <si>
    <t>FR5H+WQX, Sivakodu, Andhra Pradesh, India</t>
  </si>
  <si>
    <t>Caste- Kummari,</t>
  </si>
  <si>
    <t>http://164.52.221.216/localmedia/media/surveys/samples/recording_2026-01-27_09-15-27_samples_XMPbJdF6IC.mp4</t>
  </si>
  <si>
    <t xml:space="preserve">adi Lakshmi's </t>
  </si>
  <si>
    <t>e35b0dce-b5a7-44a5-aba5-65ed0a79fc12</t>
  </si>
  <si>
    <t>27/01/2026, 09:35:02</t>
  </si>
  <si>
    <t>16.459817, 81.828817</t>
  </si>
  <si>
    <t>Repeated Sample</t>
  </si>
  <si>
    <t>http://164.52.221.216/localmedia/media/surveys/samples/recording_2026-01-27_09-31-07_samples_andhWSV5ci.mp4</t>
  </si>
  <si>
    <t>18de4356-ada6-4070-a9df-615bac1c46f5</t>
  </si>
  <si>
    <t>27/01/2026, 10:08:07</t>
  </si>
  <si>
    <t>16.461935, 81.822404</t>
  </si>
  <si>
    <t>FR6C+RRJ, Sivakodu, Andhra Pradesh, India</t>
  </si>
  <si>
    <t>http://164.52.221.216/localmedia/media/surveys/samples/recording_2026-01-27_10-03-22_samples_UzuZtOZAyj.mp4</t>
  </si>
  <si>
    <t>venktrao</t>
  </si>
  <si>
    <t>b1bfb3f0-581c-48f2-8c6d-67ee16ea75cc</t>
  </si>
  <si>
    <t>27/01/2026, 09:36:51</t>
  </si>
  <si>
    <t>http://164.52.221.216/localmedia/media/surveys/samples/recording_2026-01-27_09-31-07_samples_tTaU7oGTnQ.mp4</t>
  </si>
  <si>
    <t>86a66fd9-d196-48d4-88a5-2dfaa0b6c1bd</t>
  </si>
  <si>
    <t>27/01/2026, 10:07:56</t>
  </si>
  <si>
    <t>http://164.52.221.216/localmedia/media/surveys/samples/recording_2026-01-27_10-03-22_samples_cVdbmSstOb.mp4</t>
  </si>
  <si>
    <t>76b8c3dd-d919-435e-aa23-f098b46ffbe6</t>
  </si>
  <si>
    <t>27/01/2026, 10:22:14</t>
  </si>
  <si>
    <t>16.461632, 81.822381</t>
  </si>
  <si>
    <t>http://164.52.221.216/localmedia/media/surveys/samples/recording_2026-01-27_10-18-20_samples_IEptYji1rI.mp4</t>
  </si>
  <si>
    <t>tani</t>
  </si>
  <si>
    <t>46e03513-348d-4505-b105-affbb8cc386b</t>
  </si>
  <si>
    <t>Repeated sample</t>
  </si>
  <si>
    <t>http://164.52.221.216/localmedia/media/surveys/samples/recording_2026-01-27_09-31-07_samples_HChg9pRJoe.mp4</t>
  </si>
  <si>
    <t>3da7c9a1-2ad8-4ba7-9e4e-7aec82ff3386</t>
  </si>
  <si>
    <t>http://164.52.221.216/localmedia/media/surveys/samples/recording_2026-01-27_09-31-07_samples_809dz1HVnP.mp4</t>
  </si>
  <si>
    <t>8bfa91e4-3d53-4284-baa5-ee799a616a73</t>
  </si>
  <si>
    <t>27/01/2026, 09:12:19</t>
  </si>
  <si>
    <t>16.462101, 81.829491</t>
  </si>
  <si>
    <t>http://164.52.221.216/localmedia/media/surveys/samples/recording_2026-01-27_09-09-35_samples_L2DaLhv5ol.mp4</t>
  </si>
  <si>
    <t xml:space="preserve">Durgabhavani </t>
  </si>
  <si>
    <t>95e88317-2e4e-4e76-a77e-e432c6d1f43f</t>
  </si>
  <si>
    <t>27/01/2026, 10:07:55</t>
  </si>
  <si>
    <t>http://164.52.221.216/localmedia/media/surveys/samples/recording_2026-01-27_10-03-22_samples_cVqIRSsiqW.mp4</t>
  </si>
  <si>
    <t>4e62093c-cfed-4bb9-b50b-6388612e627e</t>
  </si>
  <si>
    <t>27/01/2026, 10:15:07</t>
  </si>
  <si>
    <t>16.461580, 81.823057</t>
  </si>
  <si>
    <t>http://164.52.221.216/localmedia/media/surveys/samples/recording_2026-01-27_10-12-15_samples_I0q9SW8fbQ.mp4</t>
  </si>
  <si>
    <t>0b463210-cf70-4292-99e1-407dbef3ca57</t>
  </si>
  <si>
    <t>27/01/2026, 10:37:41</t>
  </si>
  <si>
    <t>16.462928, 81.815614</t>
  </si>
  <si>
    <t>22024/544, Sivakodu, Andhra Pradesh, India</t>
  </si>
  <si>
    <t>http://164.52.221.216/localmedia/media/surveys/samples/recording_2026-01-27_10-33-34_samples_5nHOJZu7WQ.mp4</t>
  </si>
  <si>
    <t>jarika</t>
  </si>
  <si>
    <t>52934fe9-8732-467d-ba5b-40f1bdb48294</t>
  </si>
  <si>
    <t>27/01/2026, 10:52:14</t>
  </si>
  <si>
    <t>16.465106, 81.815690</t>
  </si>
  <si>
    <t>SHOP NO.4, Sivakodu, Andhra Pradesh, India</t>
  </si>
  <si>
    <t>http://164.52.221.216/localmedia/media/surveys/samples/recording_2026-01-27_10-42-34_samples_bjzwT8bGc8.mp4</t>
  </si>
  <si>
    <t>p. ramachandrao</t>
  </si>
  <si>
    <t>aa5bd37a-6d1a-4354-9aff-e007df81a6b8</t>
  </si>
  <si>
    <t>27/01/2026, 11:31:45</t>
  </si>
  <si>
    <t>16.466046, 81.811986</t>
  </si>
  <si>
    <t>FR86+PV, Sivakodu, Andhra Pradesh, India</t>
  </si>
  <si>
    <t>http://164.52.221.216/localmedia/media/surveys/samples/recording_2026-01-27_11-28-23_samples_aCM3li6o6Q.mp4</t>
  </si>
  <si>
    <t>srilakshmi</t>
  </si>
  <si>
    <t>849fea61-a448-40f6-82df-9fffdb6bb3aa</t>
  </si>
  <si>
    <t>27/01/2026, 09:27:44</t>
  </si>
  <si>
    <t>16.459829, 81.829312</t>
  </si>
  <si>
    <t>http://164.52.221.216/localmedia/media/surveys/samples/recording_2026-01-27_09-24-29_samples_VaGlwAwvSz.mp4</t>
  </si>
  <si>
    <t xml:space="preserve">navya sri </t>
  </si>
  <si>
    <t>891e5607-3cfa-49f9-8730-f5110a83c5a6</t>
  </si>
  <si>
    <t>-</t>
  </si>
  <si>
    <t>http://164.52.221.216/localmedia/media/surveys/samples/recording_2026-01-27_09-31-07_samples_cLoEoaGSrt.mp4</t>
  </si>
  <si>
    <t>482f63f6-a9a7-4667-9329-31ca73980242</t>
  </si>
  <si>
    <t>27/01/2026, 10:52:01</t>
  </si>
  <si>
    <t>http://164.52.221.216/localmedia/media/surveys/samples/recording_2026-01-27_10-42-34_samples_rlp0WmN10W.mp4</t>
  </si>
  <si>
    <t>05da66c5-8731-497b-b84b-8f2481fb6a01</t>
  </si>
  <si>
    <t>27/01/2026, 11:05:06</t>
  </si>
  <si>
    <t>16.463777, 81.816238</t>
  </si>
  <si>
    <t>http://164.52.221.216/localmedia/media/surveys/samples/recording_2026-01-27_11-02-10_samples_BGtQH9N4Ub.mp4</t>
  </si>
  <si>
    <t>santha kumari</t>
  </si>
  <si>
    <t>276fb6d6-ac05-4a4d-bc0d-e16b7659b7ae</t>
  </si>
  <si>
    <t>27/01/2026, 11:37:17</t>
  </si>
  <si>
    <t>16.466467, 81.811594</t>
  </si>
  <si>
    <t>http://164.52.221.216/localmedia/media/surveys/samples/recording_2026-01-27_11-33-01_samples_K3Hq1htybi.mp4</t>
  </si>
  <si>
    <t>chelayamma</t>
  </si>
  <si>
    <t>df1b52d7-b436-4adb-b567-09e06fcc4146</t>
  </si>
  <si>
    <t>27/01/2026, 12:25:29</t>
  </si>
  <si>
    <t>16.458841, 81.813459</t>
  </si>
  <si>
    <t>FR56+GRX Komabathula Anil, Sivakodu Palem, Andhra Pradesh, India</t>
  </si>
  <si>
    <t>http://164.52.221.216/localmedia/media/surveys/samples/recording_2026-01-27_12-21-25_samples_61suxjJ54X.mp4</t>
  </si>
  <si>
    <t>sroothi</t>
  </si>
  <si>
    <t>376f5a86-3f20-4803-a85b-607378020168</t>
  </si>
  <si>
    <t>27/01/2026, 13:10:32</t>
  </si>
  <si>
    <t>16.457568, 81.807306</t>
  </si>
  <si>
    <t>FR44+WW4, Sivakodu Palem, Andhra Pradesh, India</t>
  </si>
  <si>
    <t>http://164.52.221.216/localmedia/media/surveys/samples/recording_2026-01-27_13-06-26_samples_M1ztanCg8f.mp4</t>
  </si>
  <si>
    <t>b1b7570e-51a7-4573-952c-9c34b17bd6e8</t>
  </si>
  <si>
    <t>27/01/2026, 12:18:26</t>
  </si>
  <si>
    <t>16.459133, 81.812157</t>
  </si>
  <si>
    <t>Q5, kept his own</t>
  </si>
  <si>
    <t>http://164.52.221.216/localmedia/media/surveys/samples/recording_2026-01-27_12-14-23_samples_zmDenpzuU8.mp4</t>
  </si>
  <si>
    <t>kyotho</t>
  </si>
  <si>
    <t>fef4ac65-5783-4cc2-b784-925a099b2fe9</t>
  </si>
  <si>
    <t>27/01/2026, 12:51:14</t>
  </si>
  <si>
    <t>16.457564, 81.803954</t>
  </si>
  <si>
    <t>FR43+RX4, Sivakodu Palem, Andhra Pradesh, India</t>
  </si>
  <si>
    <t>http://164.52.221.216/localmedia/media/surveys/samples/recording_2026-01-27_12-47-20_samples_dLBp4HXmzN.mp4</t>
  </si>
  <si>
    <t>88d34fbe-31d9-4151-93de-5e459f0adff1</t>
  </si>
  <si>
    <t>27/01/2026, 14:28:38</t>
  </si>
  <si>
    <t>16.472992, 81.835579</t>
  </si>
  <si>
    <t>FRFP+44M, Razole, Andhra Pradesh, India</t>
  </si>
  <si>
    <t>http://164.52.221.216/localmedia/media/surveys/samples/recording_2026-01-27_14-25-53_samples_3iRyDL7zPi.mp4</t>
  </si>
  <si>
    <t>malle swari</t>
  </si>
  <si>
    <t>ec5609eb-6f5c-4810-a6f1-6a2a858c6610</t>
  </si>
  <si>
    <t>27/01/2026, 09:40:24</t>
  </si>
  <si>
    <t>16.460475, 81.828315</t>
  </si>
  <si>
    <t>FR6H+HF3, Sivakodu, Andhra Pradesh, India</t>
  </si>
  <si>
    <t>Wrong Caste entered</t>
  </si>
  <si>
    <t>http://164.52.221.216/localmedia/media/surveys/samples/recording_2026-01-27_09-37-02_samples_HWouZVtu5l.mp4</t>
  </si>
  <si>
    <t>45b65591-29ec-4d61-82ce-73f4f3c2c030</t>
  </si>
  <si>
    <t>27/01/2026, 10:37:40</t>
  </si>
  <si>
    <t>No Remark</t>
  </si>
  <si>
    <t>http://164.52.221.216/localmedia/media/surveys/samples/recording_2026-01-27_10-33-34_samples_rluz3UVRRB.mp4</t>
  </si>
  <si>
    <t>46b1572a-3571-4cbc-9e8e-731392bfb3f9</t>
  </si>
  <si>
    <t>http://164.52.221.216/localmedia/media/surveys/samples/recording_2026-01-27_10-42-34_samples_hIiUIMT6Om.mp4</t>
  </si>
  <si>
    <t>9c32fd50-8524-4038-80fd-33be8ffc3012</t>
  </si>
  <si>
    <t>27/01/2026, 11:25:51</t>
  </si>
  <si>
    <t>16.465992, 81.812510</t>
  </si>
  <si>
    <t>FR87+M46, Razole, Andhra Pradesh, India</t>
  </si>
  <si>
    <t>http://164.52.221.216/localmedia/media/surveys/samples/recording_2026-01-27_11-23-09_samples_C3joKCW5Pi.mp4</t>
  </si>
  <si>
    <t>k. krishnaveni</t>
  </si>
  <si>
    <t>eb7a8048-ecba-4f7c-9d71-087d37731b4f</t>
  </si>
  <si>
    <t>27/01/2026, 12:04:07</t>
  </si>
  <si>
    <t>16.460738, 81.808169</t>
  </si>
  <si>
    <t>FR65+877, Sivakodu, Andhra Pradesh, India</t>
  </si>
  <si>
    <t>Wrong Caste entered - Kamma</t>
  </si>
  <si>
    <t>http://164.52.221.216/localmedia/media/surveys/samples/recording_2026-01-27_12-00-55_samples_R6Pj53AUl7.mp4</t>
  </si>
  <si>
    <t>yesu babu</t>
  </si>
  <si>
    <t>7c48abd8-ddde-4afd-8662-680f0bad8612</t>
  </si>
  <si>
    <t>27/01/2026, 12:32:14</t>
  </si>
  <si>
    <t>16.458719, 81.814040</t>
  </si>
  <si>
    <t>http://164.52.221.216/localmedia/media/surveys/samples/recording_2026-01-27_12-27-03_samples_JUUIytjzvN.mp4</t>
  </si>
  <si>
    <t>ba945796-0913-4157-b92f-cf8c86ef7d56</t>
  </si>
  <si>
    <t>27/01/2026, 13:17:44</t>
  </si>
  <si>
    <t>16.457636, 81.808584</t>
  </si>
  <si>
    <t>FR55+24, Sivakodu Palem, Andhra Pradesh, India</t>
  </si>
  <si>
    <t>Q9 entered on his own, need to ask twice and confirm the party for Q9</t>
  </si>
  <si>
    <t>http://164.52.221.216/localmedia/media/surveys/samples/recording_2026-01-27_13-14-37_samples_i5VGOxehdU.mp4</t>
  </si>
  <si>
    <t>e0aae530-cbf4-48c3-b5fe-5b5838881926</t>
  </si>
  <si>
    <t>27/01/2026, 14:45:11</t>
  </si>
  <si>
    <t>16.473214, 81.833025</t>
  </si>
  <si>
    <t>FRFM+9G9, Razole, Andhra Pradesh, India</t>
  </si>
  <si>
    <t>No remark</t>
  </si>
  <si>
    <t>http://164.52.221.216/localmedia/media/surveys/samples/recording_2026-01-27_14-41-44_samples_vjWprh9DGt.mp4</t>
  </si>
  <si>
    <t>durga prasad</t>
  </si>
  <si>
    <t>87a18e84-a9fe-4d19-bdcd-c886a7054326</t>
  </si>
  <si>
    <t>27/01/2026, 15:24:22</t>
  </si>
  <si>
    <t>16.476725, 81.837059</t>
  </si>
  <si>
    <t>FRGP+JWM Goverment Hospital Razol, Razole, Andhra Pradesh, India</t>
  </si>
  <si>
    <t>http://164.52.221.216/localmedia/media/surveys/samples/recording_2026-01-27_15-22-01_samples_MdjuygSO8R.mp4</t>
  </si>
  <si>
    <t>e5de2374-2a52-41ee-a275-187752098893</t>
  </si>
  <si>
    <t>27/01/2026, 15:45:16</t>
  </si>
  <si>
    <t>16.474953, 81.833620</t>
  </si>
  <si>
    <t>FRFM+VF9, Razole, Andhra Pradesh, India</t>
  </si>
  <si>
    <t>http://164.52.221.216/localmedia/media/surveys/samples/recording_2026-01-27_15-41-44_samples_FWMMMLFh5d.mp4</t>
  </si>
  <si>
    <t>suribabu</t>
  </si>
  <si>
    <t>e0e5e633-c21f-4cee-b9df-0cac4688663c</t>
  </si>
  <si>
    <t>27/01/2026, 14:57:55</t>
  </si>
  <si>
    <t>16.474996, 81.834042</t>
  </si>
  <si>
    <t>FRFM+RHR, Razole, Andhra Pradesh, India</t>
  </si>
  <si>
    <t>http://164.52.221.216/localmedia/media/surveys/samples/recording_2026-01-27_14-55-10_samples_Juw2Z2xnSp.mp4</t>
  </si>
  <si>
    <t>3fe22e32-9497-4f42-a423-423074fd1a2c</t>
  </si>
  <si>
    <t>27/01/2026, 15:28:30</t>
  </si>
  <si>
    <t>16.475645, 81.836409</t>
  </si>
  <si>
    <t>Addala's Residency, Razole, Andhra Pradesh, India</t>
  </si>
  <si>
    <t>http://164.52.221.216/localmedia/media/surveys/samples/recording_2026-01-27_15-25-50_samples_dMmW6p7ZIp.mp4</t>
  </si>
  <si>
    <t>seilakshmi</t>
  </si>
  <si>
    <t>38f254b8-c52d-402a-9e4d-e3c2da9a64a3</t>
  </si>
  <si>
    <t>27/01/2026, 15:49:55</t>
  </si>
  <si>
    <t>16.474900, 81.833121</t>
  </si>
  <si>
    <t>http://164.52.221.216/localmedia/media/surveys/samples/recording_2026-01-27_15-47-16_samples_nRFa1jim4F.mp4</t>
  </si>
  <si>
    <t>01d48f88-9f4a-41aa-b02b-fcecfa29dc5f</t>
  </si>
  <si>
    <t>27/01/2026, 14:39:48</t>
  </si>
  <si>
    <t>16.472548, 81.833406</t>
  </si>
  <si>
    <t>FRFM+4C5, Razole, Andhra Pradesh, India</t>
  </si>
  <si>
    <t>Q6 Not asking Properly</t>
  </si>
  <si>
    <t>http://164.52.221.216/localmedia/media/surveys/samples/recording_2026-01-27_14-38-16_samples_w6wlzWJmYF.mp4</t>
  </si>
  <si>
    <t>anhi</t>
  </si>
  <si>
    <t>df7e68b7-8e62-4b69-8b16-f1de009bdc46</t>
  </si>
  <si>
    <t>27/01/2026, 15:06:27</t>
  </si>
  <si>
    <t>16.476033, 81.834053</t>
  </si>
  <si>
    <t>New, Razole, Andhra Pradesh, India</t>
  </si>
  <si>
    <t>Didn't asked Caste - kept on his own</t>
  </si>
  <si>
    <t>http://164.52.221.216/localmedia/media/surveys/samples/recording_2026-01-27_15-02-47_samples_SbnXk1ZVBC.mp4</t>
  </si>
  <si>
    <t>mani kumar</t>
  </si>
  <si>
    <t>a6a77582-f980-41d0-ac07-f1f10fe76acd</t>
  </si>
  <si>
    <t>27/01/2026, 15:33:25</t>
  </si>
  <si>
    <t>16.475225, 81.836911</t>
  </si>
  <si>
    <t>NH-214, Razole, Andhra Pradesh, India</t>
  </si>
  <si>
    <t>Didn't asked caste - Kept on his own , Caste - Muslim</t>
  </si>
  <si>
    <t>http://164.52.221.216/localmedia/media/surveys/samples/recording_2026-01-27_15-30-27_samples_hyT2ClFTok.mp4</t>
  </si>
  <si>
    <t>ముస్లిం</t>
  </si>
  <si>
    <t>sakhila</t>
  </si>
  <si>
    <t>162db01e-6fcf-4290-881b-d82f27a9b5f8</t>
  </si>
  <si>
    <t>27/01/2026, 15:56:30</t>
  </si>
  <si>
    <t>16.474759, 81.834699</t>
  </si>
  <si>
    <t>FRGP+24X, Razole, Andhra Pradesh, India</t>
  </si>
  <si>
    <t>http://164.52.221.216/localmedia/media/surveys/samples/recording_2026-01-27_15-54-03_samples_34JQciuJoz.mp4</t>
  </si>
  <si>
    <t>4926e304-1a7d-4f55-bb16-60f535dc2bd4</t>
  </si>
  <si>
    <t>27/01/2026, 16:33:51</t>
  </si>
  <si>
    <t>16.474672, 81.827267</t>
  </si>
  <si>
    <t>FRFG+GP8, Razole, Andhra Pradesh, India</t>
  </si>
  <si>
    <t>http://164.52.221.216/localmedia/media/surveys/samples/recording_2026-01-27_16-30-16_samples_PLyCmhpJuu.mp4</t>
  </si>
  <si>
    <t>8fca0c82-7c49-43a9-ab89-1b8129cd9a97</t>
  </si>
  <si>
    <t>27/01/2026, 16:12:29</t>
  </si>
  <si>
    <t>16.475181, 81.829138</t>
  </si>
  <si>
    <t>FRGJ+99X, Razole, Andhra Pradesh, India</t>
  </si>
  <si>
    <t>no remark</t>
  </si>
  <si>
    <t>http://164.52.221.216/localmedia/media/surveys/samples/recording_2026-01-27_16-06-25_samples_4cmbuHiWWi.mp4</t>
  </si>
  <si>
    <t>b. kumari</t>
  </si>
  <si>
    <t>6e862935-5e26-460f-860b-9bfd0e0fea78</t>
  </si>
  <si>
    <t>27/01/2026, 16:41:35</t>
  </si>
  <si>
    <t>16.474097, 81.826839</t>
  </si>
  <si>
    <t>http://164.52.221.216/localmedia/media/surveys/samples/recording_2026-01-27_16-37-17_samples_2P05bWMJx6.mp4</t>
  </si>
  <si>
    <t>bulaksjmi</t>
  </si>
  <si>
    <t>8e285bd7-e97c-4dd7-aa45-687ad4bc4fbd</t>
  </si>
  <si>
    <t>27/01/2026, 17:01:45</t>
  </si>
  <si>
    <t>16.474024, 81.825026</t>
  </si>
  <si>
    <t>http://164.52.221.216/localmedia/media/surveys/samples/recording_2026-01-27_16-57-43_samples_N1CoElGeYl.mp4</t>
  </si>
  <si>
    <t>7375531d-28b7-49dc-87b5-4f00b4a8077e</t>
  </si>
  <si>
    <t>27/01/2026, 16:20:44</t>
  </si>
  <si>
    <t>16.475634, 81.829213</t>
  </si>
  <si>
    <t>http://164.52.221.216/localmedia/media/surveys/samples/recording_2026-01-27_16-16-57_samples_Gq5BxuCOYI.mp4</t>
  </si>
  <si>
    <t>yesu raju</t>
  </si>
  <si>
    <t>4d5f8fe6-9220-4f75-9f41-4e339c2da80f</t>
  </si>
  <si>
    <t>27/01/2026, 16:54:48</t>
  </si>
  <si>
    <t>16.473303, 81.825460</t>
  </si>
  <si>
    <t>http://164.52.221.216/localmedia/media/surveys/samples/recording_2026-01-27_16-51-47_samples_PUKT22vRMf.mp4</t>
  </si>
  <si>
    <t>anjaneyulu</t>
  </si>
  <si>
    <t>e887f4a8-5309-4b16-9d71-592f9b1b13e9</t>
  </si>
  <si>
    <t>27/01/2026, 17:12:23</t>
  </si>
  <si>
    <t>16.473887, 81.825764</t>
  </si>
  <si>
    <t>http://164.52.221.216/localmedia/media/surveys/samples/recording_2026-01-27_17-07-20_samples_afIqeAcBNw.mp4</t>
  </si>
  <si>
    <t>p. dhana lumari</t>
  </si>
  <si>
    <t>7fadbad5-5b0e-4ba3-a0dd-1f4bc207382d</t>
  </si>
  <si>
    <t>27/01/2026, 17:23:11</t>
  </si>
  <si>
    <t>16.473886, 81.825249</t>
  </si>
  <si>
    <t>q5,9,10 kept his own</t>
  </si>
  <si>
    <t>http://164.52.221.216/localmedia/media/surveys/samples/recording_2026-01-27_17-15-44_samples_270E0yjPAw.mp4</t>
  </si>
  <si>
    <t>jagade swari</t>
  </si>
  <si>
    <t>e74ef77a-8013-494c-8c9a-764bd1979b94</t>
  </si>
  <si>
    <t>1/28/2026, 11:44:33 AM</t>
  </si>
  <si>
    <t>16.471348, 81.843784</t>
  </si>
  <si>
    <t>FRCV+JQ4, Betamallipudisavaram, Andhra Pradesh, India</t>
  </si>
  <si>
    <t>http://164.52.221.216/localmedia/media/surveys/samples/recording_2026-01-28_11-40-17_samples_RWQ39L86JI.mp4</t>
  </si>
  <si>
    <t>శాంతి భద్రతలను కాపాడటం</t>
  </si>
  <si>
    <t>peditlamma</t>
  </si>
  <si>
    <t>e062ec10-a502-45d1-96e0-12ec821e9d01</t>
  </si>
  <si>
    <t>1/28/2026, 11:27:56 AM</t>
  </si>
  <si>
    <t>16.471320, 81.843503</t>
  </si>
  <si>
    <t>http://164.52.221.216/localmedia/media/surveys/samples/recording_2026-01-28_11-24-07_samples_fHOmOePS0j.mp4</t>
  </si>
  <si>
    <t>n. syam banu</t>
  </si>
  <si>
    <t>f352b584-2cb7-4fdb-bbc6-d591a3febf5f</t>
  </si>
  <si>
    <t>1/28/2026, 9:34:05 AM</t>
  </si>
  <si>
    <t>16.480535, 81.845942</t>
  </si>
  <si>
    <t>FRJW+P27, Somapalle, Andhra Pradesh, India</t>
  </si>
  <si>
    <t>http://164.52.221.216/localmedia/media/surveys/samples/recording_2026-01-28_09-31-44_samples_7nlhTlvH0c.mp4</t>
  </si>
  <si>
    <t>dharmendra</t>
  </si>
  <si>
    <t>06187d59-9007-4fbd-89f9-7a392968e47d</t>
  </si>
  <si>
    <t>1/28/2026, 11:48:54 AM</t>
  </si>
  <si>
    <t>16.471795, 81.843947</t>
  </si>
  <si>
    <t>FRCV+RJ5, Razole, Andhra Pradesh, India</t>
  </si>
  <si>
    <t>http://164.52.221.216/localmedia/media/surveys/samples/recording_2026-01-28_11-46-17_samples_5jKXAYKnNn.mp4</t>
  </si>
  <si>
    <t>vinay kumar</t>
  </si>
  <si>
    <t>68176fc6-6163-4acc-92e2-70e7ec522971</t>
  </si>
  <si>
    <t>1/28/2026, 11:34:43 AM</t>
  </si>
  <si>
    <t>16.472118, 81.844464</t>
  </si>
  <si>
    <t>http://164.52.221.216/localmedia/media/surveys/samples/recording_2026-01-28_11-30-33_samples_n484GH85ew.mp4</t>
  </si>
  <si>
    <t>marasima raju</t>
  </si>
  <si>
    <t>a0a41cca-05a1-46ef-a492-5980ea487462</t>
  </si>
  <si>
    <t>1/28/2026, 9:42:34 AM</t>
  </si>
  <si>
    <t>16.481787, 81.848156</t>
  </si>
  <si>
    <t>FRJX+G97, Somapalle, Andhra Pradesh, India</t>
  </si>
  <si>
    <t>http://164.52.221.216/localmedia/media/surveys/samples/recording_2026-01-28_09-38-16_samples_emZsagkH26.mp4</t>
  </si>
  <si>
    <t>njamu</t>
  </si>
  <si>
    <t>05a5c04f-9155-4b88-b2c8-213f0bdc6df4</t>
  </si>
  <si>
    <t>1/28/2026, 11:39:39 AM</t>
  </si>
  <si>
    <t>16.472031, 81.843816</t>
  </si>
  <si>
    <t>FRCV+WC5, Razole, Andhra Pradesh, India</t>
  </si>
  <si>
    <t>http://164.52.221.216/localmedia/media/surveys/samples/recording_2026-01-28_11-34-56_samples_bWFZtkeu4Q.mp4</t>
  </si>
  <si>
    <t>mojesh</t>
  </si>
  <si>
    <t>412d1d79-db43-444d-8947-0164a778291a</t>
  </si>
  <si>
    <t>1/28/2026, 10:07:00 AM</t>
  </si>
  <si>
    <t>16.475979, 81.843925</t>
  </si>
  <si>
    <t>SHOP NO.C46/3-41 BAARAM VARI STREET, Razole, Andhra Pradesh, India</t>
  </si>
  <si>
    <t>http://164.52.221.216/localmedia/media/surveys/samples/recording_2026-01-28_10-04-23_samples_mavhDA2TXD.mp4</t>
  </si>
  <si>
    <t>Collected%</t>
  </si>
  <si>
    <t>వ్యవసాయం-రైతు బాగుండడం</t>
  </si>
  <si>
    <t>విద్య రంగం అభివృద్ధి చేయటం,ఆరోగ్య రంగం అభివృద్ధి చేయటం,సంక్షేమ పథకాలు (నగదు)</t>
  </si>
  <si>
    <t>ఉద్యొగ్య అవకాశాలు కల్పించటం,శాంతి భద్రతలను కాపాడటం,ఆరోగ్య రంగం అభివృద్ధి చేయటం</t>
  </si>
  <si>
    <t>రోడ్లు వేయటం,ఉద్యొగ్య అవకాశాలు కల్పించటం,శాంతి భద్రతలను కాపాడటం</t>
  </si>
  <si>
    <t>ఉద్యొగ్య అవకాశాలు కల్పించటం,ఆరోగ్య రంగం అభివృద్ధి చేయటం,సంక్షేమ పథకాలు (నగదు)</t>
  </si>
  <si>
    <t>ఉద్యొగ్య అవకాశాలు కల్పించటం,శాంతి భద్రతలను కాపాడటం,సంక్షేమ పథకాలు (నగదు)</t>
  </si>
  <si>
    <t>శాంతి భద్రతలను కాపాడటం,ఆరోగ్య రంగం అభివృద్ధి చేయటం,సంక్షేమ పథకాలు (నగదు)</t>
  </si>
  <si>
    <t>రోడ్లు వేయటం,ఆరోగ్య రంగం అభివృద్ధి చేయటం,సంక్షేమ పథకాలు (నగదు)</t>
  </si>
  <si>
    <t>రోడ్లు వేయటం,ఉద్యొగ్య అవకాశాలు కల్పించటం,సంక్షేమ పథకాలు (నగదు)</t>
  </si>
  <si>
    <t>రోడ్లు వేయటం,ఉద్యొగ్య అవకాశాలు కల్పించటం,వ్యవసాయం-రైతు బాగుండడం,సంక్షేమ పథకాలు (నగదు)</t>
  </si>
  <si>
    <t>ఉద్యొగ్య అవకాశాలు కల్పించటం,విద్య రంగం అభివృద్ధి చేయటం,వ్యవసాయం-రైతు బాగుండడం</t>
  </si>
  <si>
    <t>రోడ్లు వేయటం,ఉద్యొగ్య అవకాశాలు కల్పించటం,విద్య రంగం అభివృద్ధి చేయటం</t>
  </si>
  <si>
    <t>రోడ్లు వేయటం,ఉద్యొగ్య అవకాశాలు కల్పించటం,వ్యవసాయం-రైతు బాగుండడం</t>
  </si>
  <si>
    <t>ఉద్యొగ్య అవకాశాలు కల్పించటం,విద్య రంగం అభివృద్ధి చేయటం</t>
  </si>
  <si>
    <t>శాంతి భద్రతలను కాపాడటం,విద్య రంగం అభివృద్ధి చేయటం</t>
  </si>
  <si>
    <t>రోడ్లు వేయటం,ఉద్యొగ్య అవకాశాలు కల్పించటం,శాంతి భద్రతలను కాపాడటం,విద్య రంగం అభివృద్ధి చేయటం,ఆరోగ్య రంగం అభివృద్ధి చేయటం,వ్యవసాయం-రైతు బాగుండడం,సంక్షేమ పథకాలు (నగదు)</t>
  </si>
  <si>
    <t>ఉద్యొగ్య అవకాశాలు కల్పించటం,విద్య రంగం అభివృద్ధి చేయటం,ఆరోగ్య రంగం అభివృద్ధి చేయటం</t>
  </si>
  <si>
    <t>రోడ్లు వేయటం,విద్య రంగం అభివృద్ధి చేయటం,ఆరోగ్య రంగం అభివృద్ధి చేయటం</t>
  </si>
  <si>
    <t>రోడ్లు వేయటం,ఆరోగ్య రంగం అభివృద్ధి చేయటం,వ్యవసాయం-రైతు బాగుండడం</t>
  </si>
  <si>
    <t>రోడ్లు వేయటం,ఉద్యొగ్య అవకాశాలు కల్పించటం,ఆరోగ్య రంగం అభివృద్ధి చేయటం</t>
  </si>
  <si>
    <t>ఆరోగ్య రంగం అభివృద్ధి చేయటం,వ్యవసాయం-రైతు బాగుండడం,సంక్షేమ పథకాలు (నగదు)</t>
  </si>
  <si>
    <t>ఉద్యొగ్య అవకాశాలు కల్పించటం,ఆరోగ్య రంగం అభివృద్ధి చేయటం</t>
  </si>
  <si>
    <t>రోడ్లు వేయటం,ఉద్యొగ్య అవకాశాలు కల్పించటం</t>
  </si>
  <si>
    <t>ఉద్యొగ్య అవకాశాలు కల్పించటం,ఆరోగ్య రంగం అభివృద్ధి చేయటం,వ్యవసాయం-రైతు బాగుండడం</t>
  </si>
  <si>
    <t>విద్య రంగం అభివృద్ధి చేయటం,ఆరోగ్య రంగం అభివృద్ధి చేయటం</t>
  </si>
  <si>
    <t>విద్య రంగం అభివృద్ధి చేయటం,ఆరోగ్య రంగం అభివృద్ధి చేయటం,వ్యవసాయం-రైతు బాగుండడం</t>
  </si>
  <si>
    <t>రోడ్లు వేయటం,ఉద్యొగ్య అవకాశాలు కల్పించటం,శాంతి భద్రతలను కాపాడటం,వ్యవసాయం-రైతు బాగుండడం</t>
  </si>
  <si>
    <t>విద్య రంగం అభివృద్ధి చేయటం,వ్యవసాయం-రైతు బాగుండడం</t>
  </si>
  <si>
    <t>రోడ్లు వేయటం,విద్య రంగం అభివృద్ధి చేయటం</t>
  </si>
  <si>
    <t>రోడ్లు వేయటం,శాంతి భద్రతలను కాపాడటం,విద్య రంగం అభివృద్ధి చేయటం</t>
  </si>
  <si>
    <t>ఉద్యొగ్య అవకాశాలు కల్పించటం,శాంతి భద్రతలను కాపాడటం,విద్య రంగం అభివృద్ధి చేయటం</t>
  </si>
  <si>
    <t>రోడ్లు వేయటం,ఉద్యొగ్య అవకాశాలు కల్పించటం,శాంతి భద్రతలను కాపాడటం,విద్య రంగం అభివృద్ధి చేయటం,ఆరోగ్య రంగం అభివృద్ధి చేయటం,వ్యవసాయం-రైతు బాగుండడం</t>
  </si>
  <si>
    <t>రోడ్లు వేయటం,శాంతి భద్రతలను కాపాడటం</t>
  </si>
  <si>
    <t>ఆరోగ్య రంగం అభివృద్ధి చేయటం,వ్యవసాయం-రైతు బాగుండడం</t>
  </si>
  <si>
    <t>ఉద్యొగ్య అవకాశాలు కల్పించటం,శాంతి భద్రతలను కాపాడటం,వ్యవసాయం-రైతు బాగుండడం</t>
  </si>
  <si>
    <t>ఉద్యొగ్య అవకాశాలు కల్పించటం,వ్యవసాయం-రైతు బాగుండడం,సంక్షేమ పథకాలు (నగదు)</t>
  </si>
  <si>
    <t>రోడ్లు వేయటం,వ్యవసాయం-రైతు బాగుండడం</t>
  </si>
  <si>
    <t>విద్య రంగం అభివృద్ధి చేయటం,సంక్షేమ పథకాలు (నగదు)</t>
  </si>
  <si>
    <t>రోడ్లు వేయటం,ఉద్యొగ్య అవకాశాలు కల్పించటం,ఆరోగ్య రంగం అభివృద్ధి చేయటం,వ్యవసాయం-రైతు బాగుండడం</t>
  </si>
  <si>
    <t>రోడ్లు వేయటం,ఉద్యొగ్య అవకాశాలు కల్పించటం,విద్య రంగం అభివృద్ధి చేయటం,ఆరోగ్య రంగం అభివృద్ధి చేయటం</t>
  </si>
  <si>
    <t>రోడ్లు వేయటం,విద్య రంగం అభివృద్ధి చేయటం,ఆరోగ్య రంగం అభివృద్ధి చేయటం,వ్యవసాయం-రైతు బాగుండడం</t>
  </si>
  <si>
    <t>రోడ్లు వేయటం,విద్య రంగం అభివృద్ధి చేయటం,సంక్షేమ పథకాలు (నగదు)</t>
  </si>
  <si>
    <t>రోడ్లు వేయటం,ఉద్యొగ్య అవకాశాలు కల్పించటం,శాంతి భద్రతలను కాపాడటం,విద్య రంగం అభివృద్ధి చేయటం</t>
  </si>
  <si>
    <t>రోడ్లు వేయటం,విద్య రంగం అభివృద్ధి చేయటం,ఆరోగ్య రంగం అభివృద్ధి చేయటం,సంక్షేమ పథకాలు (నగదు)</t>
  </si>
  <si>
    <t>రోడ్లు వేయటం,ఆరోగ్య రంగం అభివృద్ధి చేయటం</t>
  </si>
  <si>
    <t>రోడ్లు వేయటం,సంక్షేమ పథకాలు (నగదు)</t>
  </si>
  <si>
    <t>రోడ్లు వేయటం,వ్యవసాయం-రైతు బాగుండడం,సంక్షేమ పథకాలు (నగదు)</t>
  </si>
  <si>
    <t>రోడ్లు వేయటం,ఉద్యొగ్య అవకాశాలు కల్పించటం,శాంతి భద్రతలను కాపాడటం,ఆరోగ్య రంగం అభివృద్ధి చేయటం</t>
  </si>
  <si>
    <t>రోడ్లు వేయటం,విద్య రంగం అభివృద్ధి చేయటం,వ్యవసాయం-రైతు బాగుండడం</t>
  </si>
  <si>
    <t>ఉద్యొగ్య అవకాశాలు కల్పించటం,శాంతి భద్రతలను కాపాడటం,విద్య రంగం అభివృద్ధి చేయటం,ఆరోగ్య రంగం అభివృద్ధి చేయటం,వ్యవసాయం-రైతు బాగుండడం</t>
  </si>
  <si>
    <t>ఉద్యొగ్య అవకాశాలు కల్పించటం,విద్య రంగం అభివృద్ధి చేయటం,ఆరోగ్య రంగం అభివృద్ధి చేయటం,వ్యవసాయం-రైతు బాగుండడం</t>
  </si>
  <si>
    <t>ఉద్యొగ్య అవకాశాలు కల్పించటం,శాంతి భద్రతలను కాపాడటం,విద్య రంగం అభివృద్ధి చేయటం,ఆరోగ్య రంగం అభివృద్ధి చేయటం</t>
  </si>
  <si>
    <t>శాంతి భద్రతలను కాపాడటం,ఆరోగ్య రంగం అభివృద్ధి చేయటం,వ్యవసాయం-రైతు బాగుండడం</t>
  </si>
  <si>
    <t>శాంతి భద్రతలను కాపాడటం,ఆరోగ్య రంగం అభివృద్ధి చేయటం</t>
  </si>
  <si>
    <t>రోడ్లు వేయటం,శాంతి భద్రతలను కాపాడటం,వ్యవసాయం-రైతు బాగుండడం</t>
  </si>
  <si>
    <t>రోడ్లు వేయటం,ఉద్యొగ్య అవకాశాలు కల్పించటం,విద్య రంగం అభివృద్ధి చేయటం,సంక్షేమ పథకాలు (నగదు)</t>
  </si>
  <si>
    <t>రోడ్లు వేయటం,ఉద్యొగ్య అవకాశాలు కల్పించటం,విద్య రంగం అభివృద్ధి చేయటం,ఆరోగ్య రంగం అభివృద్ధి చేయటం,సంక్షేమ పథకాలు (నగదు)</t>
  </si>
  <si>
    <t>శాంతి భద్రతలను కాపాడటం,విద్య రంగం అభివృద్ధి చేయటం,ఆరోగ్య రంగం అభివృద్ధి చేయటం</t>
  </si>
  <si>
    <t>రోడ్లు వేయటం,శాంతి భద్రతలను కాపాడటం,విద్య రంగం అభివృద్ధి చేయటం,ఆరోగ్య రంగం అభివృద్ధి చేయటం</t>
  </si>
  <si>
    <t>శాంతి భద్రతలను కాపాడటం,విద్య రంగం అభివృద్ధి చేయటం,వ్యవసాయం-రైతు బాగుండడం</t>
  </si>
  <si>
    <t>రోడ్లు వేయటం,శాంతి భద్రతలను కాపాడటం,ఆరోగ్య రంగం అభివృద్ధి చేయటం</t>
  </si>
  <si>
    <t>రోడ్లు వేయటం,ఉద్యొగ్య అవకాశాలు కల్పించటం,విద్య రంగం అభివృద్ధి చేయటం,ఆరోగ్య రంగం అభివృద్ధి చేయటం,వ్యవసాయం-రైతు బాగుండడం,సంక్షేమ పథకాలు (నగదు)</t>
  </si>
  <si>
    <t>రోడ్లు వేయటం,ఉద్యొగ్య అవకాశాలు కల్పించటం,విద్య రంగం అభివృద్ధి చేయటం,ఆరోగ్య రంగం అభివృద్ధి చేయటం,వ్యవసాయం-రైతు బాగుండడం</t>
  </si>
  <si>
    <t>రోడ్లు వేయటం,ఉద్యొగ్య అవకాశాలు కల్పించటం,శాంతి భద్రతలను కాపాడటం,విద్య రంగం అభివృద్ధి చేయటం,ఆరోగ్య రంగం అభివృద్ధి చేయటం</t>
  </si>
  <si>
    <t>ఉద్యొగ్య అవకాశాలు కల్పించటం,శాంతి భద్రతలను కాపాడటం,ఆరోగ్య రంగం అభివృద్ధి చేయటం,వ్యవసాయం-రైతు బాగుండడం</t>
  </si>
  <si>
    <t>రోడ్లు వేయటం,ఉద్యొగ్య అవకాశాలు కల్పించటం,శాంతి భద్రతలను కాపాడటం,విద్య రంగం అభివృద్ధి చేయటం,ఆరోగ్య రంగం అభివృద్ధి చేయటం,సంక్షేమ పథకాలు (నగదు)</t>
  </si>
  <si>
    <t>రోడ్లు వేయటం,ఉద్యొగ్య అవకాశాలు కల్పించటం,విద్య రంగం అభివృద్ధి చేయటం,వ్యవసాయం-రైతు బాగుండడం</t>
  </si>
  <si>
    <t>రోడ్లు వేయటం,శాంతి భద్రతలను కాపాడటం,విద్య రంగం అభివృద్ధి చేయటం,ఆరోగ్య రంగం అభివృద్ధి చేయటం,వ్యవసాయం-రైతు బాగుండడం</t>
  </si>
  <si>
    <t>ఉద్యొగ్య అవకాశాలు కల్పించటం,ఆరోగ్య రంగం అభివృద్ధి చేయటం,వ్యవసాయం-రైతు బాగుండడం,సంక్షేమ పథకాలు (నగదు)</t>
  </si>
  <si>
    <t>రోడ్లు వేయటం,ఉద్యొగ్య అవకాశాలు కల్పించటం,శాంతి భద్రతలను కాపాడటం,ఆరోగ్య రంగం అభివృద్ధి చేయటం,వ్యవసాయం-రైతు బాగుండడం,సంక్షేమ పథకాలు (నగదు)</t>
  </si>
  <si>
    <t>రోడ్లు వేయటం,ఉద్యొగ్య అవకాశాలు కల్పించటం,శాంతి భద్రతలను కాపాడటం,విద్య రంగం అభివృద్ధి చేయటం,వ్యవసాయం-రైతు బాగుండడం</t>
  </si>
  <si>
    <t>రోడ్లు వేయటం,ఉద్యొగ్య అవకాశాలు కల్పించటం,ఆరోగ్య రంగం అభివృద్ధి చేయటం,వ్యవసాయం-రైతు బాగుండడం,సంక్షేమ పథకాలు (నగదు)</t>
  </si>
  <si>
    <t>రోడ్లు వేయటం,ఉద్యొగ్య అవకాశాలు కల్పించటం,ఆరోగ్య రంగం అభివృద్ధి చేయటం,సంక్షేమ పథకాలు (నగదు)</t>
  </si>
  <si>
    <t>ఉద్యొగ్య అవకాశాలు కల్పించటం,శాంతి భద్రతలను కాపాడటం,విద్య రంగం అభివృద్ధి చేయటం,వ్యవసాయం-రైతు బాగుండడం</t>
  </si>
  <si>
    <t>రోడ్లు వేయటం,శాంతి భద్రతలను కాపాడటం,ఆరోగ్య రంగం అభివృద్ధి చేయటం,వ్యవసాయం-రైతు బాగుండడం,సంక్షేమ పథకాలు (నగదు)</t>
  </si>
  <si>
    <t>రోడ్లు వేయటం,ఉద్యొగ్య అవకాశాలు కల్పించటం,శాంతి భద్రతలను కాపాడటం,ఆరోగ్య రంగం అభివృద్ధి చేయటం,వ్యవసాయం-రైతు బాగుండడం</t>
  </si>
  <si>
    <t>రోడ్లు వేయటం,శాంతి భద్రతలను కాపాడటం,విద్య రంగం అభివృద్ధి చేయటం,ఆరోగ్య రంగం అభివృద్ధి చేయటం,వ్యవసాయం-రైతు బాగుండడం,సంక్షేమ పథకాలు (నగదు)</t>
  </si>
  <si>
    <t>ఉద్యొగ్య అవకాశాలు కల్పించటం,విద్య రంగం అభివృద్ధి చేయటం,ఆరోగ్య రంగం అభివృద్ధి చేయటం,వ్యవసాయం-రైతు బాగుండడం,సంక్షేమ పథకాలు (నగదు)</t>
  </si>
  <si>
    <t>ఆరోగ్య రంగం అభివృద్ధి చేయటం</t>
  </si>
  <si>
    <t>Devp Factors</t>
  </si>
  <si>
    <t>Count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</si>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</sst>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theme="4" tint="0.79998168889431442"/>
      </patternFill>
    </fill>
    <fill>
      <patternFill patternType="solid">
        <fgColor theme="3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7">
    <xf numFmtId="0" fontId="0" fillId="0" borderId="0" xfId="0"/>
    <xf numFmtId="0" fontId="0" fillId="0" borderId="0" xfId="0" pivotButton="1"/>
    <xf numFmtId="0" fontId="1" fillId="0" borderId="0" xfId="0" applyFont="1"/>
    <xf numFmtId="0" fontId="3" fillId="2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3" fillId="2" borderId="6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2" borderId="1" xfId="0" applyFont="1" applyFill="1" applyBorder="1"/>
    <xf numFmtId="0" fontId="0" fillId="0" borderId="1" xfId="0" applyBorder="1"/>
    <xf numFmtId="9" fontId="0" fillId="0" borderId="0" xfId="1" applyFont="1"/>
    <xf numFmtId="9" fontId="0" fillId="0" borderId="2" xfId="1" applyFont="1" applyBorder="1" applyAlignment="1">
      <alignment horizontal="center"/>
    </xf>
    <xf numFmtId="9" fontId="3" fillId="2" borderId="2" xfId="1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5" borderId="2" xfId="0" applyFont="1" applyFill="1" applyBorder="1"/>
    <xf numFmtId="0" fontId="4" fillId="0" borderId="0" xfId="0" pivotButton="1" applyFont="1"/>
    <xf numFmtId="0" fontId="5" fillId="0" borderId="0" xfId="0" pivotButton="1" applyFont="1" applyAlignment="1">
      <alignment wrapText="1"/>
    </xf>
    <xf numFmtId="0" fontId="4" fillId="0" borderId="0" xfId="0" applyFont="1"/>
    <xf numFmtId="9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9" fontId="4" fillId="0" borderId="2" xfId="1" applyFont="1" applyBorder="1"/>
    <xf numFmtId="9" fontId="4" fillId="0" borderId="2" xfId="1" applyFont="1" applyBorder="1" applyAlignment="1">
      <alignment horizontal="center"/>
    </xf>
    <xf numFmtId="9" fontId="6" fillId="0" borderId="2" xfId="1" applyFont="1" applyBorder="1"/>
    <xf numFmtId="9" fontId="6" fillId="0" borderId="2" xfId="1" applyFont="1" applyBorder="1" applyAlignment="1">
      <alignment horizontal="center"/>
    </xf>
    <xf numFmtId="0" fontId="6" fillId="0" borderId="2" xfId="1" applyNumberFormat="1" applyFont="1" applyBorder="1" applyAlignment="1">
      <alignment horizontal="center"/>
    </xf>
    <xf numFmtId="0" fontId="7" fillId="0" borderId="5" xfId="0" applyFont="1" applyBorder="1"/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1" fontId="7" fillId="0" borderId="6" xfId="0" applyNumberFormat="1" applyFont="1" applyBorder="1" applyAlignment="1">
      <alignment horizontal="center"/>
    </xf>
    <xf numFmtId="0" fontId="7" fillId="0" borderId="3" xfId="0" applyFont="1" applyBorder="1"/>
    <xf numFmtId="0" fontId="7" fillId="0" borderId="9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1" fontId="4" fillId="0" borderId="2" xfId="1" applyNumberFormat="1" applyFont="1" applyBorder="1" applyAlignment="1">
      <alignment horizontal="center"/>
    </xf>
    <xf numFmtId="0" fontId="4" fillId="0" borderId="1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1" fontId="4" fillId="0" borderId="0" xfId="0" applyNumberFormat="1" applyFont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7" xfId="0" applyFont="1" applyBorder="1"/>
    <xf numFmtId="0" fontId="4" fillId="0" borderId="18" xfId="0" applyFont="1" applyBorder="1"/>
    <xf numFmtId="0" fontId="6" fillId="0" borderId="12" xfId="0" applyFont="1" applyBorder="1" applyAlignment="1">
      <alignment horizontal="center"/>
    </xf>
    <xf numFmtId="9" fontId="6" fillId="0" borderId="12" xfId="0" applyNumberFormat="1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9" fontId="4" fillId="0" borderId="0" xfId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9" xfId="0" pivotButton="1" applyFont="1" applyBorder="1"/>
    <xf numFmtId="0" fontId="4" fillId="0" borderId="20" xfId="0" applyFont="1" applyBorder="1"/>
    <xf numFmtId="0" fontId="4" fillId="0" borderId="10" xfId="0" pivotButton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10" xfId="0" applyFont="1" applyBorder="1"/>
    <xf numFmtId="0" fontId="0" fillId="0" borderId="15" xfId="0" applyBorder="1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15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" fontId="4" fillId="0" borderId="0" xfId="0" applyNumberFormat="1" applyFont="1" applyAlignment="1">
      <alignment horizontal="center"/>
    </xf>
    <xf numFmtId="0" fontId="4" fillId="0" borderId="17" xfId="0" applyFont="1" applyBorder="1" applyAlignment="1">
      <alignment horizontal="left"/>
    </xf>
    <xf numFmtId="9" fontId="4" fillId="0" borderId="17" xfId="1" applyFont="1" applyBorder="1" applyAlignment="1">
      <alignment horizontal="center"/>
    </xf>
    <xf numFmtId="1" fontId="4" fillId="0" borderId="17" xfId="0" applyNumberFormat="1" applyFont="1" applyBorder="1" applyAlignment="1">
      <alignment horizontal="center"/>
    </xf>
    <xf numFmtId="0" fontId="7" fillId="0" borderId="6" xfId="0" applyFont="1" applyBorder="1"/>
    <xf numFmtId="0" fontId="7" fillId="0" borderId="7" xfId="0" applyFont="1" applyBorder="1"/>
    <xf numFmtId="0" fontId="8" fillId="0" borderId="2" xfId="0" applyFont="1" applyBorder="1"/>
    <xf numFmtId="0" fontId="8" fillId="0" borderId="4" xfId="0" applyFont="1" applyBorder="1"/>
    <xf numFmtId="0" fontId="4" fillId="0" borderId="2" xfId="0" applyFont="1" applyBorder="1"/>
    <xf numFmtId="0" fontId="4" fillId="0" borderId="8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9" xfId="0" applyFont="1" applyBorder="1"/>
    <xf numFmtId="0" fontId="4" fillId="0" borderId="23" xfId="0" applyFont="1" applyBorder="1"/>
    <xf numFmtId="0" fontId="8" fillId="0" borderId="24" xfId="0" applyFont="1" applyBorder="1"/>
    <xf numFmtId="0" fontId="4" fillId="0" borderId="24" xfId="0" applyFont="1" applyBorder="1"/>
    <xf numFmtId="0" fontId="4" fillId="0" borderId="25" xfId="0" applyFont="1" applyBorder="1"/>
    <xf numFmtId="0" fontId="7" fillId="6" borderId="2" xfId="0" applyFont="1" applyFill="1" applyBorder="1" applyAlignment="1">
      <alignment horizontal="center"/>
    </xf>
    <xf numFmtId="0" fontId="9" fillId="0" borderId="0" xfId="0" applyFont="1"/>
    <xf numFmtId="0" fontId="10" fillId="0" borderId="0" xfId="0" applyFont="1"/>
    <xf numFmtId="14" fontId="0" fillId="0" borderId="0" xfId="0" applyNumberFormat="1"/>
    <xf numFmtId="9" fontId="4" fillId="0" borderId="15" xfId="0" applyNumberFormat="1" applyFont="1" applyBorder="1" applyAlignment="1">
      <alignment horizontal="center"/>
    </xf>
    <xf numFmtId="9" fontId="4" fillId="0" borderId="18" xfId="0" applyNumberFormat="1" applyFont="1" applyBorder="1" applyAlignment="1">
      <alignment horizontal="center"/>
    </xf>
    <xf numFmtId="9" fontId="4" fillId="0" borderId="13" xfId="0" applyNumberFormat="1" applyFont="1" applyBorder="1" applyAlignment="1">
      <alignment horizontal="center"/>
    </xf>
    <xf numFmtId="0" fontId="4" fillId="0" borderId="19" xfId="0" applyFont="1" applyBorder="1"/>
    <xf numFmtId="0" fontId="4" fillId="0" borderId="26" xfId="0" applyFont="1" applyBorder="1"/>
    <xf numFmtId="0" fontId="11" fillId="0" borderId="0" xfId="0" applyFont="1"/>
    <xf numFmtId="0" fontId="6" fillId="3" borderId="2" xfId="0" applyFont="1" applyFill="1" applyBorder="1"/>
    <xf numFmtId="0" fontId="6" fillId="3" borderId="2" xfId="0" applyFont="1" applyFill="1" applyBorder="1" applyAlignment="1">
      <alignment horizontal="center"/>
    </xf>
    <xf numFmtId="0" fontId="4" fillId="0" borderId="0" xfId="0" pivotButton="1" applyFont="1" applyAlignment="1">
      <alignment wrapText="1"/>
    </xf>
    <xf numFmtId="0" fontId="4" fillId="0" borderId="0" xfId="0" applyFont="1" applyAlignment="1">
      <alignment wrapText="1"/>
    </xf>
    <xf numFmtId="9" fontId="4" fillId="0" borderId="0" xfId="0" applyNumberFormat="1" applyFont="1" applyAlignment="1">
      <alignment horizontal="center" wrapText="1"/>
    </xf>
    <xf numFmtId="0" fontId="0" fillId="7" borderId="2" xfId="0" applyFill="1" applyBorder="1" applyAlignment="1">
      <alignment horizontal="left"/>
    </xf>
    <xf numFmtId="164" fontId="4" fillId="0" borderId="15" xfId="0" applyNumberFormat="1" applyFont="1" applyBorder="1" applyAlignment="1">
      <alignment horizontal="center"/>
    </xf>
    <xf numFmtId="164" fontId="4" fillId="0" borderId="18" xfId="0" applyNumberFormat="1" applyFont="1" applyBorder="1" applyAlignment="1">
      <alignment horizontal="center"/>
    </xf>
    <xf numFmtId="164" fontId="4" fillId="0" borderId="13" xfId="0" applyNumberFormat="1" applyFont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9" fontId="4" fillId="0" borderId="0" xfId="0" applyNumberFormat="1" applyFont="1" applyAlignment="1">
      <alignment horizontal="center" vertical="center"/>
    </xf>
    <xf numFmtId="0" fontId="0" fillId="9" borderId="0" xfId="0" applyFill="1"/>
    <xf numFmtId="9" fontId="12" fillId="0" borderId="2" xfId="1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0" fontId="4" fillId="0" borderId="11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pivotButton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13" fillId="10" borderId="2" xfId="0" applyFont="1" applyFill="1" applyBorder="1" applyAlignment="1">
      <alignment horizontal="center"/>
    </xf>
    <xf numFmtId="164" fontId="4" fillId="0" borderId="2" xfId="1" applyNumberFormat="1" applyFont="1" applyBorder="1" applyAlignment="1">
      <alignment horizontal="center"/>
    </xf>
    <xf numFmtId="0" fontId="5" fillId="0" borderId="0" xfId="0" pivotButton="1" applyFont="1"/>
    <xf numFmtId="164" fontId="6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642"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3" formatCode="0%"/>
    </dxf>
    <dxf>
      <alignment horizontal="center"/>
    </dxf>
    <dxf>
      <numFmt numFmtId="14" formatCode="0.00%"/>
    </dxf>
    <dxf>
      <numFmt numFmtId="13" formatCode="0%"/>
    </dxf>
    <dxf>
      <alignment wrapText="1"/>
    </dxf>
    <dxf>
      <alignment wrapText="1"/>
    </dxf>
    <dxf>
      <alignment wrapText="1"/>
    </dxf>
    <dxf>
      <alignment wrapText="1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/>
    </dxf>
    <dxf>
      <alignment wrapText="1"/>
    </dxf>
    <dxf>
      <alignment wrapText="1"/>
    </dxf>
    <dxf>
      <alignment wrapText="1"/>
    </dxf>
    <dxf>
      <font>
        <sz val="9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alignment wrapText="1"/>
    </dxf>
    <dxf>
      <alignment wrapText="1"/>
    </dxf>
    <dxf>
      <alignment wrapText="1"/>
    </dxf>
    <dxf>
      <font>
        <sz val="10"/>
      </font>
    </dxf>
    <dxf>
      <font>
        <sz val="10"/>
      </font>
    </dxf>
    <dxf>
      <font>
        <sz val="10"/>
      </font>
    </dxf>
    <dxf>
      <alignment wrapText="1"/>
    </dxf>
    <dxf>
      <alignment wrapText="1"/>
    </dxf>
    <dxf>
      <alignment wrapText="1"/>
    </dxf>
    <dxf>
      <numFmt numFmtId="13" formatCode="0%"/>
    </dxf>
    <dxf>
      <numFmt numFmtId="14" formatCode="0.00%"/>
    </dxf>
    <dxf>
      <alignment horizontal="center"/>
    </dxf>
    <dxf>
      <numFmt numFmtId="13" formatCode="0%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/>
    </dxf>
    <dxf>
      <alignment wrapText="1"/>
    </dxf>
    <dxf>
      <alignment wrapText="1"/>
    </dxf>
    <dxf>
      <alignment wrapText="1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/>
    </dxf>
    <dxf>
      <alignment wrapText="1"/>
    </dxf>
    <dxf>
      <alignment wrapText="1"/>
    </dxf>
    <dxf>
      <alignment wrapText="1"/>
    </dxf>
    <dxf>
      <numFmt numFmtId="13" formatCode="0%"/>
    </dxf>
    <dxf>
      <numFmt numFmtId="14" formatCode="0.00%"/>
    </dxf>
    <dxf>
      <alignment horizontal="center"/>
    </dxf>
    <dxf>
      <numFmt numFmtId="13" formatCode="0%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/>
    </dxf>
    <dxf>
      <alignment wrapText="1"/>
    </dxf>
    <dxf>
      <alignment wrapText="1"/>
    </dxf>
    <dxf>
      <alignment wrapText="1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/>
    </dxf>
    <dxf>
      <alignment wrapText="1"/>
    </dxf>
    <dxf>
      <alignment wrapText="1"/>
    </dxf>
    <dxf>
      <alignment wrapText="1"/>
    </dxf>
    <dxf>
      <numFmt numFmtId="13" formatCode="0%"/>
    </dxf>
    <dxf>
      <numFmt numFmtId="14" formatCode="0.00%"/>
    </dxf>
    <dxf>
      <alignment horizontal="center"/>
    </dxf>
    <dxf>
      <numFmt numFmtId="13" formatCode="0%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/>
    </dxf>
    <dxf>
      <alignment wrapText="1"/>
    </dxf>
    <dxf>
      <alignment wrapText="1"/>
    </dxf>
    <dxf>
      <alignment wrapText="1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/>
    </dxf>
    <dxf>
      <alignment wrapText="1"/>
    </dxf>
    <dxf>
      <alignment wrapText="1"/>
    </dxf>
    <dxf>
      <alignment wrapText="1"/>
    </dxf>
    <dxf>
      <font>
        <sz val="9"/>
      </font>
    </dxf>
    <dxf>
      <numFmt numFmtId="13" formatCode="0%"/>
    </dxf>
    <dxf>
      <numFmt numFmtId="14" formatCode="0.00%"/>
    </dxf>
    <dxf>
      <alignment horizontal="center"/>
    </dxf>
    <dxf>
      <numFmt numFmtId="13" formatCode="0%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/>
    </dxf>
    <dxf>
      <alignment wrapText="1"/>
    </dxf>
    <dxf>
      <alignment wrapText="1"/>
    </dxf>
    <dxf>
      <alignment wrapText="1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/>
    </dxf>
    <dxf>
      <alignment wrapText="1"/>
    </dxf>
    <dxf>
      <alignment wrapText="1"/>
    </dxf>
    <dxf>
      <alignment wrapText="1"/>
    </dxf>
    <dxf>
      <numFmt numFmtId="13" formatCode="0%"/>
    </dxf>
    <dxf>
      <numFmt numFmtId="14" formatCode="0.00%"/>
    </dxf>
    <dxf>
      <alignment horizontal="center"/>
    </dxf>
    <dxf>
      <numFmt numFmtId="13" formatCode="0%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0.0%"/>
    </dxf>
    <dxf>
      <alignment wrapText="1"/>
    </dxf>
    <dxf>
      <alignment wrapText="1"/>
    </dxf>
    <dxf>
      <alignment wrapText="1"/>
    </dxf>
    <dxf>
      <alignment wrapText="1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/>
    </dxf>
    <dxf>
      <alignment wrapText="1"/>
    </dxf>
    <dxf>
      <alignment wrapText="1"/>
    </dxf>
    <dxf>
      <alignment wrapText="1"/>
    </dxf>
    <dxf>
      <numFmt numFmtId="13" formatCode="0%"/>
    </dxf>
    <dxf>
      <numFmt numFmtId="14" formatCode="0.00%"/>
    </dxf>
    <dxf>
      <alignment horizontal="center"/>
    </dxf>
    <dxf>
      <numFmt numFmtId="13" formatCode="0%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/>
    </dxf>
    <dxf>
      <alignment wrapText="1"/>
    </dxf>
    <dxf>
      <alignment wrapText="1"/>
    </dxf>
    <dxf>
      <alignment wrapText="1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/>
    </dxf>
    <dxf>
      <alignment wrapText="1"/>
    </dxf>
    <dxf>
      <alignment wrapText="1"/>
    </dxf>
    <dxf>
      <alignment wrapText="1"/>
    </dxf>
    <dxf>
      <numFmt numFmtId="13" formatCode="0%"/>
    </dxf>
    <dxf>
      <numFmt numFmtId="14" formatCode="0.00%"/>
    </dxf>
    <dxf>
      <alignment horizontal="center"/>
    </dxf>
    <dxf>
      <numFmt numFmtId="13" formatCode="0%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/>
    </dxf>
    <dxf>
      <alignment wrapText="1"/>
    </dxf>
    <dxf>
      <alignment wrapText="1"/>
    </dxf>
    <dxf>
      <alignment wrapText="1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/>
    </dxf>
    <dxf>
      <alignment wrapText="1"/>
    </dxf>
    <dxf>
      <alignment wrapText="1"/>
    </dxf>
    <dxf>
      <alignment wrapText="1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3" formatCode="0%"/>
    </dxf>
    <dxf>
      <numFmt numFmtId="14" formatCode="0.00%"/>
    </dxf>
    <dxf>
      <alignment horizontal="center"/>
    </dxf>
    <dxf>
      <numFmt numFmtId="13" formatCode="0%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/>
    </dxf>
    <dxf>
      <alignment wrapText="1"/>
    </dxf>
    <dxf>
      <alignment wrapText="1"/>
    </dxf>
    <dxf>
      <alignment wrapText="1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/>
    </dxf>
    <dxf>
      <alignment wrapText="1"/>
    </dxf>
    <dxf>
      <alignment wrapText="1"/>
    </dxf>
    <dxf>
      <alignment wrapText="1"/>
    </dxf>
    <dxf>
      <font>
        <sz val="9"/>
      </font>
    </dxf>
    <dxf>
      <font>
        <sz val="9"/>
      </font>
    </dxf>
    <dxf>
      <font>
        <sz val="9"/>
      </font>
    </dxf>
    <dxf>
      <numFmt numFmtId="13" formatCode="0%"/>
    </dxf>
    <dxf>
      <numFmt numFmtId="14" formatCode="0.00%"/>
    </dxf>
    <dxf>
      <alignment horizontal="center"/>
    </dxf>
    <dxf>
      <numFmt numFmtId="13" formatCode="0%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/>
    </dxf>
    <dxf>
      <alignment wrapText="1"/>
    </dxf>
    <dxf>
      <alignment wrapText="1"/>
    </dxf>
    <dxf>
      <alignment wrapText="1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/>
    </dxf>
    <dxf>
      <alignment wrapText="1"/>
    </dxf>
    <dxf>
      <alignment wrapText="1"/>
    </dxf>
    <dxf>
      <alignment wrapText="1"/>
    </dxf>
    <dxf>
      <numFmt numFmtId="13" formatCode="0%"/>
    </dxf>
    <dxf>
      <numFmt numFmtId="14" formatCode="0.00%"/>
    </dxf>
    <dxf>
      <alignment horizontal="center"/>
    </dxf>
    <dxf>
      <numFmt numFmtId="13" formatCode="0%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/>
    </dxf>
    <dxf>
      <alignment wrapText="1"/>
    </dxf>
    <dxf>
      <alignment wrapText="1"/>
    </dxf>
    <dxf>
      <font>
        <sz val="10"/>
      </font>
    </dxf>
    <dxf>
      <font>
        <sz val="10"/>
      </font>
    </dxf>
    <dxf>
      <font>
        <sz val="10"/>
      </font>
    </dxf>
    <dxf>
      <alignment wrapText="1"/>
    </dxf>
    <dxf>
      <alignment wrapText="1"/>
    </dxf>
    <dxf>
      <alignment wrapText="1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3" formatCode="0%"/>
    </dxf>
    <dxf>
      <numFmt numFmtId="14" formatCode="0.00%"/>
    </dxf>
    <dxf>
      <alignment horizontal="center"/>
    </dxf>
    <dxf>
      <numFmt numFmtId="13" formatCode="0%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/>
    </dxf>
    <dxf>
      <alignment wrapText="1"/>
    </dxf>
    <dxf>
      <alignment wrapText="1"/>
    </dxf>
    <dxf>
      <alignment wrapText="1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/>
    </dxf>
    <dxf>
      <alignment wrapText="1"/>
    </dxf>
    <dxf>
      <alignment wrapText="1"/>
    </dxf>
    <dxf>
      <alignment wrapText="1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3" formatCode="0%"/>
    </dxf>
    <dxf>
      <numFmt numFmtId="14" formatCode="0.00%"/>
    </dxf>
    <dxf>
      <alignment horizontal="center"/>
    </dxf>
    <dxf>
      <numFmt numFmtId="13" formatCode="0%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/>
    </dxf>
    <dxf>
      <alignment wrapText="1"/>
    </dxf>
    <dxf>
      <alignment wrapText="1"/>
    </dxf>
    <dxf>
      <alignment wrapText="1"/>
    </dxf>
    <dxf>
      <font>
        <sz val="10"/>
      </font>
    </dxf>
    <dxf>
      <font>
        <sz val="10"/>
      </font>
    </dxf>
    <dxf>
      <font>
        <sz val="10"/>
      </font>
    </dxf>
    <dxf>
      <alignment wrapText="1"/>
    </dxf>
    <dxf>
      <alignment wrapText="1"/>
    </dxf>
    <dxf>
      <alignment wrapText="1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3" formatCode="0%"/>
    </dxf>
    <dxf>
      <numFmt numFmtId="14" formatCode="0.00%"/>
    </dxf>
    <dxf>
      <alignment horizontal="center"/>
    </dxf>
    <dxf>
      <numFmt numFmtId="13" formatCode="0%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/>
    </dxf>
    <dxf>
      <alignment wrapText="1"/>
    </dxf>
    <dxf>
      <alignment wrapText="1"/>
    </dxf>
    <dxf>
      <alignment wrapText="1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/>
    </dxf>
    <dxf>
      <alignment wrapText="1"/>
    </dxf>
    <dxf>
      <alignment wrapText="1"/>
    </dxf>
    <dxf>
      <alignment wrapText="1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3" formatCode="0%"/>
    </dxf>
    <dxf>
      <numFmt numFmtId="14" formatCode="0.00%"/>
    </dxf>
    <dxf>
      <alignment horizontal="center"/>
    </dxf>
    <dxf>
      <numFmt numFmtId="13" formatCode="0%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/>
    </dxf>
    <dxf>
      <alignment wrapText="1"/>
    </dxf>
    <dxf>
      <alignment wrapText="1"/>
    </dxf>
    <dxf>
      <alignment wrapText="1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/>
    </dxf>
    <dxf>
      <alignment wrapText="1"/>
    </dxf>
    <dxf>
      <alignment wrapText="1"/>
    </dxf>
    <dxf>
      <alignment wrapText="1"/>
    </dxf>
    <dxf>
      <font>
        <sz val="9"/>
      </font>
    </dxf>
    <dxf>
      <font>
        <sz val="9"/>
      </font>
    </dxf>
    <dxf>
      <numFmt numFmtId="13" formatCode="0%"/>
    </dxf>
    <dxf>
      <numFmt numFmtId="14" formatCode="0.00%"/>
    </dxf>
    <dxf>
      <alignment horizontal="center"/>
    </dxf>
    <dxf>
      <numFmt numFmtId="13" formatCode="0%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/>
    </dxf>
    <dxf>
      <alignment wrapText="1"/>
    </dxf>
    <dxf>
      <alignment wrapText="1"/>
    </dxf>
    <dxf>
      <alignment wrapText="1"/>
    </dxf>
    <dxf>
      <font>
        <sz val="10"/>
      </font>
    </dxf>
    <dxf>
      <font>
        <sz val="10"/>
      </font>
    </dxf>
    <dxf>
      <font>
        <sz val="10"/>
      </font>
    </dxf>
    <dxf>
      <alignment wrapText="1"/>
    </dxf>
    <dxf>
      <alignment wrapText="1"/>
    </dxf>
    <dxf>
      <alignment wrapText="1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3" formatCode="0%"/>
    </dxf>
    <dxf>
      <numFmt numFmtId="14" formatCode="0.00%"/>
    </dxf>
    <dxf>
      <alignment horizontal="center"/>
    </dxf>
    <dxf>
      <numFmt numFmtId="13" formatCode="0%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sz val="10"/>
      </font>
    </dxf>
    <dxf>
      <font>
        <sz val="10"/>
      </font>
    </dxf>
    <dxf>
      <alignment wrapText="1"/>
    </dxf>
    <dxf>
      <alignment wrapText="1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/>
    </dxf>
    <dxf>
      <alignment wrapText="1"/>
    </dxf>
    <dxf>
      <alignment wrapText="1"/>
    </dxf>
    <dxf>
      <alignment wrapText="1"/>
    </dxf>
    <dxf>
      <numFmt numFmtId="13" formatCode="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alignment horizontal="center"/>
    </dxf>
    <dxf>
      <numFmt numFmtId="13" formatCode="0%"/>
    </dxf>
    <dxf>
      <numFmt numFmtId="14" formatCode="0.00%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9" formatCode="dd/mm/yy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b/>
      </font>
    </dxf>
    <dxf>
      <numFmt numFmtId="0" formatCode="General"/>
    </dxf>
    <dxf>
      <alignment horizontal="center"/>
    </dxf>
    <dxf>
      <numFmt numFmtId="13" formatCode="0%"/>
    </dxf>
    <dxf>
      <numFmt numFmtId="14" formatCode="0.00%"/>
    </dxf>
    <dxf>
      <font>
        <sz val="9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/>
    </dxf>
    <dxf>
      <font>
        <sz val="9"/>
      </font>
    </dxf>
    <dxf>
      <font>
        <sz val="11"/>
      </font>
    </dxf>
    <dxf>
      <font>
        <sz val="11"/>
      </font>
    </dxf>
    <dxf>
      <font>
        <sz val="11"/>
      </font>
    </dxf>
    <dxf>
      <fill>
        <patternFill patternType="none">
          <bgColor auto="1"/>
        </patternFill>
      </fill>
    </dxf>
    <dxf>
      <alignment vertical="center"/>
    </dxf>
    <dxf>
      <numFmt numFmtId="0" formatCode="General"/>
    </dxf>
    <dxf>
      <alignment horizontal="center"/>
    </dxf>
    <dxf>
      <numFmt numFmtId="13" formatCode="0%"/>
    </dxf>
    <dxf>
      <numFmt numFmtId="14" formatCode="0.00%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0" formatCode="General"/>
    </dxf>
    <dxf>
      <alignment horizontal="center"/>
    </dxf>
    <dxf>
      <numFmt numFmtId="13" formatCode="0%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0" formatCode="General"/>
    </dxf>
    <dxf>
      <alignment horizontal="center"/>
    </dxf>
    <dxf>
      <numFmt numFmtId="13" formatCode="0%"/>
    </dxf>
    <dxf>
      <font>
        <sz val="9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/>
    </dxf>
    <dxf>
      <font>
        <sz val="9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0.0%"/>
    </dxf>
    <dxf>
      <alignment horizontal="center"/>
    </dxf>
    <dxf>
      <border>
        <right style="medium">
          <color indexed="64"/>
        </right>
        <bottom style="medium">
          <color indexed="64"/>
        </bottom>
      </border>
    </dxf>
    <dxf>
      <numFmt numFmtId="14" formatCode="0.0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3" formatCode="0%"/>
    </dxf>
    <dxf>
      <alignment horizontal="center"/>
    </dxf>
    <dxf>
      <numFmt numFmtId="14" formatCode="0.00%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numFmt numFmtId="13" formatCode="0%"/>
    </dxf>
    <dxf>
      <numFmt numFmtId="14" formatCode="0.00%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numFmt numFmtId="13" formatCode="0%"/>
    </dxf>
    <dxf>
      <numFmt numFmtId="14" formatCode="0.00%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0" formatCode="General"/>
    </dxf>
    <dxf>
      <alignment horizontal="center"/>
    </dxf>
    <dxf>
      <numFmt numFmtId="13" formatCode="0%"/>
    </dxf>
  </dxfs>
  <tableStyles count="0" defaultTableStyle="TableStyleMedium9" defaultPivotStyle="PivotStyleMedium4"/>
  <colors>
    <mruColors>
      <color rgb="FFA6D8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kesh Kumar" refreshedDate="46050.538203009259" createdVersion="8" refreshedVersion="8" minRefreshableVersion="3" recordCount="910" xr:uid="{5A6A36C5-3872-4FE5-B36C-5FA2BCF25297}">
  <cacheSource type="worksheet">
    <worksheetSource name="Table1"/>
  </cacheSource>
  <cacheFields count="52">
    <cacheField name="Sample ID" numFmtId="0">
      <sharedItems/>
    </cacheField>
    <cacheField name="Date" numFmtId="14">
      <sharedItems containsSemiMixedTypes="0" containsNonDate="0" containsDate="1" containsString="0" minDate="2026-01-19T00:00:00" maxDate="2026-01-29T00:00:00" count="10"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</sharedItems>
    </cacheField>
    <cacheField name="Timestamp" numFmtId="0">
      <sharedItems/>
    </cacheField>
    <cacheField name="Location" numFmtId="0">
      <sharedItems/>
    </cacheField>
    <cacheField name="Address" numFmtId="0">
      <sharedItems/>
    </cacheField>
    <cacheField name="Surveyor" numFmtId="0">
      <sharedItems count="7">
        <s v="Kumpatla venkata satya suryamohan rao"/>
        <s v="krishna"/>
        <s v="ITABATHULA BHASKAR RAO"/>
        <s v="aithabattula venkateswararao"/>
        <s v="T Obulesu"/>
        <s v="Bommappagari Obulapathi"/>
        <s v="Nageswararao Nukala"/>
      </sharedItems>
    </cacheField>
    <cacheField name="Company" numFmtId="0">
      <sharedItems/>
    </cacheField>
    <cacheField name="Audio URL" numFmtId="0">
      <sharedItems/>
    </cacheField>
    <cacheField name="Caste" numFmtId="0">
      <sharedItems count="11">
        <s v="Mala"/>
        <s v="Settibalija"/>
        <s v="Kapu"/>
        <s v="Kshatriya/Rajulu"/>
        <s v="Padmasali/Devanga"/>
        <s v="Rajaka"/>
        <s v="Agnikulakshatriya"/>
        <s v="Adi Andhra"/>
        <s v="Madiga"/>
        <s v="Yadava"/>
        <s v="Brahmin"/>
      </sharedItems>
    </cacheField>
    <cacheField name="Taluka" numFmtId="0">
      <sharedItems count="4">
        <s v="MALIKIPURAM"/>
        <s v="RAZOLE"/>
        <s v="MAMIDIKUDURU_PART"/>
        <s v="SAKHINETIPALLE"/>
      </sharedItems>
    </cacheField>
    <cacheField name="Locality" numFmtId="0">
      <sharedItems count="21">
        <s v="LAKKAVARAM"/>
        <s v="RAZOLE"/>
        <s v="PEDAPATNAM"/>
        <s v="B.DODDAVARAM"/>
        <s v="PEDAPATNAM LANKA"/>
        <s v="PASARLAPUDI LANKA"/>
        <s v="SAKINETIPALLE"/>
        <s v="GONDI"/>
        <s v="ANTARVEDIPALEM"/>
        <s v="ANTARVEDI"/>
        <s v="TATIPAKA"/>
        <s v="TURPUPALEM"/>
        <s v="KESAVADASUPALEM"/>
        <s v="VUYYURIVARI MERAKA"/>
        <s v="GUDAPALLI"/>
        <s v="KADALI"/>
        <s v="MALIKIPURAM"/>
        <s v="PONNAMANDA"/>
        <s v="KATRENIPADU"/>
        <s v="SIVAKODU"/>
        <s v="CHINTALAPALLE"/>
      </sharedItems>
    </cacheField>
    <cacheField name="Q13: వృత్తి" numFmtId="0">
      <sharedItems count="9">
        <s v="కార్మిక/రోజువారీ కూలీ"/>
        <s v="వ్యాపారం"/>
        <s v="ప్రైవేట్ ఉద్యోగం"/>
        <s v="వ్యవసాయం"/>
        <s v="నిరుద్యోగి"/>
        <s v="విద్యార్థి"/>
        <s v="గృహిణి"/>
        <s v="ప్రభుత్వ ఉద్యోగం"/>
        <s v="వృద్ధులు"/>
      </sharedItems>
    </cacheField>
    <cacheField name="Q14: మతం" numFmtId="0">
      <sharedItems/>
    </cacheField>
    <cacheField name="Q15: వయసు" numFmtId="0">
      <sharedItems count="5">
        <s v="41-59"/>
        <s v="26-40"/>
        <s v="60+"/>
        <s v="18-25"/>
        <s v="No response"/>
      </sharedItems>
    </cacheField>
    <cacheField name="Q16: మీ పేరు" numFmtId="0">
      <sharedItems/>
    </cacheField>
    <cacheField name="Q17: మీ ఫోన్ నంబర్" numFmtId="0">
      <sharedItems containsMixedTypes="1" containsNumber="1" containsInteger="1" minValue="0" maxValue="99999999999999"/>
    </cacheField>
    <cacheField name="Q18: Gender" numFmtId="0">
      <sharedItems count="3">
        <s v="Male"/>
        <s v="Female"/>
        <s v="No response"/>
      </sharedItems>
    </cacheField>
    <cacheField name="Q1: స్థానికంగా మీకున్న ప్రధానమైన సమస్యలు ఏమిటి?" numFmtId="0">
      <sharedItems count="6">
        <s v="సాగునీరు"/>
        <s v="కరెంట్"/>
        <s v="డ్రైనేజి"/>
        <s v="రోడ్లు"/>
        <s v="త్రాగునీరు"/>
        <s v="సమస్యలు లేవు"/>
      </sharedItems>
    </cacheField>
    <cacheField name="Q2: మీ ఎమ్మెల్యే గారి పనితీరు ఎలాగా ఉంది?" numFmtId="0">
      <sharedItems count="3">
        <s v="ఏమి చెప్పలేను"/>
        <s v="బాగుంది"/>
        <s v="బాగాలేదు"/>
      </sharedItems>
    </cacheField>
    <cacheField name="Q3: చంద్రబాబు నాయుడు గారి ప్రభుత్వ పనితీరు పై మీ అభిప్రాయం?" numFmtId="0">
      <sharedItems count="2">
        <s v="బాగాలేదు"/>
        <s v="బాగుంది"/>
      </sharedItems>
    </cacheField>
    <cacheField name="Q4: సూపర్ 6/7 పధకాలు ఎన్నికల ముందు చెప్పినట్లు గా అమలుఅవుతున్నాయా?" numFmtId="0">
      <sharedItems count="2">
        <s v="అమలవడం లేదు"/>
        <s v="అమలుఅవుతున్నాయి"/>
      </sharedItems>
    </cacheField>
    <cacheField name="Q5: సంక్షేమ పధకాలు ఎవరి హయాంలో బాగా అమలు అయ్యాయి అని మీరు అనుకుంటున్నారు?" numFmtId="0">
      <sharedItems count="2">
        <s v="జగన్ మోహన్ రెడ్డి గారు"/>
        <s v="చంద్రబాబు  నాయుడు గారు"/>
      </sharedItems>
    </cacheField>
    <cacheField name="Q6: మీ ద్రుష్టి లో అభివృద్ధి అంటే ముఖ్యంగా ఏమిటి (మీకు మ్రుఖ్యమైన 3 చెప్పండి)?" numFmtId="0">
      <sharedItems/>
    </cacheField>
    <cacheField name="Q7: అభివృద్ధి కార్యక్రమాలు ఎవరి హయాంలో బాగా జరిగాయి అని మీరు భావిస్తున్నారు?" numFmtId="0">
      <sharedItems count="2">
        <s v="జగన్ మోహన్ రెడ్డి గారు"/>
        <s v="చంద్రబాబు  నాయుడు గారు"/>
      </sharedItems>
    </cacheField>
    <cacheField name="Q8: గత ఎన్నికలలో వేసిన ఓటు పై మీ అభిప్రాయం ఏమిటి?" numFmtId="0">
      <sharedItems count="3">
        <s v="సరైన పార్టీకి వేసాను"/>
        <s v="మార్చుకునే అవకాశం ఉంటే వేరే పార్టీకి వేసేవాడిని"/>
        <s v="ఏమో ఇప్పుడే చెప్పలేను"/>
      </sharedItems>
    </cacheField>
    <cacheField name="Q9: 2029 లో/ ఇప్పటికి ఇప్పుడు ఎన్నికలు జరిగితే మీరు ఏ పార్టీకి ఓటు వేస్తారు ?" numFmtId="0">
      <sharedItems count="4">
        <s v="YSRCP (వైఎస్‌ఆర్‌సీపీ)"/>
        <s v="TDP/JSP/BJP (కూటమి"/>
        <s v="Others (ఇతరులు)"/>
        <s v="INC (కాంగ్రెస్)" u="1"/>
      </sharedItems>
    </cacheField>
    <cacheField name="Q10: మీరు 2024 అసెంబ్లీ ఎన్నికలో ఏ పార్టీ కి వోట్ వేశారు?" numFmtId="0">
      <sharedItems count="5">
        <s v="YSRCP (వైఎస్‌ఆర్‌సీపీ)"/>
        <s v="TDP/JSP/BJP (కూటమి)"/>
        <s v="Others (ఇతరులు)"/>
        <s v="Did Not Vote"/>
        <s v="INC (కాంగ్రెస్)"/>
      </sharedItems>
    </cacheField>
    <cacheField name="Q11: YSRCP నియోజకవర్గ  ఇంచార్జి(Gollalapalli Surya Rao) అందుబాటులో ఉంటున్నారా?" numFmtId="0">
      <sharedItems count="4">
        <s v="ఉన్నారు, వారినే కొనసాగించాలి"/>
        <s v="No response"/>
        <s v="లేరు, వారిని మార్చాలి"/>
        <s v="నాకు తెలీదు/ ఏమి చెప్పలేను"/>
      </sharedItems>
    </cacheField>
    <cacheField name="Q12: ఒకవేళ YSRCP నియోజకవర్గ ఇంచార్జి ని మార్చాల్సి వస్తే ఎవరైతే బాగుంటుంది అని మీరు భావిస్తున్నారు? (ఈ ప్రశ్న 2024 అసెంబ్లీ ఎన్నికలో YSRCPకి ఓటు వేసినవారికి మాత్రమే చూపించబడుతుంది)" numFmtId="0">
      <sharedItems count="6">
        <s v="Gollapalli Surya Rao"/>
        <s v="No response"/>
        <s v="Pamula Rajeswari Devi"/>
        <s v="Gollapalli Sridhar"/>
        <s v="Matta Sailaja Ravi Kumar"/>
        <s v="Balla Prasanna Kumari"/>
      </sharedItems>
    </cacheField>
    <cacheField name="QC Username" numFmtId="0">
      <sharedItems containsMixedTypes="1" containsNumber="1" containsInteger="1" minValue="0" maxValue="0"/>
    </cacheField>
    <cacheField name="QC Comment" numFmtId="0">
      <sharedItems containsMixedTypes="1" containsNumber="1" containsInteger="1" minValue="0" maxValue="0"/>
    </cacheField>
    <cacheField name="QC Remark" numFmtId="0">
      <sharedItems containsMixedTypes="1" containsNumber="1" containsInteger="1" minValue="0" maxValue="0"/>
    </cacheField>
    <cacheField name="Valid or Not" numFmtId="0">
      <sharedItems count="3">
        <s v="Valid"/>
        <s v="Not Valid"/>
        <e v="#N/A" u="1"/>
      </sharedItems>
    </cacheField>
    <cacheField name="Caste Factor" numFmtId="0">
      <sharedItems containsSemiMixedTypes="0" containsString="0" containsNumber="1" minValue="0.80207032429970992" maxValue="2.1852575402829908"/>
    </cacheField>
    <cacheField name="2024 Factor" numFmtId="0">
      <sharedItems containsSemiMixedTypes="0" containsString="0" containsNumber="1" minValue="0.66153846153846207" maxValue="1.8055837563451775"/>
    </cacheField>
    <cacheField name="Multi Factor" numFmtId="0">
      <sharedItems containsMixedTypes="1" containsNumber="1" minValue="0.33613637727235079" maxValue="6.4117064670194024"/>
    </cacheField>
    <cacheField name="Gender factor" numFmtId="0">
      <sharedItems containsMixedTypes="1" containsNumber="1" minValue="0.85034013605442171" maxValue="2.1645021645021645"/>
    </cacheField>
    <cacheField name="Mandal Factor" numFmtId="0">
      <sharedItems containsSemiMixedTypes="0" containsString="0" containsNumber="1" minValue="0.75433779645928134" maxValue="1.9264642089343564"/>
    </cacheField>
    <cacheField name="Factor_1" numFmtId="0">
      <sharedItems containsMixedTypes="1" containsNumber="1" minValue="0.50811312843494849" maxValue="3.5510435029598604"/>
    </cacheField>
    <cacheField name="Factor_2" numFmtId="0">
      <sharedItems containsMixedTypes="1" containsNumber="1" minValue="0" maxValue="25.80164641806067"/>
    </cacheField>
    <cacheField name="Satis" numFmtId="0">
      <sharedItems containsSemiMixedTypes="0" containsString="0" containsNumber="1" containsInteger="1" minValue="-1" maxValue="1"/>
    </cacheField>
    <cacheField name="Sch Sat" numFmtId="0">
      <sharedItems containsSemiMixedTypes="0" containsString="0" containsNumber="1" containsInteger="1" minValue="-1" maxValue="1"/>
    </cacheField>
    <cacheField name="Wel" numFmtId="0">
      <sharedItems containsSemiMixedTypes="0" containsString="0" containsNumber="1" containsInteger="1" minValue="-1" maxValue="1"/>
    </cacheField>
    <cacheField name="Dev" numFmtId="0">
      <sharedItems containsSemiMixedTypes="0" containsString="0" containsNumber="1" containsInteger="1" minValue="-1" maxValue="1"/>
    </cacheField>
    <cacheField name="24" numFmtId="0">
      <sharedItems containsSemiMixedTypes="0" containsString="0" containsNumber="1" containsInteger="1" minValue="-1" maxValue="1"/>
    </cacheField>
    <cacheField name="29" numFmtId="0">
      <sharedItems containsSemiMixedTypes="0" containsString="0" containsNumber="1" containsInteger="1" minValue="-1" maxValue="1"/>
    </cacheField>
    <cacheField name="Core Cal" numFmtId="0">
      <sharedItems containsSemiMixedTypes="0" containsString="0" containsNumber="1" minValue="-5.5" maxValue="5.5"/>
    </cacheField>
    <cacheField name="Hard Core Score" numFmtId="0">
      <sharedItems containsSemiMixedTypes="0" containsString="0" containsNumber="1" containsInteger="1" minValue="-6" maxValue="6"/>
    </cacheField>
    <cacheField name="Sympethiser1  Score" numFmtId="0">
      <sharedItems containsSemiMixedTypes="0" containsString="0" containsNumber="1" containsInteger="1" minValue="-5" maxValue="5"/>
    </cacheField>
    <cacheField name="Sympethiser 2 Score" numFmtId="0">
      <sharedItems containsSemiMixedTypes="0" containsString="0" containsNumber="1" containsInteger="1" minValue="-4" maxValue="4"/>
    </cacheField>
    <cacheField name="Neutral Score" numFmtId="0">
      <sharedItems containsMixedTypes="1" containsNumber="1" containsInteger="1" minValue="-3" maxValue="3"/>
    </cacheField>
    <cacheField name="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0">
  <r>
    <s v="bcd15c14-125b-48b2-a857-8992a52f6a22"/>
    <x v="0"/>
    <s v="1/19/2026, 10:53:11 AM"/>
    <s v="16.535880, 81.944867"/>
    <s v="GWPV+MV3, Botlakurru Doddavaram, Andhra Pradesh, India"/>
    <x v="0"/>
    <s v="Naeem"/>
    <s v="http://164.52.221.216/localmedia/media/surveys/samples/recording_2026-01-19_10-47-30_samples_WIgA6Z2O6U.mp4"/>
    <x v="0"/>
    <x v="0"/>
    <x v="0"/>
    <x v="0"/>
    <s v="హిందూ"/>
    <x v="0"/>
    <s v="Sivaramakrishnan.thadi"/>
    <n v="9550492165"/>
    <x v="0"/>
    <x v="0"/>
    <x v="0"/>
    <x v="0"/>
    <x v="0"/>
    <x v="0"/>
    <s v="విద్య రంగం అభివృద్ధి చేయటం, ఆరోగ్య రంగం అభివృద్ధి చేయటం, సంక్షేమ పథకాలు (నగదు)"/>
    <x v="0"/>
    <x v="0"/>
    <x v="0"/>
    <x v="0"/>
    <x v="0"/>
    <x v="0"/>
    <s v="Bhagya"/>
    <s v="Correctly Done"/>
    <s v="Incharge -Rambabu??"/>
    <x v="0"/>
    <n v="1.3836274505214585"/>
    <n v="1.8055837563451775"/>
    <n v="1.9482662206881376"/>
    <n v="0.85034013605442171"/>
    <n v="1.9264642089343564"/>
    <n v="1.0790228998469584"/>
    <n v="2.1355167697651956"/>
    <n v="1"/>
    <n v="1"/>
    <n v="1"/>
    <n v="1"/>
    <n v="1"/>
    <n v="1"/>
    <n v="5.5"/>
    <n v="6"/>
    <n v="5"/>
    <n v="4"/>
    <n v="3"/>
    <s v="YSRCP HardCore"/>
  </r>
  <r>
    <s v="45c3ab84-6136-4d54-9601-544bdb5d7c6d"/>
    <x v="0"/>
    <s v="1/19/2026, 11:06:27 AM"/>
    <s v="16.537167, 81.944575"/>
    <s v="GWPV+MV3, Botlakurru Doddavaram, Andhra Pradesh, India"/>
    <x v="0"/>
    <s v="Naeem"/>
    <s v="http://164.52.221.216/localmedia/media/surveys/samples/recording_2026-01-19_11-01-53_samples_ly90HBESLu.mp4"/>
    <x v="1"/>
    <x v="0"/>
    <x v="0"/>
    <x v="1"/>
    <s v="హిందూ"/>
    <x v="0"/>
    <s v="kudupudi.kkrihna"/>
    <n v="8790918772"/>
    <x v="0"/>
    <x v="0"/>
    <x v="1"/>
    <x v="1"/>
    <x v="1"/>
    <x v="1"/>
    <s v="ఉద్యొగ్య అవకాశాలు కల్పించటం, శాంతి భద్రతలను కాపాడటం, ఆరోగ్య రంగం అభివృద్ధి చేయటం"/>
    <x v="1"/>
    <x v="0"/>
    <x v="1"/>
    <x v="1"/>
    <x v="1"/>
    <x v="1"/>
    <s v="Bhagya"/>
    <s v="Correctly Done"/>
    <s v="Not asking the question as it is in the questionnaire"/>
    <x v="0"/>
    <n v="1.1705128247062893"/>
    <n v="1.0795332136445241"/>
    <n v="0.86308903171383233"/>
    <n v="0.85034013605442171"/>
    <n v="1.9264642089343564"/>
    <n v="0.79950206330384943"/>
    <n v="1.1572126985895925"/>
    <n v="-1"/>
    <n v="-1"/>
    <n v="-1"/>
    <n v="-1"/>
    <n v="-1"/>
    <n v="-1"/>
    <n v="-5.5"/>
    <n v="-6"/>
    <n v="-5"/>
    <n v="-4"/>
    <n v="-3"/>
    <s v="TDP HardCore"/>
  </r>
  <r>
    <s v="5b87a98e-34d1-4f46-bded-b50856d41691"/>
    <x v="0"/>
    <s v="1/19/2026, 9:13:52 AM"/>
    <s v="16.628410, 80.582359"/>
    <s v="JHHM+94J Mulla Manzil, Kavuluru, Andhra Pradesh, India"/>
    <x v="1"/>
    <s v="Naeem"/>
    <s v="http://164.52.221.216/localmedia/media/surveys/samples/recording_2026-01-19_09-06-08_samples_05T440VZk7.mp4"/>
    <x v="0"/>
    <x v="1"/>
    <x v="1"/>
    <x v="2"/>
    <s v="హిందూ"/>
    <x v="0"/>
    <s v="krishna"/>
    <n v="0"/>
    <x v="0"/>
    <x v="1"/>
    <x v="1"/>
    <x v="1"/>
    <x v="1"/>
    <x v="1"/>
    <s v="రోడ్లు వేయటం"/>
    <x v="1"/>
    <x v="0"/>
    <x v="1"/>
    <x v="1"/>
    <x v="1"/>
    <x v="1"/>
    <s v="Bhagya"/>
    <s v="Correctly Done"/>
    <n v="0"/>
    <x v="0"/>
    <n v="1.3836274505214585"/>
    <n v="1.0795332136445241"/>
    <n v="1.1648410586678206"/>
    <n v="0.85034013605442171"/>
    <n v="1.1213131007097483"/>
    <n v="1.0790228998469584"/>
    <n v="0.90933567693352424"/>
    <n v="-1"/>
    <n v="-1"/>
    <n v="-1"/>
    <n v="-1"/>
    <n v="-1"/>
    <n v="-1"/>
    <n v="-5.5"/>
    <n v="-6"/>
    <n v="-5"/>
    <n v="-4"/>
    <n v="-3"/>
    <s v="TDP HardCore"/>
  </r>
  <r>
    <s v="fc0457dc-d165-4b76-99de-99c0cb3953a6"/>
    <x v="0"/>
    <s v="1/19/2026, 9:45:45 AM"/>
    <s v="16.574904, 81.921684"/>
    <s v="HWFC+WP9, Munjavarapukottu, Andhra Pradesh, India"/>
    <x v="0"/>
    <s v="Naeem"/>
    <s v="http://164.52.221.216/localmedia/media/surveys/samples/recording_2026-01-19_09-42-18_samples_XmxhOLnKVA.mp4"/>
    <x v="2"/>
    <x v="2"/>
    <x v="2"/>
    <x v="3"/>
    <s v="హిందూ"/>
    <x v="0"/>
    <s v="mohan"/>
    <n v="9912576664"/>
    <x v="0"/>
    <x v="2"/>
    <x v="1"/>
    <x v="1"/>
    <x v="1"/>
    <x v="1"/>
    <s v="రోడ్లు వేయటం, ఉద్యొగ్య అవకాశాలు కల్పించటం, శాంతి భద్రతలను కాపాడటం"/>
    <x v="1"/>
    <x v="0"/>
    <x v="1"/>
    <x v="1"/>
    <x v="1"/>
    <x v="1"/>
    <s v="Bhagya"/>
    <s v="Correctly Done"/>
    <n v="0"/>
    <x v="0"/>
    <n v="1.1461625511156397"/>
    <n v="1.0795332136445241"/>
    <n v="0.77721139583220644"/>
    <n v="0.85034013605442171"/>
    <n v="0.75433779645928134"/>
    <n v="0.71995135120329123"/>
    <n v="0.55527787174877274"/>
    <n v="-1"/>
    <n v="-1"/>
    <n v="-1"/>
    <n v="-1"/>
    <n v="-1"/>
    <n v="-1"/>
    <n v="-5.5"/>
    <n v="-6"/>
    <n v="-5"/>
    <n v="-4"/>
    <n v="-3"/>
    <s v="TDP HardCore"/>
  </r>
  <r>
    <s v="f8124df2-5ce1-40dd-938a-7b7e6403fea9"/>
    <x v="0"/>
    <s v="1/19/2026, 11:16:27 AM"/>
    <s v="16.533828, 81.946129"/>
    <s v="GWMW+G94, Botlakurru Doddavaram, Andhra Pradesh, India"/>
    <x v="0"/>
    <s v="Naeem"/>
    <s v="http://164.52.221.216/localmedia/media/surveys/samples/recording_2026-01-19_11-11-50_samples_zXAWLUUd8q.mp4"/>
    <x v="2"/>
    <x v="0"/>
    <x v="0"/>
    <x v="0"/>
    <s v="హిందూ"/>
    <x v="1"/>
    <s v="Rajesh.javadhi"/>
    <n v="7569733861"/>
    <x v="0"/>
    <x v="2"/>
    <x v="1"/>
    <x v="1"/>
    <x v="1"/>
    <x v="1"/>
    <s v="ఉద్యొగ్య అవకాశాలు కల్పించటం, ఆరోగ్య రంగం అభివృద్ధి చేయటం, సంక్షేమ పథకాలు (నగదు)"/>
    <x v="1"/>
    <x v="0"/>
    <x v="1"/>
    <x v="1"/>
    <x v="1"/>
    <x v="1"/>
    <s v="Bhagya"/>
    <s v="Correctly Done"/>
    <s v="Not asking the question as it is in the questionnaire"/>
    <x v="0"/>
    <n v="1.1461625511156397"/>
    <n v="1.0795332136445241"/>
    <n v="0.77721139583220644"/>
    <n v="0.85034013605442171"/>
    <n v="1.9264642089343564"/>
    <n v="0.71995135120329123"/>
    <n v="0.70534647283248642"/>
    <n v="-1"/>
    <n v="-1"/>
    <n v="-1"/>
    <n v="-1"/>
    <n v="-1"/>
    <n v="-1"/>
    <n v="-5.5"/>
    <n v="-6"/>
    <n v="-5"/>
    <n v="-4"/>
    <n v="-3"/>
    <s v="TDP HardCore"/>
  </r>
  <r>
    <s v="d273db79-6799-4a4d-9dbd-98c3a2d7cf60"/>
    <x v="0"/>
    <s v="1/19/2026, 11:30:08 AM"/>
    <s v="16.533690, 81.944754"/>
    <s v="GWMV+HH5, Botlakurru Doddavaram, Andhra Pradesh, India"/>
    <x v="0"/>
    <s v="Naeem"/>
    <s v="http://164.52.221.216/localmedia/media/surveys/samples/recording_2026-01-19_11-25-29_samples_qHtqmrQPeR.mp4"/>
    <x v="2"/>
    <x v="2"/>
    <x v="3"/>
    <x v="0"/>
    <s v="హిందూ"/>
    <x v="0"/>
    <s v="chithapali.timutuulu"/>
    <n v="6305386622"/>
    <x v="0"/>
    <x v="0"/>
    <x v="1"/>
    <x v="1"/>
    <x v="1"/>
    <x v="1"/>
    <s v="ఉద్యొగ్య అవకాశాలు కల్పించటం, శాంతి భద్రతలను కాపాడటం, సంక్షేమ పథకాలు (నగదు)"/>
    <x v="1"/>
    <x v="0"/>
    <x v="1"/>
    <x v="1"/>
    <x v="1"/>
    <x v="1"/>
    <s v="Bhagya"/>
    <s v="Not Doing It Properly"/>
    <s v="Mentioning that audio is being recorded"/>
    <x v="0"/>
    <n v="1.1461625511156397"/>
    <n v="1.0795332136445241"/>
    <n v="0.77721139583220644"/>
    <n v="0.85034013605442171"/>
    <n v="0.75433779645928134"/>
    <n v="0.71995135120329123"/>
    <n v="0.55527787174877274"/>
    <n v="-1"/>
    <n v="-1"/>
    <n v="-1"/>
    <n v="-1"/>
    <n v="-1"/>
    <n v="-1"/>
    <n v="-5.5"/>
    <n v="-6"/>
    <n v="-5"/>
    <n v="-4"/>
    <n v="-3"/>
    <s v="TDP HardCore"/>
  </r>
  <r>
    <s v="24cf4387-5dbe-4f83-923c-4b4592d2d9da"/>
    <x v="0"/>
    <s v="1/19/2026, 11:40:28 AM"/>
    <s v="16.533749, 81.943494"/>
    <s v="GWMV+9CG, Botlakurru Doddavaram, Andhra Pradesh, India"/>
    <x v="0"/>
    <s v="Naeem"/>
    <s v="http://164.52.221.216/localmedia/media/surveys/samples/recording_2026-01-19_11-35-53_samples_0sJjoeeTdj.mp4"/>
    <x v="2"/>
    <x v="2"/>
    <x v="3"/>
    <x v="0"/>
    <s v="హిందూ"/>
    <x v="2"/>
    <s v="kumpatala.sathanarayana"/>
    <n v="9963179215"/>
    <x v="0"/>
    <x v="0"/>
    <x v="1"/>
    <x v="1"/>
    <x v="0"/>
    <x v="1"/>
    <s v="ఉద్యొగ్య అవకాశాలు కల్పించటం, శాంతి భద్రతలను కాపాడటం, ఆరోగ్య రంగం అభివృద్ధి చేయటం"/>
    <x v="1"/>
    <x v="0"/>
    <x v="1"/>
    <x v="1"/>
    <x v="1"/>
    <x v="1"/>
    <s v="Bhagya"/>
    <s v="Correctly Done"/>
    <n v="0"/>
    <x v="0"/>
    <n v="1.1461625511156397"/>
    <n v="1.0795332136445241"/>
    <n v="0.77721139583220644"/>
    <n v="0.85034013605442171"/>
    <n v="0.75433779645928134"/>
    <n v="0.71995135120329123"/>
    <n v="0.55527787174877274"/>
    <n v="-1"/>
    <n v="1"/>
    <n v="-1"/>
    <n v="-1"/>
    <n v="-1"/>
    <n v="-1"/>
    <n v="-3.5"/>
    <n v="-4"/>
    <n v="-5"/>
    <n v="-4"/>
    <n v="-3"/>
    <s v="TDP Sympathiser"/>
  </r>
  <r>
    <s v="ecaf5f75-9df3-4ea2-8bfa-910b54d9e0f3"/>
    <x v="0"/>
    <s v="1/19/2026, 11:51:55 AM"/>
    <s v="16.532798, 81.943853"/>
    <s v="GWMV+7JM, Billakurru, Andhra Pradesh, India"/>
    <x v="0"/>
    <s v="Naeem"/>
    <s v="http://164.52.221.216/localmedia/media/surveys/samples/recording_2026-01-19_11-48-57_samples_vLJRcX7khX.mp4"/>
    <x v="2"/>
    <x v="2"/>
    <x v="3"/>
    <x v="0"/>
    <s v="హిందూ"/>
    <x v="0"/>
    <s v="kumpatla.eswararao"/>
    <n v="9550406115"/>
    <x v="0"/>
    <x v="0"/>
    <x v="1"/>
    <x v="1"/>
    <x v="1"/>
    <x v="1"/>
    <s v="శాంతి భద్రతలను కాపాడటం, ఆరోగ్య రంగం అభివృద్ధి చేయటం, సంక్షేమ పథకాలు (నగదు)"/>
    <x v="1"/>
    <x v="0"/>
    <x v="1"/>
    <x v="1"/>
    <x v="1"/>
    <x v="1"/>
    <s v="Bhagya"/>
    <s v="Correctly Done"/>
    <n v="0"/>
    <x v="0"/>
    <n v="1.1461625511156397"/>
    <n v="1.0795332136445241"/>
    <n v="0.77721139583220644"/>
    <n v="0.85034013605442171"/>
    <n v="0.75433779645928134"/>
    <n v="0.71995135120329123"/>
    <n v="0.55527787174877274"/>
    <n v="-1"/>
    <n v="-1"/>
    <n v="-1"/>
    <n v="-1"/>
    <n v="-1"/>
    <n v="-1"/>
    <n v="-5.5"/>
    <n v="-6"/>
    <n v="-5"/>
    <n v="-4"/>
    <n v="-3"/>
    <s v="TDP HardCore"/>
  </r>
  <r>
    <s v="74d97622-615a-40ce-9a5a-89d9c4e89880"/>
    <x v="0"/>
    <s v="1/19/2026, 12:01:45 PM"/>
    <s v="16.533115, 81.943010"/>
    <s v="SHOP NO.1, DODDAVARAM, Mamidikududru, Andhra Pradesh, India"/>
    <x v="0"/>
    <s v="Naeem"/>
    <s v="http://164.52.221.216/localmedia/media/surveys/samples/recording_2026-01-19_11-59-57_samples_gohK0oKMAS.mp4"/>
    <x v="2"/>
    <x v="2"/>
    <x v="3"/>
    <x v="0"/>
    <s v="హిందూ"/>
    <x v="0"/>
    <s v="g.rambabu"/>
    <n v="8008563739"/>
    <x v="0"/>
    <x v="0"/>
    <x v="1"/>
    <x v="1"/>
    <x v="0"/>
    <x v="1"/>
    <s v="రోడ్లు వేయటం, ఆరోగ్య రంగం అభివృద్ధి చేయటం, సంక్షేమ పథకాలు (నగదు)"/>
    <x v="1"/>
    <x v="0"/>
    <x v="1"/>
    <x v="1"/>
    <x v="1"/>
    <x v="1"/>
    <s v="Bhagya"/>
    <s v="Correctly Done"/>
    <n v="0"/>
    <x v="0"/>
    <n v="1.1461625511156397"/>
    <n v="1.0795332136445241"/>
    <n v="0.77721139583220644"/>
    <n v="0.85034013605442171"/>
    <n v="0.75433779645928134"/>
    <n v="0.71995135120329123"/>
    <n v="0.55527787174877274"/>
    <n v="-1"/>
    <n v="1"/>
    <n v="-1"/>
    <n v="-1"/>
    <n v="-1"/>
    <n v="-1"/>
    <n v="-3.5"/>
    <n v="-4"/>
    <n v="-5"/>
    <n v="-4"/>
    <n v="-3"/>
    <s v="TDP Sympathiser"/>
  </r>
  <r>
    <s v="b90ab7de-fb3d-45c2-9758-69e0c32b5060"/>
    <x v="0"/>
    <s v="1/19/2026, 12:08:46 PM"/>
    <s v="16.533287, 81.941870"/>
    <s v="GWMR+CR2, Botlakurru Doddavaram, Andhra Pradesh, India"/>
    <x v="0"/>
    <s v="Naeem"/>
    <s v="http://164.52.221.216/localmedia/media/surveys/samples/recording_2026-01-19_12-03-54_samples_ZV3ziKAIxz.mp4"/>
    <x v="1"/>
    <x v="2"/>
    <x v="3"/>
    <x v="3"/>
    <s v="హిందూ"/>
    <x v="2"/>
    <s v="a.sriramulu"/>
    <n v="7661907195"/>
    <x v="0"/>
    <x v="2"/>
    <x v="0"/>
    <x v="1"/>
    <x v="1"/>
    <x v="1"/>
    <s v="ఉద్యొగ్య అవకాశాలు కల్పించటం, ఆరోగ్య రంగం అభివృద్ధి చేయటం, సంక్షేమ పథకాలు (నగదు)"/>
    <x v="1"/>
    <x v="0"/>
    <x v="1"/>
    <x v="1"/>
    <x v="1"/>
    <x v="1"/>
    <s v="Bhagya"/>
    <s v="Correctly Done"/>
    <n v="0"/>
    <x v="0"/>
    <n v="1.1705128247062893"/>
    <n v="1.0795332136445241"/>
    <n v="0.86308903171383233"/>
    <n v="0.85034013605442171"/>
    <n v="0.75433779645928134"/>
    <n v="0.79950206330384943"/>
    <n v="0.40257772387792479"/>
    <n v="-1"/>
    <n v="-1"/>
    <n v="-1"/>
    <n v="-1"/>
    <n v="-1"/>
    <n v="-1"/>
    <n v="-5.5"/>
    <n v="-6"/>
    <n v="-5"/>
    <n v="-4"/>
    <n v="-3"/>
    <s v="TDP HardCore"/>
  </r>
  <r>
    <s v="c6ef925c-63db-427b-8346-991da5797ea8"/>
    <x v="0"/>
    <s v="1/19/2026, 12:22:55 PM"/>
    <s v="16.531868, 81.939902"/>
    <s v="GWJQ+QWJ, Botlakurru Doddavaram, Andhra Pradesh, India"/>
    <x v="0"/>
    <s v="Naeem"/>
    <s v="http://164.52.221.216/localmedia/media/surveys/samples/recording_2026-01-19_12-19-29_samples_nK3CSFyiSd.mp4"/>
    <x v="1"/>
    <x v="2"/>
    <x v="3"/>
    <x v="0"/>
    <s v="హిందూ"/>
    <x v="2"/>
    <s v="v.saibabu"/>
    <n v="9703278895"/>
    <x v="0"/>
    <x v="3"/>
    <x v="1"/>
    <x v="1"/>
    <x v="1"/>
    <x v="1"/>
    <s v="రోడ్లు వేయటం, ఉద్యొగ్య అవకాశాలు కల్పించటం, సంక్షేమ పథకాలు (నగదు)"/>
    <x v="1"/>
    <x v="0"/>
    <x v="1"/>
    <x v="1"/>
    <x v="1"/>
    <x v="1"/>
    <s v="Bhagya"/>
    <s v="Not Doing It Properly"/>
    <n v="0"/>
    <x v="0"/>
    <n v="1.1705128247062893"/>
    <n v="1.0795332136445241"/>
    <n v="0.86308903171383233"/>
    <n v="0.85034013605442171"/>
    <n v="0.75433779645928134"/>
    <n v="0.79950206330384943"/>
    <n v="0.40257772387792479"/>
    <n v="-1"/>
    <n v="-1"/>
    <n v="-1"/>
    <n v="-1"/>
    <n v="-1"/>
    <n v="-1"/>
    <n v="-5.5"/>
    <n v="-6"/>
    <n v="-5"/>
    <n v="-4"/>
    <n v="-3"/>
    <s v="TDP HardCore"/>
  </r>
  <r>
    <s v="3525b2cd-d85e-4146-9bd6-67359b72ff72"/>
    <x v="0"/>
    <s v="1/19/2026, 12:33:26 PM"/>
    <s v="16.533032, 81.939470"/>
    <s v="GWMQ+6RR, Botlakurru Doddavaram, Andhra Pradesh, India"/>
    <x v="0"/>
    <s v="Naeem"/>
    <s v="http://164.52.221.216/localmedia/media/surveys/samples/recording_2026-01-19_12-24-52_samples_ImrKHASj4v.mp4"/>
    <x v="1"/>
    <x v="2"/>
    <x v="3"/>
    <x v="3"/>
    <s v="హిందూ"/>
    <x v="2"/>
    <s v="mamidisetti.saibabu"/>
    <n v="9676631767"/>
    <x v="0"/>
    <x v="4"/>
    <x v="1"/>
    <x v="1"/>
    <x v="1"/>
    <x v="1"/>
    <s v="రోడ్లు వేయటం, ఉద్యొగ్య అవకాశాలు కల్పించటం, వ్యవసాయం, రైతు బాగుండడం, సంక్షేమ పథకాలు (నగదు)"/>
    <x v="1"/>
    <x v="0"/>
    <x v="1"/>
    <x v="1"/>
    <x v="1"/>
    <x v="1"/>
    <s v="Bhagya"/>
    <s v="Not Asking Some of the Questions"/>
    <n v="0"/>
    <x v="1"/>
    <n v="1.1705128247062893"/>
    <n v="1.0795332136445241"/>
    <n v="0.86308903171383233"/>
    <n v="0.85034013605442171"/>
    <n v="0.75433779645928134"/>
    <n v="0.79950206330384943"/>
    <n v="0.40257772387792479"/>
    <n v="-1"/>
    <n v="-1"/>
    <n v="-1"/>
    <n v="-1"/>
    <n v="-1"/>
    <n v="-1"/>
    <n v="-5.5"/>
    <n v="-6"/>
    <n v="-5"/>
    <n v="-4"/>
    <n v="-3"/>
    <s v="TDP HardCore"/>
  </r>
  <r>
    <s v="e33119d5-b2f6-4982-9c9d-9eb47e167a40"/>
    <x v="0"/>
    <s v="1/19/2026, 12:46:14 PM"/>
    <s v="16.532588, 81.940232"/>
    <s v="GWJQ+XX5, Botlakurru Doddavaram, Andhra Pradesh, India"/>
    <x v="0"/>
    <s v="Naeem"/>
    <s v="http://164.52.221.216/localmedia/media/surveys/samples/recording_2026-01-19_12-39-39_samples_RMQsCgNTA2.mp4"/>
    <x v="3"/>
    <x v="2"/>
    <x v="3"/>
    <x v="2"/>
    <s v="హిందూ"/>
    <x v="2"/>
    <s v="v.s.n.sarama"/>
    <n v="9553240503"/>
    <x v="0"/>
    <x v="2"/>
    <x v="1"/>
    <x v="1"/>
    <x v="1"/>
    <x v="1"/>
    <s v="రోడ్లు వేయటం, ఆరోగ్య రంగం అభివృద్ధి చేయటం, సంక్షేమ పథకాలు (నగదు)"/>
    <x v="1"/>
    <x v="0"/>
    <x v="1"/>
    <x v="0"/>
    <x v="2"/>
    <x v="2"/>
    <s v="Bhagya"/>
    <s v="Not Doing It Properly"/>
    <n v="0"/>
    <x v="0"/>
    <n v="1.8452248965186235"/>
    <n v="1.8055837563451775"/>
    <n v="2.6177706499667939"/>
    <n v="0.85034013605442171"/>
    <n v="0.75433779645928134"/>
    <n v="1.4498195615503471"/>
    <n v="1.1406808021363586"/>
    <n v="-1"/>
    <n v="-1"/>
    <n v="-1"/>
    <n v="-1"/>
    <n v="1"/>
    <n v="-1"/>
    <n v="-4.5"/>
    <n v="-4"/>
    <n v="-3"/>
    <n v="-2"/>
    <n v="-2"/>
    <s v="Neutral TDP"/>
  </r>
  <r>
    <s v="f83f01f0-19d4-4a2f-9a09-e25529c56e90"/>
    <x v="0"/>
    <s v="1/19/2026, 12:53:51 PM"/>
    <s v="16.533199, 81.941655"/>
    <s v="GWMR+CR2, Botlakurru Doddavaram, Andhra Pradesh, India"/>
    <x v="0"/>
    <s v="Naeem"/>
    <s v="http://164.52.221.216/localmedia/media/surveys/samples/recording_2026-01-19_12-50-26_samples_e5cCTuYhwH.mp4"/>
    <x v="1"/>
    <x v="2"/>
    <x v="3"/>
    <x v="2"/>
    <s v="హిందూ"/>
    <x v="1"/>
    <s v="Appari Krishna Chaitanya"/>
    <n v="9505955945"/>
    <x v="0"/>
    <x v="4"/>
    <x v="1"/>
    <x v="1"/>
    <x v="0"/>
    <x v="1"/>
    <s v="ఉద్యొగ్య అవకాశాలు కల్పించటం, విద్య రంగం అభివృద్ధి చేయటం, వ్యవసాయం, రైతు బాగుండడం"/>
    <x v="1"/>
    <x v="0"/>
    <x v="1"/>
    <x v="1"/>
    <x v="1"/>
    <x v="1"/>
    <s v="Bhagya"/>
    <s v="Correctly Done"/>
    <n v="0"/>
    <x v="0"/>
    <n v="1.1705128247062893"/>
    <n v="1.0795332136445241"/>
    <n v="0.86308903171383233"/>
    <n v="0.85034013605442171"/>
    <n v="0.75433779645928134"/>
    <n v="0.79950206330384943"/>
    <n v="0.40257772387792479"/>
    <n v="-1"/>
    <n v="1"/>
    <n v="-1"/>
    <n v="-1"/>
    <n v="-1"/>
    <n v="-1"/>
    <n v="-3.5"/>
    <n v="-4"/>
    <n v="-5"/>
    <n v="-4"/>
    <n v="-3"/>
    <s v="TDP Sympathiser"/>
  </r>
  <r>
    <s v="6c5b3fa9-dfe2-4fe7-b465-4fbcea61208a"/>
    <x v="0"/>
    <s v="1/19/2026, 12:58:08 PM"/>
    <s v="16.534897, 81.942160"/>
    <s v="GWPV+63H, Pedapatnam, Andhra Pradesh, India"/>
    <x v="0"/>
    <s v="Naeem"/>
    <s v="http://164.52.221.216/localmedia/media/surveys/samples/recording_2026-01-19_12-55-24_samples_h9Sof45VHq.mp4"/>
    <x v="4"/>
    <x v="2"/>
    <x v="3"/>
    <x v="4"/>
    <s v="హిందూ"/>
    <x v="3"/>
    <s v="Peruri. N S Maniswar"/>
    <n v="9515863855"/>
    <x v="0"/>
    <x v="4"/>
    <x v="1"/>
    <x v="1"/>
    <x v="0"/>
    <x v="1"/>
    <s v="ఉద్యొగ్య అవకాశాలు కల్పించటం, విద్య రంగం అభివృద్ధి చేయటం, వ్యవసాయం, రైతు బాగుండడం"/>
    <x v="1"/>
    <x v="0"/>
    <x v="1"/>
    <x v="1"/>
    <x v="1"/>
    <x v="1"/>
    <s v="Bhagya"/>
    <s v="Correctly Done"/>
    <n v="0"/>
    <x v="0"/>
    <n v="2.1852575402829908"/>
    <n v="1.0795332136445241"/>
    <n v="1.7037641797963405"/>
    <n v="0.85034013605442171"/>
    <n v="0.75433779645928134"/>
    <n v="1.5782415568710491"/>
    <n v="0.79824852668382895"/>
    <n v="-1"/>
    <n v="1"/>
    <n v="-1"/>
    <n v="-1"/>
    <n v="-1"/>
    <n v="-1"/>
    <n v="-3.5"/>
    <n v="-4"/>
    <n v="-5"/>
    <n v="-4"/>
    <n v="-3"/>
    <s v="TDP Sympathiser"/>
  </r>
  <r>
    <s v="0a778b63-b388-4539-bc76-8aede88a36b6"/>
    <x v="0"/>
    <s v="1/19/2026, 1:01:49 PM"/>
    <s v="16.534087, 81.942688"/>
    <s v="GWMV+83G, Botlakurru Doddavaram, Andhra Pradesh, India"/>
    <x v="0"/>
    <s v="Naeem"/>
    <s v="http://164.52.221.216/localmedia/media/surveys/samples/recording_2026-01-19_12-59-14_samples_tdv6JRrgof.mp4"/>
    <x v="5"/>
    <x v="2"/>
    <x v="3"/>
    <x v="5"/>
    <s v="హిందూ"/>
    <x v="3"/>
    <s v="Samantha Karthika om sai "/>
    <n v="9392359646"/>
    <x v="0"/>
    <x v="2"/>
    <x v="1"/>
    <x v="1"/>
    <x v="1"/>
    <x v="1"/>
    <s v="ఉద్యొగ్య అవకాశాలు కల్పించటం, ఆరోగ్య రంగం అభివృద్ధి చేయటం, సంక్షేమ పథకాలు (నగదు)"/>
    <x v="1"/>
    <x v="0"/>
    <x v="1"/>
    <x v="1"/>
    <x v="1"/>
    <x v="1"/>
    <s v="Bhagya"/>
    <s v="Audio Not Playing/ Inaudbile"/>
    <s v="inaudible due to phn ringtone"/>
    <x v="1"/>
    <n v="1.0478809952686368"/>
    <n v="1.0795332136445241"/>
    <n v="0.8266624780172348"/>
    <n v="0.85034013605442171"/>
    <n v="0.75433779645928134"/>
    <n v="0.7657591888501577"/>
    <n v="0.22377816180516033"/>
    <n v="-1"/>
    <n v="-1"/>
    <n v="-1"/>
    <n v="-1"/>
    <n v="-1"/>
    <n v="-1"/>
    <n v="-5.5"/>
    <n v="-6"/>
    <n v="-5"/>
    <n v="-4"/>
    <n v="-3"/>
    <s v="TDP HardCore"/>
  </r>
  <r>
    <s v="d376b01d-7d2b-4f95-a82a-b75cb84eba1a"/>
    <x v="0"/>
    <s v="1/19/2026, 1:05:22 PM"/>
    <s v="16.533189, 81.941652"/>
    <s v="GWMR+CR2, Botlakurru Doddavaram, Andhra Pradesh, India"/>
    <x v="0"/>
    <s v="Naeem"/>
    <s v="http://164.52.221.216/localmedia/media/surveys/samples/recording_2026-01-19_13-03-26_samples_LdQqSqkQdo.mp4"/>
    <x v="1"/>
    <x v="2"/>
    <x v="3"/>
    <x v="5"/>
    <s v="హిందూ"/>
    <x v="3"/>
    <s v="appari syam kumar"/>
    <n v="9505912853"/>
    <x v="0"/>
    <x v="1"/>
    <x v="1"/>
    <x v="1"/>
    <x v="0"/>
    <x v="1"/>
    <s v="రోడ్లు వేయటం, ఉద్యొగ్య అవకాశాలు కల్పించటం, విద్య రంగం అభివృద్ధి చేయటం"/>
    <x v="1"/>
    <x v="0"/>
    <x v="1"/>
    <x v="1"/>
    <x v="1"/>
    <x v="1"/>
    <s v="Bhagya"/>
    <s v="Not Doing It Properly"/>
    <s v="Highlighted response kept on his own"/>
    <x v="0"/>
    <n v="1.1705128247062893"/>
    <n v="1.0795332136445241"/>
    <n v="0.86308903171383233"/>
    <n v="0.85034013605442171"/>
    <n v="0.75433779645928134"/>
    <n v="0.79950206330384943"/>
    <n v="0.40257772387792479"/>
    <n v="-1"/>
    <n v="1"/>
    <n v="-1"/>
    <n v="-1"/>
    <n v="-1"/>
    <n v="-1"/>
    <n v="-3.5"/>
    <n v="-4"/>
    <n v="-5"/>
    <n v="-4"/>
    <n v="-3"/>
    <s v="TDP Sympathiser"/>
  </r>
  <r>
    <s v="192b6912-b1c6-4dbd-adb8-4bda9ab9bdc7"/>
    <x v="0"/>
    <s v="1/19/2026, 1:21:18 PM"/>
    <s v="16.532650, 81.941196"/>
    <s v="GWJQ+XX5, Botlakurru Doddavaram, Andhra Pradesh, India"/>
    <x v="0"/>
    <s v="Naeem"/>
    <s v="http://164.52.221.216/localmedia/media/surveys/samples/recording_2026-01-19_13-18-10_samples_d5PPQNJCVU.mp4"/>
    <x v="4"/>
    <x v="2"/>
    <x v="3"/>
    <x v="3"/>
    <s v="హిందూ"/>
    <x v="0"/>
    <s v="vekateswarao"/>
    <n v="9676008987"/>
    <x v="0"/>
    <x v="4"/>
    <x v="1"/>
    <x v="1"/>
    <x v="1"/>
    <x v="1"/>
    <s v="రోడ్లు వేయటం, ఉద్యొగ్య అవకాశాలు కల్పించటం, వ్యవసాయం, రైతు బాగుండడం"/>
    <x v="1"/>
    <x v="0"/>
    <x v="1"/>
    <x v="1"/>
    <x v="1"/>
    <x v="1"/>
    <s v="Bhagya"/>
    <s v="Not Asking Some of the Questions"/>
    <n v="0"/>
    <x v="1"/>
    <n v="2.1852575402829908"/>
    <n v="1.0795332136445241"/>
    <n v="1.7037641797963405"/>
    <n v="0.85034013605442171"/>
    <n v="0.75433779645928134"/>
    <n v="1.5782415568710491"/>
    <n v="0.79824852668382895"/>
    <n v="-1"/>
    <n v="-1"/>
    <n v="-1"/>
    <n v="-1"/>
    <n v="-1"/>
    <n v="-1"/>
    <n v="-5.5"/>
    <n v="-6"/>
    <n v="-5"/>
    <n v="-4"/>
    <n v="-3"/>
    <s v="TDP HardCore"/>
  </r>
  <r>
    <s v="5456a022-c195-4eb0-957e-22c1bc4200fe"/>
    <x v="1"/>
    <s v="1/20/2026, 1:11:47 PM"/>
    <s v="16.513817, 81.908492"/>
    <s v="1-124, Pedapatnam, Andhra Pradesh, India"/>
    <x v="2"/>
    <s v="Naeem"/>
    <s v="http://164.52.221.216/localmedia/media/surveys/samples/recording_2026-01-20_13-07-18_samples_uieTLvV7Ly.mp4"/>
    <x v="0"/>
    <x v="2"/>
    <x v="2"/>
    <x v="5"/>
    <s v="హిందూ"/>
    <x v="3"/>
    <s v="eswar"/>
    <n v="9908564085"/>
    <x v="0"/>
    <x v="3"/>
    <x v="2"/>
    <x v="0"/>
    <x v="0"/>
    <x v="0"/>
    <s v="విద్య రంగం అభివృద్ధి చేయటం"/>
    <x v="0"/>
    <x v="0"/>
    <x v="0"/>
    <x v="0"/>
    <x v="0"/>
    <x v="0"/>
    <s v="Bhagya"/>
    <s v="Correctly Done"/>
    <n v="0"/>
    <x v="0"/>
    <n v="1.3836274505214585"/>
    <n v="1.8055837563451775"/>
    <n v="1.9482662206881376"/>
    <n v="0.85034013605442171"/>
    <n v="0.75433779645928134"/>
    <n v="1.0790228998469584"/>
    <n v="0.52423486800867025"/>
    <n v="1"/>
    <n v="1"/>
    <n v="1"/>
    <n v="1"/>
    <n v="1"/>
    <n v="1"/>
    <n v="5.5"/>
    <n v="6"/>
    <n v="5"/>
    <n v="4"/>
    <n v="3"/>
    <s v="YSRCP HardCore"/>
  </r>
  <r>
    <s v="5a69e06f-ba8d-4ede-a9b2-e3f5e3df33cc"/>
    <x v="1"/>
    <s v="1/20/2026, 10:13:17 AM"/>
    <s v="16.545534, 81.935935"/>
    <s v="GWWM+6W, Peddapatnamlanka, Andhra Pradesh, India"/>
    <x v="3"/>
    <s v="Naeem"/>
    <s v="http://164.52.221.216/localmedia/media/surveys/samples/recording_2026-01-20_10-09-51_samples_hiOZku2dgR.mp4"/>
    <x v="2"/>
    <x v="2"/>
    <x v="4"/>
    <x v="1"/>
    <s v="హిందూ"/>
    <x v="1"/>
    <s v="ganesh"/>
    <n v="7013001857"/>
    <x v="0"/>
    <x v="2"/>
    <x v="1"/>
    <x v="1"/>
    <x v="0"/>
    <x v="1"/>
    <s v="వ్యవసాయం, రైతు బాగుండడం"/>
    <x v="1"/>
    <x v="0"/>
    <x v="1"/>
    <x v="1"/>
    <x v="1"/>
    <x v="1"/>
    <s v="Deepika"/>
    <s v="Not Doing It Properly"/>
    <s v="Q1,5 kept his own"/>
    <x v="0"/>
    <n v="1.1461625511156397"/>
    <n v="1.0795332136445241"/>
    <n v="0.77721139583220644"/>
    <n v="0.85034013605442171"/>
    <n v="0.75433779645928134"/>
    <n v="0.71995135120329123"/>
    <n v="0.55527787174877274"/>
    <n v="-1"/>
    <n v="1"/>
    <n v="-1"/>
    <n v="-1"/>
    <n v="-1"/>
    <n v="-1"/>
    <n v="-3.5"/>
    <n v="-4"/>
    <n v="-5"/>
    <n v="-4"/>
    <n v="-3"/>
    <s v="TDP Sympathiser"/>
  </r>
  <r>
    <s v="b5f4cb27-cb9a-4e72-9b6f-ba64446ebde0"/>
    <x v="1"/>
    <s v="1/20/2026, 10:27:37 AM"/>
    <s v="16.547617, 81.934262"/>
    <s v="Dr.B, Peddapatnamlanka, Andhra Pradesh, India"/>
    <x v="3"/>
    <s v="Naeem"/>
    <s v="http://164.52.221.216/localmedia/media/surveys/samples/recording_2026-01-20_10-23-36_samples_5dPyT1Xt1o.mp4"/>
    <x v="0"/>
    <x v="2"/>
    <x v="4"/>
    <x v="0"/>
    <s v="హిందూ"/>
    <x v="2"/>
    <s v="syam sundararao"/>
    <n v="9999999999"/>
    <x v="0"/>
    <x v="0"/>
    <x v="1"/>
    <x v="1"/>
    <x v="1"/>
    <x v="1"/>
    <s v="రోడ్లు వేయటం"/>
    <x v="1"/>
    <x v="0"/>
    <x v="1"/>
    <x v="1"/>
    <x v="1"/>
    <x v="1"/>
    <s v="Deepika"/>
    <s v="Not Doing It Properly"/>
    <s v="Q5, 10 kept his own"/>
    <x v="0"/>
    <n v="1.3836274505214585"/>
    <n v="1.0795332136445241"/>
    <n v="1.1648410586678206"/>
    <n v="0.85034013605442171"/>
    <n v="0.75433779645928134"/>
    <n v="1.0790228998469584"/>
    <n v="0.52423486800867025"/>
    <n v="-1"/>
    <n v="-1"/>
    <n v="-1"/>
    <n v="-1"/>
    <n v="-1"/>
    <n v="-1"/>
    <n v="-5.5"/>
    <n v="-6"/>
    <n v="-5"/>
    <n v="-4"/>
    <n v="-3"/>
    <s v="TDP HardCore"/>
  </r>
  <r>
    <s v="8e87f86a-4459-4381-93bf-4137d7cd9bd8"/>
    <x v="1"/>
    <s v="1/20/2026, 1:30:50 PM"/>
    <s v="16.513220, 81.907783"/>
    <s v="Nagaram - Pedapatnam Rd, Pedapatnam, Andhra Pradesh, India"/>
    <x v="2"/>
    <s v="Naeem"/>
    <s v="http://164.52.221.216/localmedia/media/surveys/samples/recording_2026-01-20_13-24-41_samples_Gl15vZGwoS.mp4"/>
    <x v="0"/>
    <x v="2"/>
    <x v="2"/>
    <x v="1"/>
    <s v="హిందూ"/>
    <x v="1"/>
    <s v="srinivasarao"/>
    <n v="7995225630"/>
    <x v="0"/>
    <x v="2"/>
    <x v="1"/>
    <x v="1"/>
    <x v="1"/>
    <x v="0"/>
    <s v="ఉద్యొగ్య అవకాశాలు కల్పించటం"/>
    <x v="0"/>
    <x v="0"/>
    <x v="0"/>
    <x v="0"/>
    <x v="2"/>
    <x v="3"/>
    <s v="Bhagya"/>
    <s v="Correctly Done"/>
    <n v="0"/>
    <x v="0"/>
    <n v="1.3836274505214585"/>
    <n v="1.8055837563451775"/>
    <n v="1.9482662206881376"/>
    <n v="0.85034013605442171"/>
    <n v="0.75433779645928134"/>
    <n v="1.0790228998469584"/>
    <n v="0.52423486800867025"/>
    <n v="-1"/>
    <n v="-1"/>
    <n v="1"/>
    <n v="1"/>
    <n v="1"/>
    <n v="1"/>
    <n v="1.5"/>
    <n v="2"/>
    <n v="3"/>
    <n v="4"/>
    <n v="2"/>
    <s v="YSRCP Sympathiser"/>
  </r>
  <r>
    <s v="e281232b-78a2-4f8d-b43c-b9eb0d86cf31"/>
    <x v="1"/>
    <s v="1/20/2026, 10:39:55 AM"/>
    <s v="16.546636, 81.935484"/>
    <s v="GWWM+CWG, Peddapatnamlanka, Andhra Pradesh, India"/>
    <x v="3"/>
    <s v="Naeem"/>
    <s v="http://164.52.221.216/localmedia/media/surveys/samples/recording_2026-01-20_10-36-04_samples_6BkyM3Rsfk.mp4"/>
    <x v="2"/>
    <x v="2"/>
    <x v="4"/>
    <x v="3"/>
    <s v="హిందూ"/>
    <x v="0"/>
    <s v="satyanarayana murthy "/>
    <n v="8008124711"/>
    <x v="0"/>
    <x v="4"/>
    <x v="1"/>
    <x v="1"/>
    <x v="0"/>
    <x v="1"/>
    <s v="రోడ్లు వేయటం"/>
    <x v="1"/>
    <x v="0"/>
    <x v="1"/>
    <x v="1"/>
    <x v="1"/>
    <x v="1"/>
    <s v="Deepika"/>
    <s v="Correctly Done"/>
    <n v="0"/>
    <x v="0"/>
    <n v="1.1461625511156397"/>
    <n v="1.0795332136445241"/>
    <n v="0.77721139583220644"/>
    <n v="0.85034013605442171"/>
    <n v="0.75433779645928134"/>
    <n v="0.71995135120329123"/>
    <n v="0.55527787174877274"/>
    <n v="-1"/>
    <n v="1"/>
    <n v="-1"/>
    <n v="-1"/>
    <n v="-1"/>
    <n v="-1"/>
    <n v="-3.5"/>
    <n v="-4"/>
    <n v="-5"/>
    <n v="-4"/>
    <n v="-3"/>
    <s v="TDP Sympathiser"/>
  </r>
  <r>
    <s v="93043258-eaf1-4ac2-97fb-0bb72e79e4f7"/>
    <x v="1"/>
    <s v="1/20/2026, 10:45:43 AM"/>
    <s v="16.547626, 81.934576"/>
    <s v="GWWM+XJP, Peddapatnamlanka, Andhra Pradesh, India"/>
    <x v="3"/>
    <s v="Naeem"/>
    <s v="http://164.52.221.216/localmedia/media/surveys/samples/recording_2026-01-20_10-42-01_samples_jDEMjwRm93.mp4"/>
    <x v="2"/>
    <x v="2"/>
    <x v="4"/>
    <x v="3"/>
    <s v="హిందూ"/>
    <x v="2"/>
    <s v="pallayya"/>
    <n v="9999999999"/>
    <x v="0"/>
    <x v="0"/>
    <x v="0"/>
    <x v="1"/>
    <x v="1"/>
    <x v="1"/>
    <s v="రోడ్లు వేయటం"/>
    <x v="1"/>
    <x v="0"/>
    <x v="1"/>
    <x v="1"/>
    <x v="1"/>
    <x v="1"/>
    <s v="Deepika"/>
    <s v="Correctly Done"/>
    <n v="0"/>
    <x v="0"/>
    <n v="1.1461625511156397"/>
    <n v="1.0795332136445241"/>
    <n v="0.77721139583220644"/>
    <n v="0.85034013605442171"/>
    <n v="0.75433779645928134"/>
    <n v="0.71995135120329123"/>
    <n v="0.55527787174877274"/>
    <n v="-1"/>
    <n v="-1"/>
    <n v="-1"/>
    <n v="-1"/>
    <n v="-1"/>
    <n v="-1"/>
    <n v="-5.5"/>
    <n v="-6"/>
    <n v="-5"/>
    <n v="-4"/>
    <n v="-3"/>
    <s v="TDP HardCore"/>
  </r>
  <r>
    <s v="b630465d-b7ae-40ce-8fbb-2d75dff18367"/>
    <x v="1"/>
    <s v="1/20/2026, 10:45:43 AM"/>
    <s v="16.547626, 81.934576"/>
    <s v="GWWM+XJP, Peddapatnamlanka, Andhra Pradesh, India"/>
    <x v="3"/>
    <s v="Naeem"/>
    <s v="http://164.52.221.216/localmedia/media/surveys/samples/recording_2026-01-20_10-42-01_samples_AsCuaJ6DR5.mp4"/>
    <x v="2"/>
    <x v="2"/>
    <x v="4"/>
    <x v="3"/>
    <s v="హిందూ"/>
    <x v="2"/>
    <s v="pallayya"/>
    <n v="9999999999"/>
    <x v="0"/>
    <x v="0"/>
    <x v="0"/>
    <x v="1"/>
    <x v="1"/>
    <x v="1"/>
    <s v="రోడ్లు వేయటం"/>
    <x v="1"/>
    <x v="0"/>
    <x v="1"/>
    <x v="1"/>
    <x v="1"/>
    <x v="1"/>
    <s v="Deepika"/>
    <s v="Correctly Done"/>
    <n v="0"/>
    <x v="0"/>
    <n v="1.1461625511156397"/>
    <n v="1.0795332136445241"/>
    <n v="0.77721139583220644"/>
    <n v="0.85034013605442171"/>
    <n v="0.75433779645928134"/>
    <n v="0.71995135120329123"/>
    <n v="0.55527787174877274"/>
    <n v="-1"/>
    <n v="-1"/>
    <n v="-1"/>
    <n v="-1"/>
    <n v="-1"/>
    <n v="-1"/>
    <n v="-5.5"/>
    <n v="-6"/>
    <n v="-5"/>
    <n v="-4"/>
    <n v="-3"/>
    <s v="TDP HardCore"/>
  </r>
  <r>
    <s v="0561ca16-5035-484e-8ce1-5c1f2c40789d"/>
    <x v="1"/>
    <s v="1/20/2026, 10:46:42 AM"/>
    <s v="16.547626, 81.934576"/>
    <s v="GWWM+XJP, Peddapatnamlanka, Andhra Pradesh, India"/>
    <x v="3"/>
    <s v="Naeem"/>
    <s v="http://164.52.221.216/localmedia/media/surveys/samples/recording_2026-01-20_10-42-01_samples_3Fjhoozkiy.mp4"/>
    <x v="2"/>
    <x v="2"/>
    <x v="4"/>
    <x v="3"/>
    <s v="హిందూ"/>
    <x v="2"/>
    <s v="pallayya"/>
    <n v="9999999999"/>
    <x v="0"/>
    <x v="0"/>
    <x v="0"/>
    <x v="1"/>
    <x v="1"/>
    <x v="1"/>
    <s v="రోడ్లు వేయటం"/>
    <x v="1"/>
    <x v="0"/>
    <x v="1"/>
    <x v="1"/>
    <x v="1"/>
    <x v="1"/>
    <s v="Deepika"/>
    <s v="Correctly Done"/>
    <n v="0"/>
    <x v="0"/>
    <n v="1.1461625511156397"/>
    <n v="1.0795332136445241"/>
    <n v="0.77721139583220644"/>
    <n v="0.85034013605442171"/>
    <n v="0.75433779645928134"/>
    <n v="0.71995135120329123"/>
    <n v="0.55527787174877274"/>
    <n v="-1"/>
    <n v="-1"/>
    <n v="-1"/>
    <n v="-1"/>
    <n v="-1"/>
    <n v="-1"/>
    <n v="-5.5"/>
    <n v="-6"/>
    <n v="-5"/>
    <n v="-4"/>
    <n v="-3"/>
    <s v="TDP HardCore"/>
  </r>
  <r>
    <s v="b832fdcd-a0c3-4d14-8f98-bfa4032c70b7"/>
    <x v="1"/>
    <s v="1/20/2026, 10:52:19 AM"/>
    <s v="16.549427, 81.932526"/>
    <s v="GWXM+Q3, Peddapatnamlanka, Andhra Pradesh, India"/>
    <x v="3"/>
    <s v="Naeem"/>
    <s v="http://164.52.221.216/localmedia/media/surveys/samples/recording_2026-01-20_10-49-37_samples_armGxonaCc.mp4"/>
    <x v="2"/>
    <x v="2"/>
    <x v="4"/>
    <x v="1"/>
    <s v="హిందూ"/>
    <x v="1"/>
    <s v="durgarao"/>
    <n v="9502376891"/>
    <x v="0"/>
    <x v="3"/>
    <x v="1"/>
    <x v="1"/>
    <x v="1"/>
    <x v="1"/>
    <s v="ఉద్యొగ్య అవకాశాలు కల్పించటం, విద్య రంగం అభివృద్ధి చేయటం"/>
    <x v="1"/>
    <x v="0"/>
    <x v="1"/>
    <x v="1"/>
    <x v="1"/>
    <x v="1"/>
    <s v="Deepika"/>
    <s v="Correctly Done"/>
    <n v="0"/>
    <x v="0"/>
    <n v="1.1461625511156397"/>
    <n v="1.0795332136445241"/>
    <n v="0.77721139583220644"/>
    <n v="0.85034013605442171"/>
    <n v="0.75433779645928134"/>
    <n v="0.71995135120329123"/>
    <n v="0.55527787174877274"/>
    <n v="-1"/>
    <n v="-1"/>
    <n v="-1"/>
    <n v="-1"/>
    <n v="-1"/>
    <n v="-1"/>
    <n v="-5.5"/>
    <n v="-6"/>
    <n v="-5"/>
    <n v="-4"/>
    <n v="-3"/>
    <s v="TDP HardCore"/>
  </r>
  <r>
    <s v="db5aa4ca-48bf-4ee9-b720-795963fe7487"/>
    <x v="1"/>
    <s v="1/20/2026, 10:59:27 AM"/>
    <s v="16.549938, 81.931575"/>
    <s v="HW2J+2PM 3-165, Peddapatnamlanka, Andhra Pradesh, India"/>
    <x v="3"/>
    <s v="Naeem"/>
    <s v="http://164.52.221.216/localmedia/media/surveys/samples/recording_2026-01-20_10-54-19_samples_9yvE6eGzYR.mp4"/>
    <x v="2"/>
    <x v="2"/>
    <x v="4"/>
    <x v="0"/>
    <s v="హిందూ"/>
    <x v="1"/>
    <s v="raja"/>
    <n v="6304710549"/>
    <x v="0"/>
    <x v="4"/>
    <x v="1"/>
    <x v="1"/>
    <x v="1"/>
    <x v="0"/>
    <s v="విద్య రంగం అభివృద్ధి చేయటం, ఆరోగ్య రంగం అభివృద్ధి చేయటం, సంక్షేమ పథకాలు (నగదు)"/>
    <x v="0"/>
    <x v="0"/>
    <x v="1"/>
    <x v="1"/>
    <x v="1"/>
    <x v="1"/>
    <s v="Deepika"/>
    <s v="Correctly Done"/>
    <n v="0"/>
    <x v="0"/>
    <n v="1.1461625511156397"/>
    <n v="1.0795332136445241"/>
    <n v="0.77721139583220644"/>
    <n v="0.85034013605442171"/>
    <n v="0.75433779645928134"/>
    <n v="0.71995135120329123"/>
    <n v="0.55527787174877274"/>
    <n v="-1"/>
    <n v="-1"/>
    <n v="1"/>
    <n v="1"/>
    <n v="-1"/>
    <n v="-1"/>
    <n v="-1.5"/>
    <n v="-2"/>
    <n v="-1"/>
    <n v="0"/>
    <n v="-3"/>
    <s v="Neutral TDP"/>
  </r>
  <r>
    <s v="669c0eb7-7c72-424e-a168-e467e5b78507"/>
    <x v="1"/>
    <s v="1/20/2026, 11:16:56 AM"/>
    <s v="16.550840, 81.926567"/>
    <s v="HW2G+CC6, Peddapatnamlanka, Andhra Pradesh, India"/>
    <x v="3"/>
    <s v="Naeem"/>
    <s v="http://164.52.221.216/localmedia/media/surveys/samples/recording_2026-01-20_11-14-10_samples_fRMNYJVHWW.mp4"/>
    <x v="2"/>
    <x v="2"/>
    <x v="4"/>
    <x v="3"/>
    <s v="హిందూ"/>
    <x v="0"/>
    <s v="manikyalarao"/>
    <n v="9640565777"/>
    <x v="0"/>
    <x v="3"/>
    <x v="1"/>
    <x v="1"/>
    <x v="1"/>
    <x v="1"/>
    <s v="రోడ్లు వేయటం"/>
    <x v="1"/>
    <x v="0"/>
    <x v="1"/>
    <x v="1"/>
    <x v="1"/>
    <x v="1"/>
    <s v="Deepika"/>
    <s v="Correctly Done"/>
    <n v="0"/>
    <x v="0"/>
    <n v="1.1461625511156397"/>
    <n v="1.0795332136445241"/>
    <n v="0.77721139583220644"/>
    <n v="0.85034013605442171"/>
    <n v="0.75433779645928134"/>
    <n v="0.71995135120329123"/>
    <n v="0.55527787174877274"/>
    <n v="-1"/>
    <n v="-1"/>
    <n v="-1"/>
    <n v="-1"/>
    <n v="-1"/>
    <n v="-1"/>
    <n v="-5.5"/>
    <n v="-6"/>
    <n v="-5"/>
    <n v="-4"/>
    <n v="-3"/>
    <s v="TDP HardCore"/>
  </r>
  <r>
    <s v="cbd14de6-00b5-41fd-a09e-aa4f44682b13"/>
    <x v="1"/>
    <s v="1/20/2026, 11:27:32 AM"/>
    <s v="16.549437, 81.922470"/>
    <s v="GWXC+MQW, Peddapatnamlanka, Andhra Pradesh, India"/>
    <x v="3"/>
    <s v="Naeem"/>
    <s v="http://164.52.221.216/localmedia/media/surveys/samples/recording_2026-01-20_11-23-42_samples_n4VqC5lS38.mp4"/>
    <x v="2"/>
    <x v="2"/>
    <x v="4"/>
    <x v="1"/>
    <s v="హిందూ"/>
    <x v="2"/>
    <s v="k. venkateswararao "/>
    <n v="9999999999"/>
    <x v="0"/>
    <x v="1"/>
    <x v="1"/>
    <x v="1"/>
    <x v="1"/>
    <x v="1"/>
    <s v="ఉద్యొగ్య అవకాశాలు కల్పించటం"/>
    <x v="1"/>
    <x v="0"/>
    <x v="1"/>
    <x v="1"/>
    <x v="1"/>
    <x v="1"/>
    <s v="Deepika"/>
    <s v="Correctly Done"/>
    <n v="0"/>
    <x v="0"/>
    <n v="1.1461625511156397"/>
    <n v="1.0795332136445241"/>
    <n v="0.77721139583220644"/>
    <n v="0.85034013605442171"/>
    <n v="0.75433779645928134"/>
    <n v="0.71995135120329123"/>
    <n v="0.55527787174877274"/>
    <n v="-1"/>
    <n v="-1"/>
    <n v="-1"/>
    <n v="-1"/>
    <n v="-1"/>
    <n v="-1"/>
    <n v="-5.5"/>
    <n v="-6"/>
    <n v="-5"/>
    <n v="-4"/>
    <n v="-3"/>
    <s v="TDP HardCore"/>
  </r>
  <r>
    <s v="a056e942-ce6d-47f7-94c5-36069ee29a20"/>
    <x v="1"/>
    <s v="1/20/2026, 11:32:34 AM"/>
    <s v="16.520596, 81.905635"/>
    <s v="GWC4+385, Pedapatnam, Andhra Pradesh, India"/>
    <x v="2"/>
    <s v="Naeem"/>
    <s v="http://164.52.221.216/localmedia/media/surveys/samples/recording_2026-01-20_11-31-01_samples_xJ0geibXE1.mp4"/>
    <x v="1"/>
    <x v="0"/>
    <x v="0"/>
    <x v="5"/>
    <s v="హిందూ"/>
    <x v="3"/>
    <s v="sriram"/>
    <n v="8499964131"/>
    <x v="0"/>
    <x v="1"/>
    <x v="1"/>
    <x v="1"/>
    <x v="1"/>
    <x v="1"/>
    <s v="ఉద్యొగ్య అవకాశాలు కల్పించటం"/>
    <x v="1"/>
    <x v="0"/>
    <x v="1"/>
    <x v="1"/>
    <x v="1"/>
    <x v="1"/>
    <s v="Deepika"/>
    <s v="Correctly Done"/>
    <s v="Q13,14,15,16 not asking"/>
    <x v="0"/>
    <n v="1.1705128247062893"/>
    <n v="1.0795332136445241"/>
    <n v="0.86308903171383233"/>
    <n v="0.85034013605442171"/>
    <n v="1.9264642089343564"/>
    <n v="0.79950206330384943"/>
    <n v="1.1572126985895925"/>
    <n v="-1"/>
    <n v="-1"/>
    <n v="-1"/>
    <n v="-1"/>
    <n v="-1"/>
    <n v="-1"/>
    <n v="-5.5"/>
    <n v="-6"/>
    <n v="-5"/>
    <n v="-4"/>
    <n v="-3"/>
    <s v="TDP HardCore"/>
  </r>
  <r>
    <s v="1acff06d-6040-4f9c-9ef2-a4980ea8eaa2"/>
    <x v="1"/>
    <s v="1/20/2026, 11:39:33 AM"/>
    <s v="16.521047, 81.903000"/>
    <s v="GWC3+C6R, Pedapatnam, Andhra Pradesh, India"/>
    <x v="2"/>
    <s v="Naeem"/>
    <s v="http://164.52.221.216/localmedia/media/surveys/samples/recording_2026-01-20_11-35-44_samples_wqE8sCLl0q.mp4"/>
    <x v="0"/>
    <x v="2"/>
    <x v="2"/>
    <x v="0"/>
    <s v="హిందూ"/>
    <x v="1"/>
    <s v="krishna"/>
    <n v="99999999999999"/>
    <x v="0"/>
    <x v="1"/>
    <x v="1"/>
    <x v="1"/>
    <x v="1"/>
    <x v="1"/>
    <s v="రోడ్లు వేయటం"/>
    <x v="1"/>
    <x v="0"/>
    <x v="1"/>
    <x v="1"/>
    <x v="1"/>
    <x v="1"/>
    <s v="Deepika"/>
    <s v="Not Asking Some of the Questions"/>
    <s v="Q 14,15 not asking and not asking caste"/>
    <x v="1"/>
    <n v="1.3836274505214585"/>
    <n v="1.0795332136445241"/>
    <n v="1.1648410586678206"/>
    <n v="0.85034013605442171"/>
    <n v="0.75433779645928134"/>
    <n v="1.0790228998469584"/>
    <n v="0.52423486800867025"/>
    <n v="-1"/>
    <n v="-1"/>
    <n v="-1"/>
    <n v="-1"/>
    <n v="-1"/>
    <n v="-1"/>
    <n v="-5.5"/>
    <n v="-6"/>
    <n v="-5"/>
    <n v="-4"/>
    <n v="-3"/>
    <s v="TDP HardCore"/>
  </r>
  <r>
    <s v="ced84559-0e9e-4fd8-b7b8-6aaab3cd626b"/>
    <x v="1"/>
    <s v="1/20/2026, 11:42:25 AM"/>
    <s v="16.547708, 81.920812"/>
    <s v="GWWC+Q6V, Pedapatnam, Andhra Pradesh, India"/>
    <x v="3"/>
    <s v="Naeem"/>
    <s v="http://164.52.221.216/localmedia/media/surveys/samples/recording_2026-01-20_11-36-34_samples_Vvos8roNEv.mp4"/>
    <x v="6"/>
    <x v="2"/>
    <x v="4"/>
    <x v="1"/>
    <s v="హిందూ"/>
    <x v="1"/>
    <s v="y. chiranjivi "/>
    <n v="7013684412"/>
    <x v="0"/>
    <x v="2"/>
    <x v="2"/>
    <x v="1"/>
    <x v="0"/>
    <x v="0"/>
    <s v="సంక్షేమ పథకాలు (నగదు)"/>
    <x v="1"/>
    <x v="0"/>
    <x v="0"/>
    <x v="0"/>
    <x v="2"/>
    <x v="2"/>
    <s v="Deepika"/>
    <s v="Not Doing It Properly"/>
    <s v="Q7 kept his own"/>
    <x v="0"/>
    <n v="1.2612194085121222"/>
    <n v="1.8055837563451775"/>
    <n v="1.5392437151422549"/>
    <n v="0.85034013605442171"/>
    <n v="0.75433779645928134"/>
    <n v="0.85249089649430487"/>
    <n v="1.2935274689263982"/>
    <n v="-1"/>
    <n v="1"/>
    <n v="1"/>
    <n v="-1"/>
    <n v="1"/>
    <n v="1"/>
    <n v="1.5"/>
    <n v="2"/>
    <n v="1"/>
    <n v="2"/>
    <n v="2"/>
    <s v="Neutral YSRCP"/>
  </r>
  <r>
    <s v="4434a83a-b890-40a7-9834-76fe85de6b70"/>
    <x v="1"/>
    <s v="1/20/2026, 11:32:24 AM"/>
    <s v="16.549084, 81.921907"/>
    <s v="GWXC+MQW, Peddapatnamlanka, Andhra Pradesh, India"/>
    <x v="3"/>
    <s v="Naeem"/>
    <s v="http://164.52.221.216/localmedia/media/surveys/samples/recording_2026-01-20_11-30-02_samples_a5FzrFYQew.mp4"/>
    <x v="2"/>
    <x v="2"/>
    <x v="4"/>
    <x v="0"/>
    <s v="హిందూ"/>
    <x v="1"/>
    <s v="adabala rajesh"/>
    <n v="9849788816"/>
    <x v="0"/>
    <x v="1"/>
    <x v="1"/>
    <x v="1"/>
    <x v="1"/>
    <x v="1"/>
    <s v="శాంతి భద్రతలను కాపాడటం, విద్య రంగం అభివృద్ధి చేయటం"/>
    <x v="1"/>
    <x v="0"/>
    <x v="1"/>
    <x v="1"/>
    <x v="1"/>
    <x v="1"/>
    <s v="Deepika"/>
    <s v="Correctly Done"/>
    <n v="0"/>
    <x v="0"/>
    <n v="1.1461625511156397"/>
    <n v="1.0795332136445241"/>
    <n v="0.77721139583220644"/>
    <n v="0.85034013605442171"/>
    <n v="0.75433779645928134"/>
    <n v="0.71995135120329123"/>
    <n v="0.55527787174877274"/>
    <n v="-1"/>
    <n v="-1"/>
    <n v="-1"/>
    <n v="-1"/>
    <n v="-1"/>
    <n v="-1"/>
    <n v="-5.5"/>
    <n v="-6"/>
    <n v="-5"/>
    <n v="-4"/>
    <n v="-3"/>
    <s v="TDP HardCore"/>
  </r>
  <r>
    <s v="92d4c494-ae4c-4f35-9928-85d1639fc8cf"/>
    <x v="1"/>
    <s v="1/20/2026, 11:50:26 AM"/>
    <s v="16.545558, 81.920851"/>
    <s v="GWWC+86M, Peddapatnamlanka, Andhra Pradesh, India"/>
    <x v="3"/>
    <s v="Naeem"/>
    <s v="http://164.52.221.216/localmedia/media/surveys/samples/recording_2026-01-20_11-45-35_samples_hmXIoxhFUl.mp4"/>
    <x v="7"/>
    <x v="2"/>
    <x v="4"/>
    <x v="0"/>
    <s v="హిందూ"/>
    <x v="1"/>
    <s v="venkanna"/>
    <n v="1111111111"/>
    <x v="0"/>
    <x v="2"/>
    <x v="1"/>
    <x v="0"/>
    <x v="0"/>
    <x v="1"/>
    <s v="ఉద్యొగ్య అవకాశాలు కల్పించటం"/>
    <x v="1"/>
    <x v="0"/>
    <x v="0"/>
    <x v="1"/>
    <x v="1"/>
    <x v="1"/>
    <s v="Deepika"/>
    <s v="Not Doing It Properly"/>
    <s v="Q5 kept his own"/>
    <x v="0"/>
    <n v="1.0786696182614144"/>
    <n v="1.0795332136445241"/>
    <n v="1.1644596794624567"/>
    <n v="0.85034013605442171"/>
    <n v="0.75433779645928134"/>
    <n v="1.0786696182614144"/>
    <n v="0.36371552453725964"/>
    <n v="1"/>
    <n v="1"/>
    <n v="-1"/>
    <n v="-1"/>
    <n v="-1"/>
    <n v="1"/>
    <n v="0.5"/>
    <n v="0"/>
    <n v="-1"/>
    <n v="-2"/>
    <n v="2"/>
    <s v="Neutral YSRCP"/>
  </r>
  <r>
    <s v="2762efff-152a-4f2a-bad1-5c8b31b9a8b9"/>
    <x v="1"/>
    <s v="1/20/2026, 11:42:29 AM"/>
    <s v="16.547708, 81.920812"/>
    <s v="GWWC+Q6V, Pedapatnam, Andhra Pradesh, India"/>
    <x v="3"/>
    <s v="Naeem"/>
    <s v="http://164.52.221.216/localmedia/media/surveys/samples/recording_2026-01-20_11-36-34_samples_ugU31iUMNp.mp4"/>
    <x v="6"/>
    <x v="2"/>
    <x v="4"/>
    <x v="1"/>
    <s v="హిందూ"/>
    <x v="1"/>
    <s v="y. chiranjivi "/>
    <n v="7013684412"/>
    <x v="0"/>
    <x v="2"/>
    <x v="2"/>
    <x v="1"/>
    <x v="0"/>
    <x v="0"/>
    <s v="సంక్షేమ పథకాలు (నగదు)"/>
    <x v="1"/>
    <x v="0"/>
    <x v="0"/>
    <x v="0"/>
    <x v="2"/>
    <x v="2"/>
    <s v="Deepika"/>
    <s v="Correctly Done"/>
    <n v="0"/>
    <x v="0"/>
    <n v="1.2612194085121222"/>
    <n v="1.8055837563451775"/>
    <n v="1.5392437151422549"/>
    <n v="0.85034013605442171"/>
    <n v="0.75433779645928134"/>
    <n v="0.85249089649430487"/>
    <n v="1.2935274689263982"/>
    <n v="-1"/>
    <n v="1"/>
    <n v="1"/>
    <n v="-1"/>
    <n v="1"/>
    <n v="1"/>
    <n v="1.5"/>
    <n v="2"/>
    <n v="1"/>
    <n v="2"/>
    <n v="2"/>
    <s v="Neutral YSRCP"/>
  </r>
  <r>
    <s v="1671388b-fc43-4609-98f7-40a9b50e5e52"/>
    <x v="1"/>
    <s v="1/20/2026, 11:50:29 AM"/>
    <s v="16.545558, 81.920851"/>
    <s v="GWWC+86M, Peddapatnamlanka, Andhra Pradesh, India"/>
    <x v="3"/>
    <s v="Naeem"/>
    <s v="http://164.52.221.216/localmedia/media/surveys/samples/recording_2026-01-20_11-45-35_samples_6WqIphHtdh.mp4"/>
    <x v="7"/>
    <x v="2"/>
    <x v="4"/>
    <x v="0"/>
    <s v="హిందూ"/>
    <x v="1"/>
    <s v="venkanna"/>
    <n v="1111111111"/>
    <x v="0"/>
    <x v="2"/>
    <x v="1"/>
    <x v="0"/>
    <x v="0"/>
    <x v="1"/>
    <s v="ఉద్యొగ్య అవకాశాలు కల్పించటం"/>
    <x v="1"/>
    <x v="0"/>
    <x v="0"/>
    <x v="1"/>
    <x v="1"/>
    <x v="1"/>
    <s v="Deepika"/>
    <s v="Correctly Done"/>
    <n v="0"/>
    <x v="0"/>
    <n v="1.0786696182614144"/>
    <n v="1.0795332136445241"/>
    <n v="1.1644596794624567"/>
    <n v="0.85034013605442171"/>
    <n v="0.75433779645928134"/>
    <n v="1.0786696182614144"/>
    <n v="0.36371552453725964"/>
    <n v="1"/>
    <n v="1"/>
    <n v="-1"/>
    <n v="-1"/>
    <n v="-1"/>
    <n v="1"/>
    <n v="0.5"/>
    <n v="0"/>
    <n v="-1"/>
    <n v="-2"/>
    <n v="2"/>
    <s v="Neutral YSRCP"/>
  </r>
  <r>
    <s v="2716b390-6461-4cba-a96f-3cf6a05f5653"/>
    <x v="1"/>
    <s v="1/20/2026, 11:54:12 AM"/>
    <s v="16.519573, 81.900215"/>
    <s v="Manepalli - Pedapatnam Rd, Pedapatnam, Andhra Pradesh, India"/>
    <x v="2"/>
    <s v="Naeem"/>
    <s v="http://164.52.221.216/localmedia/media/surveys/samples/recording_2026-01-20_11-50-13_samples_AQbSsRSueS.mp4"/>
    <x v="2"/>
    <x v="0"/>
    <x v="0"/>
    <x v="5"/>
    <s v="హిందూ"/>
    <x v="3"/>
    <s v="udayakumar"/>
    <n v="9032664364"/>
    <x v="0"/>
    <x v="2"/>
    <x v="0"/>
    <x v="0"/>
    <x v="0"/>
    <x v="0"/>
    <s v="రోడ్లు వేయటం"/>
    <x v="0"/>
    <x v="0"/>
    <x v="0"/>
    <x v="1"/>
    <x v="1"/>
    <x v="1"/>
    <s v="Deepika"/>
    <s v="Correctly Done"/>
    <s v="not asking caste"/>
    <x v="0"/>
    <n v="1.1461625511156397"/>
    <n v="1.0795332136445241"/>
    <n v="0.77721139583220644"/>
    <n v="0.85034013605442171"/>
    <n v="1.9264642089343564"/>
    <n v="0.71995135120329123"/>
    <n v="0.70534647283248642"/>
    <n v="1"/>
    <n v="1"/>
    <n v="1"/>
    <n v="1"/>
    <n v="-1"/>
    <n v="1"/>
    <n v="4.5"/>
    <n v="4"/>
    <n v="3"/>
    <n v="2"/>
    <n v="2"/>
    <s v="Neutral YSRCP"/>
  </r>
  <r>
    <s v="dfb1e373-7c7e-40ac-91eb-045094909438"/>
    <x v="1"/>
    <s v="1/20/2026, 11:56:49 AM"/>
    <s v="16.544999, 81.921239"/>
    <s v="GWVC+X93, Pedapatnam, Andhra Pradesh, India"/>
    <x v="3"/>
    <s v="Naeem"/>
    <s v="http://164.52.221.216/localmedia/media/surveys/samples/recording_2026-01-20_11-53-49_samples_aDyDoPJVee.mp4"/>
    <x v="2"/>
    <x v="2"/>
    <x v="4"/>
    <x v="2"/>
    <s v="హిందూ"/>
    <x v="1"/>
    <s v="ashok"/>
    <n v="7013871168"/>
    <x v="0"/>
    <x v="4"/>
    <x v="1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0"/>
    <x v="1"/>
    <x v="1"/>
    <x v="1"/>
    <x v="1"/>
    <s v="Deepika"/>
    <s v="Correctly Done"/>
    <n v="0"/>
    <x v="0"/>
    <n v="1.1461625511156397"/>
    <n v="1.0795332136445241"/>
    <n v="0.77721139583220644"/>
    <n v="0.85034013605442171"/>
    <n v="0.75433779645928134"/>
    <n v="0.71995135120329123"/>
    <n v="0.55527787174877274"/>
    <n v="-1"/>
    <n v="-1"/>
    <n v="-1"/>
    <n v="-1"/>
    <n v="-1"/>
    <n v="-1"/>
    <n v="-5.5"/>
    <n v="-6"/>
    <n v="-5"/>
    <n v="-4"/>
    <n v="-3"/>
    <s v="TDP HardCore"/>
  </r>
  <r>
    <s v="3ff536c7-4f1b-405d-b212-abed36c63571"/>
    <x v="1"/>
    <s v="1/20/2026, 12:32:45 PM"/>
    <s v="16.546859, 81.932780"/>
    <s v="Highschool road, Peddapatnamlanka, Andhra Pradesh, India"/>
    <x v="3"/>
    <s v="Naeem"/>
    <s v="http://164.52.221.216/localmedia/media/surveys/samples/recording_2026-01-20_12-29-26_samples_t9zarpJKV4.mp4"/>
    <x v="2"/>
    <x v="2"/>
    <x v="4"/>
    <x v="0"/>
    <s v="హిందూ"/>
    <x v="2"/>
    <s v="subbarao"/>
    <n v="6304074354"/>
    <x v="0"/>
    <x v="0"/>
    <x v="1"/>
    <x v="1"/>
    <x v="1"/>
    <x v="1"/>
    <s v="ఉద్యొగ్య అవకాశాలు కల్పించటం, శాంతి భద్రతలను కాపాడటం, ఆరోగ్య రంగం అభివృద్ధి చేయటం"/>
    <x v="1"/>
    <x v="0"/>
    <x v="1"/>
    <x v="1"/>
    <x v="1"/>
    <x v="1"/>
    <s v="Bhagya"/>
    <s v="Not Doing It Properly"/>
    <s v="Q1 Kept on his own"/>
    <x v="0"/>
    <n v="1.1461625511156397"/>
    <n v="1.0795332136445241"/>
    <n v="0.77721139583220644"/>
    <n v="0.85034013605442171"/>
    <n v="0.75433779645928134"/>
    <n v="0.71995135120329123"/>
    <n v="0.55527787174877274"/>
    <n v="-1"/>
    <n v="-1"/>
    <n v="-1"/>
    <n v="-1"/>
    <n v="-1"/>
    <n v="-1"/>
    <n v="-5.5"/>
    <n v="-6"/>
    <n v="-5"/>
    <n v="-4"/>
    <n v="-3"/>
    <s v="TDP HardCore"/>
  </r>
  <r>
    <s v="7a45ae86-26b9-4d46-8d13-61c8c423e93f"/>
    <x v="1"/>
    <s v="1/20/2026, 1:00:04 PM"/>
    <s v="16.513925, 81.907753"/>
    <s v="Pedapattanam-Mamidikuduru Road, Pedapatnam, Andhra Pradesh, India"/>
    <x v="2"/>
    <s v="Naeem"/>
    <s v="http://164.52.221.216/localmedia/media/surveys/samples/recording_2026-01-20_12-53-29_samples_om0zZXsRk5.mp4"/>
    <x v="0"/>
    <x v="2"/>
    <x v="2"/>
    <x v="1"/>
    <s v="హిందూ"/>
    <x v="0"/>
    <s v="srinuvasararao"/>
    <n v="8639391252"/>
    <x v="0"/>
    <x v="1"/>
    <x v="2"/>
    <x v="0"/>
    <x v="0"/>
    <x v="0"/>
    <s v="వ్యవసాయం, రైతు బాగుండడం"/>
    <x v="0"/>
    <x v="0"/>
    <x v="0"/>
    <x v="0"/>
    <x v="3"/>
    <x v="1"/>
    <s v="Bhagya"/>
    <s v="Audio Not Playing/ Inaudbile"/>
    <s v="Audio not clear due to background noise and Q12 response is not taken properly"/>
    <x v="1"/>
    <n v="1.3836274505214585"/>
    <n v="1.8055837563451775"/>
    <n v="1.9482662206881376"/>
    <n v="0.85034013605442171"/>
    <n v="0.75433779645928134"/>
    <n v="1.0790228998469584"/>
    <n v="0.52423486800867025"/>
    <n v="1"/>
    <n v="1"/>
    <n v="1"/>
    <n v="1"/>
    <n v="1"/>
    <n v="1"/>
    <n v="5.5"/>
    <n v="6"/>
    <n v="5"/>
    <n v="4"/>
    <n v="3"/>
    <s v="YSRCP HardCore"/>
  </r>
  <r>
    <s v="afbdd9a6-02bb-45a7-87b8-6c42fad9313e"/>
    <x v="1"/>
    <s v="1/20/2026, 12:03:51 PM"/>
    <s v="16.546793, 81.924383"/>
    <s v="GWWG+P3W, Peddapatnamlanka, Andhra Pradesh, India"/>
    <x v="3"/>
    <s v="Naeem"/>
    <s v="http://164.52.221.216/localmedia/media/surveys/samples/recording_2026-01-20_12-00-27_samples_PqrXkyGst1.mp4"/>
    <x v="1"/>
    <x v="2"/>
    <x v="4"/>
    <x v="3"/>
    <s v="హిందూ"/>
    <x v="2"/>
    <s v="m. nagabushanam rao"/>
    <n v="9603131936"/>
    <x v="0"/>
    <x v="4"/>
    <x v="1"/>
    <x v="1"/>
    <x v="0"/>
    <x v="0"/>
    <s v="ఉద్యొగ్య అవకాశాలు కల్పించటం, శాంతి భద్రతలను కాపాడటం, ఆరోగ్య రంగం అభివృద్ధి చేయటం"/>
    <x v="0"/>
    <x v="0"/>
    <x v="2"/>
    <x v="1"/>
    <x v="1"/>
    <x v="1"/>
    <s v="Deepika"/>
    <s v="Correctly Done"/>
    <n v="0"/>
    <x v="0"/>
    <n v="1.1705128247062893"/>
    <n v="1.0795332136445241"/>
    <n v="0.86308903171383233"/>
    <n v="0.85034013605442171"/>
    <n v="0.75433779645928134"/>
    <n v="0.79950206330384943"/>
    <n v="0.40257772387792479"/>
    <n v="-1"/>
    <n v="1"/>
    <n v="1"/>
    <n v="1"/>
    <n v="-1"/>
    <n v="-1"/>
    <n v="0.5"/>
    <n v="0"/>
    <n v="-1"/>
    <n v="0"/>
    <n v="-3"/>
    <s v="Neutral TDP"/>
  </r>
  <r>
    <s v="f5e4b9b6-47b3-4b11-9059-7b1e15f03e98"/>
    <x v="1"/>
    <s v="1/20/2026, 1:17:37 PM"/>
    <s v="16.513763, 81.907835"/>
    <s v="Pedapattanam-Mamidikuduru Road, Pedapatnam, Andhra Pradesh, India"/>
    <x v="2"/>
    <s v="Naeem"/>
    <s v="http://164.52.221.216/localmedia/media/surveys/samples/recording_2026-01-20_13-12-28_samples_ldnrprTGEO.mp4"/>
    <x v="0"/>
    <x v="2"/>
    <x v="2"/>
    <x v="5"/>
    <s v="హిందూ"/>
    <x v="3"/>
    <s v="anil"/>
    <n v="7993098485"/>
    <x v="0"/>
    <x v="2"/>
    <x v="2"/>
    <x v="0"/>
    <x v="0"/>
    <x v="0"/>
    <s v="ఉద్యొగ్య అవకాశాలు కల్పించటం"/>
    <x v="0"/>
    <x v="0"/>
    <x v="0"/>
    <x v="0"/>
    <x v="3"/>
    <x v="2"/>
    <s v="Bhagya"/>
    <s v="Not Doing It Properly"/>
    <s v="Q12 response was not said properly by the respondent"/>
    <x v="0"/>
    <n v="1.3836274505214585"/>
    <n v="1.8055837563451775"/>
    <n v="1.9482662206881376"/>
    <n v="0.85034013605442171"/>
    <n v="0.75433779645928134"/>
    <n v="1.0790228998469584"/>
    <n v="0.52423486800867025"/>
    <n v="1"/>
    <n v="1"/>
    <n v="1"/>
    <n v="1"/>
    <n v="1"/>
    <n v="1"/>
    <n v="5.5"/>
    <n v="6"/>
    <n v="5"/>
    <n v="4"/>
    <n v="3"/>
    <s v="YSRCP HardCore"/>
  </r>
  <r>
    <s v="64288692-5a1d-44c7-a3c0-fe840f8a30c2"/>
    <x v="1"/>
    <s v="1/20/2026, 12:26:51 PM"/>
    <s v="16.546797, 81.932949"/>
    <s v="Highschool road, Peddapatnamlanka, Andhra Pradesh, India"/>
    <x v="3"/>
    <s v="Naeem"/>
    <s v="http://164.52.221.216/localmedia/media/surveys/samples/recording_2026-01-20_12-23-24_samples_j0ERlee0SN.mp4"/>
    <x v="2"/>
    <x v="2"/>
    <x v="4"/>
    <x v="3"/>
    <s v="హిందూ"/>
    <x v="2"/>
    <s v="kommula swami naidu "/>
    <n v="9999999999"/>
    <x v="0"/>
    <x v="3"/>
    <x v="2"/>
    <x v="0"/>
    <x v="0"/>
    <x v="0"/>
    <s v="ఉద్యొగ్య అవకాశాలు కల్పించటం, విద్య రంగం అభివృద్ధి చేయటం, ఆరోగ్య రంగం అభివృద్ధి చేయటం"/>
    <x v="0"/>
    <x v="0"/>
    <x v="0"/>
    <x v="0"/>
    <x v="3"/>
    <x v="2"/>
    <s v="Bhagya"/>
    <s v="Correctly Done"/>
    <n v="0"/>
    <x v="0"/>
    <n v="1.1461625511156397"/>
    <n v="1.8055837563451775"/>
    <n v="1.2999324650914248"/>
    <n v="0.85034013605442171"/>
    <n v="0.75433779645928134"/>
    <n v="0.71995135120329123"/>
    <n v="0.55527787174877274"/>
    <n v="1"/>
    <n v="1"/>
    <n v="1"/>
    <n v="1"/>
    <n v="1"/>
    <n v="1"/>
    <n v="5.5"/>
    <n v="6"/>
    <n v="5"/>
    <n v="4"/>
    <n v="3"/>
    <s v="YSRCP HardCore"/>
  </r>
  <r>
    <s v="e16abbd3-3b93-43b3-a066-4d64f297395a"/>
    <x v="1"/>
    <s v="1/20/2026, 1:41:30 PM"/>
    <s v="16.511161, 81.908970"/>
    <s v="GW65+JP, Mamidikududru, Andhra Pradesh, India"/>
    <x v="2"/>
    <s v="Naeem"/>
    <s v="http://164.52.221.216/localmedia/media/surveys/samples/recording_2026-01-20_13-35-16_samples_jRDLjbU91o.mp4"/>
    <x v="0"/>
    <x v="2"/>
    <x v="2"/>
    <x v="2"/>
    <s v="హిందూ"/>
    <x v="0"/>
    <s v="krishnarao"/>
    <n v="8977463362"/>
    <x v="0"/>
    <x v="3"/>
    <x v="1"/>
    <x v="0"/>
    <x v="0"/>
    <x v="0"/>
    <s v="విద్య రంగం అభివృద్ధి చేయటం"/>
    <x v="0"/>
    <x v="0"/>
    <x v="0"/>
    <x v="0"/>
    <x v="3"/>
    <x v="3"/>
    <s v="Deepika"/>
    <s v="Not Doing It Properly"/>
    <s v="Q12 kept his own"/>
    <x v="0"/>
    <n v="1.3836274505214585"/>
    <n v="1.8055837563451775"/>
    <n v="1.9482662206881376"/>
    <n v="0.85034013605442171"/>
    <n v="0.75433779645928134"/>
    <n v="1.0790228998469584"/>
    <n v="0.52423486800867025"/>
    <n v="1"/>
    <n v="1"/>
    <n v="1"/>
    <n v="1"/>
    <n v="1"/>
    <n v="1"/>
    <n v="5.5"/>
    <n v="6"/>
    <n v="5"/>
    <n v="4"/>
    <n v="3"/>
    <s v="YSRCP HardCore"/>
  </r>
  <r>
    <s v="0d19d77f-58f0-4bac-8ee3-f3a36c09fa7f"/>
    <x v="1"/>
    <s v="1/20/2026, 2:07:01 PM"/>
    <s v="16.513600, 81.907709"/>
    <s v="Nagaram - Pedapatnam Rd, Dr. B. R. Ambedkar Konseema, Andhra Pradesh, India"/>
    <x v="2"/>
    <s v="Naeem"/>
    <s v="http://164.52.221.216/localmedia/media/surveys/samples/recording_2026-01-20_13-59-56_samples_AyHewO5iJa.mp4"/>
    <x v="0"/>
    <x v="2"/>
    <x v="2"/>
    <x v="0"/>
    <s v="హిందూ"/>
    <x v="1"/>
    <s v="raju"/>
    <n v="9032257054"/>
    <x v="0"/>
    <x v="3"/>
    <x v="2"/>
    <x v="0"/>
    <x v="1"/>
    <x v="0"/>
    <s v="రోడ్లు వేయటం"/>
    <x v="0"/>
    <x v="0"/>
    <x v="1"/>
    <x v="1"/>
    <x v="1"/>
    <x v="1"/>
    <s v="Deepika"/>
    <s v="Not Doing It Properly"/>
    <s v="Q4,5,6,9,10 kept his own"/>
    <x v="0"/>
    <n v="1.3836274505214585"/>
    <n v="1.0795332136445241"/>
    <n v="1.1648410586678206"/>
    <n v="0.85034013605442171"/>
    <n v="0.75433779645928134"/>
    <n v="1.0790228998469584"/>
    <n v="0.52423486800867025"/>
    <n v="1"/>
    <n v="-1"/>
    <n v="1"/>
    <n v="1"/>
    <n v="-1"/>
    <n v="-1"/>
    <n v="0.5"/>
    <n v="0"/>
    <n v="1"/>
    <n v="0"/>
    <n v="-2"/>
    <s v="Neutral TDP"/>
  </r>
  <r>
    <s v="9f58cfc4-22ce-4910-9544-e6aa011f1844"/>
    <x v="1"/>
    <s v="1/20/2026, 2:07:02 PM"/>
    <s v="16.513600, 81.907709"/>
    <s v="Nagaram - Pedapatnam Rd, Dr. B. R. Ambedkar Konseema, Andhra Pradesh, India"/>
    <x v="2"/>
    <s v="Naeem"/>
    <s v="http://164.52.221.216/localmedia/media/surveys/samples/recording_2026-01-20_13-59-56_samples_ZztLu0zl5J.mp4"/>
    <x v="0"/>
    <x v="2"/>
    <x v="2"/>
    <x v="0"/>
    <s v="హిందూ"/>
    <x v="1"/>
    <s v="raju"/>
    <n v="9032257054"/>
    <x v="0"/>
    <x v="3"/>
    <x v="2"/>
    <x v="0"/>
    <x v="1"/>
    <x v="0"/>
    <s v="రోడ్లు వేయటం"/>
    <x v="0"/>
    <x v="0"/>
    <x v="1"/>
    <x v="1"/>
    <x v="1"/>
    <x v="1"/>
    <n v="0"/>
    <s v="Correctly Done"/>
    <n v="0"/>
    <x v="0"/>
    <n v="1.3836274505214585"/>
    <n v="1.0795332136445241"/>
    <n v="1.1648410586678206"/>
    <n v="0.85034013605442171"/>
    <n v="0.75433779645928134"/>
    <n v="1.0790228998469584"/>
    <n v="0.52423486800867025"/>
    <n v="1"/>
    <n v="-1"/>
    <n v="1"/>
    <n v="1"/>
    <n v="-1"/>
    <n v="-1"/>
    <n v="0.5"/>
    <n v="0"/>
    <n v="1"/>
    <n v="0"/>
    <n v="-2"/>
    <s v="Neutral TDP"/>
  </r>
  <r>
    <s v="23a5a94e-02e6-4cb6-846f-c51d79f5cbad"/>
    <x v="1"/>
    <s v="1/20/2026, 2:07:07 PM"/>
    <s v="16.513600, 81.907709"/>
    <s v="Nagaram - Pedapatnam Rd, Dr. B. R. Ambedkar Konseema, Andhra Pradesh, India"/>
    <x v="2"/>
    <s v="Naeem"/>
    <s v="http://164.52.221.216/localmedia/media/surveys/samples/recording_2026-01-20_13-59-56_samples_iv8aU0OGb5.mp4"/>
    <x v="0"/>
    <x v="2"/>
    <x v="2"/>
    <x v="0"/>
    <s v="హిందూ"/>
    <x v="1"/>
    <s v="raju"/>
    <n v="9032257054"/>
    <x v="0"/>
    <x v="3"/>
    <x v="2"/>
    <x v="0"/>
    <x v="1"/>
    <x v="0"/>
    <s v="రోడ్లు వేయటం"/>
    <x v="0"/>
    <x v="0"/>
    <x v="1"/>
    <x v="1"/>
    <x v="1"/>
    <x v="1"/>
    <n v="0"/>
    <s v="Correctly Done"/>
    <n v="0"/>
    <x v="0"/>
    <n v="1.3836274505214585"/>
    <n v="1.0795332136445241"/>
    <n v="1.1648410586678206"/>
    <n v="0.85034013605442171"/>
    <n v="0.75433779645928134"/>
    <n v="1.0790228998469584"/>
    <n v="0.52423486800867025"/>
    <n v="1"/>
    <n v="-1"/>
    <n v="1"/>
    <n v="1"/>
    <n v="-1"/>
    <n v="-1"/>
    <n v="0.5"/>
    <n v="0"/>
    <n v="1"/>
    <n v="0"/>
    <n v="-2"/>
    <s v="Neutral TDP"/>
  </r>
  <r>
    <s v="06ed762d-7794-416b-8e54-ab90eb3b79b3"/>
    <x v="1"/>
    <s v="1/20/2026, 2:20:48 PM"/>
    <s v="16.509417, 81.908900"/>
    <s v="Nagaram - Pedapatnam Rd, Mamidikududru, Andhra Pradesh, India"/>
    <x v="2"/>
    <s v="Naeem"/>
    <s v="http://164.52.221.216/localmedia/media/surveys/samples/recording_2026-01-20_14-17-04_samples_uF2CiVVKWu.mp4"/>
    <x v="1"/>
    <x v="2"/>
    <x v="2"/>
    <x v="1"/>
    <s v="హిందూ"/>
    <x v="0"/>
    <s v="satyanarayana"/>
    <n v="7671079969"/>
    <x v="0"/>
    <x v="2"/>
    <x v="1"/>
    <x v="0"/>
    <x v="0"/>
    <x v="0"/>
    <s v="ఉద్యొగ్య అవకాశాలు కల్పించటం"/>
    <x v="0"/>
    <x v="0"/>
    <x v="0"/>
    <x v="0"/>
    <x v="0"/>
    <x v="2"/>
    <s v="Ashish"/>
    <s v="Correctly Done"/>
    <n v="0"/>
    <x v="0"/>
    <n v="1.1705128247062893"/>
    <n v="1.8055837563451775"/>
    <n v="1.4435679386658844"/>
    <n v="0.85034013605442171"/>
    <n v="0.75433779645928134"/>
    <n v="0.79950206330384943"/>
    <n v="0.40257772387792479"/>
    <n v="1"/>
    <n v="1"/>
    <n v="1"/>
    <n v="1"/>
    <n v="1"/>
    <n v="1"/>
    <n v="5.5"/>
    <n v="6"/>
    <n v="5"/>
    <n v="4"/>
    <n v="3"/>
    <s v="YSRCP HardCore"/>
  </r>
  <r>
    <s v="88d3a572-6ff2-4588-be3b-febf9feba269"/>
    <x v="1"/>
    <s v="1/20/2026, 2:31:24 PM"/>
    <s v="16.508438, 81.911398"/>
    <s v="GW56+FHX, Mamidikududru, Andhra Pradesh, India"/>
    <x v="2"/>
    <s v="Naeem"/>
    <s v="http://164.52.221.216/localmedia/media/surveys/samples/recording_2026-01-20_14-25-33_samples_D7RJO7yB5H.mp4"/>
    <x v="6"/>
    <x v="2"/>
    <x v="2"/>
    <x v="0"/>
    <s v="హిందూ"/>
    <x v="0"/>
    <s v="subbararao"/>
    <n v="9999999999"/>
    <x v="0"/>
    <x v="2"/>
    <x v="1"/>
    <x v="0"/>
    <x v="0"/>
    <x v="0"/>
    <s v="ఉద్యొగ్య అవకాశాలు కల్పించటం"/>
    <x v="0"/>
    <x v="0"/>
    <x v="0"/>
    <x v="0"/>
    <x v="0"/>
    <x v="0"/>
    <s v="Ashish"/>
    <s v="Correctly Done"/>
    <n v="0"/>
    <x v="0"/>
    <n v="1.2612194085121222"/>
    <n v="1.8055837563451775"/>
    <n v="1.5392437151422549"/>
    <n v="0.85034013605442171"/>
    <n v="0.75433779645928134"/>
    <n v="0.85249089649430487"/>
    <n v="1.2935274689263982"/>
    <n v="1"/>
    <n v="1"/>
    <n v="1"/>
    <n v="1"/>
    <n v="1"/>
    <n v="1"/>
    <n v="5.5"/>
    <n v="6"/>
    <n v="5"/>
    <n v="4"/>
    <n v="3"/>
    <s v="YSRCP HardCore"/>
  </r>
  <r>
    <s v="d05a72e4-acd1-46a7-9e23-d8d67593dbd4"/>
    <x v="1"/>
    <s v="1/20/2026, 3:02:34 PM"/>
    <s v="16.507260, 81.941756"/>
    <s v="GW4R+XFX, Pasarlapudi, Andhra Pradesh, India"/>
    <x v="3"/>
    <s v="Naeem"/>
    <s v="http://164.52.221.216/localmedia/media/surveys/samples/recording_2026-01-20_14-58-53_samples_hUBAN3PYzC.mp4"/>
    <x v="1"/>
    <x v="2"/>
    <x v="5"/>
    <x v="3"/>
    <s v="హిందూ"/>
    <x v="0"/>
    <s v="bala subramanyam"/>
    <n v="9010004837"/>
    <x v="0"/>
    <x v="1"/>
    <x v="1"/>
    <x v="1"/>
    <x v="1"/>
    <x v="1"/>
    <s v="రోడ్లు వేయటం, విద్య రంగం అభివృద్ధి చేయటం, ఆరోగ్య రంగం అభివృద్ధి చేయటం"/>
    <x v="1"/>
    <x v="0"/>
    <x v="1"/>
    <x v="1"/>
    <x v="1"/>
    <x v="1"/>
    <s v="Ashish"/>
    <s v="Correctly Done"/>
    <n v="0"/>
    <x v="0"/>
    <n v="1.1705128247062893"/>
    <n v="1.0795332136445241"/>
    <n v="0.86308903171383233"/>
    <n v="0.85034013605442171"/>
    <n v="0.75433779645928134"/>
    <n v="0.79950206330384943"/>
    <n v="0.40257772387792479"/>
    <n v="-1"/>
    <n v="-1"/>
    <n v="-1"/>
    <n v="-1"/>
    <n v="-1"/>
    <n v="-1"/>
    <n v="-5.5"/>
    <n v="-6"/>
    <n v="-5"/>
    <n v="-4"/>
    <n v="-3"/>
    <s v="TDP HardCore"/>
  </r>
  <r>
    <s v="57511695-d983-4107-8072-fd27251ac771"/>
    <x v="1"/>
    <s v="1/20/2026, 3:08:04 PM"/>
    <s v="16.506507, 81.942318"/>
    <s v="GW4R+CHQ, Pasarlapudilanka, Andhra Pradesh, India"/>
    <x v="3"/>
    <s v="Naeem"/>
    <s v="http://164.52.221.216/localmedia/media/surveys/samples/recording_2026-01-20_15-04-06_samples_zyOiUaIFYq.mp4"/>
    <x v="2"/>
    <x v="2"/>
    <x v="5"/>
    <x v="1"/>
    <s v="హిందూ"/>
    <x v="0"/>
    <s v="narasimharao"/>
    <n v="9493252100"/>
    <x v="0"/>
    <x v="2"/>
    <x v="1"/>
    <x v="1"/>
    <x v="0"/>
    <x v="0"/>
    <s v="రోడ్లు వేయటం, ఉద్యొగ్య అవకాశాలు కల్పించటం, విద్య రంగం అభివృద్ధి చేయటం"/>
    <x v="1"/>
    <x v="0"/>
    <x v="1"/>
    <x v="1"/>
    <x v="1"/>
    <x v="1"/>
    <s v="Ashish"/>
    <s v="Correctly Done"/>
    <n v="0"/>
    <x v="0"/>
    <n v="1.1461625511156397"/>
    <n v="1.0795332136445241"/>
    <n v="0.77721139583220644"/>
    <n v="0.85034013605442171"/>
    <n v="0.75433779645928134"/>
    <n v="0.71995135120329123"/>
    <n v="0.55527787174877274"/>
    <n v="-1"/>
    <n v="1"/>
    <n v="1"/>
    <n v="-1"/>
    <n v="-1"/>
    <n v="-1"/>
    <n v="-1.5"/>
    <n v="-2"/>
    <n v="-3"/>
    <n v="-2"/>
    <n v="-3"/>
    <s v="Neutral TDP"/>
  </r>
  <r>
    <s v="1472ca1d-9749-41d6-b51d-816bd0006354"/>
    <x v="1"/>
    <s v="1/20/2026, 3:13:21 PM"/>
    <s v="16.506289, 81.943388"/>
    <s v="3, Mamidikuduru, Pasarlapudi, Andhra Pradesh, India"/>
    <x v="3"/>
    <s v="Naeem"/>
    <s v="http://164.52.221.216/localmedia/media/surveys/samples/recording_2026-01-20_15-10-42_samples_C0MHT3brBo.mp4"/>
    <x v="2"/>
    <x v="2"/>
    <x v="5"/>
    <x v="0"/>
    <s v="హిందూ"/>
    <x v="1"/>
    <s v="chanti babu"/>
    <n v="9542275679"/>
    <x v="0"/>
    <x v="3"/>
    <x v="1"/>
    <x v="1"/>
    <x v="1"/>
    <x v="1"/>
    <s v="రోడ్లు వేయటం, ఆరోగ్య రంగం అభివృద్ధి చేయటం, వ్యవసాయం, రైతు బాగుండడం"/>
    <x v="1"/>
    <x v="0"/>
    <x v="1"/>
    <x v="1"/>
    <x v="1"/>
    <x v="1"/>
    <s v="Deepika"/>
    <s v="Correctly Done"/>
    <n v="0"/>
    <x v="0"/>
    <n v="1.1461625511156397"/>
    <n v="1.0795332136445241"/>
    <n v="0.77721139583220644"/>
    <n v="0.85034013605442171"/>
    <n v="0.75433779645928134"/>
    <n v="0.71995135120329123"/>
    <n v="0.55527787174877274"/>
    <n v="-1"/>
    <n v="-1"/>
    <n v="-1"/>
    <n v="-1"/>
    <n v="-1"/>
    <n v="-1"/>
    <n v="-5.5"/>
    <n v="-6"/>
    <n v="-5"/>
    <n v="-4"/>
    <n v="-3"/>
    <s v="TDP HardCore"/>
  </r>
  <r>
    <s v="113b3c11-6cba-4009-bffb-26d44e26d8f9"/>
    <x v="1"/>
    <s v="1/20/2026, 3:22:41 PM"/>
    <s v="16.506101, 81.944425"/>
    <s v="3, Mamidikuduru, Pasarlapudi, Andhra Pradesh, India"/>
    <x v="3"/>
    <s v="Naeem"/>
    <s v="http://164.52.221.216/localmedia/media/surveys/samples/recording_2026-01-20_15-17-42_samples_5locaYyyFG.mp4"/>
    <x v="2"/>
    <x v="2"/>
    <x v="5"/>
    <x v="0"/>
    <s v="హిందూ"/>
    <x v="2"/>
    <s v="ramakrishna"/>
    <n v="9502664249"/>
    <x v="0"/>
    <x v="0"/>
    <x v="1"/>
    <x v="1"/>
    <x v="0"/>
    <x v="1"/>
    <s v="రోడ్లు వేయటం, ఉద్యొగ్య అవకాశాలు కల్పించటం, ఆరోగ్య రంగం అభివృద్ధి చేయటం"/>
    <x v="1"/>
    <x v="0"/>
    <x v="1"/>
    <x v="0"/>
    <x v="2"/>
    <x v="0"/>
    <s v="Deepika"/>
    <s v="Not Doing It Properly"/>
    <s v="Q5,12 kept his own"/>
    <x v="0"/>
    <n v="1.1461625511156397"/>
    <n v="1.8055837563451775"/>
    <n v="1.2999324650914248"/>
    <n v="0.85034013605442171"/>
    <n v="0.75433779645928134"/>
    <n v="0.71995135120329123"/>
    <n v="0.55527787174877274"/>
    <n v="-1"/>
    <n v="1"/>
    <n v="-1"/>
    <n v="-1"/>
    <n v="1"/>
    <n v="-1"/>
    <n v="-2.5"/>
    <n v="-2"/>
    <n v="-3"/>
    <n v="-2"/>
    <n v="-2"/>
    <s v="Neutral TDP"/>
  </r>
  <r>
    <s v="bb4206ac-1504-4229-bfa7-56c6b2d4ead7"/>
    <x v="1"/>
    <s v="1/20/2026, 3:22:43 PM"/>
    <s v="16.506101, 81.944425"/>
    <s v="3, Mamidikuduru, Pasarlapudi, Andhra Pradesh, India"/>
    <x v="3"/>
    <s v="Naeem"/>
    <s v="http://164.52.221.216/localmedia/media/surveys/samples/recording_2026-01-20_15-17-42_samples_kRtLJajqKv.mp4"/>
    <x v="2"/>
    <x v="2"/>
    <x v="5"/>
    <x v="0"/>
    <s v="హిందూ"/>
    <x v="2"/>
    <s v="ramakrishna"/>
    <n v="9502664249"/>
    <x v="0"/>
    <x v="0"/>
    <x v="1"/>
    <x v="1"/>
    <x v="0"/>
    <x v="1"/>
    <s v="రోడ్లు వేయటం, ఉద్యొగ్య అవకాశాలు కల్పించటం, ఆరోగ్య రంగం అభివృద్ధి చేయటం"/>
    <x v="1"/>
    <x v="0"/>
    <x v="1"/>
    <x v="0"/>
    <x v="2"/>
    <x v="0"/>
    <n v="0"/>
    <s v="Correctly Done"/>
    <n v="0"/>
    <x v="0"/>
    <n v="1.1461625511156397"/>
    <n v="1.8055837563451775"/>
    <n v="1.2999324650914248"/>
    <n v="0.85034013605442171"/>
    <n v="0.75433779645928134"/>
    <n v="0.71995135120329123"/>
    <n v="0.55527787174877274"/>
    <n v="-1"/>
    <n v="1"/>
    <n v="-1"/>
    <n v="-1"/>
    <n v="1"/>
    <n v="-1"/>
    <n v="-2.5"/>
    <n v="-2"/>
    <n v="-3"/>
    <n v="-2"/>
    <n v="-2"/>
    <s v="Neutral TDP"/>
  </r>
  <r>
    <s v="224b4985-2509-4061-9595-a3d4f868d98e"/>
    <x v="1"/>
    <s v="1/20/2026, 3:28:16 PM"/>
    <s v="16.505951, 81.944883"/>
    <s v="3, Mamidikuduru, Pasarlapudi, Andhra Pradesh, India"/>
    <x v="3"/>
    <s v="Naeem"/>
    <s v="http://164.52.221.216/localmedia/media/surveys/samples/recording_2026-01-20_15-25-12_samples_ZBJbvusZy2.mp4"/>
    <x v="8"/>
    <x v="2"/>
    <x v="5"/>
    <x v="0"/>
    <s v="క్రిస్టియన్"/>
    <x v="1"/>
    <s v="annapurna"/>
    <n v="7330620740"/>
    <x v="1"/>
    <x v="2"/>
    <x v="1"/>
    <x v="1"/>
    <x v="0"/>
    <x v="0"/>
    <s v="రోడ్లు వేయటం, ఉద్యొగ్య అవకాశాలు కల్పించటం, విద్య రంగం అభివృద్ధి చేయటం"/>
    <x v="1"/>
    <x v="0"/>
    <x v="1"/>
    <x v="1"/>
    <x v="1"/>
    <x v="1"/>
    <s v="Deepika"/>
    <s v="Correctly Done"/>
    <n v="0"/>
    <x v="0"/>
    <n v="0.80207032429970992"/>
    <n v="1.0795332136445241"/>
    <n v="1.2733258158237817"/>
    <n v="2.1645021645021645"/>
    <n v="0.75433779645928134"/>
    <n v="1.1795151827936912"/>
    <n v="0.37562400914419181"/>
    <n v="-1"/>
    <n v="1"/>
    <n v="1"/>
    <n v="-1"/>
    <n v="-1"/>
    <n v="-1"/>
    <n v="-1.5"/>
    <n v="-2"/>
    <n v="-3"/>
    <n v="-2"/>
    <n v="-3"/>
    <s v="Neutral TDP"/>
  </r>
  <r>
    <s v="f25ef8dd-be94-42bb-b66f-1baaad5328ac"/>
    <x v="1"/>
    <s v="1/20/2026, 3:36:40 PM"/>
    <s v="16.506025, 81.945962"/>
    <s v="GW4W+RG, Pasarlapudilanka, Andhra Pradesh, India"/>
    <x v="3"/>
    <s v="Naeem"/>
    <s v="http://164.52.221.216/localmedia/media/surveys/samples/recording_2026-01-20_15-31-57_samples_Qs064anF13.mp4"/>
    <x v="0"/>
    <x v="2"/>
    <x v="5"/>
    <x v="6"/>
    <s v="హిందూ"/>
    <x v="1"/>
    <s v="venkatalakshmi"/>
    <n v="8655209743"/>
    <x v="1"/>
    <x v="3"/>
    <x v="1"/>
    <x v="1"/>
    <x v="0"/>
    <x v="1"/>
    <s v="ఆరోగ్య రంగం అభివృద్ధి చేయటం, వ్యవసాయం, రైతు బాగుండడం, సంక్షేమ పథకాలు (నగదు)"/>
    <x v="0"/>
    <x v="0"/>
    <x v="0"/>
    <x v="1"/>
    <x v="1"/>
    <x v="1"/>
    <s v="Ashish"/>
    <s v="Correctly Done"/>
    <n v="0"/>
    <x v="0"/>
    <n v="1.3836274505214585"/>
    <n v="1.0795332136445241"/>
    <n v="2.0811826914865059"/>
    <n v="2.1645021645021645"/>
    <n v="0.75433779645928134"/>
    <n v="1.9278542477265657"/>
    <n v="0.95595770048639872"/>
    <n v="-1"/>
    <n v="1"/>
    <n v="-1"/>
    <n v="1"/>
    <n v="-1"/>
    <n v="1"/>
    <n v="0.5"/>
    <n v="0"/>
    <n v="-1"/>
    <n v="0"/>
    <s v="ND"/>
    <s v="ND"/>
  </r>
  <r>
    <s v="ff3e10f5-9634-421e-a007-7a8df9c59143"/>
    <x v="1"/>
    <s v="1/20/2026, 3:36:41 PM"/>
    <s v="16.506025, 81.945962"/>
    <s v="GW4W+RG, Pasarlapudilanka, Andhra Pradesh, India"/>
    <x v="3"/>
    <s v="Naeem"/>
    <s v="http://164.52.221.216/localmedia/media/surveys/samples/recording_2026-01-20_15-31-57_samples_EbPIskPvYI.mp4"/>
    <x v="0"/>
    <x v="2"/>
    <x v="5"/>
    <x v="6"/>
    <s v="హిందూ"/>
    <x v="1"/>
    <s v="venkatalakshmi"/>
    <n v="8655209743"/>
    <x v="1"/>
    <x v="3"/>
    <x v="1"/>
    <x v="1"/>
    <x v="0"/>
    <x v="1"/>
    <s v="ఆరోగ్య రంగం అభివృద్ధి చేయటం, వ్యవసాయం, రైతు బాగుండడం, సంక్షేమ పథకాలు (నగదు)"/>
    <x v="0"/>
    <x v="0"/>
    <x v="0"/>
    <x v="1"/>
    <x v="1"/>
    <x v="1"/>
    <n v="0"/>
    <s v="Correctly Done"/>
    <n v="0"/>
    <x v="0"/>
    <n v="1.3836274505214585"/>
    <n v="1.0795332136445241"/>
    <n v="2.0811826914865059"/>
    <n v="2.1645021645021645"/>
    <n v="0.75433779645928134"/>
    <n v="1.9278542477265657"/>
    <n v="0.95595770048639872"/>
    <n v="-1"/>
    <n v="1"/>
    <n v="-1"/>
    <n v="1"/>
    <n v="-1"/>
    <n v="1"/>
    <n v="0.5"/>
    <n v="0"/>
    <n v="-1"/>
    <n v="0"/>
    <s v="ND"/>
    <s v="ND"/>
  </r>
  <r>
    <s v="b519977e-8368-4cc8-902b-ba115940c4c6"/>
    <x v="1"/>
    <s v="1/20/2026, 3:50:40 PM"/>
    <s v="16.506444, 81.945745"/>
    <s v="GW4W+RG, Pasarlapudilanka, Andhra Pradesh, India"/>
    <x v="3"/>
    <s v="Naeem"/>
    <s v="http://164.52.221.216/localmedia/media/surveys/samples/recording_2026-01-20_15-47-36_samples_GML4AEALM2.mp4"/>
    <x v="0"/>
    <x v="2"/>
    <x v="5"/>
    <x v="3"/>
    <s v="హిందూ"/>
    <x v="2"/>
    <s v="sudakar rao "/>
    <n v="9121339895"/>
    <x v="0"/>
    <x v="4"/>
    <x v="1"/>
    <x v="1"/>
    <x v="0"/>
    <x v="1"/>
    <s v="ఉద్యొగ్య అవకాశాలు కల్పించటం, ఆరోగ్య రంగం అభివృద్ధి చేయటం"/>
    <x v="1"/>
    <x v="0"/>
    <x v="1"/>
    <x v="1"/>
    <x v="1"/>
    <x v="1"/>
    <s v="Deepika"/>
    <s v="Correctly Done"/>
    <n v="0"/>
    <x v="0"/>
    <n v="1.3836274505214585"/>
    <n v="1.0795332136445241"/>
    <n v="1.1648410586678206"/>
    <n v="0.85034013605442171"/>
    <n v="0.75433779645928134"/>
    <n v="1.0790228998469584"/>
    <n v="0.52423486800867025"/>
    <n v="-1"/>
    <n v="1"/>
    <n v="-1"/>
    <n v="-1"/>
    <n v="-1"/>
    <n v="-1"/>
    <n v="-3.5"/>
    <n v="-4"/>
    <n v="-5"/>
    <n v="-4"/>
    <n v="-3"/>
    <s v="TDP Sympathiser"/>
  </r>
  <r>
    <s v="279e8290-8344-42ee-92f7-e6ee0e2cdbee"/>
    <x v="1"/>
    <s v="1/20/2026, 3:57:56 PM"/>
    <s v="16.506943, 81.945918"/>
    <s v="GW4W+RG, Pasarlapudilanka, Andhra Pradesh, India"/>
    <x v="3"/>
    <s v="Naeem"/>
    <s v="http://164.52.221.216/localmedia/media/surveys/samples/recording_2026-01-20_15-51-47_samples_MqjmB2DjWw.mp4"/>
    <x v="0"/>
    <x v="2"/>
    <x v="5"/>
    <x v="0"/>
    <s v="హిందూ"/>
    <x v="0"/>
    <s v="pedditlamma"/>
    <n v="8897955864"/>
    <x v="1"/>
    <x v="2"/>
    <x v="1"/>
    <x v="1"/>
    <x v="1"/>
    <x v="0"/>
    <s v="రోడ్లు వేయటం, ఉద్యొగ్య అవకాశాలు కల్పించటం"/>
    <x v="0"/>
    <x v="0"/>
    <x v="1"/>
    <x v="1"/>
    <x v="1"/>
    <x v="1"/>
    <s v="Deepika"/>
    <s v="Not Doing It Properly"/>
    <s v="Q3,6,8,9,10 respondent not said properly"/>
    <x v="0"/>
    <n v="1.3836274505214585"/>
    <n v="1.0795332136445241"/>
    <n v="2.0811826914865059"/>
    <n v="2.1645021645021645"/>
    <n v="0.75433779645928134"/>
    <n v="1.9278542477265657"/>
    <n v="0.95595770048639872"/>
    <n v="-1"/>
    <n v="-1"/>
    <n v="1"/>
    <n v="1"/>
    <n v="-1"/>
    <n v="-1"/>
    <n v="-1.5"/>
    <n v="-2"/>
    <n v="-1"/>
    <n v="0"/>
    <n v="-3"/>
    <s v="Neutral TDP"/>
  </r>
  <r>
    <s v="e9a9e21f-1607-48b2-b622-620db20168a2"/>
    <x v="1"/>
    <s v="1/20/2026, 4:05:17 PM"/>
    <s v="16.507405, 81.946157"/>
    <s v="GW4W+RG, Pasarlapudilanka, Andhra Pradesh, India"/>
    <x v="3"/>
    <s v="Naeem"/>
    <s v="http://164.52.221.216/localmedia/media/surveys/samples/recording_2026-01-20_16-00-36_samples_BkmAaYLpGG.mp4"/>
    <x v="0"/>
    <x v="2"/>
    <x v="5"/>
    <x v="0"/>
    <s v="క్రిస్టియన్"/>
    <x v="2"/>
    <s v="Ramakrishna "/>
    <n v="9949294240"/>
    <x v="0"/>
    <x v="3"/>
    <x v="0"/>
    <x v="0"/>
    <x v="0"/>
    <x v="0"/>
    <s v="ఉద్యొగ్య అవకాశాలు కల్పించటం, ఆరోగ్య రంగం అభివృద్ధి చేయటం, వ్యవసాయం, రైతు బాగుండడం"/>
    <x v="0"/>
    <x v="0"/>
    <x v="0"/>
    <x v="0"/>
    <x v="2"/>
    <x v="4"/>
    <s v="Deepika"/>
    <s v="Correctly Done"/>
    <n v="0"/>
    <x v="0"/>
    <n v="1.3836274505214585"/>
    <n v="1.8055837563451775"/>
    <n v="1.9482662206881376"/>
    <n v="0.85034013605442171"/>
    <n v="0.75433779645928134"/>
    <n v="1.0790228998469584"/>
    <n v="0.52423486800867025"/>
    <n v="1"/>
    <n v="1"/>
    <n v="1"/>
    <n v="1"/>
    <n v="1"/>
    <n v="1"/>
    <n v="5.5"/>
    <n v="6"/>
    <n v="5"/>
    <n v="4"/>
    <n v="3"/>
    <s v="YSRCP HardCore"/>
  </r>
  <r>
    <s v="a9c935e2-7e68-40ab-9563-1c9c7a9df2c8"/>
    <x v="1"/>
    <s v="1/20/2026, 4:05:18 PM"/>
    <s v="16.507405, 81.946157"/>
    <s v="GW4W+RG, Pasarlapudilanka, Andhra Pradesh, India"/>
    <x v="3"/>
    <s v="Naeem"/>
    <s v="http://164.52.221.216/localmedia/media/surveys/samples/recording_2026-01-20_16-00-36_samples_iABpYHwXXZ.mp4"/>
    <x v="0"/>
    <x v="2"/>
    <x v="5"/>
    <x v="0"/>
    <s v="క్రిస్టియన్"/>
    <x v="2"/>
    <s v="Ramakrishna "/>
    <n v="9949294240"/>
    <x v="0"/>
    <x v="3"/>
    <x v="0"/>
    <x v="0"/>
    <x v="0"/>
    <x v="0"/>
    <s v="ఉద్యొగ్య అవకాశాలు కల్పించటం, ఆరోగ్య రంగం అభివృద్ధి చేయటం, వ్యవసాయం, రైతు బాగుండడం"/>
    <x v="0"/>
    <x v="0"/>
    <x v="0"/>
    <x v="0"/>
    <x v="2"/>
    <x v="4"/>
    <n v="0"/>
    <s v="Correctly Done"/>
    <n v="0"/>
    <x v="0"/>
    <n v="1.3836274505214585"/>
    <n v="1.8055837563451775"/>
    <n v="1.9482662206881376"/>
    <n v="0.85034013605442171"/>
    <n v="0.75433779645928134"/>
    <n v="1.0790228998469584"/>
    <n v="0.52423486800867025"/>
    <n v="1"/>
    <n v="1"/>
    <n v="1"/>
    <n v="1"/>
    <n v="1"/>
    <n v="1"/>
    <n v="5.5"/>
    <n v="6"/>
    <n v="5"/>
    <n v="4"/>
    <n v="3"/>
    <s v="YSRCP HardCore"/>
  </r>
  <r>
    <s v="60562249-570b-4d8e-93d8-4c26e5023e80"/>
    <x v="1"/>
    <s v="1/20/2026, 4:18:50 PM"/>
    <s v="16.508563, 81.941973"/>
    <s v="GW5R+PV6, Pasarlapudi, Andhra Pradesh, India"/>
    <x v="3"/>
    <s v="Naeem"/>
    <s v="http://164.52.221.216/localmedia/media/surveys/samples/recording_2026-01-20_16-15-55_samples_lmMw874HlN.mp4"/>
    <x v="1"/>
    <x v="2"/>
    <x v="5"/>
    <x v="5"/>
    <s v="హిందూ"/>
    <x v="1"/>
    <s v="prasad"/>
    <n v="9999999999"/>
    <x v="0"/>
    <x v="3"/>
    <x v="1"/>
    <x v="1"/>
    <x v="1"/>
    <x v="1"/>
    <s v="ఉద్యొగ్య అవకాశాలు కల్పించటం, విద్య రంగం అభివృద్ధి చేయటం"/>
    <x v="1"/>
    <x v="0"/>
    <x v="1"/>
    <x v="1"/>
    <x v="1"/>
    <x v="1"/>
    <s v="Ashish"/>
    <s v="Correctly Done"/>
    <n v="0"/>
    <x v="0"/>
    <n v="1.1705128247062893"/>
    <n v="1.0795332136445241"/>
    <n v="0.86308903171383233"/>
    <n v="0.85034013605442171"/>
    <n v="0.75433779645928134"/>
    <n v="0.79950206330384943"/>
    <n v="0.40257772387792479"/>
    <n v="-1"/>
    <n v="-1"/>
    <n v="-1"/>
    <n v="-1"/>
    <n v="-1"/>
    <n v="-1"/>
    <n v="-5.5"/>
    <n v="-6"/>
    <n v="-5"/>
    <n v="-4"/>
    <n v="-3"/>
    <s v="TDP HardCore"/>
  </r>
  <r>
    <s v="13ef0f3b-e6e9-4843-8927-4ddfdc818988"/>
    <x v="2"/>
    <s v="21/01/2026, 09:00:29"/>
    <s v="16.439560, 81.711762"/>
    <s v="Sakinetipalli Revu, SakhinetiPalli, Andhra Pradesh, India"/>
    <x v="1"/>
    <s v="Naeem"/>
    <s v="http://164.52.221.216/localmedia/media/surveys/samples/recording_2026-01-21_08-55-42_samples_Bcts2pNcXm.mp4"/>
    <x v="0"/>
    <x v="3"/>
    <x v="6"/>
    <x v="0"/>
    <s v="క్రిస్టియన్"/>
    <x v="0"/>
    <s v="t. ththa rao "/>
    <n v="9989624221"/>
    <x v="0"/>
    <x v="3"/>
    <x v="2"/>
    <x v="0"/>
    <x v="0"/>
    <x v="0"/>
    <s v="విద్య రంగం అభివృద్ధి చేయటం, ఆరోగ్య రంగం అభివృద్ధి చేయటం"/>
    <x v="0"/>
    <x v="0"/>
    <x v="0"/>
    <x v="0"/>
    <x v="0"/>
    <x v="0"/>
    <s v="Bhagya"/>
    <s v="Not Doing It Properly"/>
    <s v="Caste - Mala"/>
    <x v="0"/>
    <n v="1.3836274505214585"/>
    <n v="1.8055837563451775"/>
    <n v="1.9482662206881376"/>
    <n v="0.85034013605442171"/>
    <n v="1.147984664167413"/>
    <n v="1.0790228998469584"/>
    <n v="1.1572915102003449"/>
    <n v="1"/>
    <n v="1"/>
    <n v="1"/>
    <n v="1"/>
    <n v="1"/>
    <n v="1"/>
    <n v="5.5"/>
    <n v="6"/>
    <n v="5"/>
    <n v="4"/>
    <n v="3"/>
    <s v="YSRCP HardCore"/>
  </r>
  <r>
    <s v="c22c1a90-c9af-46d4-9654-520d4384d499"/>
    <x v="2"/>
    <s v="21/01/2026, 09:06:39"/>
    <s v="16.439116, 81.712175"/>
    <s v="Sakinetipalli Revu, SakhinetiPalli, Andhra Pradesh, India"/>
    <x v="1"/>
    <s v="Naeem"/>
    <s v="http://164.52.221.216/localmedia/media/surveys/samples/recording_2026-01-21_09-03-44_samples_33kQ9j7yTR.mp4"/>
    <x v="2"/>
    <x v="3"/>
    <x v="6"/>
    <x v="3"/>
    <s v="హిందూ"/>
    <x v="0"/>
    <s v="subramanyam"/>
    <n v="9491173950"/>
    <x v="0"/>
    <x v="2"/>
    <x v="1"/>
    <x v="1"/>
    <x v="1"/>
    <x v="1"/>
    <s v="రోడ్లు వేయటం, విద్య రంగం అభివృద్ధి చేయటం, ఆరోగ్య రంగం అభివృద్ధి చేయటం"/>
    <x v="1"/>
    <x v="0"/>
    <x v="1"/>
    <x v="1"/>
    <x v="1"/>
    <x v="1"/>
    <s v="Bhagya"/>
    <s v="Correctly Done"/>
    <s v="But not asking the Q1 question properly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3880d4e8-b0f3-4699-8a20-10173a46d614"/>
    <x v="2"/>
    <s v="21/01/2026, 09:12:22"/>
    <s v="16.439484, 81.711644"/>
    <s v="Sakinetipalli Revu, SakhinetiPalli, Andhra Pradesh, India"/>
    <x v="1"/>
    <s v="Naeem"/>
    <s v="http://164.52.221.216/localmedia/media/surveys/samples/recording_2026-01-21_09-09-15_samples_5RUWov9ikd.mp4"/>
    <x v="1"/>
    <x v="3"/>
    <x v="6"/>
    <x v="0"/>
    <s v="హిందూ"/>
    <x v="1"/>
    <s v="srinivas"/>
    <n v="9959520782"/>
    <x v="0"/>
    <x v="1"/>
    <x v="1"/>
    <x v="1"/>
    <x v="1"/>
    <x v="1"/>
    <s v="ఉద్యొగ్య అవకాశాలు కల్పించటం, విద్య రంగం అభివృద్ధి చేయటం, వ్యవసాయం, రైతు బాగుండడం"/>
    <x v="1"/>
    <x v="0"/>
    <x v="1"/>
    <x v="1"/>
    <x v="1"/>
    <x v="1"/>
    <s v="Bhagya"/>
    <s v="Correctly Done"/>
    <n v="0"/>
    <x v="0"/>
    <n v="1.1705128247062893"/>
    <n v="1.0795332136445241"/>
    <n v="0.86308903171383233"/>
    <n v="0.85034013605442171"/>
    <n v="1.147984664167413"/>
    <n v="0.79950206330384943"/>
    <n v="0.92148737207359532"/>
    <n v="-1"/>
    <n v="-1"/>
    <n v="-1"/>
    <n v="-1"/>
    <n v="-1"/>
    <n v="-1"/>
    <n v="-5.5"/>
    <n v="-6"/>
    <n v="-5"/>
    <n v="-4"/>
    <n v="-3"/>
    <s v="TDP HardCore"/>
  </r>
  <r>
    <s v="78bf58a5-3668-4d0e-8eb1-40acd4064965"/>
    <x v="2"/>
    <s v="21/01/2026, 09:16:33"/>
    <s v="16.438856, 81.712531"/>
    <s v="CPQ7+G25, SakhinetiPalli, Andhra Pradesh, India"/>
    <x v="1"/>
    <s v="Naeem"/>
    <s v="http://164.52.221.216/localmedia/media/surveys/samples/recording_2026-01-21_09-14-23_samples_aeCJdwNhUk.mp4"/>
    <x v="2"/>
    <x v="3"/>
    <x v="6"/>
    <x v="2"/>
    <s v="హిందూ"/>
    <x v="1"/>
    <s v="venu"/>
    <n v="9493745159"/>
    <x v="0"/>
    <x v="1"/>
    <x v="1"/>
    <x v="1"/>
    <x v="1"/>
    <x v="1"/>
    <s v="విద్య రంగం అభివృద్ధి చేయటం, ఆరోగ్య రంగం అభివృద్ధి చేయటం, వ్యవసాయం, రైతు బాగుండడం"/>
    <x v="1"/>
    <x v="0"/>
    <x v="1"/>
    <x v="1"/>
    <x v="1"/>
    <x v="1"/>
    <s v="Bhagya"/>
    <s v="Correctly Done"/>
    <n v="0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8203a620-9cbc-43c0-8e59-cd1c7b43fac4"/>
    <x v="2"/>
    <s v="21/01/2026, 09:17:32"/>
    <s v="16.438856, 81.712531"/>
    <s v="CPQ7+G25, SakhinetiPalli, Andhra Pradesh, India"/>
    <x v="1"/>
    <s v="Naeem"/>
    <s v="http://164.52.221.216/localmedia/media/surveys/samples/recording_2026-01-21_09-14-23_samples_ZralG5G9Sz.mp4"/>
    <x v="2"/>
    <x v="3"/>
    <x v="6"/>
    <x v="2"/>
    <s v="హిందూ"/>
    <x v="1"/>
    <s v="venu"/>
    <n v="9493745159"/>
    <x v="0"/>
    <x v="1"/>
    <x v="1"/>
    <x v="1"/>
    <x v="1"/>
    <x v="1"/>
    <s v="విద్య రంగం అభివృద్ధి చేయటం, ఆరోగ్య రంగం అభివృద్ధి చేయటం, వ్యవసాయం, రైతు బాగుండడం"/>
    <x v="1"/>
    <x v="0"/>
    <x v="1"/>
    <x v="1"/>
    <x v="1"/>
    <x v="1"/>
    <n v="0"/>
    <s v="Correctly Done"/>
    <n v="0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0337ebe3-e4bf-4160-8fe3-5d752dfd6d28"/>
    <x v="2"/>
    <s v="21/01/2026, 09:24:21"/>
    <s v="16.438913, 81.713637"/>
    <s v="Patalanka 3rd ward, SakhinetiPalli, Andhra Pradesh, India"/>
    <x v="1"/>
    <s v="Naeem"/>
    <s v="http://164.52.221.216/localmedia/media/surveys/samples/recording_2026-01-21_09-21-34_samples_bDBvL2j53X.mp4"/>
    <x v="2"/>
    <x v="3"/>
    <x v="6"/>
    <x v="6"/>
    <s v="హిందూ"/>
    <x v="1"/>
    <s v="vekattalsmi"/>
    <n v="9999999999"/>
    <x v="1"/>
    <x v="2"/>
    <x v="1"/>
    <x v="1"/>
    <x v="1"/>
    <x v="1"/>
    <s v="రోడ్లు వేయటం, ఉద్యొగ్య అవకాశాలు కల్పించటం, శాంతి భద్రతలను కాపాడటం, వ్యవసాయం, రైతు బాగుండడం"/>
    <x v="1"/>
    <x v="0"/>
    <x v="1"/>
    <x v="1"/>
    <x v="1"/>
    <x v="1"/>
    <s v="Bhagya"/>
    <s v="Correctly Done"/>
    <n v="0"/>
    <x v="0"/>
    <n v="1.1461625511156397"/>
    <n v="1.0795332136445241"/>
    <n v="3.0326483876590018"/>
    <n v="2.1645021645021645"/>
    <n v="1.147984664167413"/>
    <n v="2.8092219390089208"/>
    <n v="2.2934724643212636"/>
    <n v="-1"/>
    <n v="-1"/>
    <n v="-1"/>
    <n v="-1"/>
    <n v="-1"/>
    <n v="-1"/>
    <n v="-5.5"/>
    <n v="-6"/>
    <n v="-5"/>
    <n v="-4"/>
    <n v="-3"/>
    <s v="TDP HardCore"/>
  </r>
  <r>
    <s v="f1aff904-62dc-457d-91f3-d5163e1b095c"/>
    <x v="2"/>
    <s v="21/01/2026, 09:29:29"/>
    <s v="16.438540, 81.712965"/>
    <s v="CPQ7+C53, SakhinetiPalli, Andhra Pradesh, India"/>
    <x v="1"/>
    <s v="Naeem"/>
    <s v="http://164.52.221.216/localmedia/media/surveys/samples/recording_2026-01-21_09-25-51_samples_Yb7PFQLd1i.mp4"/>
    <x v="1"/>
    <x v="3"/>
    <x v="6"/>
    <x v="0"/>
    <s v="హిందూ"/>
    <x v="0"/>
    <s v="adi laxmi "/>
    <n v="9999999999"/>
    <x v="1"/>
    <x v="2"/>
    <x v="2"/>
    <x v="1"/>
    <x v="0"/>
    <x v="0"/>
    <s v="రోడ్లు వేయటం, విద్య రంగం అభివృద్ధి చేయటం, ఆరోగ్య రంగం అభివృద్ధి చేయటం"/>
    <x v="1"/>
    <x v="0"/>
    <x v="2"/>
    <x v="1"/>
    <x v="1"/>
    <x v="1"/>
    <s v="Bhagya"/>
    <s v="Correctly Done"/>
    <s v="Caste-Gouda"/>
    <x v="0"/>
    <n v="1.1705128247062893"/>
    <n v="1.0795332136445241"/>
    <n v="2.3577066232182737"/>
    <n v="2.1645021645021645"/>
    <n v="1.147984664167413"/>
    <n v="2.1840056363422229"/>
    <n v="25.80164641806067"/>
    <n v="-1"/>
    <n v="1"/>
    <n v="1"/>
    <n v="-1"/>
    <n v="-1"/>
    <n v="-1"/>
    <n v="-1.5"/>
    <n v="-2"/>
    <n v="-3"/>
    <n v="-2"/>
    <n v="-3"/>
    <s v="Neutral TDP"/>
  </r>
  <r>
    <s v="513b6817-97f2-47b2-be90-c3955e8c0c3b"/>
    <x v="2"/>
    <s v="21/01/2026, 09:33:32"/>
    <s v="16.438908, 81.712181"/>
    <s v="Sakinetipalli Revu, SakhinetiPalli, Andhra Pradesh, India"/>
    <x v="1"/>
    <s v="Naeem"/>
    <s v="http://164.52.221.216/localmedia/media/surveys/samples/recording_2026-01-21_09-31-33_samples_KBXwGtKJWr.mp4"/>
    <x v="9"/>
    <x v="3"/>
    <x v="6"/>
    <x v="6"/>
    <s v="హిందూ"/>
    <x v="1"/>
    <s v="vanitha"/>
    <n v="9999999999"/>
    <x v="1"/>
    <x v="4"/>
    <x v="1"/>
    <x v="1"/>
    <x v="0"/>
    <x v="1"/>
    <s v="ఉద్యొగ్య అవకాశాలు కల్పించటం, శాంతి భద్రతలను కాపాడటం, ఆరోగ్య రంగం అభివృద్ధి చేయటం"/>
    <x v="1"/>
    <x v="0"/>
    <x v="1"/>
    <x v="1"/>
    <x v="1"/>
    <x v="1"/>
    <s v="Bhagya"/>
    <s v="Correctly Done"/>
    <s v="Caste-Gouda, Didn''t asked Q4,Q6 questions properly, Skipped Q5 question"/>
    <x v="0"/>
    <n v="1.1209668980183516"/>
    <n v="1.0795332136445241"/>
    <n v="1.4370186848956754"/>
    <n v="2.1645021645021645"/>
    <n v="1.147984664167413"/>
    <n v="1.3311481913967924"/>
    <n v="0.51141675343184545"/>
    <n v="-1"/>
    <n v="1"/>
    <n v="-1"/>
    <n v="-1"/>
    <n v="-1"/>
    <n v="-1"/>
    <n v="-3.5"/>
    <n v="-4"/>
    <n v="-5"/>
    <n v="-4"/>
    <n v="-3"/>
    <s v="TDP Sympathiser"/>
  </r>
  <r>
    <s v="1c2cd752-e984-4e6e-972e-c223b6e02a83"/>
    <x v="2"/>
    <s v="21/01/2026, 09:36:08"/>
    <s v="16.509811, 81.949826"/>
    <s v="GW6X+6V2, Pasarlapudilanka, Andhra Pradesh, India"/>
    <x v="3"/>
    <s v="Naeem"/>
    <s v="http://164.52.221.216/localmedia/media/surveys/samples/recording_2026-01-21_09-33-06_samples_1MookyHVRJ.mp4"/>
    <x v="1"/>
    <x v="2"/>
    <x v="5"/>
    <x v="0"/>
    <s v="క్రిస్టియన్"/>
    <x v="1"/>
    <s v="l. suresh"/>
    <n v="9573537943"/>
    <x v="0"/>
    <x v="2"/>
    <x v="1"/>
    <x v="0"/>
    <x v="1"/>
    <x v="1"/>
    <s v="ఉద్యొగ్య అవకాశాలు కల్పించటం, విద్య రంగం అభివృద్ధి చేయటం, ఆరోగ్య రంగం అభివృద్ధి చేయటం"/>
    <x v="0"/>
    <x v="0"/>
    <x v="0"/>
    <x v="1"/>
    <x v="1"/>
    <x v="1"/>
    <s v="Deepika"/>
    <s v="Not Doing It Properly"/>
    <s v="Q2 kept his own"/>
    <x v="0"/>
    <n v="1.1705128247062893"/>
    <n v="1.0795332136445241"/>
    <n v="0.86308903171383233"/>
    <n v="0.85034013605442171"/>
    <n v="0.75433779645928134"/>
    <n v="0.79950206330384943"/>
    <n v="0.40257772387792479"/>
    <n v="1"/>
    <n v="-1"/>
    <n v="-1"/>
    <n v="1"/>
    <n v="-1"/>
    <n v="1"/>
    <n v="0.5"/>
    <n v="0"/>
    <n v="1"/>
    <n v="0"/>
    <n v="2"/>
    <s v="Neutral YSRCP"/>
  </r>
  <r>
    <s v="b716f160-f300-4a8a-bc1f-5005f788add4"/>
    <x v="2"/>
    <s v="21/01/2026, 09:37:59"/>
    <s v="16.438644, 81.712862"/>
    <s v="CPQ7+C53, SakhinetiPalli, Andhra Pradesh, India"/>
    <x v="1"/>
    <s v="Naeem"/>
    <s v="http://164.52.221.216/localmedia/media/surveys/samples/recording_2026-01-21_09-35-09_samples_ul6wUz5J4e.mp4"/>
    <x v="2"/>
    <x v="3"/>
    <x v="6"/>
    <x v="6"/>
    <s v="హిందూ"/>
    <x v="0"/>
    <s v="laxmi"/>
    <n v="9999999999"/>
    <x v="1"/>
    <x v="1"/>
    <x v="2"/>
    <x v="0"/>
    <x v="0"/>
    <x v="0"/>
    <s v="విద్య రంగం అభివృద్ధి చేయటం, వ్యవసాయం, రైతు బాగుండడం"/>
    <x v="1"/>
    <x v="0"/>
    <x v="1"/>
    <x v="1"/>
    <x v="1"/>
    <x v="1"/>
    <s v="Bhagya"/>
    <s v="Not Doing It Properly"/>
    <s v="Didn't asked Q6 properly, kept on his own"/>
    <x v="0"/>
    <n v="1.1461625511156397"/>
    <n v="1.0795332136445241"/>
    <n v="3.0326483876590018"/>
    <n v="2.1645021645021645"/>
    <n v="1.147984664167413"/>
    <n v="2.8092219390089208"/>
    <n v="2.2934724643212636"/>
    <n v="1"/>
    <n v="1"/>
    <n v="1"/>
    <n v="-1"/>
    <n v="-1"/>
    <n v="-1"/>
    <n v="0.5"/>
    <n v="0"/>
    <n v="-1"/>
    <n v="-2"/>
    <n v="-2"/>
    <s v="Neutral TDP"/>
  </r>
  <r>
    <s v="d3a85f02-bb41-4a77-b0f3-0a54742721bf"/>
    <x v="2"/>
    <s v="21/01/2026, 09:42:48"/>
    <s v="16.510862, 81.950730"/>
    <s v="GW6X+6V2, Pasarlapudilanka, Andhra Pradesh, India"/>
    <x v="3"/>
    <s v="Naeem"/>
    <s v="http://164.52.221.216/localmedia/media/surveys/samples/recording_2026-01-21_09-39-41_samples_tKZdZlq0Wa.mp4"/>
    <x v="0"/>
    <x v="2"/>
    <x v="5"/>
    <x v="5"/>
    <s v="హిందూ"/>
    <x v="3"/>
    <s v="b. vamshi"/>
    <n v="7842157252"/>
    <x v="0"/>
    <x v="2"/>
    <x v="1"/>
    <x v="1"/>
    <x v="1"/>
    <x v="0"/>
    <s v="రోడ్లు వేయటం, ఉద్యొగ్య అవకాశాలు కల్పించటం, విద్య రంగం అభివృద్ధి చేయటం"/>
    <x v="1"/>
    <x v="0"/>
    <x v="1"/>
    <x v="1"/>
    <x v="1"/>
    <x v="1"/>
    <s v="Deepika"/>
    <s v="Correctly Done"/>
    <n v="0"/>
    <x v="0"/>
    <n v="1.3836274505214585"/>
    <n v="1.0795332136445241"/>
    <n v="1.1648410586678206"/>
    <n v="0.85034013605442171"/>
    <n v="0.75433779645928134"/>
    <n v="1.0790228998469584"/>
    <n v="0.52423486800867025"/>
    <n v="-1"/>
    <n v="-1"/>
    <n v="1"/>
    <n v="-1"/>
    <n v="-1"/>
    <n v="-1"/>
    <n v="-3.5"/>
    <n v="-4"/>
    <n v="-3"/>
    <n v="-2"/>
    <n v="-3"/>
    <s v="Neutral TDP"/>
  </r>
  <r>
    <s v="e50ff413-b3bf-4365-862f-26a4d58c7e1a"/>
    <x v="2"/>
    <s v="21/01/2026, 09:44:18"/>
    <s v="16.437913, 81.714289"/>
    <s v="CPQ8+75C, SakhinetiPalli, Andhra Pradesh, India"/>
    <x v="1"/>
    <s v="Naeem"/>
    <s v="http://164.52.221.216/localmedia/media/surveys/samples/recording_2026-01-21_09-41-27_samples_xQuFf1W2Tz.mp4"/>
    <x v="2"/>
    <x v="3"/>
    <x v="6"/>
    <x v="3"/>
    <s v="హిందూ"/>
    <x v="0"/>
    <s v="vekateswarao"/>
    <n v="9133728933"/>
    <x v="0"/>
    <x v="2"/>
    <x v="1"/>
    <x v="1"/>
    <x v="1"/>
    <x v="1"/>
    <s v="రోడ్లు వేయటం, విద్య రంగం అభివృద్ధి చేయటం"/>
    <x v="1"/>
    <x v="0"/>
    <x v="1"/>
    <x v="1"/>
    <x v="1"/>
    <x v="1"/>
    <s v="Bhagya"/>
    <s v="Correctly Done"/>
    <n v="0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54a4493d-c674-4e0e-841b-180b66ef0bcb"/>
    <x v="2"/>
    <s v="21/01/2026, 09:47:30"/>
    <s v="16.511359, 81.951227"/>
    <s v="GW6X+6V2, Pasarlapudilanka, Andhra Pradesh, India"/>
    <x v="3"/>
    <s v="Naeem"/>
    <s v="http://164.52.221.216/localmedia/media/surveys/samples/recording_2026-01-21_09-44-49_samples_ASiSLv3Nfl.mp4"/>
    <x v="1"/>
    <x v="0"/>
    <x v="0"/>
    <x v="0"/>
    <s v="హిందూ"/>
    <x v="3"/>
    <s v="prasad"/>
    <n v="7993666237"/>
    <x v="0"/>
    <x v="2"/>
    <x v="1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0"/>
    <x v="1"/>
    <x v="1"/>
    <x v="1"/>
    <x v="1"/>
    <s v="Deepika"/>
    <s v="Correctly Done"/>
    <s v="Q1 kept his own"/>
    <x v="0"/>
    <n v="1.1705128247062893"/>
    <n v="1.0795332136445241"/>
    <n v="0.86308903171383233"/>
    <n v="0.85034013605442171"/>
    <n v="1.9264642089343564"/>
    <n v="0.79950206330384943"/>
    <n v="1.1572126985895925"/>
    <n v="-1"/>
    <n v="-1"/>
    <n v="-1"/>
    <n v="-1"/>
    <n v="-1"/>
    <n v="-1"/>
    <n v="-5.5"/>
    <n v="-6"/>
    <n v="-5"/>
    <n v="-4"/>
    <n v="-3"/>
    <s v="TDP HardCore"/>
  </r>
  <r>
    <s v="94d1c364-8af9-4d2e-afab-204474f5e3d4"/>
    <x v="2"/>
    <s v="21/01/2026, 09:47:30"/>
    <s v="16.511359, 81.951227"/>
    <s v="GW6X+6V2, Pasarlapudilanka, Andhra Pradesh, India"/>
    <x v="3"/>
    <s v="Naeem"/>
    <s v="http://164.52.221.216/localmedia/media/surveys/samples/recording_2026-01-21_09-44-49_samples_tQ18itm00S.mp4"/>
    <x v="1"/>
    <x v="2"/>
    <x v="5"/>
    <x v="0"/>
    <s v="హిందూ"/>
    <x v="3"/>
    <s v="prasad"/>
    <n v="7993666237"/>
    <x v="0"/>
    <x v="2"/>
    <x v="1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0"/>
    <x v="1"/>
    <x v="1"/>
    <x v="1"/>
    <x v="1"/>
    <n v="0"/>
    <s v="Correctly Done"/>
    <n v="0"/>
    <x v="0"/>
    <n v="1.1705128247062893"/>
    <n v="1.0795332136445241"/>
    <n v="0.86308903171383233"/>
    <n v="0.85034013605442171"/>
    <n v="0.75433779645928134"/>
    <n v="0.79950206330384943"/>
    <n v="0.40257772387792479"/>
    <n v="-1"/>
    <n v="-1"/>
    <n v="-1"/>
    <n v="-1"/>
    <n v="-1"/>
    <n v="-1"/>
    <n v="-5.5"/>
    <n v="-6"/>
    <n v="-5"/>
    <n v="-4"/>
    <n v="-3"/>
    <s v="TDP HardCore"/>
  </r>
  <r>
    <s v="b897977a-11ed-423c-b63c-c1fd629f2728"/>
    <x v="2"/>
    <s v="21/01/2026, 09:47:31"/>
    <s v="16.511359, 81.951227"/>
    <s v="GW6X+6V2, Pasarlapudilanka, Andhra Pradesh, India"/>
    <x v="3"/>
    <s v="Naeem"/>
    <s v="http://164.52.221.216/localmedia/media/surveys/samples/recording_2026-01-21_09-44-49_samples_ubaPGkT04v.mp4"/>
    <x v="1"/>
    <x v="2"/>
    <x v="5"/>
    <x v="0"/>
    <s v="హిందూ"/>
    <x v="3"/>
    <s v="prasad"/>
    <n v="7993666237"/>
    <x v="0"/>
    <x v="2"/>
    <x v="1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0"/>
    <x v="1"/>
    <x v="1"/>
    <x v="1"/>
    <x v="1"/>
    <n v="0"/>
    <s v="Correctly Done"/>
    <n v="0"/>
    <x v="0"/>
    <n v="1.1705128247062893"/>
    <n v="1.0795332136445241"/>
    <n v="0.86308903171383233"/>
    <n v="0.85034013605442171"/>
    <n v="0.75433779645928134"/>
    <n v="0.79950206330384943"/>
    <n v="0.40257772387792479"/>
    <n v="-1"/>
    <n v="-1"/>
    <n v="-1"/>
    <n v="-1"/>
    <n v="-1"/>
    <n v="-1"/>
    <n v="-5.5"/>
    <n v="-6"/>
    <n v="-5"/>
    <n v="-4"/>
    <n v="-3"/>
    <s v="TDP HardCore"/>
  </r>
  <r>
    <s v="ca44cef3-166d-476b-a0ab-2207da67e913"/>
    <x v="2"/>
    <s v="21/01/2026, 09:48:49"/>
    <s v="16.437169, 81.715589"/>
    <s v="CPQ8+75C, SakhinetiPalli, Andhra Pradesh, India"/>
    <x v="1"/>
    <s v="Naeem"/>
    <s v="http://164.52.221.216/localmedia/media/surveys/samples/recording_2026-01-21_09-46-37_samples_vTJ35Y5dKT.mp4"/>
    <x v="2"/>
    <x v="3"/>
    <x v="6"/>
    <x v="0"/>
    <s v="హిందూ"/>
    <x v="2"/>
    <s v="vekateswarao"/>
    <n v="9999999999"/>
    <x v="0"/>
    <x v="3"/>
    <x v="2"/>
    <x v="1"/>
    <x v="1"/>
    <x v="1"/>
    <s v="రోడ్లు వేయటం, శాంతి భద్రతలను కాపాడటం, విద్య రంగం అభివృద్ధి చేయటం"/>
    <x v="1"/>
    <x v="0"/>
    <x v="1"/>
    <x v="1"/>
    <x v="1"/>
    <x v="1"/>
    <s v="Bhagya"/>
    <s v="Correctly Done"/>
    <n v="0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5427b796-7bb1-441d-83b0-e6cd10cf74ab"/>
    <x v="2"/>
    <s v="21/01/2026, 09:52:47"/>
    <s v="16.511096, 81.951974"/>
    <s v="GX62+QWF, Mamidikuduru, Andhra Pradesh, India"/>
    <x v="3"/>
    <s v="Naeem"/>
    <s v="http://164.52.221.216/localmedia/media/surveys/samples/recording_2026-01-21_09-48-57_samples_87nAx16OZl.mp4"/>
    <x v="1"/>
    <x v="2"/>
    <x v="5"/>
    <x v="3"/>
    <s v="హిందూ"/>
    <x v="0"/>
    <s v="papa rao"/>
    <n v="999999999"/>
    <x v="0"/>
    <x v="2"/>
    <x v="0"/>
    <x v="1"/>
    <x v="0"/>
    <x v="1"/>
    <s v="ఉద్యొగ్య అవకాశాలు కల్పించటం, శాంతి భద్రతలను కాపాడటం, విద్య రంగం అభివృద్ధి చేయటం"/>
    <x v="1"/>
    <x v="0"/>
    <x v="1"/>
    <x v="2"/>
    <x v="1"/>
    <x v="1"/>
    <s v="Deepika"/>
    <s v="Not Doing It Properly"/>
    <s v="Q1,5,10 kept his own"/>
    <x v="0"/>
    <n v="1.1705128247062893"/>
    <n v="0.66153846153846207"/>
    <n v="0.52890136495485462"/>
    <n v="0.85034013605442171"/>
    <n v="0.75433779645928134"/>
    <n v="0.79950206330384943"/>
    <n v="0.40257772387792479"/>
    <n v="-1"/>
    <n v="1"/>
    <n v="-1"/>
    <n v="-1"/>
    <n v="-1"/>
    <n v="-1"/>
    <n v="-3.5"/>
    <n v="-4"/>
    <n v="-5"/>
    <n v="-4"/>
    <n v="-3"/>
    <s v="TDP Sympathiser"/>
  </r>
  <r>
    <s v="c80ee533-4211-440a-91cc-5a433e3154f6"/>
    <x v="2"/>
    <s v="21/01/2026, 09:55:30"/>
    <s v="16.436658, 81.716716"/>
    <s v="Pinnamaraju group of Homes, Gudimula Kandrika, Andhra Pradesh, India"/>
    <x v="1"/>
    <s v="Naeem"/>
    <s v="http://164.52.221.216/localmedia/media/surveys/samples/recording_2026-01-21_09-53-23_samples_EI8SgMrTEv.mp4"/>
    <x v="2"/>
    <x v="3"/>
    <x v="6"/>
    <x v="0"/>
    <s v="హిందూ"/>
    <x v="1"/>
    <s v="vakatanaga pani"/>
    <n v="6281414158"/>
    <x v="0"/>
    <x v="3"/>
    <x v="1"/>
    <x v="1"/>
    <x v="1"/>
    <x v="1"/>
    <s v="రోడ్లు వేయటం, విద్య రంగం అభివృద్ధి చేయటం"/>
    <x v="1"/>
    <x v="0"/>
    <x v="1"/>
    <x v="1"/>
    <x v="1"/>
    <x v="1"/>
    <s v="Bhagya"/>
    <s v="Correctly Done"/>
    <n v="0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87e0a21b-54b4-4585-8761-208892106929"/>
    <x v="2"/>
    <s v="21/01/2026, 10:00:34"/>
    <s v="16.436097, 81.717493"/>
    <s v="2-609, Lanka, Andhra Pradesh, India"/>
    <x v="1"/>
    <s v="Naeem"/>
    <s v="http://164.52.221.216/localmedia/media/surveys/samples/recording_2026-01-21_09-58-11_samples_AMq6X6vFaw.mp4"/>
    <x v="2"/>
    <x v="3"/>
    <x v="6"/>
    <x v="3"/>
    <s v="హిందూ"/>
    <x v="2"/>
    <s v="ramu"/>
    <n v="9491615659"/>
    <x v="0"/>
    <x v="1"/>
    <x v="1"/>
    <x v="1"/>
    <x v="1"/>
    <x v="1"/>
    <s v="శాంతి భద్రతలను కాపాడటం, విద్య రంగం అభివృద్ధి చేయటం"/>
    <x v="1"/>
    <x v="0"/>
    <x v="1"/>
    <x v="1"/>
    <x v="1"/>
    <x v="1"/>
    <s v="Bhagya"/>
    <s v="Not Doing It Properly"/>
    <s v="Q6 Not asking properly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d7fd54b2-8199-4ab6-906a-262a77eb9d74"/>
    <x v="2"/>
    <s v="21/01/2026, 10:01:26"/>
    <s v="16.509977, 81.952651"/>
    <s v="GX63+66F, Pasarlapudilanka, Andhra Pradesh, India"/>
    <x v="3"/>
    <s v="Naeem"/>
    <s v="http://164.52.221.216/localmedia/media/surveys/samples/recording_2026-01-21_09-56-46_samples_K3PY3OxvGl.mp4"/>
    <x v="1"/>
    <x v="2"/>
    <x v="5"/>
    <x v="7"/>
    <s v="హిందూ"/>
    <x v="1"/>
    <s v="venkatalakshmi"/>
    <n v="9885391310"/>
    <x v="1"/>
    <x v="2"/>
    <x v="1"/>
    <x v="1"/>
    <x v="0"/>
    <x v="0"/>
    <s v="ఉద్యొగ్య అవకాశాలు కల్పించటం, శాంతి భద్రతలను కాపాడటం, విద్య రంగం అభివృద్ధి చేయటం"/>
    <x v="0"/>
    <x v="0"/>
    <x v="1"/>
    <x v="2"/>
    <x v="1"/>
    <x v="1"/>
    <s v="Deepika"/>
    <s v="Not Doing It Properly"/>
    <s v="Q9,10,13 kept his own"/>
    <x v="0"/>
    <n v="1.1705128247062893"/>
    <n v="0.66153846153846207"/>
    <n v="1.444803728657164"/>
    <n v="2.1645021645021645"/>
    <n v="0.75433779645928134"/>
    <n v="2.1840056363422229"/>
    <n v="1.1182714552164577"/>
    <n v="-1"/>
    <n v="1"/>
    <n v="1"/>
    <n v="1"/>
    <n v="-1"/>
    <n v="-1"/>
    <n v="0.5"/>
    <n v="0"/>
    <n v="-1"/>
    <n v="0"/>
    <n v="-3"/>
    <s v="Neutral TDP"/>
  </r>
  <r>
    <s v="149c1c1c-ea92-43a7-8fb3-f8983740270e"/>
    <x v="2"/>
    <s v="21/01/2026, 10:13:27"/>
    <s v="16.506789, 81.951895"/>
    <s v="GX42+PQ7, Pasarlapudilanka, Andhra Pradesh, India"/>
    <x v="3"/>
    <s v="Naeem"/>
    <s v="http://164.52.221.216/localmedia/media/surveys/samples/recording_2026-01-21_10-11-00_samples_ylEIpIXsVz.mp4"/>
    <x v="2"/>
    <x v="2"/>
    <x v="5"/>
    <x v="2"/>
    <s v="హిందూ"/>
    <x v="1"/>
    <s v="sai teja "/>
    <n v="8466833926"/>
    <x v="0"/>
    <x v="2"/>
    <x v="1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"/>
    <x v="1"/>
    <x v="0"/>
    <x v="1"/>
    <x v="1"/>
    <x v="1"/>
    <x v="1"/>
    <s v="Deepika"/>
    <s v="Correctly Done"/>
    <n v="0"/>
    <x v="0"/>
    <n v="1.1461625511156397"/>
    <n v="1.0795332136445241"/>
    <n v="0.77721139583220644"/>
    <n v="0.85034013605442171"/>
    <n v="0.75433779645928134"/>
    <n v="0.71995135120329123"/>
    <n v="0.55527787174877274"/>
    <n v="-1"/>
    <n v="-1"/>
    <n v="-1"/>
    <n v="-1"/>
    <n v="-1"/>
    <n v="-1"/>
    <n v="-5.5"/>
    <n v="-6"/>
    <n v="-5"/>
    <n v="-4"/>
    <n v="-3"/>
    <s v="TDP HardCore"/>
  </r>
  <r>
    <s v="fe0d9800-d8f8-4e9a-8d4a-abc95d70ac06"/>
    <x v="2"/>
    <s v="21/01/2026, 10:25:51"/>
    <s v="16.411860, 81.751926"/>
    <s v="PADMALATHA COMPLEX, MANDAL, SakhinetiPalli, Andhra Pradesh, India"/>
    <x v="1"/>
    <s v="Naeem"/>
    <s v="http://164.52.221.216/localmedia/media/surveys/samples/recording_2026-01-21_10-23-11_samples_0hluvOeIGw.mp4"/>
    <x v="0"/>
    <x v="3"/>
    <x v="6"/>
    <x v="2"/>
    <s v="క్రిస్టియన్"/>
    <x v="3"/>
    <s v="harsha"/>
    <n v="9553120545"/>
    <x v="0"/>
    <x v="4"/>
    <x v="1"/>
    <x v="1"/>
    <x v="1"/>
    <x v="0"/>
    <s v="రోడ్లు వేయటం, శాంతి భద్రతలను కాపాడటం"/>
    <x v="0"/>
    <x v="1"/>
    <x v="0"/>
    <x v="0"/>
    <x v="2"/>
    <x v="0"/>
    <s v="Bhagya"/>
    <s v="Not Doing It Properly"/>
    <s v="Q6 didn't mentioned the options to respondent and also Q8 kept on his own"/>
    <x v="0"/>
    <n v="1.3836274505214585"/>
    <n v="1.8055837563451775"/>
    <n v="1.9482662206881376"/>
    <n v="0.85034013605442171"/>
    <n v="1.147984664167413"/>
    <n v="1.0790228998469584"/>
    <n v="1.1572915102003449"/>
    <n v="-1"/>
    <n v="-1"/>
    <n v="1"/>
    <n v="1"/>
    <n v="1"/>
    <n v="1"/>
    <n v="1.5"/>
    <n v="2"/>
    <n v="3"/>
    <n v="4"/>
    <n v="2"/>
    <s v="YSRCP Sympathiser"/>
  </r>
  <r>
    <s v="c0a79d84-0b2f-4e1a-a7fa-dc10fc7daef2"/>
    <x v="2"/>
    <s v="21/01/2026, 10:29:23"/>
    <s v="16.411278, 81.751813"/>
    <s v="CQ62+9RJ, SakhinetiPalli, Andhra Pradesh, India"/>
    <x v="1"/>
    <s v="Naeem"/>
    <s v="http://164.52.221.216/localmedia/media/surveys/samples/recording_2026-01-21_10-27-08_samples_kD8rrWgQaI.mp4"/>
    <x v="6"/>
    <x v="3"/>
    <x v="6"/>
    <x v="2"/>
    <s v="హిందూ"/>
    <x v="0"/>
    <s v="lela krishna"/>
    <n v="9849035561"/>
    <x v="0"/>
    <x v="1"/>
    <x v="1"/>
    <x v="1"/>
    <x v="1"/>
    <x v="1"/>
    <s v="ఆరోగ్య రంగం అభివృద్ధి చేయటం, వ్యవసాయం, రైతు బాగుండడం"/>
    <x v="1"/>
    <x v="0"/>
    <x v="1"/>
    <x v="1"/>
    <x v="1"/>
    <x v="1"/>
    <s v="Ashish"/>
    <s v="Correctly Done"/>
    <n v="0"/>
    <x v="0"/>
    <n v="1.2612194085121222"/>
    <n v="1.0795332136445241"/>
    <n v="0.92029223709519836"/>
    <n v="0.85034013605442171"/>
    <n v="1.147984664167413"/>
    <n v="0.85249089649430487"/>
    <n v="0.41451794778650441"/>
    <n v="-1"/>
    <n v="-1"/>
    <n v="-1"/>
    <n v="-1"/>
    <n v="-1"/>
    <n v="-1"/>
    <n v="-5.5"/>
    <n v="-6"/>
    <n v="-5"/>
    <n v="-4"/>
    <n v="-3"/>
    <s v="TDP HardCore"/>
  </r>
  <r>
    <s v="4b14a6de-9f55-426f-a617-26fa3af0212a"/>
    <x v="2"/>
    <s v="21/01/2026, 10:30:42"/>
    <s v="16.504395, 81.955202"/>
    <s v="GX43+6VW, Pasarlapudilanka, Andhra Pradesh, India"/>
    <x v="3"/>
    <s v="Naeem"/>
    <s v="http://164.52.221.216/localmedia/media/surveys/samples/recording_2026-01-21_10-28-06_samples_C9s7eCEcZM.mp4"/>
    <x v="0"/>
    <x v="2"/>
    <x v="5"/>
    <x v="1"/>
    <s v="హిందూ"/>
    <x v="0"/>
    <s v="venkateswararao "/>
    <n v="9912027511"/>
    <x v="0"/>
    <x v="2"/>
    <x v="1"/>
    <x v="1"/>
    <x v="0"/>
    <x v="1"/>
    <s v="ఉద్యొగ్య అవకాశాలు కల్పించటం, శాంతి భద్రతలను కాపాడటం, వ్యవసాయం, రైతు బాగుండడం"/>
    <x v="1"/>
    <x v="0"/>
    <x v="1"/>
    <x v="1"/>
    <x v="1"/>
    <x v="1"/>
    <n v="0"/>
    <s v="Not Doing It Properly"/>
    <s v="Q5,6 kept his own"/>
    <x v="0"/>
    <n v="1.3836274505214585"/>
    <n v="1.0795332136445241"/>
    <n v="1.1648410586678206"/>
    <n v="0.85034013605442171"/>
    <n v="0.75433779645928134"/>
    <n v="1.0790228998469584"/>
    <n v="0.52423486800867025"/>
    <n v="-1"/>
    <n v="1"/>
    <n v="-1"/>
    <n v="-1"/>
    <n v="-1"/>
    <n v="-1"/>
    <n v="-3.5"/>
    <n v="-4"/>
    <n v="-5"/>
    <n v="-4"/>
    <n v="-3"/>
    <s v="TDP Sympathiser"/>
  </r>
  <r>
    <s v="9707dcac-b50c-4ed0-9129-26c937127f42"/>
    <x v="2"/>
    <s v="21/01/2026, 10:33:08"/>
    <s v="16.411921, 81.751941"/>
    <s v="CQ62+QRW, Y.V Lanka Badava, Andhra Pradesh, India"/>
    <x v="1"/>
    <s v="Naeem"/>
    <s v="http://164.52.221.216/localmedia/media/surveys/samples/recording_2026-01-21_10-30-50_samples_zfuXGJAixB.mp4"/>
    <x v="0"/>
    <x v="3"/>
    <x v="6"/>
    <x v="0"/>
    <s v="క్రిస్టియన్"/>
    <x v="0"/>
    <s v="srinevas"/>
    <n v="9989832319"/>
    <x v="0"/>
    <x v="2"/>
    <x v="2"/>
    <x v="0"/>
    <x v="0"/>
    <x v="0"/>
    <s v="రోడ్లు వేయటం, ఆరోగ్య రంగం అభివృద్ధి చేయటం, వ్యవసాయం, రైతు బాగుండడం"/>
    <x v="0"/>
    <x v="1"/>
    <x v="0"/>
    <x v="0"/>
    <x v="3"/>
    <x v="2"/>
    <s v="Ashish"/>
    <s v="Correctly Done"/>
    <n v="0"/>
    <x v="0"/>
    <n v="1.3836274505214585"/>
    <n v="1.8055837563451775"/>
    <n v="1.9482662206881376"/>
    <n v="0.85034013605442171"/>
    <n v="1.147984664167413"/>
    <n v="1.0790228998469584"/>
    <n v="1.1572915102003449"/>
    <n v="1"/>
    <n v="1"/>
    <n v="1"/>
    <n v="1"/>
    <n v="1"/>
    <n v="1"/>
    <n v="5.5"/>
    <n v="6"/>
    <n v="5"/>
    <n v="4"/>
    <n v="3"/>
    <s v="YSRCP HardCore"/>
  </r>
  <r>
    <s v="5910e1fb-ecb3-4a1f-8189-28c719b9b410"/>
    <x v="2"/>
    <s v="21/01/2026, 10:36:44"/>
    <s v="16.503474, 81.955413"/>
    <s v="GX34+29W, Pasarlapudilanka, Andhra Pradesh, India"/>
    <x v="3"/>
    <s v="Naeem"/>
    <s v="http://164.52.221.216/localmedia/media/surveys/samples/recording_2026-01-21_10-33-05_samples_IRtyCiGbty.mp4"/>
    <x v="0"/>
    <x v="2"/>
    <x v="5"/>
    <x v="0"/>
    <s v="హిందూ"/>
    <x v="1"/>
    <s v="u. srinuvasrao "/>
    <n v="8341456878"/>
    <x v="0"/>
    <x v="2"/>
    <x v="1"/>
    <x v="1"/>
    <x v="0"/>
    <x v="0"/>
    <s v="ఉద్యొగ్య అవకాశాలు కల్పించటం, శాంతి భద్రతలను కాపాడటం, విద్య రంగం అభివృద్ధి చేయటం"/>
    <x v="1"/>
    <x v="0"/>
    <x v="1"/>
    <x v="0"/>
    <x v="0"/>
    <x v="2"/>
    <s v="Deepika"/>
    <s v="Correctly Done"/>
    <n v="0"/>
    <x v="0"/>
    <n v="1.3836274505214585"/>
    <n v="1.8055837563451775"/>
    <n v="1.9482662206881376"/>
    <n v="0.85034013605442171"/>
    <n v="0.75433779645928134"/>
    <n v="1.0790228998469584"/>
    <n v="0.52423486800867025"/>
    <n v="-1"/>
    <n v="1"/>
    <n v="1"/>
    <n v="-1"/>
    <n v="1"/>
    <n v="-1"/>
    <n v="-0.5"/>
    <n v="0"/>
    <n v="-1"/>
    <n v="0"/>
    <n v="-2"/>
    <s v="Neutral TDP"/>
  </r>
  <r>
    <s v="245b82eb-d57a-4aba-8f92-f706ea03a3a6"/>
    <x v="2"/>
    <s v="21/01/2026, 10:36:44"/>
    <s v="16.503474, 81.955413"/>
    <s v="GX34+29W, Pasarlapudilanka, Andhra Pradesh, India"/>
    <x v="3"/>
    <s v="Naeem"/>
    <s v="http://164.52.221.216/localmedia/media/surveys/samples/recording_2026-01-21_10-33-05_samples_sCyTq8QJDY.mp4"/>
    <x v="0"/>
    <x v="2"/>
    <x v="5"/>
    <x v="0"/>
    <s v="హిందూ"/>
    <x v="1"/>
    <s v="u. srinuvasrao "/>
    <n v="8341456878"/>
    <x v="0"/>
    <x v="2"/>
    <x v="1"/>
    <x v="1"/>
    <x v="0"/>
    <x v="0"/>
    <s v="ఉద్యొగ్య అవకాశాలు కల్పించటం, శాంతి భద్రతలను కాపాడటం, విద్య రంగం అభివృద్ధి చేయటం"/>
    <x v="1"/>
    <x v="0"/>
    <x v="1"/>
    <x v="0"/>
    <x v="0"/>
    <x v="2"/>
    <n v="0"/>
    <s v="Correctly Done"/>
    <n v="0"/>
    <x v="0"/>
    <n v="1.3836274505214585"/>
    <n v="1.8055837563451775"/>
    <n v="1.9482662206881376"/>
    <n v="0.85034013605442171"/>
    <n v="0.75433779645928134"/>
    <n v="1.0790228998469584"/>
    <n v="0.52423486800867025"/>
    <n v="-1"/>
    <n v="1"/>
    <n v="1"/>
    <n v="-1"/>
    <n v="1"/>
    <n v="-1"/>
    <n v="-0.5"/>
    <n v="0"/>
    <n v="-1"/>
    <n v="0"/>
    <n v="-2"/>
    <s v="Neutral TDP"/>
  </r>
  <r>
    <s v="1afc03d4-e764-47d0-8cc1-dfb104b34d2a"/>
    <x v="2"/>
    <s v="21/01/2026, 10:38:17"/>
    <s v="16.410855, 81.752482"/>
    <s v="290, SakhinetiPalli, Andhra Pradesh, India"/>
    <x v="1"/>
    <s v="Naeem"/>
    <s v="http://164.52.221.216/localmedia/media/surveys/samples/recording_2026-01-21_10-34-45_samples_r4jktR2NF7.mp4"/>
    <x v="2"/>
    <x v="3"/>
    <x v="6"/>
    <x v="0"/>
    <s v="హిందూ"/>
    <x v="0"/>
    <s v="srinevas"/>
    <n v="9999999999"/>
    <x v="0"/>
    <x v="1"/>
    <x v="1"/>
    <x v="1"/>
    <x v="1"/>
    <x v="1"/>
    <s v="విద్య రంగం అభివృద్ధి చేయటం, ఆరోగ్య రంగం అభివృద్ధి చేయటం, వ్యవసాయం, రైతు బాగుండడం"/>
    <x v="1"/>
    <x v="0"/>
    <x v="1"/>
    <x v="2"/>
    <x v="1"/>
    <x v="1"/>
    <s v="Ashish"/>
    <s v="Not Doing It Properly"/>
    <s v="Caste,Q8,9,10 kept on his own"/>
    <x v="0"/>
    <n v="1.1461625511156397"/>
    <n v="0.66153846153846207"/>
    <n v="0.47627550925756229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588a2c8c-b109-4320-b272-458161ea797c"/>
    <x v="2"/>
    <s v="21/01/2026, 10:42:52"/>
    <s v="16.502540, 81.955628"/>
    <s v="GX34+29W, Pasarlapudilanka, Andhra Pradesh, India"/>
    <x v="3"/>
    <s v="Naeem"/>
    <s v="http://164.52.221.216/localmedia/media/surveys/samples/recording_2026-01-21_10-38-57_samples_GSAxH0kIVP.mp4"/>
    <x v="8"/>
    <x v="2"/>
    <x v="5"/>
    <x v="0"/>
    <s v="హిందూ"/>
    <x v="3"/>
    <s v="ganesh"/>
    <n v="9966943972"/>
    <x v="0"/>
    <x v="2"/>
    <x v="1"/>
    <x v="0"/>
    <x v="0"/>
    <x v="0"/>
    <s v="ఉద్యొగ్య అవకాశాలు కల్పించటం, వ్యవసాయం, రైతు బాగుండడం, సంక్షేమ పథకాలు (నగదు)"/>
    <x v="0"/>
    <x v="0"/>
    <x v="0"/>
    <x v="0"/>
    <x v="0"/>
    <x v="2"/>
    <s v="Deepika"/>
    <s v="Correctly Done"/>
    <n v="0"/>
    <x v="0"/>
    <n v="0.80207032429970992"/>
    <n v="1.8055837563451775"/>
    <n v="1.0971251128803523"/>
    <n v="0.85034013605442171"/>
    <n v="0.75433779645928134"/>
    <n v="0.60762903356038633"/>
    <n v="0.22537440548651508"/>
    <n v="1"/>
    <n v="1"/>
    <n v="1"/>
    <n v="1"/>
    <n v="1"/>
    <n v="1"/>
    <n v="5.5"/>
    <n v="6"/>
    <n v="5"/>
    <n v="4"/>
    <n v="3"/>
    <s v="YSRCP HardCore"/>
  </r>
  <r>
    <s v="7451cb29-9ab1-4b81-8dec-cfb2e77157bf"/>
    <x v="2"/>
    <s v="21/01/2026, 10:47:41"/>
    <s v="16.413688, 81.752326"/>
    <s v="CQ72+8Q8, SakhinetiPalli, Andhra Pradesh, India"/>
    <x v="1"/>
    <s v="Naeem"/>
    <s v="http://164.52.221.216/localmedia/media/surveys/samples/recording_2026-01-21_10-45-19_samples_05zDv1HEVr.mp4"/>
    <x v="2"/>
    <x v="3"/>
    <x v="6"/>
    <x v="0"/>
    <s v="హిందూ"/>
    <x v="0"/>
    <s v="nagaraju"/>
    <n v="9493195529"/>
    <x v="0"/>
    <x v="1"/>
    <x v="1"/>
    <x v="1"/>
    <x v="1"/>
    <x v="1"/>
    <s v="రోడ్లు వేయటం, వ్యవసాయం, రైతు బాగుండడం"/>
    <x v="1"/>
    <x v="0"/>
    <x v="1"/>
    <x v="1"/>
    <x v="1"/>
    <x v="1"/>
    <s v="Ashish"/>
    <s v="Correctly Done"/>
    <n v="0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ccfe4706-ce63-4648-8286-16d8c95ac603"/>
    <x v="2"/>
    <s v="21/01/2026, 10:52:32"/>
    <s v="16.413346, 81.751544"/>
    <s v="CQ72+9JH, SakhinetiPalli, Andhra Pradesh, India"/>
    <x v="1"/>
    <s v="Naeem"/>
    <s v="http://164.52.221.216/localmedia/media/surveys/samples/recording_2026-01-21_10-50-39_samples_L6bIM60XId.mp4"/>
    <x v="2"/>
    <x v="3"/>
    <x v="6"/>
    <x v="6"/>
    <s v="హిందూ"/>
    <x v="3"/>
    <s v="nilemma"/>
    <n v="9999999999"/>
    <x v="1"/>
    <x v="2"/>
    <x v="1"/>
    <x v="1"/>
    <x v="0"/>
    <x v="1"/>
    <s v="రోడ్లు వేయటం, ఆరోగ్య రంగం అభివృద్ధి చేయటం, వ్యవసాయం, రైతు బాగుండడం"/>
    <x v="1"/>
    <x v="0"/>
    <x v="1"/>
    <x v="1"/>
    <x v="1"/>
    <x v="1"/>
    <s v="Ashish"/>
    <s v="Correctly Done"/>
    <n v="0"/>
    <x v="0"/>
    <n v="1.1461625511156397"/>
    <n v="1.0795332136445241"/>
    <n v="3.0326483876590018"/>
    <n v="2.1645021645021645"/>
    <n v="1.147984664167413"/>
    <n v="2.8092219390089208"/>
    <n v="2.2934724643212636"/>
    <n v="-1"/>
    <n v="1"/>
    <n v="-1"/>
    <n v="-1"/>
    <n v="-1"/>
    <n v="-1"/>
    <n v="-3.5"/>
    <n v="-4"/>
    <n v="-5"/>
    <n v="-4"/>
    <n v="-3"/>
    <s v="TDP Sympathiser"/>
  </r>
  <r>
    <s v="5ac896b6-0852-4849-aaaa-fa88c3acdb80"/>
    <x v="2"/>
    <s v="21/01/2026, 10:55:35"/>
    <s v="16.502689, 81.956107"/>
    <s v="GX34+29W, Pasarlapudilanka, Andhra Pradesh, India"/>
    <x v="3"/>
    <s v="Naeem"/>
    <s v="http://164.52.221.216/localmedia/media/surveys/samples/recording_2026-01-21_10-51-52_samples_AJiCfcMKtn.mp4"/>
    <x v="0"/>
    <x v="2"/>
    <x v="5"/>
    <x v="2"/>
    <s v="హిందూ"/>
    <x v="1"/>
    <s v="venkatalakshmi"/>
    <n v="7416162445"/>
    <x v="1"/>
    <x v="2"/>
    <x v="1"/>
    <x v="1"/>
    <x v="1"/>
    <x v="1"/>
    <s v="ఉద్యొగ్య అవకాశాలు కల్పించటం, శాంతి భద్రతలను కాపాడటం, విద్య రంగం అభివృద్ధి చేయటం"/>
    <x v="1"/>
    <x v="0"/>
    <x v="1"/>
    <x v="3"/>
    <x v="1"/>
    <x v="1"/>
    <s v="Deepika"/>
    <s v="Not Doing It Properly"/>
    <s v="Q1,9 kept his own"/>
    <x v="0"/>
    <n v="1.3836274505214585"/>
    <n v="0.66153846153846207"/>
    <n v="1.2753497331114214"/>
    <n v="2.1645021645021645"/>
    <n v="0.75433779645928134"/>
    <n v="1.9278542477265657"/>
    <n v="0.95595770048639872"/>
    <n v="-1"/>
    <n v="-1"/>
    <n v="-1"/>
    <n v="-1"/>
    <n v="-1"/>
    <n v="-1"/>
    <n v="-5.5"/>
    <n v="-6"/>
    <n v="-5"/>
    <n v="-4"/>
    <n v="-3"/>
    <s v="TDP HardCore"/>
  </r>
  <r>
    <s v="be842113-98bb-4c14-bd59-22f2fd0df6f3"/>
    <x v="2"/>
    <s v="21/01/2026, 10:56:19"/>
    <s v="16.412553, 81.752341"/>
    <s v="CQ62+WRR, Y.V Lanka Badava, Andhra Pradesh, India"/>
    <x v="1"/>
    <s v="Naeem"/>
    <s v="http://164.52.221.216/localmedia/media/surveys/samples/recording_2026-01-21_10-54-19_samples_rnh1fUlEB7.mp4"/>
    <x v="2"/>
    <x v="3"/>
    <x v="6"/>
    <x v="6"/>
    <s v="హిందూ"/>
    <x v="1"/>
    <s v="janaki"/>
    <n v="9951960689"/>
    <x v="1"/>
    <x v="4"/>
    <x v="1"/>
    <x v="1"/>
    <x v="1"/>
    <x v="1"/>
    <s v="ఆరోగ్య రంగం అభివృద్ధి చేయటం, వ్యవసాయం, రైతు బాగుండడం"/>
    <x v="1"/>
    <x v="0"/>
    <x v="1"/>
    <x v="1"/>
    <x v="1"/>
    <x v="1"/>
    <s v="Ashish"/>
    <s v="Correctly Done"/>
    <n v="0"/>
    <x v="0"/>
    <n v="1.1461625511156397"/>
    <n v="1.0795332136445241"/>
    <n v="3.0326483876590018"/>
    <n v="2.1645021645021645"/>
    <n v="1.147984664167413"/>
    <n v="2.8092219390089208"/>
    <n v="2.2934724643212636"/>
    <n v="-1"/>
    <n v="-1"/>
    <n v="-1"/>
    <n v="-1"/>
    <n v="-1"/>
    <n v="-1"/>
    <n v="-5.5"/>
    <n v="-6"/>
    <n v="-5"/>
    <n v="-4"/>
    <n v="-3"/>
    <s v="TDP HardCore"/>
  </r>
  <r>
    <s v="b7450a48-e1cf-4b45-9f1a-a62362c8940a"/>
    <x v="2"/>
    <s v="21/01/2026, 10:59:55"/>
    <s v="16.413341, 81.751546"/>
    <s v="CQ72+9JH, SakhinetiPalli, Andhra Pradesh, India"/>
    <x v="1"/>
    <s v="Naeem"/>
    <s v="http://164.52.221.216/localmedia/media/surveys/samples/recording_2026-01-21_10-58-03_samples_QGM0M0L1LC.mp4"/>
    <x v="2"/>
    <x v="3"/>
    <x v="6"/>
    <x v="6"/>
    <s v="హిందూ"/>
    <x v="1"/>
    <s v="suhasini"/>
    <n v="9999999999"/>
    <x v="1"/>
    <x v="1"/>
    <x v="1"/>
    <x v="1"/>
    <x v="1"/>
    <x v="1"/>
    <s v="విద్య రంగం అభివృద్ధి చేయటం, సంక్షేమ పథకాలు (నగదు)"/>
    <x v="1"/>
    <x v="0"/>
    <x v="1"/>
    <x v="1"/>
    <x v="1"/>
    <x v="1"/>
    <s v="Ashish"/>
    <s v="Not Doing It Properly"/>
    <s v="Q9,10 kept on his own"/>
    <x v="0"/>
    <n v="1.1461625511156397"/>
    <n v="1.0795332136445241"/>
    <n v="3.0326483876590018"/>
    <n v="2.1645021645021645"/>
    <n v="1.147984664167413"/>
    <n v="2.8092219390089208"/>
    <n v="2.2934724643212636"/>
    <n v="-1"/>
    <n v="-1"/>
    <n v="-1"/>
    <n v="-1"/>
    <n v="-1"/>
    <n v="-1"/>
    <n v="-5.5"/>
    <n v="-6"/>
    <n v="-5"/>
    <n v="-4"/>
    <n v="-3"/>
    <s v="TDP HardCore"/>
  </r>
  <r>
    <s v="e5cc5265-fee2-45b3-b6e1-dd4a9b6d1557"/>
    <x v="2"/>
    <s v="21/01/2026, 11:02:23"/>
    <s v="16.502502, 81.956541"/>
    <s v="GX34+29W, Pasarlapudilanka, Andhra Pradesh, India"/>
    <x v="3"/>
    <s v="Naeem"/>
    <s v="http://164.52.221.216/localmedia/media/surveys/samples/recording_2026-01-21_10-59-22_samples_ru3nps9f9s.mp4"/>
    <x v="0"/>
    <x v="2"/>
    <x v="5"/>
    <x v="6"/>
    <s v="హిందూ"/>
    <x v="0"/>
    <s v="p. padma"/>
    <n v="9553724482"/>
    <x v="1"/>
    <x v="2"/>
    <x v="2"/>
    <x v="0"/>
    <x v="0"/>
    <x v="0"/>
    <s v="ఉద్యొగ్య అవకాశాలు కల్పించటం, శాంతి భద్రతలను కాపాడటం, ఆరోగ్య రంగం అభివృద్ధి చేయటం"/>
    <x v="0"/>
    <x v="0"/>
    <x v="0"/>
    <x v="0"/>
    <x v="3"/>
    <x v="0"/>
    <s v="Deepika"/>
    <s v="Not Doing It Properly"/>
    <s v="Q6,12 kept his own"/>
    <x v="0"/>
    <n v="1.3836274505214585"/>
    <n v="1.8055837563451775"/>
    <n v="3.4809023142961388"/>
    <n v="2.1645021645021645"/>
    <n v="0.75433779645928134"/>
    <n v="1.9278542477265657"/>
    <n v="0.95595770048639872"/>
    <n v="1"/>
    <n v="1"/>
    <n v="1"/>
    <n v="1"/>
    <n v="1"/>
    <n v="1"/>
    <n v="5.5"/>
    <n v="6"/>
    <n v="5"/>
    <n v="4"/>
    <n v="3"/>
    <s v="YSRCP HardCore"/>
  </r>
  <r>
    <s v="fc92bb4b-644d-4a90-b9e7-a26b77a3453b"/>
    <x v="2"/>
    <s v="21/01/2026, 11:04:56"/>
    <s v="16.412112, 81.752138"/>
    <s v="CQ62+QRW, Y.V Lanka Badava, Andhra Pradesh, India"/>
    <x v="1"/>
    <s v="Naeem"/>
    <s v="http://164.52.221.216/localmedia/media/surveys/samples/recording_2026-01-21_11-02-51_samples_4dMt9pvZfm.mp4"/>
    <x v="6"/>
    <x v="3"/>
    <x v="6"/>
    <x v="0"/>
    <s v="హిందూ"/>
    <x v="1"/>
    <s v="prasad"/>
    <n v="9985854784"/>
    <x v="0"/>
    <x v="2"/>
    <x v="1"/>
    <x v="1"/>
    <x v="1"/>
    <x v="0"/>
    <s v="రోడ్లు వేయటం, ఆరోగ్య రంగం అభివృద్ధి చేయటం, వ్యవసాయం, రైతు బాగుండడం"/>
    <x v="1"/>
    <x v="0"/>
    <x v="1"/>
    <x v="1"/>
    <x v="1"/>
    <x v="1"/>
    <s v="Ashish"/>
    <s v="Correctly Done"/>
    <n v="0"/>
    <x v="0"/>
    <n v="1.2612194085121222"/>
    <n v="1.0795332136445241"/>
    <n v="0.92029223709519836"/>
    <n v="0.85034013605442171"/>
    <n v="1.147984664167413"/>
    <n v="0.85249089649430487"/>
    <n v="0.41451794778650441"/>
    <n v="-1"/>
    <n v="-1"/>
    <n v="1"/>
    <n v="-1"/>
    <n v="-1"/>
    <n v="-1"/>
    <n v="-3.5"/>
    <n v="-4"/>
    <n v="-3"/>
    <n v="-2"/>
    <n v="-3"/>
    <s v="Neutral TDP"/>
  </r>
  <r>
    <s v="e61b3efc-1e5e-4da1-95c1-5f72190f0e40"/>
    <x v="2"/>
    <s v="21/01/2026, 11:09:55"/>
    <s v="16.502466, 81.955731"/>
    <s v="GX34+29W, Pasarlapudilanka, Andhra Pradesh, India"/>
    <x v="3"/>
    <s v="Naeem"/>
    <s v="http://164.52.221.216/localmedia/media/surveys/samples/recording_2026-01-21_11-05-34_samples_OUGFK7HcGB.mp4"/>
    <x v="7"/>
    <x v="2"/>
    <x v="5"/>
    <x v="0"/>
    <s v="హిందూ"/>
    <x v="0"/>
    <s v="manga "/>
    <n v="7095293309"/>
    <x v="1"/>
    <x v="2"/>
    <x v="2"/>
    <x v="0"/>
    <x v="0"/>
    <x v="0"/>
    <s v="ఉద్యొగ్య అవకాశాలు కల్పించటం, శాంతి భద్రతలను కాపాడటం, విద్య రంగం అభివృద్ధి చేయటం"/>
    <x v="0"/>
    <x v="2"/>
    <x v="0"/>
    <x v="1"/>
    <x v="1"/>
    <x v="1"/>
    <s v="Deepika"/>
    <s v="Correctly Done"/>
    <n v="0"/>
    <x v="0"/>
    <n v="1.0786696182614144"/>
    <n v="1.0795332136445241"/>
    <n v="1.1644596794624567"/>
    <n v="2.1645021645021645"/>
    <n v="0.75433779645928134"/>
    <n v="1.0786696182614144"/>
    <n v="0.36371552453725964"/>
    <n v="1"/>
    <n v="1"/>
    <n v="1"/>
    <n v="1"/>
    <n v="-1"/>
    <n v="1"/>
    <n v="4.5"/>
    <n v="4"/>
    <n v="3"/>
    <n v="2"/>
    <n v="2"/>
    <s v="Neutral YSRCP"/>
  </r>
  <r>
    <s v="e35cefd7-8e0a-48b9-b601-ff04634770b1"/>
    <x v="2"/>
    <s v="21/01/2026, 11:10:55"/>
    <s v="16.411701, 81.751685"/>
    <s v="CQ62+MJQ, SakhinetiPalli, Andhra Pradesh, India"/>
    <x v="1"/>
    <s v="Naeem"/>
    <s v="http://164.52.221.216/localmedia/media/surveys/samples/recording_2026-01-21_11-07-54_samples_TWxxkUS9Px.mp4"/>
    <x v="6"/>
    <x v="3"/>
    <x v="6"/>
    <x v="0"/>
    <s v="హిందూ"/>
    <x v="0"/>
    <s v="raju"/>
    <n v="9553412635"/>
    <x v="0"/>
    <x v="1"/>
    <x v="1"/>
    <x v="1"/>
    <x v="1"/>
    <x v="0"/>
    <s v="ఉద్యొగ్య అవకాశాలు కల్పించటం, ఆరోగ్య రంగం అభివృద్ధి చేయటం"/>
    <x v="0"/>
    <x v="0"/>
    <x v="1"/>
    <x v="1"/>
    <x v="1"/>
    <x v="1"/>
    <s v="Ashish"/>
    <s v="Correctly Done"/>
    <n v="0"/>
    <x v="0"/>
    <n v="1.2612194085121222"/>
    <n v="1.0795332136445241"/>
    <n v="0.92029223709519836"/>
    <n v="0.85034013605442171"/>
    <n v="1.147984664167413"/>
    <n v="0.85249089649430487"/>
    <n v="0.41451794778650441"/>
    <n v="-1"/>
    <n v="-1"/>
    <n v="1"/>
    <n v="1"/>
    <n v="-1"/>
    <n v="-1"/>
    <n v="-1.5"/>
    <n v="-2"/>
    <n v="-1"/>
    <n v="0"/>
    <n v="-3"/>
    <s v="Neutral TDP"/>
  </r>
  <r>
    <s v="6c66d050-eea9-47bc-9ce8-6fa074e5ccac"/>
    <x v="2"/>
    <s v="21/01/2026, 11:22:35"/>
    <s v="16.411290, 81.752424"/>
    <s v="Shop No, Mandal, SakhinetiPalli, Andhra Pradesh, India"/>
    <x v="1"/>
    <s v="Naeem"/>
    <s v="http://164.52.221.216/localmedia/media/surveys/samples/recording_2026-01-21_11-20-08_samples_8SyuvCYE5u.mp4"/>
    <x v="9"/>
    <x v="3"/>
    <x v="6"/>
    <x v="5"/>
    <s v="హిందూ"/>
    <x v="3"/>
    <s v="lokesh"/>
    <n v="8886191937"/>
    <x v="0"/>
    <x v="3"/>
    <x v="2"/>
    <x v="1"/>
    <x v="0"/>
    <x v="0"/>
    <s v="రోడ్లు వేయటం, వ్యవసాయం, రైతు బాగుండడం"/>
    <x v="0"/>
    <x v="1"/>
    <x v="0"/>
    <x v="0"/>
    <x v="0"/>
    <x v="0"/>
    <s v="Ashish"/>
    <s v="Correctly Done"/>
    <n v="0"/>
    <x v="0"/>
    <n v="1.1209668980183516"/>
    <n v="1.8055837563451775"/>
    <n v="1.7479996739449526"/>
    <n v="0.85034013605442171"/>
    <n v="1.147984664167413"/>
    <n v="0.96810777556130356"/>
    <n v="0.30685005205910726"/>
    <n v="-1"/>
    <n v="1"/>
    <n v="1"/>
    <n v="1"/>
    <n v="1"/>
    <n v="1"/>
    <n v="3.5"/>
    <n v="4"/>
    <n v="3"/>
    <n v="4"/>
    <n v="2"/>
    <s v="YSRCP Sympathiser"/>
  </r>
  <r>
    <s v="417f8809-7491-4299-aa66-7998da30146a"/>
    <x v="2"/>
    <s v="21/01/2026, 11:25:17"/>
    <s v="16.502000, 81.955780"/>
    <s v="GX34+29W, Pasarlapudilanka, Andhra Pradesh, India"/>
    <x v="3"/>
    <s v="Naeem"/>
    <s v="http://164.52.221.216/localmedia/media/surveys/samples/recording_2026-01-21_11-21-33_samples_LxYlhH8FTt.mp4"/>
    <x v="8"/>
    <x v="2"/>
    <x v="5"/>
    <x v="0"/>
    <s v="హిందూ"/>
    <x v="0"/>
    <s v="krishna murthy "/>
    <n v="9999999999"/>
    <x v="0"/>
    <x v="2"/>
    <x v="1"/>
    <x v="1"/>
    <x v="1"/>
    <x v="1"/>
    <s v="ఉద్యొగ్య అవకాశాలు కల్పించటం, శాంతి భద్రతలను కాపాడటం, విద్య రంగం అభివృద్ధి చేయటం"/>
    <x v="1"/>
    <x v="0"/>
    <x v="1"/>
    <x v="1"/>
    <x v="1"/>
    <x v="1"/>
    <s v="Deepika"/>
    <s v="Not Doing It Properly"/>
    <s v="Q1,6 kept his own"/>
    <x v="0"/>
    <n v="0.80207032429970992"/>
    <n v="1.0795332136445241"/>
    <n v="0.65595572330316032"/>
    <n v="0.85034013605442171"/>
    <n v="0.75433779645928134"/>
    <n v="0.60762903356038633"/>
    <n v="0.22537440548651508"/>
    <n v="-1"/>
    <n v="-1"/>
    <n v="-1"/>
    <n v="-1"/>
    <n v="-1"/>
    <n v="-1"/>
    <n v="-5.5"/>
    <n v="-6"/>
    <n v="-5"/>
    <n v="-4"/>
    <n v="-3"/>
    <s v="TDP HardCore"/>
  </r>
  <r>
    <s v="61542061-8089-4b6c-b9a2-da8aceb542bd"/>
    <x v="2"/>
    <s v="21/01/2026, 11:29:12"/>
    <s v="16.410806, 81.752651"/>
    <s v="290, SakhinetiPalli, Andhra Pradesh, India"/>
    <x v="1"/>
    <s v="Naeem"/>
    <s v="http://164.52.221.216/localmedia/media/surveys/samples/recording_2026-01-21_11-26-58_samples_XT8jruhp5y.mp4"/>
    <x v="0"/>
    <x v="3"/>
    <x v="6"/>
    <x v="3"/>
    <s v="హిందూ"/>
    <x v="0"/>
    <s v="narasiharao"/>
    <n v="9999999999"/>
    <x v="0"/>
    <x v="1"/>
    <x v="1"/>
    <x v="1"/>
    <x v="1"/>
    <x v="0"/>
    <s v="రోడ్లు వేయటం, వ్యవసాయం, రైతు బాగుండడం"/>
    <x v="0"/>
    <x v="0"/>
    <x v="0"/>
    <x v="0"/>
    <x v="0"/>
    <x v="0"/>
    <s v="Ashish"/>
    <s v="Not Doing It Properly"/>
    <s v="Q9,10 kept on his own"/>
    <x v="0"/>
    <n v="1.3836274505214585"/>
    <n v="1.8055837563451775"/>
    <n v="1.9482662206881376"/>
    <n v="0.85034013605442171"/>
    <n v="1.147984664167413"/>
    <n v="1.0790228998469584"/>
    <n v="1.1572915102003449"/>
    <n v="-1"/>
    <n v="-1"/>
    <n v="1"/>
    <n v="1"/>
    <n v="1"/>
    <n v="1"/>
    <n v="1.5"/>
    <n v="2"/>
    <n v="3"/>
    <n v="4"/>
    <n v="2"/>
    <s v="YSRCP Sympathiser"/>
  </r>
  <r>
    <s v="42ca3491-02fd-4d9b-8c62-bf017208880c"/>
    <x v="2"/>
    <s v="21/01/2026, 11:33:10"/>
    <s v="16.502685, 81.956342"/>
    <s v="GX34+29W, Pasarlapudilanka, Andhra Pradesh, India"/>
    <x v="3"/>
    <s v="Naeem"/>
    <s v="http://164.52.221.216/localmedia/media/surveys/samples/recording_2026-01-21_11-30-21_samples_osxdbNVsgg.mp4"/>
    <x v="8"/>
    <x v="2"/>
    <x v="5"/>
    <x v="0"/>
    <s v="హిందూ"/>
    <x v="0"/>
    <s v="u. jyothi kumari"/>
    <n v="7285905233"/>
    <x v="1"/>
    <x v="2"/>
    <x v="2"/>
    <x v="0"/>
    <x v="0"/>
    <x v="0"/>
    <s v="ఉద్యొగ్య అవకాశాలు కల్పించటం, విద్య రంగం అభివృద్ధి చేయటం, ఆరోగ్య రంగం అభివృద్ధి చేయటం"/>
    <x v="0"/>
    <x v="0"/>
    <x v="2"/>
    <x v="1"/>
    <x v="1"/>
    <x v="1"/>
    <s v="Deepika"/>
    <s v="Correctly Done"/>
    <n v="0"/>
    <x v="0"/>
    <n v="0.80207032429970992"/>
    <n v="1.0795332136445241"/>
    <n v="1.2733258158237817"/>
    <n v="2.1645021645021645"/>
    <n v="0.75433779645928134"/>
    <n v="1.1795151827936912"/>
    <n v="0.37562400914419181"/>
    <n v="1"/>
    <n v="1"/>
    <n v="1"/>
    <n v="1"/>
    <n v="-1"/>
    <n v="-1"/>
    <n v="2.5"/>
    <n v="2"/>
    <n v="1"/>
    <n v="0"/>
    <n v="-2"/>
    <s v="Neutral TDP"/>
  </r>
  <r>
    <s v="d26e5f8d-49b5-4e78-8273-f91c0551a8e3"/>
    <x v="2"/>
    <s v="21/01/2026, 11:39:59"/>
    <s v="16.503511, 81.955456"/>
    <s v="GX34+29W, Pasarlapudilanka, Andhra Pradesh, India"/>
    <x v="3"/>
    <s v="Naeem"/>
    <s v="http://164.52.221.216/localmedia/media/surveys/samples/recording_2026-01-21_11-36-43_samples_dtJxHTUvY8.mp4"/>
    <x v="0"/>
    <x v="2"/>
    <x v="5"/>
    <x v="0"/>
    <s v="హిందూ"/>
    <x v="0"/>
    <s v="ramalakshmi"/>
    <n v="7993189141"/>
    <x v="1"/>
    <x v="2"/>
    <x v="1"/>
    <x v="0"/>
    <x v="0"/>
    <x v="0"/>
    <s v="ఉద్యొగ్య అవకాశాలు కల్పించటం, శాంతి భద్రతలను కాపాడటం, ఆరోగ్య రంగం అభివృద్ధి చేయటం"/>
    <x v="0"/>
    <x v="0"/>
    <x v="0"/>
    <x v="0"/>
    <x v="0"/>
    <x v="2"/>
    <s v="Deepika"/>
    <s v="Not Doing It Properly"/>
    <s v="Q1 kept his own"/>
    <x v="0"/>
    <n v="1.3836274505214585"/>
    <n v="1.8055837563451775"/>
    <n v="3.4809023142961388"/>
    <n v="2.1645021645021645"/>
    <n v="0.75433779645928134"/>
    <n v="1.9278542477265657"/>
    <n v="0.95595770048639872"/>
    <n v="1"/>
    <n v="1"/>
    <n v="1"/>
    <n v="1"/>
    <n v="1"/>
    <n v="1"/>
    <n v="5.5"/>
    <n v="6"/>
    <n v="5"/>
    <n v="4"/>
    <n v="3"/>
    <s v="YSRCP HardCore"/>
  </r>
  <r>
    <s v="212d9eef-c024-463b-9906-d3573c34fa71"/>
    <x v="2"/>
    <s v="21/01/2026, 11:40:53"/>
    <s v="16.411461, 81.752591"/>
    <s v="Shop No, Mandal, SakhinetiPalli, Andhra Pradesh, India"/>
    <x v="1"/>
    <s v="Naeem"/>
    <s v="http://164.52.221.216/localmedia/media/surveys/samples/recording_2026-01-21_11-38-18_samples_czqk50oNBo.mp4"/>
    <x v="2"/>
    <x v="3"/>
    <x v="6"/>
    <x v="0"/>
    <s v="హిందూ"/>
    <x v="0"/>
    <s v="samdani"/>
    <n v="9849006551"/>
    <x v="1"/>
    <x v="1"/>
    <x v="2"/>
    <x v="0"/>
    <x v="0"/>
    <x v="0"/>
    <s v="రోడ్లు వేయటం, వ్యవసాయం, రైతు బాగుండడం"/>
    <x v="1"/>
    <x v="1"/>
    <x v="0"/>
    <x v="1"/>
    <x v="1"/>
    <x v="1"/>
    <s v="Ashish"/>
    <s v="Correctly Done"/>
    <s v="Didn't ask caste and Q7 respondent mentioned YSRCP"/>
    <x v="0"/>
    <n v="1.1461625511156397"/>
    <n v="1.0795332136445241"/>
    <n v="3.0326483876590018"/>
    <n v="2.1645021645021645"/>
    <n v="1.147984664167413"/>
    <n v="2.8092219390089208"/>
    <n v="2.2934724643212636"/>
    <n v="1"/>
    <n v="1"/>
    <n v="1"/>
    <n v="-1"/>
    <n v="-1"/>
    <n v="1"/>
    <n v="2.5"/>
    <n v="2"/>
    <n v="1"/>
    <n v="0"/>
    <n v="2"/>
    <s v="Neutral YSRCP"/>
  </r>
  <r>
    <s v="284c9fe9-9b48-4f2e-9c7b-13cb73f6668e"/>
    <x v="2"/>
    <s v="21/01/2026, 11:45:20"/>
    <s v="16.411001, 81.752430"/>
    <s v="Shop No, Mandal, SakhinetiPalli, Andhra Pradesh, India"/>
    <x v="1"/>
    <s v="Naeem"/>
    <s v="http://164.52.221.216/localmedia/media/surveys/samples/recording_2026-01-21_11-41-58_samples_UuDYHrvhvM.mp4"/>
    <x v="0"/>
    <x v="3"/>
    <x v="6"/>
    <x v="3"/>
    <s v="హిందూ"/>
    <x v="0"/>
    <s v="rajesv bushan"/>
    <n v="9959404360"/>
    <x v="0"/>
    <x v="4"/>
    <x v="1"/>
    <x v="0"/>
    <x v="0"/>
    <x v="0"/>
    <s v="ఉద్యొగ్య అవకాశాలు కల్పించటం, విద్య రంగం అభివృద్ధి చేయటం, ఆరోగ్య రంగం అభివృద్ధి చేయటం"/>
    <x v="0"/>
    <x v="0"/>
    <x v="0"/>
    <x v="0"/>
    <x v="2"/>
    <x v="0"/>
    <s v="Ashish"/>
    <s v="Not Asking Some of the Questions"/>
    <n v="0"/>
    <x v="1"/>
    <n v="1.3836274505214585"/>
    <n v="1.8055837563451775"/>
    <n v="1.9482662206881376"/>
    <n v="0.85034013605442171"/>
    <n v="1.147984664167413"/>
    <n v="1.0790228998469584"/>
    <n v="1.1572915102003449"/>
    <n v="1"/>
    <n v="1"/>
    <n v="1"/>
    <n v="1"/>
    <n v="1"/>
    <n v="1"/>
    <n v="5.5"/>
    <n v="6"/>
    <n v="5"/>
    <n v="4"/>
    <n v="3"/>
    <s v="YSRCP HardCore"/>
  </r>
  <r>
    <s v="b01be722-284f-4720-be74-56681a1c1f9d"/>
    <x v="2"/>
    <s v="21/01/2026, 11:56:56"/>
    <s v="16.505201, 81.957514"/>
    <s v="Mamidikuduru, Pasarlapudilanka, Andhra Pradesh, India"/>
    <x v="3"/>
    <s v="Naeem"/>
    <s v="http://164.52.221.216/localmedia/media/surveys/samples/recording_2026-01-21_11-52-50_samples_HalXzCrFSa.mp4"/>
    <x v="4"/>
    <x v="2"/>
    <x v="5"/>
    <x v="2"/>
    <s v="హిందూ"/>
    <x v="0"/>
    <s v="surya narayana murthy "/>
    <n v="7702951135"/>
    <x v="0"/>
    <x v="2"/>
    <x v="1"/>
    <x v="1"/>
    <x v="1"/>
    <x v="1"/>
    <s v="రోడ్లు వేయటం, ఉద్యొగ్య అవకాశాలు కల్పించటం, ఆరోగ్య రంగం అభివృద్ధి చేయటం, వ్యవసాయం, రైతు బాగుండడం"/>
    <x v="1"/>
    <x v="0"/>
    <x v="1"/>
    <x v="1"/>
    <x v="1"/>
    <x v="1"/>
    <s v="Deepika"/>
    <s v="Correctly Done"/>
    <n v="0"/>
    <x v="0"/>
    <n v="2.1852575402829908"/>
    <n v="1.0795332136445241"/>
    <n v="1.7037641797963405"/>
    <n v="0.85034013605442171"/>
    <n v="0.75433779645928134"/>
    <n v="1.5782415568710491"/>
    <n v="0.79824852668382895"/>
    <n v="-1"/>
    <n v="-1"/>
    <n v="-1"/>
    <n v="-1"/>
    <n v="-1"/>
    <n v="-1"/>
    <n v="-5.5"/>
    <n v="-6"/>
    <n v="-5"/>
    <n v="-4"/>
    <n v="-3"/>
    <s v="TDP HardCore"/>
  </r>
  <r>
    <s v="d0f04a48-5239-4322-ac10-e0c979357879"/>
    <x v="2"/>
    <s v="21/01/2026, 12:00:50"/>
    <s v="16.409795, 81.751558"/>
    <s v="Main Road, SakhinetiPalli, Andhra Pradesh, India"/>
    <x v="1"/>
    <s v="Naeem"/>
    <s v="http://164.52.221.216/localmedia/media/surveys/samples/recording_2026-01-21_11-58-43_samples_blFIi3WTcR.mp4"/>
    <x v="2"/>
    <x v="3"/>
    <x v="6"/>
    <x v="0"/>
    <s v="హిందూ"/>
    <x v="2"/>
    <s v="vekataramaya"/>
    <n v="9491324087"/>
    <x v="0"/>
    <x v="1"/>
    <x v="1"/>
    <x v="1"/>
    <x v="1"/>
    <x v="0"/>
    <s v="ఆరోగ్య రంగం అభివృద్ధి చేయటం, వ్యవసాయం, రైతు బాగుండడం"/>
    <x v="1"/>
    <x v="0"/>
    <x v="1"/>
    <x v="1"/>
    <x v="1"/>
    <x v="1"/>
    <s v="Ashish"/>
    <s v="Not Doing It Properly"/>
    <s v="Q9 kept on his own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1"/>
    <n v="-1"/>
    <n v="-1"/>
    <n v="-1"/>
    <n v="-3.5"/>
    <n v="-4"/>
    <n v="-3"/>
    <n v="-2"/>
    <n v="-3"/>
    <s v="Neutral TDP"/>
  </r>
  <r>
    <s v="a4619b4a-f635-49c6-b741-fc21a779dbc9"/>
    <x v="2"/>
    <s v="21/01/2026, 12:02:49"/>
    <s v="16.505177, 81.959650"/>
    <s v="GX35+X8V, Pasarlapudilanka, Andhra Pradesh, India"/>
    <x v="3"/>
    <s v="Naeem"/>
    <s v="http://164.52.221.216/localmedia/media/surveys/samples/recording_2026-01-21_12-00-17_samples_wogkCFzBRx.mp4"/>
    <x v="2"/>
    <x v="2"/>
    <x v="5"/>
    <x v="0"/>
    <s v="హిందూ"/>
    <x v="3"/>
    <s v="lakshman"/>
    <n v="9542733328"/>
    <x v="0"/>
    <x v="2"/>
    <x v="1"/>
    <x v="1"/>
    <x v="1"/>
    <x v="1"/>
    <s v="రోడ్లు వేయటం, ఉద్యొగ్య అవకాశాలు కల్పించటం, విద్య రంగం అభివృద్ధి చేయటం, ఆరోగ్య రంగం అభివృద్ధి చేయటం"/>
    <x v="1"/>
    <x v="0"/>
    <x v="1"/>
    <x v="1"/>
    <x v="1"/>
    <x v="1"/>
    <s v="Deepika"/>
    <s v="Not Doing It Properly"/>
    <s v="Q7 kept his own and not asking caste"/>
    <x v="0"/>
    <n v="1.1461625511156397"/>
    <n v="1.0795332136445241"/>
    <n v="0.77721139583220644"/>
    <n v="0.85034013605442171"/>
    <n v="0.75433779645928134"/>
    <n v="0.71995135120329123"/>
    <n v="0.55527787174877274"/>
    <n v="-1"/>
    <n v="-1"/>
    <n v="-1"/>
    <n v="-1"/>
    <n v="-1"/>
    <n v="-1"/>
    <n v="-5.5"/>
    <n v="-6"/>
    <n v="-5"/>
    <n v="-4"/>
    <n v="-3"/>
    <s v="TDP HardCore"/>
  </r>
  <r>
    <s v="884d6739-bdb8-4a89-9f80-8d5daae82962"/>
    <x v="2"/>
    <s v="21/01/2026, 12:08:48"/>
    <s v="16.410915, 81.752111"/>
    <s v="SHOP NO.9-3/4 MAIN ROAD OPPOSITE ORANGE RESTAURANT SAKHINETIPALLI CENTER SAKHINETIPALLI MANDAL, SakhinetiPalli, Andhra Pradesh, India"/>
    <x v="1"/>
    <s v="Naeem"/>
    <s v="http://164.52.221.216/localmedia/media/surveys/samples/recording_2026-01-21_12-05-10_samples_JD1NxjBOcn.mp4"/>
    <x v="0"/>
    <x v="3"/>
    <x v="6"/>
    <x v="3"/>
    <s v="క్రిస్టియన్"/>
    <x v="0"/>
    <s v="rathnakumar"/>
    <n v="9398191661"/>
    <x v="0"/>
    <x v="1"/>
    <x v="1"/>
    <x v="0"/>
    <x v="0"/>
    <x v="0"/>
    <s v="రోడ్లు వేయటం, విద్య రంగం అభివృద్ధి చేయటం, ఆరోగ్య రంగం అభివృద్ధి చేయటం, వ్యవసాయం, రైతు బాగుండడం"/>
    <x v="0"/>
    <x v="0"/>
    <x v="0"/>
    <x v="0"/>
    <x v="2"/>
    <x v="0"/>
    <s v="Deepika"/>
    <s v="Correctly Done"/>
    <n v="0"/>
    <x v="0"/>
    <n v="1.3836274505214585"/>
    <n v="1.8055837563451775"/>
    <n v="1.9482662206881376"/>
    <n v="0.85034013605442171"/>
    <n v="1.147984664167413"/>
    <n v="1.0790228998469584"/>
    <n v="1.1572915102003449"/>
    <n v="1"/>
    <n v="1"/>
    <n v="1"/>
    <n v="1"/>
    <n v="1"/>
    <n v="1"/>
    <n v="5.5"/>
    <n v="6"/>
    <n v="5"/>
    <n v="4"/>
    <n v="3"/>
    <s v="YSRCP HardCore"/>
  </r>
  <r>
    <s v="b17b3fe0-f37d-4773-8f98-ced41d512874"/>
    <x v="2"/>
    <s v="21/01/2026, 12:12:07"/>
    <s v="16.503907, 81.959277"/>
    <s v="GX35+X54 ZPH school, Pasarlapudilanka, Andhra Pradesh, India"/>
    <x v="3"/>
    <s v="Naeem"/>
    <s v="http://164.52.221.216/localmedia/media/surveys/samples/recording_2026-01-21_12-07-43_samples_YUP7TvQOLk.mp4"/>
    <x v="2"/>
    <x v="2"/>
    <x v="5"/>
    <x v="1"/>
    <s v="హిందూ"/>
    <x v="2"/>
    <s v="satyanarayana "/>
    <n v="9705687172"/>
    <x v="1"/>
    <x v="2"/>
    <x v="1"/>
    <x v="0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0"/>
    <x v="1"/>
    <x v="0"/>
    <x v="0"/>
    <x v="0"/>
    <s v="Deepika"/>
    <s v="Not Doing It Properly"/>
    <s v="Q2,3,4,5,7 respondent not said properly"/>
    <x v="0"/>
    <n v="1.1461625511156397"/>
    <n v="1.8055837563451775"/>
    <n v="5.0722855010430106"/>
    <n v="2.1645021645021645"/>
    <n v="0.75433779645928134"/>
    <n v="2.8092219390089208"/>
    <n v="5.3676860935714705"/>
    <n v="1"/>
    <n v="-1"/>
    <n v="-1"/>
    <n v="-1"/>
    <n v="1"/>
    <n v="-1"/>
    <n v="-2.5"/>
    <n v="-2"/>
    <n v="-1"/>
    <n v="-2"/>
    <s v="ND"/>
    <s v="ND"/>
  </r>
  <r>
    <s v="220ac5e2-cbf5-4633-8096-4ed6761a8b53"/>
    <x v="2"/>
    <s v="21/01/2026, 12:16:26"/>
    <s v="16.408696, 81.751499"/>
    <s v="CQ52+FHJ, Sakhinetipalle, Andhra Pradesh, India"/>
    <x v="1"/>
    <s v="Naeem"/>
    <s v="http://164.52.221.216/localmedia/media/surveys/samples/recording_2026-01-21_12-14-09_samples_VOy5B4eAWH.mp4"/>
    <x v="8"/>
    <x v="3"/>
    <x v="6"/>
    <x v="0"/>
    <s v="క్రిస్టియన్"/>
    <x v="1"/>
    <s v="rajesjh"/>
    <n v="8639300128"/>
    <x v="0"/>
    <x v="1"/>
    <x v="1"/>
    <x v="0"/>
    <x v="0"/>
    <x v="0"/>
    <s v="రోడ్లు వేయటం, ఆరోగ్య రంగం అభివృద్ధి చేయటం, వ్యవసాయం, రైతు బాగుండడం"/>
    <x v="0"/>
    <x v="1"/>
    <x v="0"/>
    <x v="1"/>
    <x v="1"/>
    <x v="1"/>
    <s v="Deepika"/>
    <s v="Correctly Done"/>
    <n v="0"/>
    <x v="0"/>
    <n v="0.80207032429970992"/>
    <n v="1.0795332136445241"/>
    <n v="0.65595572330316032"/>
    <n v="0.85034013605442171"/>
    <n v="1.147984664167413"/>
    <n v="0.60762903356038633"/>
    <n v="1.1555593620092124"/>
    <n v="1"/>
    <n v="1"/>
    <n v="1"/>
    <n v="1"/>
    <n v="-1"/>
    <n v="1"/>
    <n v="4.5"/>
    <n v="4"/>
    <n v="3"/>
    <n v="2"/>
    <n v="2"/>
    <s v="Neutral YSRCP"/>
  </r>
  <r>
    <s v="72483d45-4226-49be-a8eb-8a60210dff10"/>
    <x v="2"/>
    <s v="21/01/2026, 12:23:14"/>
    <s v="16.407160, 81.751155"/>
    <s v="SHOP NO.16-64 GIRIJA RAO COMPLEX MAIN ROAD MARKET YARD SAKHINETIPALLI PALEM, SakhinetiPalli, Andhra Pradesh, India"/>
    <x v="1"/>
    <s v="Naeem"/>
    <s v="http://164.52.221.216/localmedia/media/surveys/samples/recording_2026-01-21_12-19-58_samples_wsc6LWg3sD.mp4"/>
    <x v="0"/>
    <x v="3"/>
    <x v="6"/>
    <x v="0"/>
    <s v="క్రిస్టియన్"/>
    <x v="0"/>
    <s v="dan raj"/>
    <n v="9912697916"/>
    <x v="0"/>
    <x v="1"/>
    <x v="1"/>
    <x v="1"/>
    <x v="0"/>
    <x v="0"/>
    <s v="రోడ్లు వేయటం, ఆరోగ్య రంగం అభివృద్ధి చేయటం, వ్యవసాయం, రైతు బాగుండడం"/>
    <x v="1"/>
    <x v="0"/>
    <x v="0"/>
    <x v="0"/>
    <x v="0"/>
    <x v="0"/>
    <s v="Deepika"/>
    <s v="Correctly Done"/>
    <n v="0"/>
    <x v="0"/>
    <n v="1.3836274505214585"/>
    <n v="1.8055837563451775"/>
    <n v="1.9482662206881376"/>
    <n v="0.85034013605442171"/>
    <n v="1.147984664167413"/>
    <n v="1.0790228998469584"/>
    <n v="1.1572915102003449"/>
    <n v="-1"/>
    <n v="1"/>
    <n v="1"/>
    <n v="-1"/>
    <n v="1"/>
    <n v="1"/>
    <n v="1.5"/>
    <n v="2"/>
    <n v="1"/>
    <n v="2"/>
    <n v="2"/>
    <s v="Neutral YSRCP"/>
  </r>
  <r>
    <s v="0ef6b815-49b6-41a8-88d9-7ef209c1dfb8"/>
    <x v="2"/>
    <s v="21/01/2026, 12:30:23"/>
    <s v="16.406656, 81.751013"/>
    <s v="MARKET YARD, SakhinetiPalli, Andhra Pradesh, India"/>
    <x v="1"/>
    <s v="Naeem"/>
    <s v="http://164.52.221.216/localmedia/media/surveys/samples/recording_2026-01-21_12-27-43_samples_mkcsJhD9eF.mp4"/>
    <x v="0"/>
    <x v="3"/>
    <x v="6"/>
    <x v="2"/>
    <s v="క్రిస్టియన్"/>
    <x v="0"/>
    <s v="sunil babu"/>
    <n v="8985134556"/>
    <x v="0"/>
    <x v="2"/>
    <x v="1"/>
    <x v="1"/>
    <x v="1"/>
    <x v="0"/>
    <s v="రోడ్లు వేయటం, విద్య రంగం అభివృద్ధి చేయటం, సంక్షేమ పథకాలు (నగదు)"/>
    <x v="0"/>
    <x v="0"/>
    <x v="1"/>
    <x v="1"/>
    <x v="1"/>
    <x v="1"/>
    <s v="Deepika"/>
    <s v="Not Doing It Properly"/>
    <s v="Q7 respondent not said properly"/>
    <x v="0"/>
    <n v="1.3836274505214585"/>
    <n v="1.0795332136445241"/>
    <n v="1.1648410586678206"/>
    <n v="0.85034013605442171"/>
    <n v="1.147984664167413"/>
    <n v="1.0790228998469584"/>
    <n v="1.1572915102003449"/>
    <n v="-1"/>
    <n v="-1"/>
    <n v="1"/>
    <n v="1"/>
    <n v="-1"/>
    <n v="-1"/>
    <n v="-1.5"/>
    <n v="-2"/>
    <n v="-1"/>
    <n v="0"/>
    <n v="-3"/>
    <s v="Neutral TDP"/>
  </r>
  <r>
    <s v="097a772c-b95f-47c6-9bef-235117627e22"/>
    <x v="2"/>
    <s v="21/01/2026, 12:31:36"/>
    <s v="16.507703, 81.960834"/>
    <s v="H.NO=2-19, Pasarlapudilanka, Andhra Pradesh, India"/>
    <x v="3"/>
    <s v="Naeem"/>
    <s v="http://164.52.221.216/localmedia/media/surveys/samples/recording_2026-01-21_12-28-02_samples_HjjsIOpCAJ.mp4"/>
    <x v="0"/>
    <x v="2"/>
    <x v="5"/>
    <x v="0"/>
    <s v="హిందూ"/>
    <x v="2"/>
    <s v="sasirekha"/>
    <n v="9999999999"/>
    <x v="1"/>
    <x v="4"/>
    <x v="1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"/>
    <x v="1"/>
    <x v="0"/>
    <x v="2"/>
    <x v="2"/>
    <x v="1"/>
    <x v="1"/>
    <s v="Deepika"/>
    <s v="Correctly Done"/>
    <n v="0"/>
    <x v="0"/>
    <n v="1.3836274505214585"/>
    <n v="0.66153846153846207"/>
    <n v="1.2753497331114214"/>
    <n v="2.1645021645021645"/>
    <n v="0.75433779645928134"/>
    <n v="1.9278542477265657"/>
    <n v="0.95595770048639872"/>
    <n v="-1"/>
    <n v="-1"/>
    <n v="-1"/>
    <n v="-1"/>
    <n v="-1"/>
    <n v="-1"/>
    <n v="-5.5"/>
    <n v="-6"/>
    <n v="-5"/>
    <n v="-4"/>
    <n v="-3"/>
    <s v="TDP HardCore"/>
  </r>
  <r>
    <s v="049037ec-ff81-4d88-baff-90dbcff6aaa1"/>
    <x v="2"/>
    <s v="21/01/2026, 12:35:05"/>
    <s v="16.406421, 81.751526"/>
    <s v="SHOP NO.5-3/2, SakhinetiPalli, Andhra Pradesh, India"/>
    <x v="1"/>
    <s v="Naeem"/>
    <s v="http://164.52.221.216/localmedia/media/surveys/samples/recording_2026-01-21_12-32-53_samples_tmHjWIRo56.mp4"/>
    <x v="0"/>
    <x v="3"/>
    <x v="6"/>
    <x v="0"/>
    <s v="క్రిస్టియన్"/>
    <x v="3"/>
    <s v="amar"/>
    <n v="7569988751"/>
    <x v="1"/>
    <x v="1"/>
    <x v="1"/>
    <x v="1"/>
    <x v="0"/>
    <x v="0"/>
    <s v="రోడ్లు వేయటం, ఆరోగ్య రంగం అభివృద్ధి చేయటం, వ్యవసాయం, రైతు బాగుండడం"/>
    <x v="1"/>
    <x v="0"/>
    <x v="0"/>
    <x v="0"/>
    <x v="0"/>
    <x v="0"/>
    <s v="Deepika"/>
    <s v="Correctly Done"/>
    <n v="0"/>
    <x v="0"/>
    <n v="1.3836274505214585"/>
    <n v="1.8055837563451775"/>
    <n v="3.4809023142961388"/>
    <n v="2.1645021645021645"/>
    <n v="1.147984664167413"/>
    <n v="1.9278542477265657"/>
    <n v="3.2048072590163397"/>
    <n v="-1"/>
    <n v="1"/>
    <n v="1"/>
    <n v="-1"/>
    <n v="1"/>
    <n v="1"/>
    <n v="1.5"/>
    <n v="2"/>
    <n v="1"/>
    <n v="2"/>
    <n v="2"/>
    <s v="Neutral YSRCP"/>
  </r>
  <r>
    <s v="b2aa1a6e-ac9f-4ccb-9391-b2a9d2694394"/>
    <x v="2"/>
    <s v="21/01/2026, 12:39:39"/>
    <s v="16.394433, 81.749585"/>
    <s v="9PVX+VVX, SakhinetiPalli, Andhra Pradesh, India"/>
    <x v="1"/>
    <s v="Naeem"/>
    <s v="http://164.52.221.216/localmedia/media/surveys/samples/recording_2026-01-21_12-37-31_samples_erVQCEmk9H.mp4"/>
    <x v="0"/>
    <x v="3"/>
    <x v="6"/>
    <x v="2"/>
    <s v="క్రిస్టియన్"/>
    <x v="1"/>
    <s v="rajesh"/>
    <n v="9550235089"/>
    <x v="1"/>
    <x v="2"/>
    <x v="1"/>
    <x v="0"/>
    <x v="0"/>
    <x v="0"/>
    <s v="ఆరోగ్య రంగం అభివృద్ధి చేయటం, వ్యవసాయం, రైతు బాగుండడం, సంక్షేమ పథకాలు (నగదు)"/>
    <x v="0"/>
    <x v="0"/>
    <x v="0"/>
    <x v="0"/>
    <x v="0"/>
    <x v="0"/>
    <s v="Deepika"/>
    <s v="Not Doing It Properly"/>
    <s v="Q1 kept his own"/>
    <x v="0"/>
    <n v="1.3836274505214585"/>
    <n v="1.8055837563451775"/>
    <n v="3.4809023142961388"/>
    <n v="2.1645021645021645"/>
    <n v="1.147984664167413"/>
    <n v="1.9278542477265657"/>
    <n v="3.2048072590163397"/>
    <n v="1"/>
    <n v="1"/>
    <n v="1"/>
    <n v="1"/>
    <n v="1"/>
    <n v="1"/>
    <n v="5.5"/>
    <n v="6"/>
    <n v="5"/>
    <n v="4"/>
    <n v="3"/>
    <s v="YSRCP HardCore"/>
  </r>
  <r>
    <s v="550f1230-14e2-4c66-94b1-0ed12c6ec4e6"/>
    <x v="2"/>
    <s v="21/01/2026, 12:40:14"/>
    <s v="16.507405, 81.957629"/>
    <s v="GX55+87Q, Mamidikududru, Andhra Pradesh, India"/>
    <x v="3"/>
    <s v="Naeem"/>
    <s v="http://164.52.221.216/localmedia/media/surveys/samples/recording_2026-01-21_12-36-52_samples_cCKZrz0ocW.mp4"/>
    <x v="1"/>
    <x v="2"/>
    <x v="5"/>
    <x v="1"/>
    <s v="హిందూ"/>
    <x v="2"/>
    <s v="v. lakshmanrao "/>
    <n v="95426853"/>
    <x v="0"/>
    <x v="2"/>
    <x v="0"/>
    <x v="1"/>
    <x v="0"/>
    <x v="0"/>
    <s v="రోడ్లు వేయటం, ఉద్యొగ్య అవకాశాలు కల్పించటం, విద్య రంగం అభివృద్ధి చేయటం"/>
    <x v="0"/>
    <x v="0"/>
    <x v="0"/>
    <x v="1"/>
    <x v="1"/>
    <x v="1"/>
    <s v="Deepika"/>
    <s v="Not Doing It Properly"/>
    <s v="Q3,5 respondent not said properly"/>
    <x v="0"/>
    <n v="1.1705128247062893"/>
    <n v="1.0795332136445241"/>
    <n v="0.86308903171383233"/>
    <n v="0.85034013605442171"/>
    <n v="0.75433779645928134"/>
    <n v="0.79950206330384943"/>
    <n v="0.40257772387792479"/>
    <n v="-1"/>
    <n v="1"/>
    <n v="1"/>
    <n v="1"/>
    <n v="-1"/>
    <n v="1"/>
    <n v="2.5"/>
    <n v="2"/>
    <n v="1"/>
    <n v="2"/>
    <s v="ND"/>
    <s v="ND"/>
  </r>
  <r>
    <s v="e8997e29-dcfa-4844-ae49-0e633cf282fa"/>
    <x v="2"/>
    <s v="21/01/2026, 12:47:11"/>
    <s v="16.508259, 81.958219"/>
    <s v="GX55+87Q, Mamidikududru, Andhra Pradesh, India"/>
    <x v="3"/>
    <s v="Naeem"/>
    <s v="http://164.52.221.216/localmedia/media/surveys/samples/recording_2026-01-21_12-43-31_samples_ER1YuSwnw4.mp4"/>
    <x v="0"/>
    <x v="2"/>
    <x v="5"/>
    <x v="6"/>
    <s v="హిందూ"/>
    <x v="1"/>
    <s v="arunakumari"/>
    <n v="9849623065"/>
    <x v="1"/>
    <x v="2"/>
    <x v="1"/>
    <x v="0"/>
    <x v="0"/>
    <x v="0"/>
    <s v="ఉద్యొగ్య అవకాశాలు కల్పించటం, శాంతి భద్రతలను కాపాడటం, వ్యవసాయం, రైతు బాగుండడం"/>
    <x v="0"/>
    <x v="0"/>
    <x v="1"/>
    <x v="0"/>
    <x v="3"/>
    <x v="3"/>
    <s v="Deepika"/>
    <s v="Not Doing It Properly"/>
    <s v="Q1,12 kept his own"/>
    <x v="0"/>
    <n v="1.3836274505214585"/>
    <n v="1.8055837563451775"/>
    <n v="3.4809023142961388"/>
    <n v="2.1645021645021645"/>
    <n v="0.75433779645928134"/>
    <n v="1.9278542477265657"/>
    <n v="0.95595770048639872"/>
    <n v="1"/>
    <n v="1"/>
    <n v="1"/>
    <n v="1"/>
    <n v="1"/>
    <n v="-1"/>
    <n v="3.5"/>
    <n v="4"/>
    <n v="3"/>
    <n v="2"/>
    <s v="ND"/>
    <s v="ND"/>
  </r>
  <r>
    <s v="7f975e58-0cdc-4ca4-bd9f-e91f7befa8e8"/>
    <x v="2"/>
    <s v="21/01/2026, 12:47:16"/>
    <s v="16.405855, 81.743807"/>
    <s v="CP4V+F84, SakhinetiPalli, Andhra Pradesh, India"/>
    <x v="1"/>
    <s v="Naeem"/>
    <s v="http://164.52.221.216/localmedia/media/surveys/samples/recording_2026-01-21_12-44-38_samples_qpFp1V4smD.mp4"/>
    <x v="2"/>
    <x v="3"/>
    <x v="6"/>
    <x v="2"/>
    <s v="హిందూ"/>
    <x v="2"/>
    <s v="sarvanirao"/>
    <n v="9398403373"/>
    <x v="1"/>
    <x v="3"/>
    <x v="1"/>
    <x v="1"/>
    <x v="1"/>
    <x v="1"/>
    <s v="రోడ్లు వేయటం, విద్య రంగం అభివృద్ధి చేయటం, ఆరోగ్య రంగం అభివృద్ధి చేయటం, సంక్షేమ పథకాలు (నగదు)"/>
    <x v="1"/>
    <x v="0"/>
    <x v="1"/>
    <x v="1"/>
    <x v="1"/>
    <x v="1"/>
    <s v="Ashish"/>
    <s v="Not Doing It Properly"/>
    <s v="Q5,6,18 kept on his own"/>
    <x v="0"/>
    <n v="1.1461625511156397"/>
    <n v="1.0795332136445241"/>
    <n v="3.0326483876590018"/>
    <n v="2.1645021645021645"/>
    <n v="1.147984664167413"/>
    <n v="2.8092219390089208"/>
    <n v="2.2934724643212636"/>
    <n v="-1"/>
    <n v="-1"/>
    <n v="-1"/>
    <n v="-1"/>
    <n v="-1"/>
    <n v="-1"/>
    <n v="-5.5"/>
    <n v="-6"/>
    <n v="-5"/>
    <n v="-4"/>
    <n v="-3"/>
    <s v="TDP HardCore"/>
  </r>
  <r>
    <s v="7ef5e70f-35b6-46a0-a920-f5daa88fb2f8"/>
    <x v="2"/>
    <s v="21/01/2026, 12:56:52"/>
    <s v="16.510945, 81.950921"/>
    <s v="GW6X+6V2, Pasarlapudilanka, Andhra Pradesh, India"/>
    <x v="3"/>
    <s v="Naeem"/>
    <s v="http://164.52.221.216/localmedia/media/surveys/samples/recording_2026-01-21_12-54-12_samples_kaqTQ6gfIz.mp4"/>
    <x v="0"/>
    <x v="2"/>
    <x v="5"/>
    <x v="0"/>
    <s v="హిందూ"/>
    <x v="0"/>
    <s v="lakshmanrao"/>
    <n v="9010024866"/>
    <x v="0"/>
    <x v="2"/>
    <x v="1"/>
    <x v="1"/>
    <x v="1"/>
    <x v="1"/>
    <s v="రోడ్లు వేయటం, ఉద్యొగ్య అవకాశాలు కల్పించటం, విద్య రంగం అభివృద్ధి చేయటం"/>
    <x v="1"/>
    <x v="0"/>
    <x v="1"/>
    <x v="1"/>
    <x v="1"/>
    <x v="1"/>
    <s v="Ashish"/>
    <s v="Correctly Done"/>
    <n v="0"/>
    <x v="0"/>
    <n v="1.3836274505214585"/>
    <n v="1.0795332136445241"/>
    <n v="1.1648410586678206"/>
    <n v="0.85034013605442171"/>
    <n v="0.75433779645928134"/>
    <n v="1.0790228998469584"/>
    <n v="0.52423486800867025"/>
    <n v="-1"/>
    <n v="-1"/>
    <n v="-1"/>
    <n v="-1"/>
    <n v="-1"/>
    <n v="-1"/>
    <n v="-5.5"/>
    <n v="-6"/>
    <n v="-5"/>
    <n v="-4"/>
    <n v="-3"/>
    <s v="TDP HardCore"/>
  </r>
  <r>
    <s v="87aedc59-f2ae-40ad-a111-f0f8ef8315e7"/>
    <x v="2"/>
    <s v="21/01/2026, 13:12:22"/>
    <s v="16.503360, 81.941731"/>
    <s v="GW3R+H35, Pasarlapudi, Andhra Pradesh, India"/>
    <x v="3"/>
    <s v="Naeem"/>
    <s v="http://164.52.221.216/localmedia/media/surveys/samples/recording_2026-01-21_13-09-09_samples_txxKkFjmsm.mp4"/>
    <x v="1"/>
    <x v="2"/>
    <x v="5"/>
    <x v="0"/>
    <s v="హిందూ"/>
    <x v="2"/>
    <s v="k. satyanarayana "/>
    <n v="9951782705"/>
    <x v="0"/>
    <x v="2"/>
    <x v="1"/>
    <x v="1"/>
    <x v="0"/>
    <x v="0"/>
    <s v="ఉద్యొగ్య అవకాశాలు కల్పించటం, శాంతి భద్రతలను కాపాడటం, ఆరోగ్య రంగం అభివృద్ధి చేయటం"/>
    <x v="1"/>
    <x v="0"/>
    <x v="2"/>
    <x v="1"/>
    <x v="1"/>
    <x v="1"/>
    <s v="Ashish"/>
    <s v="Correctly Done"/>
    <n v="0"/>
    <x v="0"/>
    <n v="1.1705128247062893"/>
    <n v="1.0795332136445241"/>
    <n v="0.86308903171383233"/>
    <n v="0.85034013605442171"/>
    <n v="0.75433779645928134"/>
    <n v="0.79950206330384943"/>
    <n v="0.40257772387792479"/>
    <n v="-1"/>
    <n v="1"/>
    <n v="1"/>
    <n v="-1"/>
    <n v="-1"/>
    <n v="-1"/>
    <n v="-1.5"/>
    <n v="-2"/>
    <n v="-3"/>
    <n v="-2"/>
    <n v="-3"/>
    <s v="Neutral TDP"/>
  </r>
  <r>
    <s v="a54b7538-3c94-4a56-bbf7-887c012316b7"/>
    <x v="2"/>
    <s v="21/01/2026, 13:20:19"/>
    <s v="16.499598, 81.950242"/>
    <s v="GW2X+6XF, Pasarlapudilanka, Andhra Pradesh, India"/>
    <x v="3"/>
    <s v="Naeem"/>
    <s v="http://164.52.221.216/localmedia/media/surveys/samples/recording_2026-01-21_13-15-13_samples_99vQyIZNnf.mp4"/>
    <x v="1"/>
    <x v="2"/>
    <x v="5"/>
    <x v="0"/>
    <s v="హిందూ"/>
    <x v="0"/>
    <s v="k. peddilakshmi"/>
    <n v="6360441562"/>
    <x v="1"/>
    <x v="2"/>
    <x v="1"/>
    <x v="0"/>
    <x v="0"/>
    <x v="0"/>
    <s v="ఉద్యొగ్య అవకాశాలు కల్పించటం, శాంతి భద్రతలను కాపాడటం, ఆరోగ్య రంగం అభివృద్ధి చేయటం"/>
    <x v="0"/>
    <x v="0"/>
    <x v="2"/>
    <x v="1"/>
    <x v="1"/>
    <x v="1"/>
    <s v="Ashish"/>
    <s v="Correctly Done"/>
    <n v="0"/>
    <x v="0"/>
    <n v="1.1705128247062893"/>
    <n v="1.0795332136445241"/>
    <n v="2.3577066232182737"/>
    <n v="2.1645021645021645"/>
    <n v="0.75433779645928134"/>
    <n v="2.1840056363422229"/>
    <n v="1.1182714552164577"/>
    <n v="1"/>
    <n v="1"/>
    <n v="1"/>
    <n v="1"/>
    <n v="-1"/>
    <n v="-1"/>
    <n v="2.5"/>
    <n v="2"/>
    <n v="1"/>
    <n v="0"/>
    <n v="-2"/>
    <s v="Neutral TDP"/>
  </r>
  <r>
    <s v="0258dba2-74bc-425e-bc82-6ea562ef45a3"/>
    <x v="2"/>
    <s v="21/01/2026, 13:20:22"/>
    <s v="16.499598, 81.950242"/>
    <s v="GW2X+6XF, Pasarlapudilanka, Andhra Pradesh, India"/>
    <x v="3"/>
    <s v="Naeem"/>
    <s v="http://164.52.221.216/localmedia/media/surveys/samples/recording_2026-01-21_13-15-13_samples_SNNjwFpGdH.mp4"/>
    <x v="1"/>
    <x v="2"/>
    <x v="5"/>
    <x v="0"/>
    <s v="హిందూ"/>
    <x v="0"/>
    <s v="k. peddilakshmi"/>
    <n v="6360441562"/>
    <x v="1"/>
    <x v="2"/>
    <x v="1"/>
    <x v="0"/>
    <x v="0"/>
    <x v="0"/>
    <s v="ఉద్యొగ్య అవకాశాలు కల్పించటం, శాంతి భద్రతలను కాపాడటం, ఆరోగ్య రంగం అభివృద్ధి చేయటం"/>
    <x v="0"/>
    <x v="0"/>
    <x v="2"/>
    <x v="1"/>
    <x v="1"/>
    <x v="1"/>
    <n v="0"/>
    <s v="Correctly Done"/>
    <n v="0"/>
    <x v="0"/>
    <n v="1.1705128247062893"/>
    <n v="1.0795332136445241"/>
    <n v="2.3577066232182737"/>
    <n v="2.1645021645021645"/>
    <n v="0.75433779645928134"/>
    <n v="2.1840056363422229"/>
    <n v="1.1182714552164577"/>
    <n v="1"/>
    <n v="1"/>
    <n v="1"/>
    <n v="1"/>
    <n v="-1"/>
    <n v="-1"/>
    <n v="2.5"/>
    <n v="2"/>
    <n v="1"/>
    <n v="0"/>
    <n v="-2"/>
    <s v="Neutral TDP"/>
  </r>
  <r>
    <s v="73dfd1f1-8c31-491b-a57b-8d52a9945162"/>
    <x v="2"/>
    <s v="21/01/2026, 13:24:25"/>
    <s v="16.405623, 81.742560"/>
    <s v="CP4V+946, SakhinetiPalli, Andhra Pradesh, India"/>
    <x v="1"/>
    <s v="Naeem"/>
    <s v="http://164.52.221.216/localmedia/media/surveys/samples/recording_2026-01-21_13-22-22_samples_04DBwtO7CE.mp4"/>
    <x v="0"/>
    <x v="3"/>
    <x v="6"/>
    <x v="0"/>
    <s v="క్రిస్టియన్"/>
    <x v="0"/>
    <s v="asuu babau"/>
    <n v="8522006558"/>
    <x v="1"/>
    <x v="1"/>
    <x v="1"/>
    <x v="1"/>
    <x v="1"/>
    <x v="0"/>
    <s v="రోడ్లు వేయటం, ఆరోగ్య రంగం అభివృద్ధి చేయటం"/>
    <x v="0"/>
    <x v="1"/>
    <x v="0"/>
    <x v="0"/>
    <x v="0"/>
    <x v="0"/>
    <s v="Ashish"/>
    <s v="Not Doing It Properly"/>
    <s v="Q18 kept on his own and didn't ask caste"/>
    <x v="0"/>
    <n v="1.3836274505214585"/>
    <n v="1.8055837563451775"/>
    <n v="3.4809023142961388"/>
    <n v="2.1645021645021645"/>
    <n v="1.147984664167413"/>
    <n v="1.9278542477265657"/>
    <n v="3.2048072590163397"/>
    <n v="-1"/>
    <n v="-1"/>
    <n v="1"/>
    <n v="1"/>
    <n v="1"/>
    <n v="1"/>
    <n v="1.5"/>
    <n v="2"/>
    <n v="3"/>
    <n v="4"/>
    <n v="2"/>
    <s v="YSRCP Sympathiser"/>
  </r>
  <r>
    <s v="d8466483-bb35-4e3a-80d5-34ea09536112"/>
    <x v="2"/>
    <s v="21/01/2026, 13:26:56"/>
    <s v="16.406136, 81.743440"/>
    <s v="CP4V+F84, SakhinetiPalli, Andhra Pradesh, India"/>
    <x v="1"/>
    <s v="Naeem"/>
    <s v="http://164.52.221.216/localmedia/media/surveys/samples/recording_2026-01-21_13-25-15_samples_zhlXhbL3Hh.mp4"/>
    <x v="0"/>
    <x v="3"/>
    <x v="6"/>
    <x v="0"/>
    <s v="క్రిస్టియన్"/>
    <x v="2"/>
    <s v="subakar"/>
    <n v="7893089515"/>
    <x v="1"/>
    <x v="1"/>
    <x v="1"/>
    <x v="1"/>
    <x v="0"/>
    <x v="1"/>
    <s v="రోడ్లు వేయటం, వ్యవసాయం, రైతు బాగుండడం"/>
    <x v="1"/>
    <x v="0"/>
    <x v="1"/>
    <x v="1"/>
    <x v="1"/>
    <x v="1"/>
    <s v="Ashish"/>
    <s v="Not Doing It Properly"/>
    <s v="Q18 kept on his own"/>
    <x v="0"/>
    <n v="1.3836274505214585"/>
    <n v="1.0795332136445241"/>
    <n v="2.0811826914865059"/>
    <n v="2.1645021645021645"/>
    <n v="1.147984664167413"/>
    <n v="1.9278542477265657"/>
    <n v="3.2048072590163397"/>
    <n v="-1"/>
    <n v="1"/>
    <n v="-1"/>
    <n v="-1"/>
    <n v="-1"/>
    <n v="-1"/>
    <n v="-3.5"/>
    <n v="-4"/>
    <n v="-5"/>
    <n v="-4"/>
    <n v="-3"/>
    <s v="TDP Sympathiser"/>
  </r>
  <r>
    <s v="848a6975-bf9f-4a28-be69-29ece661e960"/>
    <x v="2"/>
    <s v="21/01/2026, 13:26:57"/>
    <s v="16.406136, 81.743440"/>
    <s v="CP4V+F84, SakhinetiPalli, Andhra Pradesh, India"/>
    <x v="1"/>
    <s v="Naeem"/>
    <s v="http://164.52.221.216/localmedia/media/surveys/samples/recording_2026-01-21_13-25-15_samples_LWYwQsmMmH.mp4"/>
    <x v="0"/>
    <x v="3"/>
    <x v="6"/>
    <x v="0"/>
    <s v="క్రిస్టియన్"/>
    <x v="2"/>
    <s v="subakar"/>
    <n v="7893089515"/>
    <x v="1"/>
    <x v="1"/>
    <x v="1"/>
    <x v="1"/>
    <x v="0"/>
    <x v="1"/>
    <s v="రోడ్లు వేయటం, వ్యవసాయం, రైతు బాగుండడం"/>
    <x v="1"/>
    <x v="0"/>
    <x v="1"/>
    <x v="1"/>
    <x v="1"/>
    <x v="1"/>
    <n v="0"/>
    <s v="Correctly Done"/>
    <n v="0"/>
    <x v="0"/>
    <n v="1.3836274505214585"/>
    <n v="1.0795332136445241"/>
    <n v="2.0811826914865059"/>
    <n v="2.1645021645021645"/>
    <n v="1.147984664167413"/>
    <n v="1.9278542477265657"/>
    <n v="3.2048072590163397"/>
    <n v="-1"/>
    <n v="1"/>
    <n v="-1"/>
    <n v="-1"/>
    <n v="-1"/>
    <n v="-1"/>
    <n v="-3.5"/>
    <n v="-4"/>
    <n v="-5"/>
    <n v="-4"/>
    <n v="-3"/>
    <s v="TDP Sympathiser"/>
  </r>
  <r>
    <s v="b1b77c1f-acfd-4196-86cb-a5ff53f9df59"/>
    <x v="2"/>
    <s v="21/01/2026, 13:38:13"/>
    <s v="16.505427, 81.941496"/>
    <s v="GW4R+CHQ, Pasarlapudilanka, Andhra Pradesh, India"/>
    <x v="3"/>
    <s v="Naeem"/>
    <s v="http://164.52.221.216/localmedia/media/surveys/samples/recording_2026-01-21_13-34-53_samples_5KMFifTos0.mp4"/>
    <x v="1"/>
    <x v="2"/>
    <x v="5"/>
    <x v="6"/>
    <s v="హిందూ"/>
    <x v="3"/>
    <s v="devi"/>
    <n v="7731013789"/>
    <x v="1"/>
    <x v="2"/>
    <x v="1"/>
    <x v="1"/>
    <x v="1"/>
    <x v="1"/>
    <s v="రోడ్లు వేయటం, ఉద్యొగ్య అవకాశాలు కల్పించటం, విద్య రంగం అభివృద్ధి చేయటం"/>
    <x v="1"/>
    <x v="0"/>
    <x v="2"/>
    <x v="2"/>
    <x v="1"/>
    <x v="1"/>
    <s v="Ashish"/>
    <s v="Correctly Done"/>
    <n v="0"/>
    <x v="0"/>
    <n v="1.1705128247062893"/>
    <n v="0.66153846153846207"/>
    <n v="1.444803728657164"/>
    <n v="2.1645021645021645"/>
    <n v="0.75433779645928134"/>
    <n v="2.1840056363422229"/>
    <n v="1.1182714552164577"/>
    <n v="-1"/>
    <n v="-1"/>
    <n v="-1"/>
    <n v="-1"/>
    <n v="-1"/>
    <n v="-1"/>
    <n v="-5.5"/>
    <n v="-6"/>
    <n v="-5"/>
    <n v="-4"/>
    <n v="-3"/>
    <s v="TDP HardCore"/>
  </r>
  <r>
    <s v="a82163a1-9ab9-494b-b842-cb2c857a2780"/>
    <x v="2"/>
    <s v="21/01/2026, 13:39:10"/>
    <s v="16.406904, 81.751121"/>
    <s v="SHOP NO.16-64 GIRIJA RAO COMPLEX MAIN ROAD MARKET YARD SAKHINETIPALLI PALEM, SakhinetiPalli, Andhra Pradesh, India"/>
    <x v="1"/>
    <s v="Naeem"/>
    <s v="http://164.52.221.216/localmedia/media/surveys/samples/recording_2026-01-21_13-37-08_samples_jzGaRuceWH.mp4"/>
    <x v="1"/>
    <x v="3"/>
    <x v="6"/>
    <x v="0"/>
    <s v="హిందూ"/>
    <x v="0"/>
    <s v="nagababu"/>
    <n v="9949150603"/>
    <x v="0"/>
    <x v="1"/>
    <x v="1"/>
    <x v="1"/>
    <x v="1"/>
    <x v="1"/>
    <s v="రోడ్లు వేయటం, వ్యవసాయం, రైతు బాగుండడం"/>
    <x v="1"/>
    <x v="0"/>
    <x v="1"/>
    <x v="1"/>
    <x v="1"/>
    <x v="1"/>
    <s v="Ashish"/>
    <s v="Correctly Done"/>
    <s v="Caste - Settibalija"/>
    <x v="0"/>
    <n v="1.1705128247062893"/>
    <n v="1.0795332136445241"/>
    <n v="0.86308903171383233"/>
    <n v="0.85034013605442171"/>
    <n v="1.147984664167413"/>
    <n v="0.79950206330384943"/>
    <n v="0.92148737207359532"/>
    <n v="-1"/>
    <n v="-1"/>
    <n v="-1"/>
    <n v="-1"/>
    <n v="-1"/>
    <n v="-1"/>
    <n v="-5.5"/>
    <n v="-6"/>
    <n v="-5"/>
    <n v="-4"/>
    <n v="-3"/>
    <s v="TDP HardCore"/>
  </r>
  <r>
    <s v="75ac78b7-4589-4c44-8ab3-a1275d4bcbfc"/>
    <x v="2"/>
    <s v="21/01/2026, 13:44:18"/>
    <s v="16.407465, 81.752002"/>
    <s v="CQ52+2RC, Gudimula Kandrika, Andhra Pradesh, India"/>
    <x v="1"/>
    <s v="Naeem"/>
    <s v="http://164.52.221.216/localmedia/media/surveys/samples/recording_2026-01-21_13-43-10_samples_Qcm7qldeea.mp4"/>
    <x v="0"/>
    <x v="3"/>
    <x v="6"/>
    <x v="0"/>
    <s v="హిందూ"/>
    <x v="3"/>
    <s v="anil"/>
    <n v="9999999999"/>
    <x v="1"/>
    <x v="1"/>
    <x v="1"/>
    <x v="1"/>
    <x v="0"/>
    <x v="0"/>
    <s v="రోడ్లు వేయటం, వ్యవసాయం, రైతు బాగుండడం"/>
    <x v="0"/>
    <x v="0"/>
    <x v="0"/>
    <x v="1"/>
    <x v="1"/>
    <x v="1"/>
    <s v="Ashish"/>
    <s v="Not Doing It Properly"/>
    <s v="Q6,8 both kept on his own and didn't ask caste"/>
    <x v="0"/>
    <n v="1.3836274505214585"/>
    <n v="1.0795332136445241"/>
    <n v="2.0811826914865059"/>
    <n v="2.1645021645021645"/>
    <n v="1.147984664167413"/>
    <n v="1.9278542477265657"/>
    <n v="3.2048072590163397"/>
    <n v="-1"/>
    <n v="1"/>
    <n v="1"/>
    <n v="1"/>
    <n v="-1"/>
    <n v="1"/>
    <n v="2.5"/>
    <n v="2"/>
    <n v="1"/>
    <n v="2"/>
    <s v="ND"/>
    <s v="ND"/>
  </r>
  <r>
    <s v="9f6a6151-5563-4830-9aed-1e1203a88dc2"/>
    <x v="2"/>
    <s v="21/01/2026, 13:46:09"/>
    <s v="16.507824, 81.941822"/>
    <s v="GW4R+XFX, Pasarlapudi, Andhra Pradesh, India"/>
    <x v="3"/>
    <s v="Naeem"/>
    <s v="http://164.52.221.216/localmedia/media/surveys/samples/recording_2026-01-21_13-43-12_samples_xIP6msmREZ.mp4"/>
    <x v="8"/>
    <x v="2"/>
    <x v="5"/>
    <x v="0"/>
    <s v="హిందూ"/>
    <x v="2"/>
    <s v="m. srinu "/>
    <n v="8500532361"/>
    <x v="0"/>
    <x v="2"/>
    <x v="2"/>
    <x v="0"/>
    <x v="0"/>
    <x v="0"/>
    <s v="రోడ్లు వేయటం, ఉద్యొగ్య అవకాశాలు కల్పించటం, విద్య రంగం అభివృద్ధి చేయటం"/>
    <x v="0"/>
    <x v="0"/>
    <x v="0"/>
    <x v="1"/>
    <x v="1"/>
    <x v="1"/>
    <s v="Ashish"/>
    <s v="Correctly Done"/>
    <n v="0"/>
    <x v="0"/>
    <n v="0.80207032429970992"/>
    <n v="1.0795332136445241"/>
    <n v="0.65595572330316032"/>
    <n v="0.85034013605442171"/>
    <n v="0.75433779645928134"/>
    <n v="0.60762903356038633"/>
    <n v="0.22537440548651508"/>
    <n v="1"/>
    <n v="1"/>
    <n v="1"/>
    <n v="1"/>
    <n v="-1"/>
    <n v="1"/>
    <n v="4.5"/>
    <n v="4"/>
    <n v="3"/>
    <n v="2"/>
    <n v="2"/>
    <s v="Neutral YSRCP"/>
  </r>
  <r>
    <s v="2623a497-e69d-43a1-9263-0d0278d3e86d"/>
    <x v="2"/>
    <s v="21/01/2026, 14:00:30"/>
    <s v="16.409331, 81.751615"/>
    <s v="CQ52+MMM, SakhinetiPalli, Andhra Pradesh, India"/>
    <x v="1"/>
    <s v="Naeem"/>
    <s v="http://164.52.221.216/localmedia/media/surveys/samples/recording_2026-01-21_13-58-28_samples_PSXD9LadeZ.mp4"/>
    <x v="6"/>
    <x v="3"/>
    <x v="6"/>
    <x v="2"/>
    <s v="హిందూ"/>
    <x v="3"/>
    <s v="udaykiran"/>
    <n v="7386805766"/>
    <x v="1"/>
    <x v="1"/>
    <x v="2"/>
    <x v="0"/>
    <x v="0"/>
    <x v="0"/>
    <s v="రోడ్లు వేయటం, ఆరోగ్య రంగం అభివృద్ధి చేయటం, వ్యవసాయం, రైతు బాగుండడం"/>
    <x v="0"/>
    <x v="0"/>
    <x v="0"/>
    <x v="0"/>
    <x v="0"/>
    <x v="0"/>
    <s v="Ashish"/>
    <s v="Correctly Done"/>
    <s v="respondent is male"/>
    <x v="0"/>
    <n v="1.2612194085121222"/>
    <n v="1.8055837563451775"/>
    <n v="4.3746926640885135"/>
    <n v="2.1645021645021645"/>
    <n v="1.147984664167413"/>
    <n v="2.4228688637206557"/>
    <n v="2.2107623881946901"/>
    <n v="1"/>
    <n v="1"/>
    <n v="1"/>
    <n v="1"/>
    <n v="1"/>
    <n v="1"/>
    <n v="5.5"/>
    <n v="6"/>
    <n v="5"/>
    <n v="4"/>
    <n v="3"/>
    <s v="YSRCP HardCore"/>
  </r>
  <r>
    <s v="b2866dae-dfce-4195-aa34-5af0bf5003bc"/>
    <x v="2"/>
    <s v="21/01/2026, 14:06:13"/>
    <s v="16.406766, 81.750897"/>
    <s v="CQ42+Q85, Gondi, Andhra Pradesh, India"/>
    <x v="1"/>
    <s v="Naeem"/>
    <s v="http://164.52.221.216/localmedia/media/surveys/samples/recording_2026-01-21_14-03-57_samples_sNAY4oD8QJ.mp4"/>
    <x v="9"/>
    <x v="3"/>
    <x v="6"/>
    <x v="0"/>
    <s v="హిందూ"/>
    <x v="1"/>
    <s v="nagedara"/>
    <n v="9959977918"/>
    <x v="1"/>
    <x v="3"/>
    <x v="1"/>
    <x v="1"/>
    <x v="0"/>
    <x v="1"/>
    <s v="రోడ్లు వేయటం, సంక్షేమ పథకాలు (నగదు)"/>
    <x v="1"/>
    <x v="0"/>
    <x v="1"/>
    <x v="1"/>
    <x v="1"/>
    <x v="1"/>
    <s v="Ashish"/>
    <s v="Correctly Done"/>
    <s v="respondent is male"/>
    <x v="0"/>
    <n v="1.1209668980183516"/>
    <n v="1.0795332136445241"/>
    <n v="1.4370186848956754"/>
    <n v="2.1645021645021645"/>
    <n v="1.147984664167413"/>
    <n v="1.3311481913967924"/>
    <n v="0.51141675343184545"/>
    <n v="-1"/>
    <n v="1"/>
    <n v="-1"/>
    <n v="-1"/>
    <n v="-1"/>
    <n v="-1"/>
    <n v="-3.5"/>
    <n v="-4"/>
    <n v="-5"/>
    <n v="-4"/>
    <n v="-3"/>
    <s v="TDP Sympathiser"/>
  </r>
  <r>
    <s v="824b0490-be1a-4a49-a0c5-5d767f365905"/>
    <x v="2"/>
    <s v="21/01/2026, 14:06:13"/>
    <s v="16.406766, 81.750897"/>
    <s v="CQ42+Q85, Gondi, Andhra Pradesh, India"/>
    <x v="1"/>
    <s v="Naeem"/>
    <s v="http://164.52.221.216/localmedia/media/surveys/samples/recording_2026-01-21_14-03-57_samples_ncDkkBSSWR.mp4"/>
    <x v="9"/>
    <x v="3"/>
    <x v="6"/>
    <x v="0"/>
    <s v="హిందూ"/>
    <x v="1"/>
    <s v="nagedara"/>
    <n v="9959977918"/>
    <x v="1"/>
    <x v="3"/>
    <x v="1"/>
    <x v="1"/>
    <x v="0"/>
    <x v="1"/>
    <s v="రోడ్లు వేయటం, సంక్షేమ పథకాలు (నగదు)"/>
    <x v="1"/>
    <x v="0"/>
    <x v="1"/>
    <x v="1"/>
    <x v="1"/>
    <x v="1"/>
    <n v="0"/>
    <s v="Correctly Done"/>
    <n v="0"/>
    <x v="0"/>
    <n v="1.1209668980183516"/>
    <n v="1.0795332136445241"/>
    <n v="1.4370186848956754"/>
    <n v="2.1645021645021645"/>
    <n v="1.147984664167413"/>
    <n v="1.3311481913967924"/>
    <n v="0.51141675343184545"/>
    <n v="-1"/>
    <n v="1"/>
    <n v="-1"/>
    <n v="-1"/>
    <n v="-1"/>
    <n v="-1"/>
    <n v="-3.5"/>
    <n v="-4"/>
    <n v="-5"/>
    <n v="-4"/>
    <n v="-3"/>
    <s v="TDP Sympathiser"/>
  </r>
  <r>
    <s v="87d603a2-18bc-4615-8e87-9b1b40b6fc90"/>
    <x v="2"/>
    <s v="21/01/2026, 14:06:13"/>
    <s v="16.406766, 81.750897"/>
    <s v="CQ42+Q85, Gondi, Andhra Pradesh, India"/>
    <x v="1"/>
    <s v="Naeem"/>
    <s v="http://164.52.221.216/localmedia/media/surveys/samples/recording_2026-01-21_14-03-57_samples_GXYTKTKddp.mp4"/>
    <x v="9"/>
    <x v="3"/>
    <x v="6"/>
    <x v="0"/>
    <s v="హిందూ"/>
    <x v="1"/>
    <s v="nagedara"/>
    <n v="9959977918"/>
    <x v="1"/>
    <x v="3"/>
    <x v="1"/>
    <x v="1"/>
    <x v="0"/>
    <x v="1"/>
    <s v="రోడ్లు వేయటం, సంక్షేమ పథకాలు (నగదు)"/>
    <x v="1"/>
    <x v="0"/>
    <x v="1"/>
    <x v="1"/>
    <x v="1"/>
    <x v="1"/>
    <n v="0"/>
    <s v="Correctly Done"/>
    <n v="0"/>
    <x v="0"/>
    <n v="1.1209668980183516"/>
    <n v="1.0795332136445241"/>
    <n v="1.4370186848956754"/>
    <n v="2.1645021645021645"/>
    <n v="1.147984664167413"/>
    <n v="1.3311481913967924"/>
    <n v="0.51141675343184545"/>
    <n v="-1"/>
    <n v="1"/>
    <n v="-1"/>
    <n v="-1"/>
    <n v="-1"/>
    <n v="-1"/>
    <n v="-3.5"/>
    <n v="-4"/>
    <n v="-5"/>
    <n v="-4"/>
    <n v="-3"/>
    <s v="TDP Sympathiser"/>
  </r>
  <r>
    <s v="2e86e718-7f2f-4915-b7bf-066c952d2b18"/>
    <x v="2"/>
    <s v="21/01/2026, 14:11:10"/>
    <s v="16.406841, 81.751867"/>
    <s v="CQ52+2RC, Gudimula Kandrika, Andhra Pradesh, India"/>
    <x v="1"/>
    <s v="Naeem"/>
    <s v="http://164.52.221.216/localmedia/media/surveys/samples/recording_2026-01-21_14-07-34_samples_HSSkx01Vvl.mp4"/>
    <x v="2"/>
    <x v="3"/>
    <x v="6"/>
    <x v="0"/>
    <s v="హిందూ"/>
    <x v="2"/>
    <s v="saradi"/>
    <n v="9640235812"/>
    <x v="1"/>
    <x v="1"/>
    <x v="2"/>
    <x v="1"/>
    <x v="1"/>
    <x v="1"/>
    <s v="రోడ్లు వేయటం, ఉద్యొగ్య అవకాశాలు కల్పించటం, సంక్షేమ పథకాలు (నగదు)"/>
    <x v="1"/>
    <x v="0"/>
    <x v="1"/>
    <x v="1"/>
    <x v="1"/>
    <x v="1"/>
    <s v="Ashish"/>
    <s v="Correctly Done"/>
    <s v="respondent is male"/>
    <x v="0"/>
    <n v="1.1461625511156397"/>
    <n v="1.0795332136445241"/>
    <n v="3.0326483876590018"/>
    <n v="2.1645021645021645"/>
    <n v="1.147984664167413"/>
    <n v="2.8092219390089208"/>
    <n v="2.2934724643212636"/>
    <n v="-1"/>
    <n v="-1"/>
    <n v="-1"/>
    <n v="-1"/>
    <n v="-1"/>
    <n v="-1"/>
    <n v="-5.5"/>
    <n v="-6"/>
    <n v="-5"/>
    <n v="-4"/>
    <n v="-3"/>
    <s v="TDP HardCore"/>
  </r>
  <r>
    <s v="c901a76a-c1a6-46c3-9cc7-7542870d3869"/>
    <x v="2"/>
    <s v="21/01/2026, 14:16:44"/>
    <s v="16.410887, 81.752110"/>
    <s v="SHOP NO.9-3/4 MAIN ROAD OPPOSITE ORANGE RESTAURANT SAKHINETIPALLI CENTER SAKHINETIPALLI MANDAL, SakhinetiPalli, Andhra Pradesh, India"/>
    <x v="1"/>
    <s v="Naeem"/>
    <s v="http://164.52.221.216/localmedia/media/surveys/samples/recording_2026-01-21_14-14-08_samples_n0eN6nAWFz.mp4"/>
    <x v="2"/>
    <x v="3"/>
    <x v="6"/>
    <x v="3"/>
    <s v="హిందూ"/>
    <x v="2"/>
    <s v="ramu"/>
    <n v="7207165695"/>
    <x v="0"/>
    <x v="1"/>
    <x v="1"/>
    <x v="1"/>
    <x v="1"/>
    <x v="1"/>
    <s v="రోడ్లు వేయటం, వ్యవసాయం, రైతు బాగుండడం, సంక్షేమ పథకాలు (నగదు)"/>
    <x v="1"/>
    <x v="0"/>
    <x v="1"/>
    <x v="1"/>
    <x v="1"/>
    <x v="1"/>
    <s v="Bhagya"/>
    <s v="Not Doing It Properly"/>
    <s v="Q6 didn't asked properly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f5112317-d366-4bd5-84b8-8313f7d7437b"/>
    <x v="2"/>
    <s v="21/01/2026, 14:23:15"/>
    <s v="16.411464, 81.751709"/>
    <s v="CQ62+MJQ, SakhinetiPalli, Andhra Pradesh, India"/>
    <x v="1"/>
    <s v="Naeem"/>
    <s v="http://164.52.221.216/localmedia/media/surveys/samples/recording_2026-01-21_14-19-26_samples_2eDD9Ha8yh.mp4"/>
    <x v="10"/>
    <x v="3"/>
    <x v="6"/>
    <x v="8"/>
    <s v="హిందూ"/>
    <x v="2"/>
    <s v="rambabau"/>
    <n v="9848235246"/>
    <x v="0"/>
    <x v="3"/>
    <x v="2"/>
    <x v="1"/>
    <x v="0"/>
    <x v="0"/>
    <s v="రోడ్లు వేయటం, వ్యవసాయం, రైతు బాగుండడం, సంక్షేమ పథకాలు (నగదు)"/>
    <x v="1"/>
    <x v="1"/>
    <x v="0"/>
    <x v="0"/>
    <x v="2"/>
    <x v="2"/>
    <s v="Bhagya"/>
    <s v="Not Doing It Properly"/>
    <s v="Q6 didn't asked properly"/>
    <x v="0"/>
    <n v="1.016226256869897"/>
    <n v="1.8055837563451775"/>
    <n v="0.9174408110878739"/>
    <n v="0.85034013605442171"/>
    <n v="1.147984664167413"/>
    <n v="0.50811312843494849"/>
    <n v="0.18301228231933422"/>
    <n v="-1"/>
    <n v="1"/>
    <n v="1"/>
    <n v="-1"/>
    <n v="1"/>
    <n v="1"/>
    <n v="1.5"/>
    <n v="2"/>
    <n v="1"/>
    <n v="2"/>
    <n v="2"/>
    <s v="Neutral YSRCP"/>
  </r>
  <r>
    <s v="dbe2751e-9704-49d9-84f3-bc8f76703dcc"/>
    <x v="2"/>
    <s v="21/01/2026, 14:51:46"/>
    <s v="16.439442, 81.711800"/>
    <s v="Sakinetipalli Revu, SakhinetiPalli, Andhra Pradesh, India"/>
    <x v="1"/>
    <s v="Naeem"/>
    <s v="http://164.52.221.216/localmedia/media/surveys/samples/recording_2026-01-21_14-49-48_samples_fV5BZQ2A2I.mp4"/>
    <x v="2"/>
    <x v="3"/>
    <x v="6"/>
    <x v="2"/>
    <s v="హిందూ"/>
    <x v="1"/>
    <s v="vikas"/>
    <n v="7095495065"/>
    <x v="0"/>
    <x v="3"/>
    <x v="1"/>
    <x v="1"/>
    <x v="1"/>
    <x v="1"/>
    <s v="రోడ్లు వేయటం, వ్యవసాయం, రైతు బాగుండడం, సంక్షేమ పథకాలు (నగదు)"/>
    <x v="1"/>
    <x v="0"/>
    <x v="1"/>
    <x v="1"/>
    <x v="1"/>
    <x v="1"/>
    <s v="Bhagya"/>
    <s v="Correctly Done"/>
    <n v="0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e75a0365-c47c-4677-9db2-af78cb060ca5"/>
    <x v="2"/>
    <s v="21/01/2026, 14:52:03"/>
    <s v="16.439490, 81.711732"/>
    <s v="Sakinetipalli Revu, SakhinetiPalli, Andhra Pradesh, India"/>
    <x v="4"/>
    <s v="Naeem"/>
    <s v="http://164.52.221.216/localmedia/media/surveys/samples/recording_2026-01-21_14-49-31_samples_Ne9HH3nzET.mp4"/>
    <x v="2"/>
    <x v="3"/>
    <x v="6"/>
    <x v="0"/>
    <s v="హిందూ"/>
    <x v="1"/>
    <s v="Dummy"/>
    <n v="0"/>
    <x v="0"/>
    <x v="3"/>
    <x v="2"/>
    <x v="1"/>
    <x v="1"/>
    <x v="1"/>
    <s v="ఉద్యొగ్య అవకాశాలు కల్పించటం"/>
    <x v="1"/>
    <x v="0"/>
    <x v="1"/>
    <x v="1"/>
    <x v="1"/>
    <x v="1"/>
    <s v="Bhagya"/>
    <s v="Correctly Done"/>
    <n v="0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c442d598-3985-4a7a-9bab-dfe311f6128e"/>
    <x v="2"/>
    <s v="21/01/2026, 14:55:04"/>
    <s v="16.439606, 81.712265"/>
    <s v="CPQ6+RQH, SakhinetiPalli, Andhra Pradesh, India"/>
    <x v="1"/>
    <s v="Naeem"/>
    <s v="http://164.52.221.216/localmedia/media/surveys/samples/recording_2026-01-21_14-52-55_samples_8nA6lBA3as.mp4"/>
    <x v="9"/>
    <x v="3"/>
    <x v="6"/>
    <x v="2"/>
    <s v="హిందూ"/>
    <x v="1"/>
    <s v="darmababu"/>
    <n v="9848494928"/>
    <x v="0"/>
    <x v="3"/>
    <x v="1"/>
    <x v="1"/>
    <x v="1"/>
    <x v="0"/>
    <s v="రోడ్లు వేయటం, ఉద్యొగ్య అవకాశాలు కల్పించటం, సంక్షేమ పథకాలు (నగదు)"/>
    <x v="1"/>
    <x v="0"/>
    <x v="1"/>
    <x v="1"/>
    <x v="1"/>
    <x v="1"/>
    <s v="Deepika"/>
    <s v="Correctly Done"/>
    <n v="0"/>
    <x v="0"/>
    <n v="1.1209668980183516"/>
    <n v="1.0795332136445241"/>
    <n v="1.0451044981059459"/>
    <n v="0.85034013605442171"/>
    <n v="1.147984664167413"/>
    <n v="0.96810777556130356"/>
    <n v="0.30685005205910726"/>
    <n v="-1"/>
    <n v="-1"/>
    <n v="1"/>
    <n v="-1"/>
    <n v="-1"/>
    <n v="-1"/>
    <n v="-3.5"/>
    <n v="-4"/>
    <n v="-3"/>
    <n v="-2"/>
    <n v="-3"/>
    <s v="Neutral TDP"/>
  </r>
  <r>
    <s v="659edde4-5b9f-4d7e-9fe2-d1af46a3e884"/>
    <x v="2"/>
    <s v="21/01/2026, 15:01:17"/>
    <s v="16.548328, 81.934653"/>
    <s v="GWWM+XJP, Peddapatnamlanka, Andhra Pradesh, India"/>
    <x v="3"/>
    <s v="Naeem"/>
    <s v="http://164.52.221.216/localmedia/media/surveys/samples/recording_2026-01-21_14-57-18_samples_CkFqO8mg19.mp4"/>
    <x v="0"/>
    <x v="2"/>
    <x v="4"/>
    <x v="2"/>
    <s v="హిందూ"/>
    <x v="1"/>
    <s v="pallapu ranu"/>
    <n v="9100460509"/>
    <x v="0"/>
    <x v="2"/>
    <x v="1"/>
    <x v="1"/>
    <x v="1"/>
    <x v="1"/>
    <s v="విద్య రంగం అభివృద్ధి చేయటం, ఆరోగ్య రంగం అభివృద్ధి చేయటం, వ్యవసాయం, రైతు బాగుండడం"/>
    <x v="1"/>
    <x v="0"/>
    <x v="1"/>
    <x v="1"/>
    <x v="1"/>
    <x v="1"/>
    <s v="Deepika"/>
    <s v="Correctly Done"/>
    <n v="0"/>
    <x v="0"/>
    <n v="1.3836274505214585"/>
    <n v="1.0795332136445241"/>
    <n v="1.1648410586678206"/>
    <n v="0.85034013605442171"/>
    <n v="0.75433779645928134"/>
    <n v="1.0790228998469584"/>
    <n v="0.52423486800867025"/>
    <n v="-1"/>
    <n v="-1"/>
    <n v="-1"/>
    <n v="-1"/>
    <n v="-1"/>
    <n v="-1"/>
    <n v="-5.5"/>
    <n v="-6"/>
    <n v="-5"/>
    <n v="-4"/>
    <n v="-3"/>
    <s v="TDP HardCore"/>
  </r>
  <r>
    <s v="0f383efd-cb15-4ebd-a605-714e8f8908ce"/>
    <x v="2"/>
    <s v="21/01/2026, 15:10:13"/>
    <s v="16.547880, 81.934246"/>
    <s v="GWWM+XJP, Peddapatnamlanka, Andhra Pradesh, India"/>
    <x v="3"/>
    <s v="Naeem"/>
    <s v="http://164.52.221.216/localmedia/media/surveys/samples/recording_2026-01-21_15-05-52_samples_BZTm8Ios88.mp4"/>
    <x v="0"/>
    <x v="2"/>
    <x v="4"/>
    <x v="5"/>
    <s v="హిందూ"/>
    <x v="3"/>
    <s v="charan"/>
    <n v="9346424230"/>
    <x v="0"/>
    <x v="2"/>
    <x v="1"/>
    <x v="1"/>
    <x v="1"/>
    <x v="0"/>
    <s v="రోడ్లు వేయటం, ఉద్యొగ్య అవకాశాలు కల్పించటం, శాంతి భద్రతలను కాపాడటం, ఆరోగ్య రంగం అభివృద్ధి చేయటం"/>
    <x v="0"/>
    <x v="0"/>
    <x v="1"/>
    <x v="0"/>
    <x v="2"/>
    <x v="0"/>
    <s v="Deepika"/>
    <s v="Not Doing It Properly"/>
    <s v="Q1 kept his own"/>
    <x v="0"/>
    <n v="1.3836274505214585"/>
    <n v="1.8055837563451775"/>
    <n v="1.9482662206881376"/>
    <n v="0.85034013605442171"/>
    <n v="0.75433779645928134"/>
    <n v="1.0790228998469584"/>
    <n v="0.52423486800867025"/>
    <n v="-1"/>
    <n v="-1"/>
    <n v="1"/>
    <n v="1"/>
    <n v="1"/>
    <n v="-1"/>
    <n v="-0.5"/>
    <n v="0"/>
    <n v="1"/>
    <n v="2"/>
    <n v="-2"/>
    <s v="Neutral TDP"/>
  </r>
  <r>
    <s v="f8dbf9e4-4e57-44d3-9563-0bb086037cb3"/>
    <x v="2"/>
    <s v="21/01/2026, 15:10:58"/>
    <s v="16.439380, 81.711814"/>
    <s v="CPQ6+PQH, SakhinetiPalli, Andhra Pradesh, India"/>
    <x v="1"/>
    <s v="Naeem"/>
    <s v="http://164.52.221.216/localmedia/media/surveys/samples/recording_2026-01-21_15-08-42_samples_VuGxtTt79B.mp4"/>
    <x v="6"/>
    <x v="3"/>
    <x v="6"/>
    <x v="0"/>
    <s v="హిందూ"/>
    <x v="0"/>
    <s v="durgaprasad"/>
    <n v="9701220585"/>
    <x v="1"/>
    <x v="2"/>
    <x v="1"/>
    <x v="1"/>
    <x v="0"/>
    <x v="1"/>
    <s v="రోడ్లు వేయటం, విద్య రంగం అభివృద్ధి చేయటం, సంక్షేమ పథకాలు (నగదు)"/>
    <x v="1"/>
    <x v="0"/>
    <x v="1"/>
    <x v="1"/>
    <x v="1"/>
    <x v="1"/>
    <s v="Deepika"/>
    <s v="Not Doing It Properly"/>
    <s v="Q1,7,10 kept his own"/>
    <x v="0"/>
    <n v="1.2612194085121222"/>
    <n v="1.0795332136445241"/>
    <n v="2.6155674106916162"/>
    <n v="2.1645021645021645"/>
    <n v="1.147984664167413"/>
    <n v="2.4228688637206557"/>
    <n v="2.2107623881946901"/>
    <n v="-1"/>
    <n v="1"/>
    <n v="-1"/>
    <n v="-1"/>
    <n v="-1"/>
    <n v="-1"/>
    <n v="-3.5"/>
    <n v="-4"/>
    <n v="-5"/>
    <n v="-4"/>
    <n v="-3"/>
    <s v="TDP Sympathiser"/>
  </r>
  <r>
    <s v="b5ec5909-e649-47f8-a462-3094c4c7d5a0"/>
    <x v="2"/>
    <s v="21/01/2026, 15:16:38"/>
    <s v="16.439694, 81.712631"/>
    <s v="CPQ6+RQH, SakhinetiPalli, Andhra Pradesh, India"/>
    <x v="1"/>
    <s v="Naeem"/>
    <s v="http://164.52.221.216/localmedia/media/surveys/samples/recording_2026-01-21_15-14-39_samples_A803uEUGOJ.mp4"/>
    <x v="2"/>
    <x v="3"/>
    <x v="6"/>
    <x v="3"/>
    <s v="హిందూ"/>
    <x v="2"/>
    <s v="nageswarao"/>
    <n v="9908433936"/>
    <x v="1"/>
    <x v="4"/>
    <x v="1"/>
    <x v="1"/>
    <x v="1"/>
    <x v="1"/>
    <s v="రోడ్లు వేయటం, విద్య రంగం అభివృద్ధి చేయటం, వ్యవసాయం, రైతు బాగుండడం"/>
    <x v="1"/>
    <x v="1"/>
    <x v="1"/>
    <x v="1"/>
    <x v="1"/>
    <x v="1"/>
    <s v="Deepika"/>
    <s v="Not Doing It Properly"/>
    <s v="Q7,18 kept his own respondent male but mentioned female"/>
    <x v="0"/>
    <n v="1.1461625511156397"/>
    <n v="1.0795332136445241"/>
    <n v="3.0326483876590018"/>
    <n v="2.1645021645021645"/>
    <n v="1.147984664167413"/>
    <n v="2.8092219390089208"/>
    <n v="2.2934724643212636"/>
    <n v="-1"/>
    <n v="-1"/>
    <n v="-1"/>
    <n v="-1"/>
    <n v="-1"/>
    <n v="-1"/>
    <n v="-5.5"/>
    <n v="-6"/>
    <n v="-5"/>
    <n v="-4"/>
    <n v="-3"/>
    <s v="TDP HardCore"/>
  </r>
  <r>
    <s v="a286fd31-4f68-4742-9507-c5df0b2315f0"/>
    <x v="2"/>
    <s v="21/01/2026, 15:18:12"/>
    <s v="16.551616, 81.929525"/>
    <s v="HW2H+JQW, Peddapatnamlanka, Andhra Pradesh, India"/>
    <x v="3"/>
    <s v="Naeem"/>
    <s v="http://164.52.221.216/localmedia/media/surveys/samples/recording_2026-01-21_15-15-07_samples_TKj85o05qx.mp4"/>
    <x v="2"/>
    <x v="2"/>
    <x v="4"/>
    <x v="3"/>
    <s v="హిందూ"/>
    <x v="0"/>
    <s v="durgrao"/>
    <n v="986608737"/>
    <x v="0"/>
    <x v="1"/>
    <x v="1"/>
    <x v="1"/>
    <x v="1"/>
    <x v="1"/>
    <s v="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"/>
    <x v="1"/>
    <x v="0"/>
    <x v="1"/>
    <x v="1"/>
    <x v="1"/>
    <x v="1"/>
    <s v="Deepika"/>
    <s v="Not Doing It Properly"/>
    <s v="Q1 kept his own"/>
    <x v="0"/>
    <n v="1.1461625511156397"/>
    <n v="1.0795332136445241"/>
    <n v="0.77721139583220644"/>
    <n v="0.85034013605442171"/>
    <n v="0.75433779645928134"/>
    <n v="0.71995135120329123"/>
    <n v="0.55527787174877274"/>
    <n v="-1"/>
    <n v="-1"/>
    <n v="-1"/>
    <n v="-1"/>
    <n v="-1"/>
    <n v="-1"/>
    <n v="-5.5"/>
    <n v="-6"/>
    <n v="-5"/>
    <n v="-4"/>
    <n v="-3"/>
    <s v="TDP HardCore"/>
  </r>
  <r>
    <s v="33874f41-433f-42a0-b639-ceb77135b2bb"/>
    <x v="2"/>
    <s v="21/01/2026, 15:22:24"/>
    <s v="16.439394, 81.712071"/>
    <s v="CPQ6+PQH, SakhinetiPalli, Andhra Pradesh, India"/>
    <x v="1"/>
    <s v="Naeem"/>
    <s v="http://164.52.221.216/localmedia/media/surveys/samples/recording_2026-01-21_15-19-36_samples_K2EvpDWEqW.mp4"/>
    <x v="2"/>
    <x v="3"/>
    <x v="6"/>
    <x v="0"/>
    <s v="హిందూ"/>
    <x v="1"/>
    <s v="vekatesh"/>
    <n v="8332886240"/>
    <x v="0"/>
    <x v="1"/>
    <x v="2"/>
    <x v="0"/>
    <x v="1"/>
    <x v="1"/>
    <s v="రోడ్లు వేయటం, వ్యవసాయం, రైతు బాగుండడం, సంక్షేమ పథకాలు (నగదు)"/>
    <x v="1"/>
    <x v="0"/>
    <x v="1"/>
    <x v="1"/>
    <x v="1"/>
    <x v="1"/>
    <s v="Ashish"/>
    <s v="Correctly Done"/>
    <n v="0"/>
    <x v="0"/>
    <n v="1.1461625511156397"/>
    <n v="1.0795332136445241"/>
    <n v="0.77721139583220644"/>
    <n v="0.85034013605442171"/>
    <n v="1.147984664167413"/>
    <n v="0.71995135120329123"/>
    <n v="0.54319084681293095"/>
    <n v="1"/>
    <n v="-1"/>
    <n v="-1"/>
    <n v="-1"/>
    <n v="-1"/>
    <n v="-1"/>
    <n v="-3.5"/>
    <n v="-4"/>
    <n v="-3"/>
    <n v="-4"/>
    <n v="-2"/>
    <s v="TDP Sympathiser"/>
  </r>
  <r>
    <s v="cef517b4-043b-486c-97aa-9382a0fd00b0"/>
    <x v="2"/>
    <s v="21/01/2026, 15:22:37"/>
    <s v="16.552349, 81.929466"/>
    <s v="HW2H+WRR, Peddapatnamlanka, Andhra Pradesh, India"/>
    <x v="3"/>
    <s v="Naeem"/>
    <s v="http://164.52.221.216/localmedia/media/surveys/samples/recording_2026-01-21_15-20-16_samples_lgUeGpTRJd.mp4"/>
    <x v="2"/>
    <x v="0"/>
    <x v="0"/>
    <x v="0"/>
    <s v="క్రిస్టియన్"/>
    <x v="1"/>
    <s v="satyanarayana"/>
    <n v="9999999999"/>
    <x v="0"/>
    <x v="2"/>
    <x v="1"/>
    <x v="1"/>
    <x v="1"/>
    <x v="1"/>
    <s v="ఉద్యొగ్య అవకాశాలు కల్పించటం, శాంతి భద్రతలను కాపాడటం, విద్య రంగం అభివృద్ధి చేయటం"/>
    <x v="1"/>
    <x v="0"/>
    <x v="2"/>
    <x v="2"/>
    <x v="1"/>
    <x v="1"/>
    <s v="Ashish"/>
    <s v="Correctly Done"/>
    <s v="Q5,6,9,10 kept on his own"/>
    <x v="0"/>
    <n v="1.1461625511156397"/>
    <n v="0.66153846153846207"/>
    <n v="0.47627550925756229"/>
    <n v="0.85034013605442171"/>
    <n v="1.9264642089343564"/>
    <n v="0.71995135120329123"/>
    <n v="0.70534647283248642"/>
    <n v="-1"/>
    <n v="-1"/>
    <n v="-1"/>
    <n v="-1"/>
    <n v="-1"/>
    <n v="-1"/>
    <n v="-5.5"/>
    <n v="-6"/>
    <n v="-5"/>
    <n v="-4"/>
    <n v="-3"/>
    <s v="TDP HardCore"/>
  </r>
  <r>
    <s v="113e669b-1e33-4b09-9148-1027bb3b61ce"/>
    <x v="2"/>
    <s v="21/01/2026, 15:30:01"/>
    <s v="16.439008, 81.713683"/>
    <s v="Patalanka 3rd ward, SakhinetiPalli, Andhra Pradesh, India"/>
    <x v="1"/>
    <s v="Naeem"/>
    <s v="http://164.52.221.216/localmedia/media/surveys/samples/recording_2026-01-21_15-28-00_samples_GDhqL13PrQ.mp4"/>
    <x v="6"/>
    <x v="3"/>
    <x v="6"/>
    <x v="3"/>
    <s v="హిందూ"/>
    <x v="1"/>
    <s v="rajesh"/>
    <n v="9989761854"/>
    <x v="1"/>
    <x v="3"/>
    <x v="2"/>
    <x v="0"/>
    <x v="0"/>
    <x v="0"/>
    <s v="రోడ్లు వేయటం, సంక్షేమ పథకాలు (నగదు)"/>
    <x v="0"/>
    <x v="0"/>
    <x v="0"/>
    <x v="0"/>
    <x v="0"/>
    <x v="0"/>
    <s v="Ashish"/>
    <s v="Not Doing It Properly"/>
    <s v="Didn't ask caste and Q18 kept on his own"/>
    <x v="0"/>
    <n v="1.2612194085121222"/>
    <n v="1.8055837563451775"/>
    <n v="4.3746926640885135"/>
    <n v="2.1645021645021645"/>
    <n v="1.147984664167413"/>
    <n v="2.4228688637206557"/>
    <n v="2.2107623881946901"/>
    <n v="1"/>
    <n v="1"/>
    <n v="1"/>
    <n v="1"/>
    <n v="1"/>
    <n v="1"/>
    <n v="5.5"/>
    <n v="6"/>
    <n v="5"/>
    <n v="4"/>
    <n v="3"/>
    <s v="YSRCP HardCore"/>
  </r>
  <r>
    <s v="be6512ba-6d7a-48b3-9485-9558d4be3477"/>
    <x v="2"/>
    <s v="21/01/2026, 15:36:53"/>
    <s v="16.559388, 81.926083"/>
    <s v="HW5H+Q4, Peddapatnamlanka, Andhra Pradesh, India"/>
    <x v="3"/>
    <s v="Naeem"/>
    <s v="http://164.52.221.216/localmedia/media/surveys/samples/recording_2026-01-21_15-33-06_samples_a59EnqrMlc.mp4"/>
    <x v="0"/>
    <x v="2"/>
    <x v="4"/>
    <x v="0"/>
    <s v="హిందూ"/>
    <x v="0"/>
    <s v="pushpavathi"/>
    <n v="9999999999"/>
    <x v="1"/>
    <x v="3"/>
    <x v="1"/>
    <x v="1"/>
    <x v="1"/>
    <x v="1"/>
    <s v="ఉద్యొగ్య అవకాశాలు కల్పించటం, విద్య రంగం అభివృద్ధి చేయటం, ఆరోగ్య రంగం అభివృద్ధి చేయటం"/>
    <x v="1"/>
    <x v="0"/>
    <x v="2"/>
    <x v="2"/>
    <x v="1"/>
    <x v="1"/>
    <s v="Ashish"/>
    <s v="Correctly Done"/>
    <n v="0"/>
    <x v="0"/>
    <n v="1.3836274505214585"/>
    <n v="0.66153846153846207"/>
    <n v="1.2753497331114214"/>
    <n v="2.1645021645021645"/>
    <n v="0.75433779645928134"/>
    <n v="1.9278542477265657"/>
    <n v="0.95595770048639872"/>
    <n v="-1"/>
    <n v="-1"/>
    <n v="-1"/>
    <n v="-1"/>
    <n v="-1"/>
    <n v="-1"/>
    <n v="-5.5"/>
    <n v="-6"/>
    <n v="-5"/>
    <n v="-4"/>
    <n v="-3"/>
    <s v="TDP HardCore"/>
  </r>
  <r>
    <s v="07b161e5-d344-463e-b154-60909bf1c41d"/>
    <x v="2"/>
    <s v="21/01/2026, 15:41:01"/>
    <s v="16.438612, 81.712874"/>
    <s v="CPQ7+C53, SakhinetiPalli, Andhra Pradesh, India"/>
    <x v="1"/>
    <s v="Naeem"/>
    <s v="http://164.52.221.216/localmedia/media/surveys/samples/recording_2026-01-21_15-38-23_samples_SejGTbUgy4.mp4"/>
    <x v="1"/>
    <x v="3"/>
    <x v="6"/>
    <x v="3"/>
    <s v="హిందూ"/>
    <x v="2"/>
    <s v="chadarao"/>
    <n v="9133221341"/>
    <x v="0"/>
    <x v="1"/>
    <x v="1"/>
    <x v="1"/>
    <x v="0"/>
    <x v="0"/>
    <s v="రోడ్లు వేయటం, సంక్షేమ పథకాలు (నగదు)"/>
    <x v="0"/>
    <x v="0"/>
    <x v="0"/>
    <x v="0"/>
    <x v="0"/>
    <x v="0"/>
    <s v="Ashish"/>
    <s v="Not Doing It Properly"/>
    <s v="wrong caste entered, caste mentioned as Gowda"/>
    <x v="0"/>
    <n v="1.1705128247062893"/>
    <n v="1.8055837563451775"/>
    <n v="1.4435679386658844"/>
    <n v="0.85034013605442171"/>
    <n v="1.147984664167413"/>
    <n v="0.79950206330384943"/>
    <n v="0.92148737207359532"/>
    <n v="-1"/>
    <n v="1"/>
    <n v="1"/>
    <n v="1"/>
    <n v="1"/>
    <n v="1"/>
    <n v="3.5"/>
    <n v="4"/>
    <n v="3"/>
    <n v="4"/>
    <n v="2"/>
    <s v="YSRCP Sympathiser"/>
  </r>
  <r>
    <s v="aa9fcdc5-2abd-4180-8480-0e2708cc3613"/>
    <x v="2"/>
    <s v="21/01/2026, 15:46:19"/>
    <s v="16.557480, 81.924209"/>
    <s v="HW4F+XPJ, Peddapatnamlanka, Andhra Pradesh, India"/>
    <x v="3"/>
    <s v="Naeem"/>
    <s v="http://164.52.221.216/localmedia/media/surveys/samples/recording_2026-01-21_15-40-59_samples_Qxy6QNtYVk.mp4"/>
    <x v="0"/>
    <x v="2"/>
    <x v="4"/>
    <x v="4"/>
    <s v="హిందూ"/>
    <x v="1"/>
    <s v="veredra kumar"/>
    <n v="9963468491"/>
    <x v="0"/>
    <x v="3"/>
    <x v="1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0"/>
    <x v="1"/>
    <x v="1"/>
    <x v="1"/>
    <x v="1"/>
    <s v="Ashish"/>
    <s v="Correctly Done"/>
    <n v="0"/>
    <x v="0"/>
    <n v="1.3836274505214585"/>
    <n v="1.0795332136445241"/>
    <n v="1.1648410586678206"/>
    <n v="0.85034013605442171"/>
    <n v="0.75433779645928134"/>
    <n v="1.0790228998469584"/>
    <n v="0.52423486800867025"/>
    <n v="-1"/>
    <n v="-1"/>
    <n v="-1"/>
    <n v="-1"/>
    <n v="-1"/>
    <n v="-1"/>
    <n v="-5.5"/>
    <n v="-6"/>
    <n v="-5"/>
    <n v="-4"/>
    <n v="-3"/>
    <s v="TDP HardCore"/>
  </r>
  <r>
    <s v="3939b8c9-f1fb-47c3-9e57-f66fad97f602"/>
    <x v="2"/>
    <s v="21/01/2026, 15:47:57"/>
    <s v="16.367258, 81.744802"/>
    <s v="9P8V+VQP, Gondi, Andhra Pradesh, India"/>
    <x v="4"/>
    <s v="Naeem"/>
    <s v="http://164.52.221.216/localmedia/media/surveys/samples/recording_2026-01-21_15-43-24_samples_9EomqHEtz8.mp4"/>
    <x v="0"/>
    <x v="3"/>
    <x v="7"/>
    <x v="0"/>
    <s v="హిందూ"/>
    <x v="0"/>
    <s v="Kiran kumar"/>
    <n v="9494167812"/>
    <x v="0"/>
    <x v="2"/>
    <x v="1"/>
    <x v="0"/>
    <x v="0"/>
    <x v="0"/>
    <s v="ఉద్యొగ్య అవకాశాలు కల్పించటం"/>
    <x v="0"/>
    <x v="0"/>
    <x v="0"/>
    <x v="0"/>
    <x v="0"/>
    <x v="0"/>
    <s v="Ashish"/>
    <s v="Correctly Done"/>
    <s v="Didn't ask Q6,7"/>
    <x v="0"/>
    <n v="1.3836274505214585"/>
    <n v="1.8055837563451775"/>
    <n v="1.9482662206881376"/>
    <n v="0.85034013605442171"/>
    <n v="1.147984664167413"/>
    <n v="1.0790228998469584"/>
    <n v="1.1572915102003449"/>
    <n v="1"/>
    <n v="1"/>
    <n v="1"/>
    <n v="1"/>
    <n v="1"/>
    <n v="1"/>
    <n v="5.5"/>
    <n v="6"/>
    <n v="5"/>
    <n v="4"/>
    <n v="3"/>
    <s v="YSRCP HardCore"/>
  </r>
  <r>
    <s v="15c3b100-b5aa-46fa-8cc1-00697527b2c5"/>
    <x v="2"/>
    <s v="21/01/2026, 15:51:50"/>
    <s v="16.439531, 81.711937"/>
    <s v="Sakinetipalli Revu, SakhinetiPalli, Andhra Pradesh, India"/>
    <x v="1"/>
    <s v="Naeem"/>
    <s v="http://164.52.221.216/localmedia/media/surveys/samples/recording_2026-01-21_15-50-30_samples_7TMZuylTfZ.mp4"/>
    <x v="2"/>
    <x v="3"/>
    <x v="6"/>
    <x v="0"/>
    <s v="హిందూ"/>
    <x v="3"/>
    <s v="kiran"/>
    <n v="9182866279"/>
    <x v="0"/>
    <x v="1"/>
    <x v="1"/>
    <x v="1"/>
    <x v="1"/>
    <x v="1"/>
    <s v="రోడ్లు వేయటం"/>
    <x v="1"/>
    <x v="0"/>
    <x v="1"/>
    <x v="1"/>
    <x v="1"/>
    <x v="1"/>
    <s v="Ashish"/>
    <s v="Correctly Done"/>
    <n v="0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4d126746-7740-4378-800b-0470537d9bd9"/>
    <x v="2"/>
    <s v="21/01/2026, 15:51:50"/>
    <s v="16.439531, 81.711937"/>
    <s v="Sakinetipalli Revu, SakhinetiPalli, Andhra Pradesh, India"/>
    <x v="1"/>
    <s v="Naeem"/>
    <s v="http://164.52.221.216/localmedia/media/surveys/samples/recording_2026-01-21_15-50-30_samples_SqkKVSxKbu.mp4"/>
    <x v="2"/>
    <x v="3"/>
    <x v="6"/>
    <x v="0"/>
    <s v="హిందూ"/>
    <x v="3"/>
    <s v="kiran"/>
    <n v="9182866279"/>
    <x v="0"/>
    <x v="1"/>
    <x v="1"/>
    <x v="1"/>
    <x v="1"/>
    <x v="1"/>
    <s v="రోడ్లు వేయటం"/>
    <x v="1"/>
    <x v="0"/>
    <x v="1"/>
    <x v="1"/>
    <x v="1"/>
    <x v="1"/>
    <n v="0"/>
    <s v="Correctly Done"/>
    <n v="0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afc353d4-be07-41ad-bfbe-23ee5b398878"/>
    <x v="2"/>
    <s v="21/01/2026, 15:52:35"/>
    <s v="16.439531, 81.711937"/>
    <s v="Sakinetipalli Revu, SakhinetiPalli, Andhra Pradesh, India"/>
    <x v="1"/>
    <s v="Naeem"/>
    <s v="http://164.52.221.216/localmedia/media/surveys/samples/recording_2026-01-21_15-50-30_samples_QRwqf6sX1V.mp4"/>
    <x v="2"/>
    <x v="3"/>
    <x v="6"/>
    <x v="0"/>
    <s v="హిందూ"/>
    <x v="3"/>
    <s v="kiran"/>
    <n v="9182866279"/>
    <x v="0"/>
    <x v="1"/>
    <x v="1"/>
    <x v="1"/>
    <x v="1"/>
    <x v="1"/>
    <s v="రోడ్లు వేయటం"/>
    <x v="1"/>
    <x v="0"/>
    <x v="1"/>
    <x v="1"/>
    <x v="1"/>
    <x v="1"/>
    <n v="0"/>
    <s v="Correctly Done"/>
    <n v="0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f6b77415-caf3-437c-8f60-98348444701b"/>
    <x v="2"/>
    <s v="21/01/2026, 15:54:19"/>
    <s v="16.439434, 81.713973"/>
    <s v="Patalanka 3rd ward, SakhinetiPalli, Andhra Pradesh, India"/>
    <x v="1"/>
    <s v="Naeem"/>
    <s v="http://164.52.221.216/localmedia/media/surveys/samples/recording_2026-01-21_15-52-50_samples_CJyJPTGcZJ.mp4"/>
    <x v="2"/>
    <x v="3"/>
    <x v="6"/>
    <x v="0"/>
    <s v="హిందూ"/>
    <x v="3"/>
    <s v="sriram"/>
    <n v="9502105876"/>
    <x v="0"/>
    <x v="1"/>
    <x v="1"/>
    <x v="1"/>
    <x v="1"/>
    <x v="1"/>
    <s v="రోడ్లు వేయటం, సంక్షేమ పథకాలు (నగదు)"/>
    <x v="1"/>
    <x v="0"/>
    <x v="0"/>
    <x v="0"/>
    <x v="0"/>
    <x v="0"/>
    <s v="Deepika"/>
    <s v="Not Doing It Properly"/>
    <s v="Q1,12 kept his own"/>
    <x v="0"/>
    <n v="1.1461625511156397"/>
    <n v="1.8055837563451775"/>
    <n v="1.2999324650914248"/>
    <n v="0.85034013605442171"/>
    <n v="1.147984664167413"/>
    <n v="0.71995135120329123"/>
    <n v="0.54319084681293095"/>
    <n v="-1"/>
    <n v="-1"/>
    <n v="-1"/>
    <n v="-1"/>
    <n v="1"/>
    <n v="1"/>
    <n v="-2.5"/>
    <n v="-2"/>
    <n v="-1"/>
    <n v="0"/>
    <n v="2"/>
    <s v="Neutral YSRCP"/>
  </r>
  <r>
    <s v="cc283c02-6878-467d-bb77-56bcae621390"/>
    <x v="2"/>
    <s v="21/01/2026, 15:55:19"/>
    <s v="16.557310, 81.923538"/>
    <s v="HW5F+36Q, Pedapatnam, Andhra Pradesh, India"/>
    <x v="3"/>
    <s v="Naeem"/>
    <s v="http://164.52.221.216/localmedia/media/surveys/samples/recording_2026-01-21_15-50-11_samples_Rf1hMmqPcc.mp4"/>
    <x v="0"/>
    <x v="2"/>
    <x v="4"/>
    <x v="0"/>
    <s v="క్రిస్టియన్"/>
    <x v="2"/>
    <s v="ranarao"/>
    <n v="9550781428"/>
    <x v="0"/>
    <x v="2"/>
    <x v="1"/>
    <x v="1"/>
    <x v="0"/>
    <x v="1"/>
    <s v="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"/>
    <x v="1"/>
    <x v="0"/>
    <x v="0"/>
    <x v="0"/>
    <x v="0"/>
    <x v="2"/>
    <s v="Deepika"/>
    <s v="Not Doing It Properly"/>
    <s v="Q7 kept his own"/>
    <x v="0"/>
    <n v="1.3836274505214585"/>
    <n v="1.8055837563451775"/>
    <n v="1.9482662206881376"/>
    <n v="0.85034013605442171"/>
    <n v="0.75433779645928134"/>
    <n v="1.0790228998469584"/>
    <n v="0.52423486800867025"/>
    <n v="-1"/>
    <n v="1"/>
    <n v="-1"/>
    <n v="-1"/>
    <n v="1"/>
    <n v="1"/>
    <n v="-0.5"/>
    <n v="0"/>
    <n v="-1"/>
    <n v="0"/>
    <n v="2"/>
    <s v="Neutral YSRCP"/>
  </r>
  <r>
    <s v="058016f9-d075-4e85-81a8-5eef4a921bc3"/>
    <x v="2"/>
    <s v="21/01/2026, 15:57:23"/>
    <s v="16.368049, 81.745023"/>
    <s v="9P9V+7WP, Gondi, Andhra Pradesh, India"/>
    <x v="4"/>
    <s v="Naeem"/>
    <s v="http://164.52.221.216/localmedia/media/surveys/samples/recording_2026-01-21_15-54-21_samples_YfJuG8IAQ2.mp4"/>
    <x v="0"/>
    <x v="3"/>
    <x v="7"/>
    <x v="0"/>
    <s v="క్రిస్టియన్"/>
    <x v="0"/>
    <s v="Gadela Jakkaraiah"/>
    <n v="9490348570"/>
    <x v="0"/>
    <x v="0"/>
    <x v="1"/>
    <x v="1"/>
    <x v="0"/>
    <x v="0"/>
    <s v="ఆరోగ్య రంగం అభివృద్ధి చేయటం, వ్యవసాయం, రైతు బాగుండడం"/>
    <x v="0"/>
    <x v="0"/>
    <x v="0"/>
    <x v="1"/>
    <x v="1"/>
    <x v="1"/>
    <s v="Deepika"/>
    <s v="Correctly Done"/>
    <n v="0"/>
    <x v="0"/>
    <n v="1.3836274505214585"/>
    <n v="1.0795332136445241"/>
    <n v="1.1648410586678206"/>
    <n v="0.85034013605442171"/>
    <n v="1.147984664167413"/>
    <n v="1.0790228998469584"/>
    <n v="1.1572915102003449"/>
    <n v="-1"/>
    <n v="1"/>
    <n v="1"/>
    <n v="1"/>
    <n v="-1"/>
    <n v="1"/>
    <n v="2.5"/>
    <n v="2"/>
    <n v="1"/>
    <n v="2"/>
    <s v="ND"/>
    <s v="ND"/>
  </r>
  <r>
    <s v="304d734e-43ad-4e19-a711-b05c1333febe"/>
    <x v="2"/>
    <s v="21/01/2026, 16:02:13"/>
    <s v="16.440296, 81.713974"/>
    <s v="CPR7+5J9, Suvarnapeta, SakhinetiPalli, Andhra Pradesh, India"/>
    <x v="1"/>
    <s v="Naeem"/>
    <s v="http://164.52.221.216/localmedia/media/surveys/samples/recording_2026-01-21_16-00-35_samples_jjRfz7KHAg.mp4"/>
    <x v="2"/>
    <x v="3"/>
    <x v="6"/>
    <x v="2"/>
    <s v="హిందూ"/>
    <x v="1"/>
    <s v="surinarayana"/>
    <n v="9999999999"/>
    <x v="1"/>
    <x v="1"/>
    <x v="1"/>
    <x v="1"/>
    <x v="1"/>
    <x v="1"/>
    <s v="రోడ్లు వేయటం, సంక్షేమ పథకాలు (నగదు)"/>
    <x v="1"/>
    <x v="0"/>
    <x v="1"/>
    <x v="1"/>
    <x v="1"/>
    <x v="1"/>
    <s v="Deepika"/>
    <s v="Correctly Done"/>
    <s v="Q14 not asking and respondent male but mentioned female"/>
    <x v="0"/>
    <n v="1.1461625511156397"/>
    <n v="1.0795332136445241"/>
    <n v="3.0326483876590018"/>
    <n v="2.1645021645021645"/>
    <n v="1.147984664167413"/>
    <n v="2.8092219390089208"/>
    <n v="2.2934724643212636"/>
    <n v="-1"/>
    <n v="-1"/>
    <n v="-1"/>
    <n v="-1"/>
    <n v="-1"/>
    <n v="-1"/>
    <n v="-5.5"/>
    <n v="-6"/>
    <n v="-5"/>
    <n v="-4"/>
    <n v="-3"/>
    <s v="TDP HardCore"/>
  </r>
  <r>
    <s v="42cc526d-303b-4786-89ba-007755f96ad7"/>
    <x v="2"/>
    <s v="21/01/2026, 16:07:20"/>
    <s v="16.367352, 81.745626"/>
    <s v="SHOP NO.3, SakhinetiPalli, Andhra Pradesh, India"/>
    <x v="4"/>
    <s v="Naeem"/>
    <s v="http://164.52.221.216/localmedia/media/surveys/samples/recording_2026-01-21_16-05-23_samples_JOfBEqUXrN.mp4"/>
    <x v="0"/>
    <x v="3"/>
    <x v="7"/>
    <x v="0"/>
    <s v="హిందూ"/>
    <x v="1"/>
    <s v="BandariVenkateswararao"/>
    <n v="9908513250"/>
    <x v="0"/>
    <x v="0"/>
    <x v="1"/>
    <x v="1"/>
    <x v="1"/>
    <x v="1"/>
    <s v="ఉద్యొగ్య అవకాశాలు కల్పించటం, విద్య రంగం అభివృద్ధి చేయటం, ఆరోగ్య రంగం అభివృద్ధి చేయటం, వ్యవసాయం, రైతు బాగుండడం"/>
    <x v="1"/>
    <x v="0"/>
    <x v="1"/>
    <x v="1"/>
    <x v="1"/>
    <x v="1"/>
    <s v="Deepika"/>
    <s v="Not Asking Some of the Questions"/>
    <s v="Q1,2,3,4,5,6 not asking caste also"/>
    <x v="1"/>
    <n v="1.3836274505214585"/>
    <n v="1.0795332136445241"/>
    <n v="1.1648410586678206"/>
    <n v="0.85034013605442171"/>
    <n v="1.147984664167413"/>
    <n v="1.0790228998469584"/>
    <n v="1.1572915102003449"/>
    <n v="-1"/>
    <n v="-1"/>
    <n v="-1"/>
    <n v="-1"/>
    <n v="-1"/>
    <n v="-1"/>
    <n v="-5.5"/>
    <n v="-6"/>
    <n v="-5"/>
    <n v="-4"/>
    <n v="-3"/>
    <s v="TDP HardCore"/>
  </r>
  <r>
    <s v="0de91b3b-5fcf-43c6-903d-bb680dea6dce"/>
    <x v="2"/>
    <s v="21/01/2026, 16:08:54"/>
    <s v="16.557408, 81.923077"/>
    <s v="HW4F+X4C, Peddapatnamlanka, Andhra Pradesh, India"/>
    <x v="3"/>
    <s v="Naeem"/>
    <s v="http://164.52.221.216/localmedia/media/surveys/samples/recording_2026-01-21_16-06-05_samples_OaFUxRFePD.mp4"/>
    <x v="0"/>
    <x v="2"/>
    <x v="4"/>
    <x v="5"/>
    <s v="హిందూ"/>
    <x v="3"/>
    <s v="t. anusha"/>
    <n v="703209136"/>
    <x v="1"/>
    <x v="4"/>
    <x v="1"/>
    <x v="1"/>
    <x v="1"/>
    <x v="1"/>
    <s v="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"/>
    <x v="1"/>
    <x v="0"/>
    <x v="1"/>
    <x v="1"/>
    <x v="1"/>
    <x v="1"/>
    <s v="Deepika"/>
    <s v="Not Doing It Properly"/>
    <s v="Q1 kept his own"/>
    <x v="0"/>
    <n v="1.3836274505214585"/>
    <n v="1.0795332136445241"/>
    <n v="2.0811826914865059"/>
    <n v="2.1645021645021645"/>
    <n v="0.75433779645928134"/>
    <n v="1.9278542477265657"/>
    <n v="0.95595770048639872"/>
    <n v="-1"/>
    <n v="-1"/>
    <n v="-1"/>
    <n v="-1"/>
    <n v="-1"/>
    <n v="-1"/>
    <n v="-5.5"/>
    <n v="-6"/>
    <n v="-5"/>
    <n v="-4"/>
    <n v="-3"/>
    <s v="TDP HardCore"/>
  </r>
  <r>
    <s v="21757f11-e124-445a-a728-a08a0fee40f4"/>
    <x v="2"/>
    <s v="21/01/2026, 16:13:21"/>
    <s v="16.368072, 81.745121"/>
    <s v="9P9W+44Q, Gondi, Andhra Pradesh, India"/>
    <x v="4"/>
    <s v="Naeem"/>
    <s v="http://164.52.221.216/localmedia/media/surveys/samples/recording_2026-01-21_16-11-04_samples_uB41I5im87.mp4"/>
    <x v="3"/>
    <x v="3"/>
    <x v="7"/>
    <x v="6"/>
    <s v="హిందూ"/>
    <x v="1"/>
    <s v="N Subbalaxmi"/>
    <n v="8096153142"/>
    <x v="1"/>
    <x v="4"/>
    <x v="1"/>
    <x v="1"/>
    <x v="0"/>
    <x v="0"/>
    <s v="ఉద్యొగ్య అవకాశాలు కల్పించటం, విద్య రంగం అభివృద్ధి చేయటం"/>
    <x v="1"/>
    <x v="0"/>
    <x v="0"/>
    <x v="1"/>
    <x v="1"/>
    <x v="1"/>
    <s v="Deepika"/>
    <s v="Fake Audio/Empty Audio"/>
    <s v="surveyor asking some questions but respondent not there"/>
    <x v="1"/>
    <n v="1.8452248965186235"/>
    <n v="1.0795332136445241"/>
    <n v="2.738974648348997"/>
    <n v="2.1645021645021645"/>
    <n v="1.147984664167413"/>
    <n v="2.5371842327131073"/>
    <n v="2.9242991836792998"/>
    <n v="-1"/>
    <n v="1"/>
    <n v="1"/>
    <n v="-1"/>
    <n v="-1"/>
    <n v="1"/>
    <n v="0.5"/>
    <n v="0"/>
    <n v="-1"/>
    <n v="0"/>
    <s v="ND"/>
    <s v="ND"/>
  </r>
  <r>
    <s v="4b356e10-9261-47b3-b2b5-6e12cd5e4656"/>
    <x v="2"/>
    <s v="21/01/2026, 16:16:30"/>
    <s v="16.557118, 81.923569"/>
    <s v="HW4F+XPJ, Peddapatnamlanka, Andhra Pradesh, India"/>
    <x v="3"/>
    <s v="Naeem"/>
    <s v="http://164.52.221.216/localmedia/media/surveys/samples/recording_2026-01-21_16-11-18_samples_8AESbbnr3h.mp4"/>
    <x v="0"/>
    <x v="2"/>
    <x v="4"/>
    <x v="8"/>
    <s v="హిందూ"/>
    <x v="2"/>
    <s v="venkataratnam"/>
    <n v="8008045302"/>
    <x v="0"/>
    <x v="2"/>
    <x v="2"/>
    <x v="0"/>
    <x v="0"/>
    <x v="0"/>
    <s v="ఉద్యొగ్య అవకాశాలు కల్పించటం, శాంతి భద్రతలను కాపాడటం, విద్య రంగం అభివృద్ధి చేయటం"/>
    <x v="0"/>
    <x v="0"/>
    <x v="0"/>
    <x v="0"/>
    <x v="3"/>
    <x v="2"/>
    <s v="Deepika"/>
    <s v="Correctly Done"/>
    <n v="0"/>
    <x v="0"/>
    <n v="1.3836274505214585"/>
    <n v="1.8055837563451775"/>
    <n v="1.9482662206881376"/>
    <n v="0.85034013605442171"/>
    <n v="0.75433779645928134"/>
    <n v="1.0790228998469584"/>
    <n v="0.52423486800867025"/>
    <n v="1"/>
    <n v="1"/>
    <n v="1"/>
    <n v="1"/>
    <n v="1"/>
    <n v="1"/>
    <n v="5.5"/>
    <n v="6"/>
    <n v="5"/>
    <n v="4"/>
    <n v="3"/>
    <s v="YSRCP HardCore"/>
  </r>
  <r>
    <s v="9d803f04-3091-4a49-bfe5-2315c587f3fb"/>
    <x v="2"/>
    <s v="21/01/2026, 16:16:32"/>
    <s v="16.557118, 81.923569"/>
    <s v="HW4F+XPJ, Peddapatnamlanka, Andhra Pradesh, India"/>
    <x v="3"/>
    <s v="Naeem"/>
    <s v="http://164.52.221.216/localmedia/media/surveys/samples/recording_2026-01-21_16-11-18_samples_NKhJlrn688.mp4"/>
    <x v="0"/>
    <x v="2"/>
    <x v="4"/>
    <x v="8"/>
    <s v="హిందూ"/>
    <x v="2"/>
    <s v="venkataratnam"/>
    <n v="8008045302"/>
    <x v="0"/>
    <x v="2"/>
    <x v="2"/>
    <x v="0"/>
    <x v="0"/>
    <x v="0"/>
    <s v="ఉద్యొగ్య అవకాశాలు కల్పించటం, శాంతి భద్రతలను కాపాడటం, విద్య రంగం అభివృద్ధి చేయటం"/>
    <x v="0"/>
    <x v="0"/>
    <x v="0"/>
    <x v="0"/>
    <x v="3"/>
    <x v="2"/>
    <n v="0"/>
    <s v="Correctly Done"/>
    <n v="0"/>
    <x v="0"/>
    <n v="1.3836274505214585"/>
    <n v="1.8055837563451775"/>
    <n v="1.9482662206881376"/>
    <n v="0.85034013605442171"/>
    <n v="0.75433779645928134"/>
    <n v="1.0790228998469584"/>
    <n v="0.52423486800867025"/>
    <n v="1"/>
    <n v="1"/>
    <n v="1"/>
    <n v="1"/>
    <n v="1"/>
    <n v="1"/>
    <n v="5.5"/>
    <n v="6"/>
    <n v="5"/>
    <n v="4"/>
    <n v="3"/>
    <s v="YSRCP HardCore"/>
  </r>
  <r>
    <s v="23a80a31-695c-4818-ac28-9d5793a94218"/>
    <x v="2"/>
    <s v="21/01/2026, 16:24:45"/>
    <s v="16.557431, 81.922884"/>
    <s v="HW4F+X4C, Peddapatnamlanka, Andhra Pradesh, India"/>
    <x v="3"/>
    <s v="Naeem"/>
    <s v="http://164.52.221.216/localmedia/media/surveys/samples/recording_2026-01-21_16-20-03_samples_KNpZkCgfyg.mp4"/>
    <x v="0"/>
    <x v="2"/>
    <x v="4"/>
    <x v="8"/>
    <s v="హిందూ"/>
    <x v="2"/>
    <s v="sai babu"/>
    <n v="7815833266"/>
    <x v="0"/>
    <x v="2"/>
    <x v="0"/>
    <x v="0"/>
    <x v="0"/>
    <x v="0"/>
    <s v="ఉద్యొగ్య అవకాశాలు కల్పించటం, శాంతి భద్రతలను కాపాడటం, విద్య రంగం అభివృద్ధి చేయటం"/>
    <x v="1"/>
    <x v="0"/>
    <x v="0"/>
    <x v="1"/>
    <x v="1"/>
    <x v="1"/>
    <s v="Deepika"/>
    <s v="Correctly Done"/>
    <n v="0"/>
    <x v="0"/>
    <n v="1.3836274505214585"/>
    <n v="1.0795332136445241"/>
    <n v="1.1648410586678206"/>
    <n v="0.85034013605442171"/>
    <n v="0.75433779645928134"/>
    <n v="1.0790228998469584"/>
    <n v="0.52423486800867025"/>
    <n v="1"/>
    <n v="1"/>
    <n v="1"/>
    <n v="-1"/>
    <n v="-1"/>
    <n v="1"/>
    <n v="2.5"/>
    <n v="2"/>
    <n v="1"/>
    <n v="0"/>
    <n v="2"/>
    <s v="Neutral YSRCP"/>
  </r>
  <r>
    <s v="e1268289-7132-454b-80bb-18c79a5e7099"/>
    <x v="2"/>
    <s v="21/01/2026, 16:29:46"/>
    <s v="16.367635, 81.745367"/>
    <s v="SHOP NO.1, SakhinetiPalli, Andhra Pradesh, India"/>
    <x v="4"/>
    <s v="Naeem"/>
    <s v="http://164.52.221.216/localmedia/media/surveys/samples/recording_2026-01-21_16-27-01_samples_orqMtBRibQ.mp4"/>
    <x v="0"/>
    <x v="3"/>
    <x v="7"/>
    <x v="0"/>
    <s v="క్రిస్టియన్"/>
    <x v="2"/>
    <s v="Nakka Thulasirao"/>
    <n v="9849653470"/>
    <x v="0"/>
    <x v="4"/>
    <x v="2"/>
    <x v="0"/>
    <x v="0"/>
    <x v="0"/>
    <s v="విద్య రంగం అభివృద్ధి చేయటం, ఆరోగ్య రంగం అభివృద్ధి చేయటం, వ్యవసాయం, రైతు బాగుండడం"/>
    <x v="0"/>
    <x v="0"/>
    <x v="0"/>
    <x v="1"/>
    <x v="1"/>
    <x v="1"/>
    <s v="Deepika"/>
    <s v="Not Asking Some of the Questions"/>
    <s v="Q1,2,3,4,5,6,7,8 not asking"/>
    <x v="1"/>
    <n v="1.3836274505214585"/>
    <n v="1.0795332136445241"/>
    <n v="1.1648410586678206"/>
    <n v="0.85034013605442171"/>
    <n v="1.147984664167413"/>
    <n v="1.0790228998469584"/>
    <n v="1.1572915102003449"/>
    <n v="1"/>
    <n v="1"/>
    <n v="1"/>
    <n v="1"/>
    <n v="-1"/>
    <n v="1"/>
    <n v="4.5"/>
    <n v="4"/>
    <n v="3"/>
    <n v="2"/>
    <n v="2"/>
    <s v="Neutral YSRCP"/>
  </r>
  <r>
    <s v="cf25e7b8-52e4-4769-a3bf-f8324671ce6b"/>
    <x v="2"/>
    <s v="21/01/2026, 16:29:47"/>
    <s v="16.367635, 81.745367"/>
    <s v="SHOP NO.1, SakhinetiPalli, Andhra Pradesh, India"/>
    <x v="4"/>
    <s v="Naeem"/>
    <s v="http://164.52.221.216/localmedia/media/surveys/samples/recording_2026-01-21_16-27-01_samples_SZGs8Pr3nu.mp4"/>
    <x v="0"/>
    <x v="3"/>
    <x v="7"/>
    <x v="0"/>
    <s v="క్రిస్టియన్"/>
    <x v="2"/>
    <s v="Nakka Thulasirao"/>
    <n v="9849653470"/>
    <x v="0"/>
    <x v="4"/>
    <x v="2"/>
    <x v="0"/>
    <x v="0"/>
    <x v="0"/>
    <s v="విద్య రంగం అభివృద్ధి చేయటం, ఆరోగ్య రంగం అభివృద్ధి చేయటం, వ్యవసాయం, రైతు బాగుండడం"/>
    <x v="0"/>
    <x v="0"/>
    <x v="0"/>
    <x v="1"/>
    <x v="1"/>
    <x v="1"/>
    <n v="0"/>
    <s v="Correctly Done"/>
    <n v="0"/>
    <x v="0"/>
    <n v="1.3836274505214585"/>
    <n v="1.0795332136445241"/>
    <n v="1.1648410586678206"/>
    <n v="0.85034013605442171"/>
    <n v="1.147984664167413"/>
    <n v="1.0790228998469584"/>
    <n v="1.1572915102003449"/>
    <n v="1"/>
    <n v="1"/>
    <n v="1"/>
    <n v="1"/>
    <n v="-1"/>
    <n v="1"/>
    <n v="4.5"/>
    <n v="4"/>
    <n v="3"/>
    <n v="2"/>
    <n v="2"/>
    <s v="Neutral YSRCP"/>
  </r>
  <r>
    <s v="c6136e4d-37cd-4ff0-bf26-14eaeb910463"/>
    <x v="2"/>
    <s v="21/01/2026, 16:29:57"/>
    <s v="16.367635, 81.745367"/>
    <s v="SHOP NO.1, SakhinetiPalli, Andhra Pradesh, India"/>
    <x v="4"/>
    <s v="Naeem"/>
    <s v="http://164.52.221.216/localmedia/media/surveys/samples/recording_2026-01-21_16-27-01_samples_RbHCTLe98m.mp4"/>
    <x v="0"/>
    <x v="3"/>
    <x v="7"/>
    <x v="0"/>
    <s v="క్రిస్టియన్"/>
    <x v="2"/>
    <s v="Nakka Thulasirao"/>
    <n v="9849653470"/>
    <x v="0"/>
    <x v="4"/>
    <x v="2"/>
    <x v="0"/>
    <x v="0"/>
    <x v="0"/>
    <s v="విద్య రంగం అభివృద్ధి చేయటం, ఆరోగ్య రంగం అభివృద్ధి చేయటం, వ్యవసాయం, రైతు బాగుండడం"/>
    <x v="0"/>
    <x v="0"/>
    <x v="0"/>
    <x v="1"/>
    <x v="1"/>
    <x v="1"/>
    <n v="0"/>
    <s v="Correctly Done"/>
    <n v="0"/>
    <x v="0"/>
    <n v="1.3836274505214585"/>
    <n v="1.0795332136445241"/>
    <n v="1.1648410586678206"/>
    <n v="0.85034013605442171"/>
    <n v="1.147984664167413"/>
    <n v="1.0790228998469584"/>
    <n v="1.1572915102003449"/>
    <n v="1"/>
    <n v="1"/>
    <n v="1"/>
    <n v="1"/>
    <n v="-1"/>
    <n v="1"/>
    <n v="4.5"/>
    <n v="4"/>
    <n v="3"/>
    <n v="2"/>
    <n v="2"/>
    <s v="Neutral YSRCP"/>
  </r>
  <r>
    <s v="6451c599-5b47-44c4-9d6a-2f4bfbdccaf5"/>
    <x v="2"/>
    <s v="21/01/2026, 16:38:21"/>
    <s v="16.368059, 81.745052"/>
    <s v="9P9W+44Q, Gondi, Andhra Pradesh, India"/>
    <x v="4"/>
    <s v="Naeem"/>
    <s v="http://164.52.221.216/localmedia/media/surveys/samples/recording_2026-01-21_16-33-22_samples_wdTR4zenxp.mp4"/>
    <x v="0"/>
    <x v="3"/>
    <x v="7"/>
    <x v="0"/>
    <s v="క్రిస్టియన్"/>
    <x v="0"/>
    <s v="Ravi Sahadevudan"/>
    <n v="900000000"/>
    <x v="0"/>
    <x v="4"/>
    <x v="2"/>
    <x v="0"/>
    <x v="1"/>
    <x v="0"/>
    <s v="విద్య రంగం అభివృద్ధి చేయటం, ఆరోగ్య రంగం అభివృద్ధి చేయటం, వ్యవసాయం, రైతు బాగుండడం"/>
    <x v="0"/>
    <x v="0"/>
    <x v="0"/>
    <x v="0"/>
    <x v="0"/>
    <x v="0"/>
    <s v="Deepika"/>
    <s v="Not Doing It Properly"/>
    <s v="Q12 not asking and caste also"/>
    <x v="0"/>
    <n v="1.3836274505214585"/>
    <n v="1.8055837563451775"/>
    <n v="1.9482662206881376"/>
    <n v="0.85034013605442171"/>
    <n v="1.147984664167413"/>
    <n v="1.0790228998469584"/>
    <n v="1.1572915102003449"/>
    <n v="1"/>
    <n v="-1"/>
    <n v="1"/>
    <n v="1"/>
    <n v="1"/>
    <n v="1"/>
    <n v="3.5"/>
    <n v="4"/>
    <n v="5"/>
    <n v="4"/>
    <n v="3"/>
    <s v="YSRCP Sympathiser"/>
  </r>
  <r>
    <s v="b32d2fb3-3452-411e-b6e5-c4d81d7540db"/>
    <x v="2"/>
    <s v="21/01/2026, 16:38:22"/>
    <s v="16.368059, 81.745052"/>
    <s v="9P9W+44Q, Gondi, Andhra Pradesh, India"/>
    <x v="4"/>
    <s v="Naeem"/>
    <s v="http://164.52.221.216/localmedia/media/surveys/samples/recording_2026-01-21_16-33-22_samples_ogqyZgLMjK.mp4"/>
    <x v="0"/>
    <x v="3"/>
    <x v="7"/>
    <x v="0"/>
    <s v="క్రిస్టియన్"/>
    <x v="0"/>
    <s v="Ravi Sahadevudan"/>
    <n v="900000000"/>
    <x v="0"/>
    <x v="4"/>
    <x v="2"/>
    <x v="0"/>
    <x v="1"/>
    <x v="0"/>
    <s v="విద్య రంగం అభివృద్ధి చేయటం, ఆరోగ్య రంగం అభివృద్ధి చేయటం, వ్యవసాయం, రైతు బాగుండడం"/>
    <x v="0"/>
    <x v="0"/>
    <x v="0"/>
    <x v="0"/>
    <x v="0"/>
    <x v="0"/>
    <n v="0"/>
    <s v="Correctly Done"/>
    <n v="0"/>
    <x v="0"/>
    <n v="1.3836274505214585"/>
    <n v="1.8055837563451775"/>
    <n v="1.9482662206881376"/>
    <n v="0.85034013605442171"/>
    <n v="1.147984664167413"/>
    <n v="1.0790228998469584"/>
    <n v="1.1572915102003449"/>
    <n v="1"/>
    <n v="-1"/>
    <n v="1"/>
    <n v="1"/>
    <n v="1"/>
    <n v="1"/>
    <n v="3.5"/>
    <n v="4"/>
    <n v="5"/>
    <n v="4"/>
    <n v="3"/>
    <s v="YSRCP Sympathiser"/>
  </r>
  <r>
    <s v="30c50ff5-9f5b-45de-9786-d2183f946f70"/>
    <x v="2"/>
    <s v="21/01/2026, 16:38:36"/>
    <s v="16.368059, 81.745052"/>
    <s v="9P9W+44Q, Gondi, Andhra Pradesh, India"/>
    <x v="4"/>
    <s v="Naeem"/>
    <s v="http://164.52.221.216/localmedia/media/surveys/samples/recording_2026-01-21_16-33-22_samples_hq2i0eLC7j.mp4"/>
    <x v="0"/>
    <x v="3"/>
    <x v="7"/>
    <x v="0"/>
    <s v="క్రిస్టియన్"/>
    <x v="0"/>
    <s v="Ravi Sahadevudan"/>
    <n v="900000000"/>
    <x v="0"/>
    <x v="4"/>
    <x v="2"/>
    <x v="0"/>
    <x v="1"/>
    <x v="0"/>
    <s v="విద్య రంగం అభివృద్ధి చేయటం, ఆరోగ్య రంగం అభివృద్ధి చేయటం, వ్యవసాయం, రైతు బాగుండడం"/>
    <x v="0"/>
    <x v="0"/>
    <x v="0"/>
    <x v="0"/>
    <x v="0"/>
    <x v="0"/>
    <n v="0"/>
    <s v="Correctly Done"/>
    <n v="0"/>
    <x v="0"/>
    <n v="1.3836274505214585"/>
    <n v="1.8055837563451775"/>
    <n v="1.9482662206881376"/>
    <n v="0.85034013605442171"/>
    <n v="1.147984664167413"/>
    <n v="1.0790228998469584"/>
    <n v="1.1572915102003449"/>
    <n v="1"/>
    <n v="-1"/>
    <n v="1"/>
    <n v="1"/>
    <n v="1"/>
    <n v="1"/>
    <n v="3.5"/>
    <n v="4"/>
    <n v="5"/>
    <n v="4"/>
    <n v="3"/>
    <s v="YSRCP Sympathiser"/>
  </r>
  <r>
    <s v="615320f7-e235-4ee0-8598-6858993f4ea4"/>
    <x v="2"/>
    <s v="21/01/2026, 16:39:29"/>
    <s v="16.440288, 81.714897"/>
    <s v="CPR7+5J9, Suvarnapeta, SakhinetiPalli, Andhra Pradesh, India"/>
    <x v="1"/>
    <s v="Naeem"/>
    <s v="http://164.52.221.216/localmedia/media/surveys/samples/recording_2026-01-21_16-37-52_samples_YEECBgsyhF.mp4"/>
    <x v="0"/>
    <x v="3"/>
    <x v="6"/>
    <x v="0"/>
    <s v="క్రిస్టియన్"/>
    <x v="0"/>
    <s v="mohan"/>
    <n v="9999999999"/>
    <x v="0"/>
    <x v="2"/>
    <x v="1"/>
    <x v="1"/>
    <x v="1"/>
    <x v="1"/>
    <s v="రోడ్లు వేయటం"/>
    <x v="1"/>
    <x v="0"/>
    <x v="1"/>
    <x v="1"/>
    <x v="1"/>
    <x v="1"/>
    <s v="Deepika"/>
    <s v="Fake Audio/Empty Audio"/>
    <s v="surveyor asking questions but respondent not there"/>
    <x v="1"/>
    <n v="1.3836274505214585"/>
    <n v="1.0795332136445241"/>
    <n v="1.1648410586678206"/>
    <n v="0.85034013605442171"/>
    <n v="1.147984664167413"/>
    <n v="1.0790228998469584"/>
    <n v="1.1572915102003449"/>
    <n v="-1"/>
    <n v="-1"/>
    <n v="-1"/>
    <n v="-1"/>
    <n v="-1"/>
    <n v="-1"/>
    <n v="-5.5"/>
    <n v="-6"/>
    <n v="-5"/>
    <n v="-4"/>
    <n v="-3"/>
    <s v="TDP HardCore"/>
  </r>
  <r>
    <s v="d8488677-178a-4418-bcfd-eda1b489a835"/>
    <x v="2"/>
    <s v="21/01/2026, 16:41:49"/>
    <s v="16.557143, 81.923216"/>
    <s v="HW4F+W4V, Peddapatnamlanka, Andhra Pradesh, India"/>
    <x v="3"/>
    <s v="Naeem"/>
    <s v="http://164.52.221.216/localmedia/media/surveys/samples/recording_2026-01-21_16-36-34_samples_PdleawSLlR.mp4"/>
    <x v="0"/>
    <x v="2"/>
    <x v="4"/>
    <x v="6"/>
    <s v="హిందూ"/>
    <x v="3"/>
    <s v="n. lakshmi "/>
    <n v="9010462740"/>
    <x v="1"/>
    <x v="2"/>
    <x v="1"/>
    <x v="1"/>
    <x v="0"/>
    <x v="0"/>
    <s v="శాంతి భద్రతలను కాపాడటం, ఆరోగ్య రంగం అభివృద్ధి చేయటం, వ్యవసాయం, రైతు బాగుండడం"/>
    <x v="0"/>
    <x v="0"/>
    <x v="0"/>
    <x v="0"/>
    <x v="3"/>
    <x v="4"/>
    <s v="Deepika"/>
    <s v="Correctly Done"/>
    <n v="0"/>
    <x v="0"/>
    <n v="1.3836274505214585"/>
    <n v="1.8055837563451775"/>
    <n v="3.4809023142961388"/>
    <n v="2.1645021645021645"/>
    <n v="0.75433779645928134"/>
    <n v="1.9278542477265657"/>
    <n v="0.95595770048639872"/>
    <n v="-1"/>
    <n v="1"/>
    <n v="1"/>
    <n v="1"/>
    <n v="1"/>
    <n v="1"/>
    <n v="3.5"/>
    <n v="4"/>
    <n v="3"/>
    <n v="4"/>
    <n v="2"/>
    <s v="YSRCP Sympathiser"/>
  </r>
  <r>
    <s v="eb448b12-1cf0-41ab-a9c6-b422d323dfb7"/>
    <x v="2"/>
    <s v="21/01/2026, 16:49:04"/>
    <s v="16.557098, 81.922670"/>
    <s v="HW4F+W4V, Peddapatnamlanka, Andhra Pradesh, India"/>
    <x v="3"/>
    <s v="Naeem"/>
    <s v="http://164.52.221.216/localmedia/media/surveys/samples/recording_2026-01-21_16-45-45_samples_CwuzH2sRkM.mp4"/>
    <x v="0"/>
    <x v="2"/>
    <x v="4"/>
    <x v="6"/>
    <s v="హిందూ"/>
    <x v="1"/>
    <s v="kanakadurga"/>
    <n v="7032377303"/>
    <x v="1"/>
    <x v="2"/>
    <x v="1"/>
    <x v="0"/>
    <x v="0"/>
    <x v="0"/>
    <s v="ఉద్యొగ్య అవకాశాలు కల్పించటం, శాంతి భద్రతలను కాపాడటం, విద్య రంగం అభివృద్ధి చేయటం"/>
    <x v="0"/>
    <x v="0"/>
    <x v="0"/>
    <x v="0"/>
    <x v="0"/>
    <x v="2"/>
    <s v="Deepika"/>
    <s v="Correctly Done"/>
    <n v="0"/>
    <x v="0"/>
    <n v="1.3836274505214585"/>
    <n v="1.8055837563451775"/>
    <n v="3.4809023142961388"/>
    <n v="2.1645021645021645"/>
    <n v="0.75433779645928134"/>
    <n v="1.9278542477265657"/>
    <n v="0.95595770048639872"/>
    <n v="1"/>
    <n v="1"/>
    <n v="1"/>
    <n v="1"/>
    <n v="1"/>
    <n v="1"/>
    <n v="5.5"/>
    <n v="6"/>
    <n v="5"/>
    <n v="4"/>
    <n v="3"/>
    <s v="YSRCP HardCore"/>
  </r>
  <r>
    <s v="c0508b50-b824-4d24-8577-f7ffa69a1015"/>
    <x v="2"/>
    <s v="21/01/2026, 16:49:10"/>
    <s v="16.557098, 81.922670"/>
    <s v="HW4F+W4V, Peddapatnamlanka, Andhra Pradesh, India"/>
    <x v="3"/>
    <s v="Naeem"/>
    <s v="http://164.52.221.216/localmedia/media/surveys/samples/recording_2026-01-21_16-45-45_samples_lU9VqvI4Lx.mp4"/>
    <x v="0"/>
    <x v="2"/>
    <x v="4"/>
    <x v="6"/>
    <s v="హిందూ"/>
    <x v="1"/>
    <s v="kanakadurga"/>
    <n v="7032377303"/>
    <x v="1"/>
    <x v="2"/>
    <x v="1"/>
    <x v="0"/>
    <x v="0"/>
    <x v="0"/>
    <s v="ఉద్యొగ్య అవకాశాలు కల్పించటం, శాంతి భద్రతలను కాపాడటం, విద్య రంగం అభివృద్ధి చేయటం"/>
    <x v="0"/>
    <x v="0"/>
    <x v="0"/>
    <x v="0"/>
    <x v="0"/>
    <x v="2"/>
    <n v="0"/>
    <s v="Correctly Done"/>
    <n v="0"/>
    <x v="0"/>
    <n v="1.3836274505214585"/>
    <n v="1.8055837563451775"/>
    <n v="3.4809023142961388"/>
    <n v="2.1645021645021645"/>
    <n v="0.75433779645928134"/>
    <n v="1.9278542477265657"/>
    <n v="0.95595770048639872"/>
    <n v="1"/>
    <n v="1"/>
    <n v="1"/>
    <n v="1"/>
    <n v="1"/>
    <n v="1"/>
    <n v="5.5"/>
    <n v="6"/>
    <n v="5"/>
    <n v="4"/>
    <n v="3"/>
    <s v="YSRCP HardCore"/>
  </r>
  <r>
    <s v="8034aa8c-2d78-4381-9bb2-be1f2fd785c0"/>
    <x v="2"/>
    <s v="21/01/2026, 16:49:19"/>
    <s v="16.557098, 81.922670"/>
    <s v="HW4F+W4V, Peddapatnamlanka, Andhra Pradesh, India"/>
    <x v="3"/>
    <s v="Naeem"/>
    <s v="http://164.52.221.216/localmedia/media/surveys/samples/recording_2026-01-21_16-45-45_samples_WZdtSvAe6P.mp4"/>
    <x v="0"/>
    <x v="2"/>
    <x v="4"/>
    <x v="6"/>
    <s v="హిందూ"/>
    <x v="1"/>
    <s v="kanakadurga"/>
    <n v="7032377303"/>
    <x v="1"/>
    <x v="2"/>
    <x v="1"/>
    <x v="0"/>
    <x v="0"/>
    <x v="0"/>
    <s v="ఉద్యొగ్య అవకాశాలు కల్పించటం, శాంతి భద్రతలను కాపాడటం, విద్య రంగం అభివృద్ధి చేయటం"/>
    <x v="0"/>
    <x v="0"/>
    <x v="0"/>
    <x v="0"/>
    <x v="0"/>
    <x v="2"/>
    <n v="0"/>
    <s v="Correctly Done"/>
    <n v="0"/>
    <x v="0"/>
    <n v="1.3836274505214585"/>
    <n v="1.8055837563451775"/>
    <n v="3.4809023142961388"/>
    <n v="2.1645021645021645"/>
    <n v="0.75433779645928134"/>
    <n v="1.9278542477265657"/>
    <n v="0.95595770048639872"/>
    <n v="1"/>
    <n v="1"/>
    <n v="1"/>
    <n v="1"/>
    <n v="1"/>
    <n v="1"/>
    <n v="5.5"/>
    <n v="6"/>
    <n v="5"/>
    <n v="4"/>
    <n v="3"/>
    <s v="YSRCP HardCore"/>
  </r>
  <r>
    <s v="54b24b2b-80cb-4338-a019-3fc0d93f4995"/>
    <x v="2"/>
    <s v="21/01/2026, 16:54:56"/>
    <s v="16.368738, 81.744791"/>
    <s v="9P9V+7WP, Gondi, Andhra Pradesh, India"/>
    <x v="4"/>
    <s v="Naeem"/>
    <s v="http://164.52.221.216/localmedia/media/surveys/samples/recording_2026-01-21_16-51-52_samples_C5nmtOUqlG.mp4"/>
    <x v="2"/>
    <x v="3"/>
    <x v="7"/>
    <x v="6"/>
    <s v="హిందూ"/>
    <x v="1"/>
    <s v="Mutyalu"/>
    <n v="900000000"/>
    <x v="1"/>
    <x v="4"/>
    <x v="1"/>
    <x v="1"/>
    <x v="1"/>
    <x v="1"/>
    <s v="శాంతి భద్రతలను కాపాడటం, ఆరోగ్య రంగం అభివృద్ధి చేయటం"/>
    <x v="1"/>
    <x v="0"/>
    <x v="1"/>
    <x v="1"/>
    <x v="1"/>
    <x v="1"/>
    <s v="Bhagya"/>
    <s v="Not Doing It Properly"/>
    <s v="Q6,Q7 didn't asked properly and entered on his own"/>
    <x v="0"/>
    <n v="1.1461625511156397"/>
    <n v="1.0795332136445241"/>
    <n v="3.0326483876590018"/>
    <n v="2.1645021645021645"/>
    <n v="1.147984664167413"/>
    <n v="2.8092219390089208"/>
    <n v="2.2934724643212636"/>
    <n v="-1"/>
    <n v="-1"/>
    <n v="-1"/>
    <n v="-1"/>
    <n v="-1"/>
    <n v="-1"/>
    <n v="-5.5"/>
    <n v="-6"/>
    <n v="-5"/>
    <n v="-4"/>
    <n v="-3"/>
    <s v="TDP HardCore"/>
  </r>
  <r>
    <s v="0362d16f-6282-42fb-9e54-763302cc0b8f"/>
    <x v="2"/>
    <s v="21/01/2026, 16:55:22"/>
    <s v="16.556853, 81.923125"/>
    <s v="HW4F+W4V, Peddapatnamlanka, Andhra Pradesh, India"/>
    <x v="3"/>
    <s v="Naeem"/>
    <s v="http://164.52.221.216/localmedia/media/surveys/samples/recording_2026-01-21_16-52-03_samples_lpBtfhH9Wi.mp4"/>
    <x v="0"/>
    <x v="2"/>
    <x v="4"/>
    <x v="5"/>
    <s v="హిందూ"/>
    <x v="1"/>
    <s v="g. boby"/>
    <n v="9121896234"/>
    <x v="0"/>
    <x v="3"/>
    <x v="1"/>
    <x v="1"/>
    <x v="0"/>
    <x v="1"/>
    <s v="రోడ్లు వేయటం, ఉద్యొగ్య అవకాశాలు కల్పించటం, వ్యవసాయం, రైతు బాగుండడం"/>
    <x v="1"/>
    <x v="0"/>
    <x v="1"/>
    <x v="2"/>
    <x v="1"/>
    <x v="1"/>
    <s v="Bhagya"/>
    <s v="Correctly Done"/>
    <n v="0"/>
    <x v="0"/>
    <n v="1.3836274505214585"/>
    <n v="0.66153846153846207"/>
    <n v="0.71381514912952693"/>
    <n v="0.85034013605442171"/>
    <n v="0.75433779645928134"/>
    <n v="1.0790228998469584"/>
    <n v="0.52423486800867025"/>
    <n v="-1"/>
    <n v="1"/>
    <n v="-1"/>
    <n v="-1"/>
    <n v="-1"/>
    <n v="-1"/>
    <n v="-3.5"/>
    <n v="-4"/>
    <n v="-5"/>
    <n v="-4"/>
    <n v="-3"/>
    <s v="TDP Sympathiser"/>
  </r>
  <r>
    <s v="e4f27887-7466-40c3-8654-632d459abc35"/>
    <x v="2"/>
    <s v="21/01/2026, 16:56:53"/>
    <s v="16.441120, 81.715011"/>
    <s v="CPR7+5J9, SakhinetiPalli, Andhra Pradesh, India"/>
    <x v="1"/>
    <s v="Naeem"/>
    <s v="http://164.52.221.216/localmedia/media/surveys/samples/recording_2026-01-21_16-55-23_samples_AOIjGxizUg.mp4"/>
    <x v="9"/>
    <x v="3"/>
    <x v="6"/>
    <x v="4"/>
    <s v="హిందూ"/>
    <x v="1"/>
    <s v="raja"/>
    <n v="7337541617"/>
    <x v="1"/>
    <x v="2"/>
    <x v="1"/>
    <x v="1"/>
    <x v="1"/>
    <x v="1"/>
    <s v="రోడ్లు వేయటం, విద్య రంగం అభివృద్ధి చేయటం, ఆరోగ్య రంగం అభివృద్ధి చేయటం"/>
    <x v="1"/>
    <x v="0"/>
    <x v="1"/>
    <x v="1"/>
    <x v="1"/>
    <x v="1"/>
    <s v="Bhagya"/>
    <s v="Fake Audio/Empty Audio"/>
    <n v="0"/>
    <x v="1"/>
    <n v="1.1209668980183516"/>
    <n v="1.0795332136445241"/>
    <n v="1.4370186848956754"/>
    <n v="2.1645021645021645"/>
    <n v="1.147984664167413"/>
    <n v="1.3311481913967924"/>
    <n v="0.51141675343184545"/>
    <n v="-1"/>
    <n v="-1"/>
    <n v="-1"/>
    <n v="-1"/>
    <n v="-1"/>
    <n v="-1"/>
    <n v="-5.5"/>
    <n v="-6"/>
    <n v="-5"/>
    <n v="-4"/>
    <n v="-3"/>
    <s v="TDP HardCore"/>
  </r>
  <r>
    <s v="21760f2b-ac5f-4622-ba63-45c49bd9a7a6"/>
    <x v="2"/>
    <s v="21/01/2026, 16:59:22"/>
    <s v="16.368119, 81.745083"/>
    <s v="9P9W+44Q, Gondi, Andhra Pradesh, India"/>
    <x v="4"/>
    <s v="Naeem"/>
    <s v="http://164.52.221.216/localmedia/media/surveys/samples/recording_2026-01-21_16-56-24_samples_JY4Uomuo3S.mp4"/>
    <x v="6"/>
    <x v="3"/>
    <x v="7"/>
    <x v="2"/>
    <s v="హిందూ"/>
    <x v="2"/>
    <s v="Satyanarayana"/>
    <n v="9949558605"/>
    <x v="0"/>
    <x v="4"/>
    <x v="1"/>
    <x v="1"/>
    <x v="1"/>
    <x v="1"/>
    <s v="విద్య రంగం అభివృద్ధి చేయటం, ఆరోగ్య రంగం అభివృద్ధి చేయటం, వ్యవసాయం, రైతు బాగుండడం"/>
    <x v="1"/>
    <x v="0"/>
    <x v="1"/>
    <x v="1"/>
    <x v="1"/>
    <x v="1"/>
    <s v="Bhagya"/>
    <s v="Not Doing It Properly"/>
    <s v="Q6 entered on his own"/>
    <x v="0"/>
    <n v="1.2612194085121222"/>
    <n v="1.0795332136445241"/>
    <n v="0.92029223709519836"/>
    <n v="0.85034013605442171"/>
    <n v="1.147984664167413"/>
    <n v="0.85249089649430487"/>
    <n v="0.41451794778650441"/>
    <n v="-1"/>
    <n v="-1"/>
    <n v="-1"/>
    <n v="-1"/>
    <n v="-1"/>
    <n v="-1"/>
    <n v="-5.5"/>
    <n v="-6"/>
    <n v="-5"/>
    <n v="-4"/>
    <n v="-3"/>
    <s v="TDP HardCore"/>
  </r>
  <r>
    <s v="5b3a966f-807b-4efe-8a05-f22acf43a3f8"/>
    <x v="2"/>
    <s v="21/01/2026, 17:03:49"/>
    <s v="16.556398, 81.922958"/>
    <s v="HW4F+W4V, Peddapatnamlanka, Andhra Pradesh, India"/>
    <x v="3"/>
    <s v="Naeem"/>
    <s v="http://164.52.221.216/localmedia/media/surveys/samples/recording_2026-01-21_16-59-42_samples_vRsqsnvpk5.mp4"/>
    <x v="0"/>
    <x v="2"/>
    <x v="4"/>
    <x v="6"/>
    <s v="హిందూ"/>
    <x v="1"/>
    <s v="ganga bhavani"/>
    <n v="9949708357"/>
    <x v="1"/>
    <x v="3"/>
    <x v="1"/>
    <x v="1"/>
    <x v="1"/>
    <x v="1"/>
    <s v="ఉద్యొగ్య అవకాశాలు కల్పించటం, విద్య రంగం అభివృద్ధి చేయటం, వ్యవసాయం, రైతు బాగుండడం"/>
    <x v="1"/>
    <x v="0"/>
    <x v="2"/>
    <x v="2"/>
    <x v="1"/>
    <x v="1"/>
    <s v="Bhagya"/>
    <s v="Not Doing It Properly"/>
    <s v="Hurried in completing the questionnaire and not letting the respondent to complete thier response"/>
    <x v="0"/>
    <n v="1.3836274505214585"/>
    <n v="0.66153846153846207"/>
    <n v="1.2753497331114214"/>
    <n v="2.1645021645021645"/>
    <n v="0.75433779645928134"/>
    <n v="1.9278542477265657"/>
    <n v="0.95595770048639872"/>
    <n v="-1"/>
    <n v="-1"/>
    <n v="-1"/>
    <n v="-1"/>
    <n v="-1"/>
    <n v="-1"/>
    <n v="-5.5"/>
    <n v="-6"/>
    <n v="-5"/>
    <n v="-4"/>
    <n v="-3"/>
    <s v="TDP HardCore"/>
  </r>
  <r>
    <s v="dc01c1e0-7e1a-4f5c-8ce8-aff3821a946b"/>
    <x v="2"/>
    <s v="21/01/2026, 17:09:33"/>
    <s v="16.557452, 81.922482"/>
    <s v="HW4F+W4V, Peddapatnamlanka, Andhra Pradesh, India"/>
    <x v="3"/>
    <s v="Naeem"/>
    <s v="http://164.52.221.216/localmedia/media/surveys/samples/recording_2026-01-21_17-06-18_samples_bSrApESIoG.mp4"/>
    <x v="0"/>
    <x v="2"/>
    <x v="4"/>
    <x v="5"/>
    <s v="హిందూ"/>
    <x v="3"/>
    <s v="pranitha"/>
    <n v="7893216315"/>
    <x v="1"/>
    <x v="1"/>
    <x v="1"/>
    <x v="0"/>
    <x v="0"/>
    <x v="0"/>
    <s v="ఉద్యొగ్య అవకాశాలు కల్పించటం, విద్య రంగం అభివృద్ధి చేయటం, ఆరోగ్య రంగం అభివృద్ధి చేయటం, వ్యవసాయం, రైతు బాగుండడం"/>
    <x v="0"/>
    <x v="0"/>
    <x v="0"/>
    <x v="0"/>
    <x v="2"/>
    <x v="0"/>
    <s v="Bhagya"/>
    <s v="Correctly Done"/>
    <n v="0"/>
    <x v="0"/>
    <n v="1.3836274505214585"/>
    <n v="1.8055837563451775"/>
    <n v="3.4809023142961388"/>
    <n v="2.1645021645021645"/>
    <n v="0.75433779645928134"/>
    <n v="1.9278542477265657"/>
    <n v="0.95595770048639872"/>
    <n v="1"/>
    <n v="1"/>
    <n v="1"/>
    <n v="1"/>
    <n v="1"/>
    <n v="1"/>
    <n v="5.5"/>
    <n v="6"/>
    <n v="5"/>
    <n v="4"/>
    <n v="3"/>
    <s v="YSRCP HardCore"/>
  </r>
  <r>
    <s v="fcbf60f4-bf5a-463d-87ce-0cd8345a3767"/>
    <x v="2"/>
    <s v="21/01/2026, 17:09:43"/>
    <s v="16.367475, 81.745580"/>
    <s v="SHOP NO.3, SakhinetiPalli, Andhra Pradesh, India"/>
    <x v="4"/>
    <s v="Naeem"/>
    <s v="http://164.52.221.216/localmedia/media/surveys/samples/recording_2026-01-21_17-07-09_samples_jWwO6zh35x.mp4"/>
    <x v="0"/>
    <x v="3"/>
    <x v="7"/>
    <x v="0"/>
    <s v="క్రిస్టియన్"/>
    <x v="1"/>
    <s v="santhamurthy"/>
    <n v="9989456590"/>
    <x v="0"/>
    <x v="4"/>
    <x v="1"/>
    <x v="0"/>
    <x v="0"/>
    <x v="0"/>
    <s v="విద్య రంగం అభివృద్ధి చేయటం, ఆరోగ్య రంగం అభివృద్ధి చేయటం, వ్యవసాయం, రైతు బాగుండడం"/>
    <x v="0"/>
    <x v="0"/>
    <x v="0"/>
    <x v="0"/>
    <x v="0"/>
    <x v="0"/>
    <s v="Bhagya"/>
    <s v="Not Doing It Properly"/>
    <s v="took sample from a drunk person and eneterd responses on his own"/>
    <x v="0"/>
    <n v="1.3836274505214585"/>
    <n v="1.8055837563451775"/>
    <n v="1.9482662206881376"/>
    <n v="0.85034013605442171"/>
    <n v="1.147984664167413"/>
    <n v="1.0790228998469584"/>
    <n v="1.1572915102003449"/>
    <n v="1"/>
    <n v="1"/>
    <n v="1"/>
    <n v="1"/>
    <n v="1"/>
    <n v="1"/>
    <n v="5.5"/>
    <n v="6"/>
    <n v="5"/>
    <n v="4"/>
    <n v="3"/>
    <s v="YSRCP HardCore"/>
  </r>
  <r>
    <s v="0dd0977d-666f-43b0-95a9-b64bb35c66ea"/>
    <x v="2"/>
    <s v="21/01/2026, 17:15:53"/>
    <s v="16.368028, 81.745087"/>
    <s v="9P9W+44Q, Gondi, Andhra Pradesh, India"/>
    <x v="4"/>
    <s v="Naeem"/>
    <s v="http://164.52.221.216/localmedia/media/surveys/samples/recording_2026-01-21_17-12-54_samples_TiDng6C6Gj.mp4"/>
    <x v="0"/>
    <x v="3"/>
    <x v="7"/>
    <x v="6"/>
    <s v="హిందూ"/>
    <x v="1"/>
    <s v="shyamala"/>
    <n v="8074132643"/>
    <x v="1"/>
    <x v="4"/>
    <x v="1"/>
    <x v="1"/>
    <x v="1"/>
    <x v="1"/>
    <s v="ఉద్యొగ్య అవకాశాలు కల్పించటం, ఆరోగ్య రంగం అభివృద్ధి చేయటం, వ్యవసాయం, రైతు బాగుండడం"/>
    <x v="1"/>
    <x v="0"/>
    <x v="1"/>
    <x v="1"/>
    <x v="1"/>
    <x v="1"/>
    <s v="Bhagya"/>
    <s v="Fake Audio/Empty Audio"/>
    <n v="0"/>
    <x v="1"/>
    <n v="1.3836274505214585"/>
    <n v="1.0795332136445241"/>
    <n v="2.0811826914865059"/>
    <n v="2.1645021645021645"/>
    <n v="1.147984664167413"/>
    <n v="1.9278542477265657"/>
    <n v="3.2048072590163397"/>
    <n v="-1"/>
    <n v="-1"/>
    <n v="-1"/>
    <n v="-1"/>
    <n v="-1"/>
    <n v="-1"/>
    <n v="-5.5"/>
    <n v="-6"/>
    <n v="-5"/>
    <n v="-4"/>
    <n v="-3"/>
    <s v="TDP HardCore"/>
  </r>
  <r>
    <s v="53730970-fa6e-4707-ba98-9f82382d1b1a"/>
    <x v="2"/>
    <s v="21/01/2026, 17:18:20"/>
    <s v="16.557078, 81.922201"/>
    <s v="HW4C+QPM, Peddapatnamlanka, Andhra Pradesh, India"/>
    <x v="3"/>
    <s v="Naeem"/>
    <s v="http://164.52.221.216/localmedia/media/surveys/samples/recording_2026-01-21_17-15-17_samples_V5WQYPie31.mp4"/>
    <x v="8"/>
    <x v="2"/>
    <x v="4"/>
    <x v="3"/>
    <s v="క్రిస్టియన్"/>
    <x v="0"/>
    <s v="srinivasarao"/>
    <n v="8374363263"/>
    <x v="0"/>
    <x v="4"/>
    <x v="1"/>
    <x v="1"/>
    <x v="1"/>
    <x v="1"/>
    <s v="రోడ్లు వేయటం, ఉద్యొగ్య అవకాశాలు కల్పించటం, శాంతి భద్రతలను కాపాడటం"/>
    <x v="1"/>
    <x v="0"/>
    <x v="1"/>
    <x v="1"/>
    <x v="1"/>
    <x v="1"/>
    <s v="Bhagya"/>
    <s v="Correctly Done"/>
    <n v="0"/>
    <x v="0"/>
    <n v="0.80207032429970992"/>
    <n v="1.0795332136445241"/>
    <n v="0.65595572330316032"/>
    <n v="0.85034013605442171"/>
    <n v="0.75433779645928134"/>
    <n v="0.60762903356038633"/>
    <n v="0.22537440548651508"/>
    <n v="-1"/>
    <n v="-1"/>
    <n v="-1"/>
    <n v="-1"/>
    <n v="-1"/>
    <n v="-1"/>
    <n v="-5.5"/>
    <n v="-6"/>
    <n v="-5"/>
    <n v="-4"/>
    <n v="-3"/>
    <s v="TDP HardCore"/>
  </r>
  <r>
    <s v="4cf82d9d-418a-4f12-84c8-2d0f3249cda5"/>
    <x v="2"/>
    <s v="21/01/2026, 17:18:21"/>
    <s v="16.557078, 81.922201"/>
    <s v="HW4C+QPM, Peddapatnamlanka, Andhra Pradesh, India"/>
    <x v="3"/>
    <s v="Naeem"/>
    <s v="http://164.52.221.216/localmedia/media/surveys/samples/recording_2026-01-21_17-15-17_samples_DsWar3e2ce.mp4"/>
    <x v="8"/>
    <x v="2"/>
    <x v="4"/>
    <x v="3"/>
    <s v="క్రిస్టియన్"/>
    <x v="0"/>
    <s v="srinivasarao"/>
    <n v="8374363263"/>
    <x v="0"/>
    <x v="4"/>
    <x v="1"/>
    <x v="1"/>
    <x v="1"/>
    <x v="1"/>
    <s v="రోడ్లు వేయటం, ఉద్యొగ్య అవకాశాలు కల్పించటం, శాంతి భద్రతలను కాపాడటం"/>
    <x v="1"/>
    <x v="0"/>
    <x v="1"/>
    <x v="1"/>
    <x v="1"/>
    <x v="1"/>
    <n v="0"/>
    <s v="Correctly Done"/>
    <n v="0"/>
    <x v="0"/>
    <n v="0.80207032429970992"/>
    <n v="1.0795332136445241"/>
    <n v="0.65595572330316032"/>
    <n v="0.85034013605442171"/>
    <n v="0.75433779645928134"/>
    <n v="0.60762903356038633"/>
    <n v="0.22537440548651508"/>
    <n v="-1"/>
    <n v="-1"/>
    <n v="-1"/>
    <n v="-1"/>
    <n v="-1"/>
    <n v="-1"/>
    <n v="-5.5"/>
    <n v="-6"/>
    <n v="-5"/>
    <n v="-4"/>
    <n v="-3"/>
    <s v="TDP HardCore"/>
  </r>
  <r>
    <s v="4097eb5d-9bfd-43ad-b6fa-d30160f54301"/>
    <x v="2"/>
    <s v="21/01/2026, 17:18:21"/>
    <s v="16.557078, 81.922201"/>
    <s v="HW4C+QPM, Peddapatnamlanka, Andhra Pradesh, India"/>
    <x v="3"/>
    <s v="Naeem"/>
    <s v="http://164.52.221.216/localmedia/media/surveys/samples/recording_2026-01-21_17-15-17_samples_rxN44M3khu.mp4"/>
    <x v="8"/>
    <x v="2"/>
    <x v="4"/>
    <x v="3"/>
    <s v="క్రిస్టియన్"/>
    <x v="0"/>
    <s v="srinivasarao"/>
    <n v="8374363263"/>
    <x v="0"/>
    <x v="4"/>
    <x v="1"/>
    <x v="1"/>
    <x v="1"/>
    <x v="1"/>
    <s v="రోడ్లు వేయటం, ఉద్యొగ్య అవకాశాలు కల్పించటం, శాంతి భద్రతలను కాపాడటం"/>
    <x v="1"/>
    <x v="0"/>
    <x v="1"/>
    <x v="1"/>
    <x v="1"/>
    <x v="1"/>
    <n v="0"/>
    <s v="Correctly Done"/>
    <n v="0"/>
    <x v="0"/>
    <n v="0.80207032429970992"/>
    <n v="1.0795332136445241"/>
    <n v="0.65595572330316032"/>
    <n v="0.85034013605442171"/>
    <n v="0.75433779645928134"/>
    <n v="0.60762903356038633"/>
    <n v="0.22537440548651508"/>
    <n v="-1"/>
    <n v="-1"/>
    <n v="-1"/>
    <n v="-1"/>
    <n v="-1"/>
    <n v="-1"/>
    <n v="-5.5"/>
    <n v="-6"/>
    <n v="-5"/>
    <n v="-4"/>
    <n v="-3"/>
    <s v="TDP HardCore"/>
  </r>
  <r>
    <s v="d6387fe4-291e-48c5-a929-2b778120de67"/>
    <x v="2"/>
    <s v="21/01/2026, 17:19:19"/>
    <s v="16.367475, 81.745634"/>
    <s v="SHOP NO.3, SakhinetiPalli, Andhra Pradesh, India"/>
    <x v="4"/>
    <s v="Naeem"/>
    <s v="http://164.52.221.216/localmedia/media/surveys/samples/recording_2026-01-21_17-17-07_samples_vsfMej23Sq.mp4"/>
    <x v="0"/>
    <x v="3"/>
    <x v="7"/>
    <x v="1"/>
    <s v="No response"/>
    <x v="4"/>
    <s v="No response"/>
    <s v="No response"/>
    <x v="2"/>
    <x v="3"/>
    <x v="0"/>
    <x v="1"/>
    <x v="1"/>
    <x v="0"/>
    <s v="ఉద్యొగ్య అవకాశాలు కల్పించటం, విద్య రంగం అభివృద్ధి చేయటం, వ్యవసాయం, రైతు బాగుండడం"/>
    <x v="0"/>
    <x v="0"/>
    <x v="0"/>
    <x v="1"/>
    <x v="1"/>
    <x v="1"/>
    <s v="Bhagya"/>
    <s v="Fake Audio/Empty Audio"/>
    <n v="0"/>
    <x v="1"/>
    <n v="1.3836274505214585"/>
    <n v="1.0795332136445241"/>
    <e v="#N/A"/>
    <e v="#N/A"/>
    <n v="1.147984664167413"/>
    <e v="#N/A"/>
    <e v="#N/A"/>
    <n v="-1"/>
    <n v="-1"/>
    <n v="1"/>
    <n v="1"/>
    <n v="-1"/>
    <n v="1"/>
    <n v="0.5"/>
    <n v="0"/>
    <n v="1"/>
    <n v="2"/>
    <s v="ND"/>
    <s v="ND"/>
  </r>
  <r>
    <s v="5f4cc8f7-9105-4915-a3a8-e11f287ecb01"/>
    <x v="2"/>
    <s v="21/01/2026, 17:28:02"/>
    <s v="16.372445, 81.744264"/>
    <s v="9PFV+4G9, Gondi, Andhra Pradesh, India"/>
    <x v="4"/>
    <s v="Naeem"/>
    <s v="http://164.52.221.216/localmedia/media/surveys/samples/recording_2026-01-21_17-24-12_samples_jcxGHkoQpP.mp4"/>
    <x v="0"/>
    <x v="3"/>
    <x v="7"/>
    <x v="0"/>
    <s v="హిందూ"/>
    <x v="0"/>
    <s v="M Raju"/>
    <n v="9603317017"/>
    <x v="0"/>
    <x v="4"/>
    <x v="1"/>
    <x v="1"/>
    <x v="0"/>
    <x v="0"/>
    <s v="రోడ్లు వేయటం, ఆరోగ్య రంగం అభివృద్ధి చేయటం, వ్యవసాయం, రైతు బాగుండడం"/>
    <x v="0"/>
    <x v="0"/>
    <x v="0"/>
    <x v="0"/>
    <x v="3"/>
    <x v="0"/>
    <s v="Bhagya"/>
    <s v="Not Asking Some of the Questions"/>
    <s v="Entering some questions on hiw own and asking some questions randomly while travelling"/>
    <x v="1"/>
    <n v="1.3836274505214585"/>
    <n v="1.8055837563451775"/>
    <n v="1.9482662206881376"/>
    <n v="0.85034013605442171"/>
    <n v="1.147984664167413"/>
    <n v="1.0790228998469584"/>
    <n v="1.1572915102003449"/>
    <n v="-1"/>
    <n v="1"/>
    <n v="1"/>
    <n v="1"/>
    <n v="1"/>
    <n v="1"/>
    <n v="3.5"/>
    <n v="4"/>
    <n v="3"/>
    <n v="4"/>
    <n v="2"/>
    <s v="YSRCP Sympathiser"/>
  </r>
  <r>
    <s v="46c86933-6479-484c-a1d1-18874edb49eb"/>
    <x v="2"/>
    <s v="21/01/2026, 17:33:09"/>
    <s v="16.440670, 81.715245"/>
    <s v="CPR7+5J9, SakhinetiPalli, Andhra Pradesh, India"/>
    <x v="1"/>
    <s v="Naeem"/>
    <s v="http://164.52.221.216/localmedia/media/surveys/samples/recording_2026-01-21_17-31-18_samples_eNQDOMplV5.mp4"/>
    <x v="2"/>
    <x v="3"/>
    <x v="6"/>
    <x v="6"/>
    <s v="హిందూ"/>
    <x v="1"/>
    <s v="shlini"/>
    <n v="9059382016"/>
    <x v="1"/>
    <x v="2"/>
    <x v="1"/>
    <x v="0"/>
    <x v="0"/>
    <x v="0"/>
    <s v="రోడ్లు వేయటం, ఉద్యొగ్య అవకాశాలు కల్పించటం, సంక్షేమ పథకాలు (నగదు)"/>
    <x v="0"/>
    <x v="0"/>
    <x v="0"/>
    <x v="0"/>
    <x v="0"/>
    <x v="0"/>
    <s v="Bhagya"/>
    <s v="Not Doing It Properly"/>
    <s v="Saying the question out loud and entering on his own"/>
    <x v="0"/>
    <n v="1.1461625511156397"/>
    <n v="1.8055837563451775"/>
    <n v="5.0722855010430106"/>
    <n v="2.1645021645021645"/>
    <n v="1.147984664167413"/>
    <n v="2.8092219390089208"/>
    <n v="2.2934724643212636"/>
    <n v="1"/>
    <n v="1"/>
    <n v="1"/>
    <n v="1"/>
    <n v="1"/>
    <n v="1"/>
    <n v="5.5"/>
    <n v="6"/>
    <n v="5"/>
    <n v="4"/>
    <n v="3"/>
    <s v="YSRCP HardCore"/>
  </r>
  <r>
    <s v="f111dcd7-ddc8-45a9-9f38-4baddd268fe8"/>
    <x v="2"/>
    <s v="21/01/2026, 17:36:39"/>
    <s v="16.396756, 81.749501"/>
    <s v="SHOP NO.5-2, Gondi, Andhra Pradesh, India"/>
    <x v="4"/>
    <s v="Naeem"/>
    <s v="http://164.52.221.216/localmedia/media/surveys/samples/recording_2026-01-21_17-34-46_samples_L2DN5TBeSP.mp4"/>
    <x v="8"/>
    <x v="3"/>
    <x v="7"/>
    <x v="0"/>
    <s v="హిందూ"/>
    <x v="1"/>
    <s v="M padma"/>
    <n v="9989990114"/>
    <x v="1"/>
    <x v="4"/>
    <x v="1"/>
    <x v="1"/>
    <x v="1"/>
    <x v="1"/>
    <s v="ఉద్యొగ్య అవకాశాలు కల్పించటం, విద్య రంగం అభివృద్ధి చేయటం, ఆరోగ్య రంగం అభివృద్ధి చేయటం"/>
    <x v="1"/>
    <x v="0"/>
    <x v="1"/>
    <x v="1"/>
    <x v="1"/>
    <x v="1"/>
    <s v="Bhagya"/>
    <s v="Fake Audio/Empty Audio"/>
    <s v="No respondent entered on his own"/>
    <x v="1"/>
    <n v="0.80207032429970992"/>
    <n v="1.0795332136445241"/>
    <n v="1.2733258158237817"/>
    <n v="2.1645021645021645"/>
    <n v="1.147984664167413"/>
    <n v="1.1795151827936912"/>
    <n v="1.9259322700153538"/>
    <n v="-1"/>
    <n v="-1"/>
    <n v="-1"/>
    <n v="-1"/>
    <n v="-1"/>
    <n v="-1"/>
    <n v="-5.5"/>
    <n v="-6"/>
    <n v="-5"/>
    <n v="-4"/>
    <n v="-3"/>
    <s v="TDP HardCore"/>
  </r>
  <r>
    <s v="f4c68e2d-1ba9-45d1-8b9d-7341fd786d07"/>
    <x v="2"/>
    <s v="21/01/2026, 17:36:42"/>
    <s v="16.396756, 81.749501"/>
    <s v="SHOP NO.5-2, Gondi, Andhra Pradesh, India"/>
    <x v="4"/>
    <s v="Naeem"/>
    <s v="http://164.52.221.216/localmedia/media/surveys/samples/recording_2026-01-21_17-34-46_samples_NZc4QBMSmN.mp4"/>
    <x v="8"/>
    <x v="3"/>
    <x v="7"/>
    <x v="0"/>
    <s v="హిందూ"/>
    <x v="1"/>
    <s v="M padma"/>
    <n v="9989990114"/>
    <x v="1"/>
    <x v="4"/>
    <x v="1"/>
    <x v="1"/>
    <x v="1"/>
    <x v="1"/>
    <s v="ఉద్యొగ్య అవకాశాలు కల్పించటం, విద్య రంగం అభివృద్ధి చేయటం, ఆరోగ్య రంగం అభివృద్ధి చేయటం"/>
    <x v="1"/>
    <x v="0"/>
    <x v="1"/>
    <x v="1"/>
    <x v="1"/>
    <x v="1"/>
    <n v="0"/>
    <s v="Correctly Done"/>
    <n v="0"/>
    <x v="0"/>
    <n v="0.80207032429970992"/>
    <n v="1.0795332136445241"/>
    <n v="1.2733258158237817"/>
    <n v="2.1645021645021645"/>
    <n v="1.147984664167413"/>
    <n v="1.1795151827936912"/>
    <n v="1.9259322700153538"/>
    <n v="-1"/>
    <n v="-1"/>
    <n v="-1"/>
    <n v="-1"/>
    <n v="-1"/>
    <n v="-1"/>
    <n v="-5.5"/>
    <n v="-6"/>
    <n v="-5"/>
    <n v="-4"/>
    <n v="-3"/>
    <s v="TDP HardCore"/>
  </r>
  <r>
    <s v="9095a2da-f0f2-457f-b188-527b184f0384"/>
    <x v="2"/>
    <s v="21/01/2026, 17:40:45"/>
    <s v="16.440405, 81.714641"/>
    <s v="CPR7+5J9, Suvarnapeta, SakhinetiPalli, Andhra Pradesh, India"/>
    <x v="1"/>
    <s v="Naeem"/>
    <s v="http://164.52.221.216/localmedia/media/surveys/samples/recording_2026-01-21_17-38-45_samples_NwiWNchXoA.mp4"/>
    <x v="0"/>
    <x v="3"/>
    <x v="6"/>
    <x v="2"/>
    <s v="క్రిస్టియన్"/>
    <x v="1"/>
    <s v="mohan "/>
    <n v="7207990117"/>
    <x v="0"/>
    <x v="2"/>
    <x v="1"/>
    <x v="1"/>
    <x v="1"/>
    <x v="1"/>
    <s v="రోడ్లు వేయటం, ఉద్యొగ్య అవకాశాలు కల్పించటం"/>
    <x v="1"/>
    <x v="0"/>
    <x v="1"/>
    <x v="1"/>
    <x v="1"/>
    <x v="1"/>
    <s v="Bhagya"/>
    <s v="Fake Audio/Empty Audio"/>
    <s v="No respondent entered on his own"/>
    <x v="1"/>
    <n v="1.3836274505214585"/>
    <n v="1.0795332136445241"/>
    <n v="1.1648410586678206"/>
    <n v="0.85034013605442171"/>
    <n v="1.147984664167413"/>
    <n v="1.0790228998469584"/>
    <n v="1.1572915102003449"/>
    <n v="-1"/>
    <n v="-1"/>
    <n v="-1"/>
    <n v="-1"/>
    <n v="-1"/>
    <n v="-1"/>
    <n v="-5.5"/>
    <n v="-6"/>
    <n v="-5"/>
    <n v="-4"/>
    <n v="-3"/>
    <s v="TDP HardCore"/>
  </r>
  <r>
    <s v="7a6ad7c3-bc97-4e0a-b4ce-7a273072fa5b"/>
    <x v="2"/>
    <s v="21/01/2026, 17:43:21"/>
    <s v="16.556888, 81.921241"/>
    <s v="No address"/>
    <x v="3"/>
    <s v="Naeem"/>
    <s v="http://164.52.221.216/localmedia/media/surveys/samples/recording_2026-01-21_17-38-38_samples_16pKsgq8XF.mp4"/>
    <x v="8"/>
    <x v="2"/>
    <x v="4"/>
    <x v="6"/>
    <s v="హిందూ"/>
    <x v="1"/>
    <s v="mahalakshmi"/>
    <n v="9049540772"/>
    <x v="1"/>
    <x v="4"/>
    <x v="1"/>
    <x v="1"/>
    <x v="0"/>
    <x v="1"/>
    <s v="రోడ్లు వేయటం, ఉద్యొగ్య అవకాశాలు కల్పించటం, ఆరోగ్య రంగం అభివృద్ధి చేయటం"/>
    <x v="1"/>
    <x v="0"/>
    <x v="2"/>
    <x v="2"/>
    <x v="1"/>
    <x v="1"/>
    <s v="Bhagya"/>
    <s v="Correctly Done"/>
    <n v="0"/>
    <x v="0"/>
    <n v="0.80207032429970992"/>
    <n v="0.66153846153846207"/>
    <n v="0.78029465938659637"/>
    <n v="2.1645021645021645"/>
    <n v="0.75433779645928134"/>
    <n v="1.1795151827936912"/>
    <n v="0.37562400914419181"/>
    <n v="-1"/>
    <n v="1"/>
    <n v="-1"/>
    <n v="-1"/>
    <n v="-1"/>
    <n v="-1"/>
    <n v="-3.5"/>
    <n v="-4"/>
    <n v="-5"/>
    <n v="-4"/>
    <n v="-3"/>
    <s v="TDP Sympathiser"/>
  </r>
  <r>
    <s v="bb84f367-70eb-4d83-b171-b945ae01f930"/>
    <x v="2"/>
    <s v="21/01/2026, 17:54:07"/>
    <s v="16.411877, 81.751909"/>
    <s v="CQ62+QM9, SakhinetiPalli, Andhra Pradesh, India"/>
    <x v="4"/>
    <s v="Naeem"/>
    <s v="http://164.52.221.216/localmedia/media/surveys/samples/recording_2026-01-21_17-50-54_samples_VvSOXMTNxT.mp4"/>
    <x v="0"/>
    <x v="3"/>
    <x v="7"/>
    <x v="0"/>
    <s v="హిందూ"/>
    <x v="1"/>
    <s v="ravikumar"/>
    <n v="8014354393"/>
    <x v="0"/>
    <x v="3"/>
    <x v="1"/>
    <x v="1"/>
    <x v="1"/>
    <x v="1"/>
    <s v="ఉద్యొగ్య అవకాశాలు కల్పించటం, విద్య రంగం అభివృద్ధి చేయటం, ఆరోగ్య రంగం అభివృద్ధి చేయటం"/>
    <x v="1"/>
    <x v="0"/>
    <x v="1"/>
    <x v="1"/>
    <x v="1"/>
    <x v="1"/>
    <s v="Bhagya"/>
    <s v="Fake Audio/Empty Audio"/>
    <s v="No respondent entered on his own"/>
    <x v="1"/>
    <n v="1.3836274505214585"/>
    <n v="1.0795332136445241"/>
    <n v="1.1648410586678206"/>
    <n v="0.85034013605442171"/>
    <n v="1.147984664167413"/>
    <n v="1.0790228998469584"/>
    <n v="1.1572915102003449"/>
    <n v="-1"/>
    <n v="-1"/>
    <n v="-1"/>
    <n v="-1"/>
    <n v="-1"/>
    <n v="-1"/>
    <n v="-5.5"/>
    <n v="-6"/>
    <n v="-5"/>
    <n v="-4"/>
    <n v="-3"/>
    <s v="TDP HardCore"/>
  </r>
  <r>
    <s v="1b128acd-f945-4ad2-a9f5-10b673aa5ffe"/>
    <x v="2"/>
    <s v="21/01/2026, 17:56:24"/>
    <s v="16.557618, 81.920586"/>
    <s v="No address"/>
    <x v="3"/>
    <s v="Naeem"/>
    <s v="http://164.52.221.216/localmedia/media/surveys/samples/recording_2026-01-21_17-50-44_samples_co1NqQEx92.mp4"/>
    <x v="8"/>
    <x v="2"/>
    <x v="4"/>
    <x v="0"/>
    <s v="హిందూ"/>
    <x v="1"/>
    <s v="chinna "/>
    <n v="9704351583"/>
    <x v="0"/>
    <x v="1"/>
    <x v="1"/>
    <x v="0"/>
    <x v="0"/>
    <x v="0"/>
    <s v="ఉద్యొగ్య అవకాశాలు కల్పించటం, శాంతి భద్రతలను కాపాడటం, విద్య రంగం అభివృద్ధి చేయటం"/>
    <x v="0"/>
    <x v="0"/>
    <x v="0"/>
    <x v="0"/>
    <x v="2"/>
    <x v="3"/>
    <s v="Bhagya"/>
    <s v="Not Doing It Properly"/>
    <s v="Q6,Q12 kept on his own"/>
    <x v="0"/>
    <n v="0.80207032429970992"/>
    <n v="1.8055837563451775"/>
    <n v="1.0971251128803523"/>
    <n v="0.85034013605442171"/>
    <n v="0.75433779645928134"/>
    <n v="0.60762903356038633"/>
    <n v="0.22537440548651508"/>
    <n v="1"/>
    <n v="1"/>
    <n v="1"/>
    <n v="1"/>
    <n v="1"/>
    <n v="1"/>
    <n v="5.5"/>
    <n v="6"/>
    <n v="5"/>
    <n v="4"/>
    <n v="3"/>
    <s v="YSRCP HardCore"/>
  </r>
  <r>
    <s v="116c3a32-db66-4286-8eb7-9ac8a1e9d6f4"/>
    <x v="3"/>
    <s v="1/22/2026, 12:07:08 PM"/>
    <s v="16.402218, 81.778123"/>
    <s v="Shop No.4-6/2, SakhinetiPalli, Andhra Pradesh, India"/>
    <x v="1"/>
    <s v="Naeem"/>
    <s v="http://164.52.221.216/localmedia/media/surveys/samples/recording_2026-01-22_12-05-11_samples_gXg4GnZ9wZ.mp4"/>
    <x v="2"/>
    <x v="3"/>
    <x v="8"/>
    <x v="3"/>
    <s v="హిందూ"/>
    <x v="0"/>
    <s v="mallikarjuna"/>
    <n v="9999999999"/>
    <x v="1"/>
    <x v="2"/>
    <x v="2"/>
    <x v="1"/>
    <x v="0"/>
    <x v="0"/>
    <s v="రోడ్లు వేయటం, ఉద్యొగ్య అవకాశాలు కల్పించటం, సంక్షేమ పథకాలు (నగదు)"/>
    <x v="1"/>
    <x v="0"/>
    <x v="1"/>
    <x v="1"/>
    <x v="1"/>
    <x v="1"/>
    <s v="Ashish Sk"/>
    <s v="Not Doing It Properly"/>
    <s v="Didn't ask caste, respondent gender is male but mentioned as female, Q8,9 kept on his own"/>
    <x v="0"/>
    <n v="1.1461625511156397"/>
    <n v="1.0795332136445241"/>
    <n v="3.0326483876590018"/>
    <n v="2.1645021645021645"/>
    <n v="1.147984664167413"/>
    <n v="2.8092219390089208"/>
    <n v="2.2934724643212636"/>
    <n v="-1"/>
    <n v="1"/>
    <n v="1"/>
    <n v="-1"/>
    <n v="-1"/>
    <n v="-1"/>
    <n v="-1.5"/>
    <n v="-2"/>
    <n v="-3"/>
    <n v="-2"/>
    <n v="-3"/>
    <s v="Neutral TDP"/>
  </r>
  <r>
    <s v="0b4ccee0-4018-4460-a628-da53edca9be0"/>
    <x v="3"/>
    <s v="1/22/2026, 1:04:28 PM"/>
    <s v="16.403993, 81.779591"/>
    <s v="SHOP NO.6-2 SRI LAKSHMI COMPLEX MAIN ROAD, Malikipuram, Andhra Pradesh, India"/>
    <x v="1"/>
    <s v="Naeem"/>
    <s v="http://164.52.221.216/localmedia/media/surveys/samples/recording_2026-01-22_13-02-38_samples_nru3x9AyuA.mp4"/>
    <x v="2"/>
    <x v="3"/>
    <x v="8"/>
    <x v="1"/>
    <s v="హిందూ"/>
    <x v="2"/>
    <s v="satyanarayana"/>
    <n v="9849415538"/>
    <x v="0"/>
    <x v="1"/>
    <x v="1"/>
    <x v="1"/>
    <x v="1"/>
    <x v="1"/>
    <s v="రోడ్లు వేయటం, ఉద్యొగ్య అవకాశాలు కల్పించటం, విద్య రంగం అభివృద్ధి చేయటం"/>
    <x v="1"/>
    <x v="0"/>
    <x v="1"/>
    <x v="1"/>
    <x v="1"/>
    <x v="1"/>
    <s v="Ashish Sk"/>
    <s v="Correctly Done"/>
    <s v="Correctly Done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3fb96e6d-99ad-43f0-8ea9-46753a1440b8"/>
    <x v="3"/>
    <s v="1/22/2026, 1:30:34 PM"/>
    <s v="16.403468, 81.781453"/>
    <s v="CQ3J+F8P, SakhinetiPalli, Andhra Pradesh, India"/>
    <x v="1"/>
    <s v="Naeem"/>
    <s v="http://164.52.221.216/localmedia/media/surveys/samples/recording_2026-01-22_13-29-15_samples_GvaVKT2JsZ.mp4"/>
    <x v="2"/>
    <x v="3"/>
    <x v="8"/>
    <x v="0"/>
    <s v="హిందూ"/>
    <x v="3"/>
    <s v="paveen"/>
    <n v="9381998103"/>
    <x v="0"/>
    <x v="1"/>
    <x v="1"/>
    <x v="1"/>
    <x v="1"/>
    <x v="0"/>
    <s v="రోడ్లు వేయటం, సంక్షేమ పథకాలు (నగదు)"/>
    <x v="0"/>
    <x v="0"/>
    <x v="0"/>
    <x v="1"/>
    <x v="1"/>
    <x v="1"/>
    <s v="Ashish Sk"/>
    <s v="Not Doing It Properly"/>
    <s v="Q6 kept on his own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1"/>
    <n v="1"/>
    <n v="-1"/>
    <n v="1"/>
    <n v="0.5"/>
    <n v="0"/>
    <n v="1"/>
    <n v="2"/>
    <s v="ND"/>
    <s v="ND"/>
  </r>
  <r>
    <s v="74c8b244-c9d1-470d-a065-40356aec5b90"/>
    <x v="3"/>
    <s v="1/22/2026, 1:07:57 PM"/>
    <s v="16.404066, 81.781501"/>
    <s v="NO 1-234, Antarvedipalem, Andhra Pradesh, India"/>
    <x v="1"/>
    <s v="Naeem"/>
    <s v="http://164.52.221.216/localmedia/media/surveys/samples/recording_2026-01-22_13-06-22_samples_VlHNG3ZRrv.mp4"/>
    <x v="6"/>
    <x v="3"/>
    <x v="8"/>
    <x v="2"/>
    <s v="హిందూ"/>
    <x v="3"/>
    <s v="madhav"/>
    <n v="7995771491"/>
    <x v="0"/>
    <x v="3"/>
    <x v="1"/>
    <x v="1"/>
    <x v="1"/>
    <x v="1"/>
    <s v="రోడ్లు వేయటం, ఆరోగ్య రంగం అభివృద్ధి చేయటం"/>
    <x v="1"/>
    <x v="1"/>
    <x v="1"/>
    <x v="1"/>
    <x v="1"/>
    <x v="1"/>
    <s v="Deepika D"/>
    <s v="Correctly Done"/>
    <s v="correctly done"/>
    <x v="0"/>
    <n v="1.2612194085121222"/>
    <n v="1.0795332136445241"/>
    <n v="0.92029223709519836"/>
    <n v="0.85034013605442171"/>
    <n v="1.147984664167413"/>
    <n v="0.85249089649430487"/>
    <n v="0.41451794778650441"/>
    <n v="-1"/>
    <n v="-1"/>
    <n v="-1"/>
    <n v="-1"/>
    <n v="-1"/>
    <n v="-1"/>
    <n v="-5.5"/>
    <n v="-6"/>
    <n v="-5"/>
    <n v="-4"/>
    <n v="-3"/>
    <s v="TDP HardCore"/>
  </r>
  <r>
    <s v="f1385543-bb0c-4fa8-a0e1-105ea8b9db04"/>
    <x v="3"/>
    <s v="1/22/2026, 1:24:22 PM"/>
    <s v="16.404924, 81.781604"/>
    <s v="SHOP NO.1 SRI RAMACHANDRA MURTHY COMPLEX MAIN ROAD, Malikipuram, Andhra Pradesh, India"/>
    <x v="1"/>
    <s v="Naeem"/>
    <s v="http://164.52.221.216/localmedia/media/surveys/samples/recording_2026-01-22_13-22-43_samples_UxSNRfcWUA.mp4"/>
    <x v="5"/>
    <x v="3"/>
    <x v="8"/>
    <x v="2"/>
    <s v="హిందూ"/>
    <x v="1"/>
    <s v="raj"/>
    <n v="9999999999"/>
    <x v="0"/>
    <x v="2"/>
    <x v="2"/>
    <x v="0"/>
    <x v="0"/>
    <x v="0"/>
    <s v="రోడ్లు వేయటం, సంక్షేమ పథకాలు (నగదు)"/>
    <x v="0"/>
    <x v="0"/>
    <x v="0"/>
    <x v="0"/>
    <x v="2"/>
    <x v="0"/>
    <s v="Deepika D"/>
    <s v="Correctly Done"/>
    <s v="correctly done"/>
    <x v="0"/>
    <n v="1.0478809952686368"/>
    <n v="1.8055837563451775"/>
    <n v="1.3826423526599039"/>
    <n v="0.85034013605442171"/>
    <n v="1.147984664167413"/>
    <n v="0.7657591888501577"/>
    <n v="0.71710935112881979"/>
    <n v="1"/>
    <n v="1"/>
    <n v="1"/>
    <n v="1"/>
    <n v="1"/>
    <n v="1"/>
    <n v="5.5"/>
    <n v="6"/>
    <n v="5"/>
    <n v="4"/>
    <n v="3"/>
    <s v="YSRCP HardCore"/>
  </r>
  <r>
    <s v="f2a98919-7338-46ce-b1d1-3de9a3116386"/>
    <x v="3"/>
    <s v="1/22/2026, 1:27:02 PM"/>
    <s v="16.403816, 81.782292"/>
    <s v="CQ3J+9VV, Antarvedipalem, Andhra Pradesh, India"/>
    <x v="1"/>
    <s v="Naeem"/>
    <s v="http://164.52.221.216/localmedia/media/surveys/samples/recording_2026-01-22_13-25-56_samples_3LunDoVdgN.mp4"/>
    <x v="2"/>
    <x v="3"/>
    <x v="8"/>
    <x v="1"/>
    <s v="హిందూ"/>
    <x v="1"/>
    <s v="sathish"/>
    <n v="9676736135"/>
    <x v="0"/>
    <x v="1"/>
    <x v="1"/>
    <x v="1"/>
    <x v="1"/>
    <x v="1"/>
    <s v="రోడ్లు వేయటం, సంక్షేమ పథకాలు (నగదు)"/>
    <x v="1"/>
    <x v="0"/>
    <x v="1"/>
    <x v="1"/>
    <x v="1"/>
    <x v="1"/>
    <s v="Ashish Sk"/>
    <s v="Correctly Done"/>
    <s v="Correctly Done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c237c19c-7ae1-472e-ba77-fc0baea1ccc7"/>
    <x v="3"/>
    <s v="1/22/2026, 1:34:06 PM"/>
    <s v="16.328799, 81.734687"/>
    <s v="Temple road, Antervedi Pallipalem, Andhra Pradesh, India"/>
    <x v="4"/>
    <s v="Naeem"/>
    <s v="http://164.52.221.216/localmedia/media/surveys/samples/recording_2026-01-22_13-30-40_samples_4p0vvGMRYH.mp4"/>
    <x v="5"/>
    <x v="3"/>
    <x v="9"/>
    <x v="6"/>
    <s v="హిందూ"/>
    <x v="0"/>
    <s v="yasodamma"/>
    <n v="7675438965"/>
    <x v="1"/>
    <x v="3"/>
    <x v="1"/>
    <x v="1"/>
    <x v="1"/>
    <x v="1"/>
    <s v="రోడ్లు వేయటం, విద్య రంగం అభివృద్ధి చేయటం, ఆరోగ్య రంగం అభివృద్ధి చేయటం"/>
    <x v="0"/>
    <x v="0"/>
    <x v="0"/>
    <x v="1"/>
    <x v="1"/>
    <x v="1"/>
    <s v="Ashish Sk"/>
    <s v="Fake Audio/Empty Audio"/>
    <s v="all options kept on his own (Fake audio)"/>
    <x v="1"/>
    <n v="1.0478809952686368"/>
    <n v="1.0795332136445241"/>
    <n v="1.7911020357040086"/>
    <n v="2.1645021645021645"/>
    <n v="1.147984664167413"/>
    <n v="1.6591449091753416"/>
    <n v="1.4342187022576396"/>
    <n v="-1"/>
    <n v="-1"/>
    <n v="-1"/>
    <n v="1"/>
    <n v="-1"/>
    <n v="1"/>
    <n v="-1.5"/>
    <n v="-2"/>
    <n v="-1"/>
    <n v="0"/>
    <s v="ND"/>
    <s v="ND"/>
  </r>
  <r>
    <s v="8558e8d1-390a-40cb-aea0-6d2d8e030578"/>
    <x v="3"/>
    <s v="1/22/2026, 1:33:30 PM"/>
    <s v="16.402252, 81.783240"/>
    <s v="CQ2M+MJ3, Antarvedipalem, Andhra Pradesh, India"/>
    <x v="1"/>
    <s v="Naeem"/>
    <s v="http://164.52.221.216/localmedia/media/surveys/samples/recording_2026-01-22_13-32-13_samples_gpoup9ZWaP.mp4"/>
    <x v="1"/>
    <x v="3"/>
    <x v="8"/>
    <x v="2"/>
    <s v="హిందూ"/>
    <x v="1"/>
    <s v="manikata"/>
    <n v="6305648616"/>
    <x v="0"/>
    <x v="3"/>
    <x v="1"/>
    <x v="1"/>
    <x v="1"/>
    <x v="1"/>
    <s v="రోడ్లు వేయటం, ఆరోగ్య రంగం అభివృద్ధి చేయటం"/>
    <x v="0"/>
    <x v="1"/>
    <x v="0"/>
    <x v="1"/>
    <x v="1"/>
    <x v="1"/>
    <s v="Deepika D"/>
    <s v="Correctly Done"/>
    <s v="asking questions very fast"/>
    <x v="0"/>
    <n v="1.1705128247062893"/>
    <n v="1.0795332136445241"/>
    <n v="0.86308903171383233"/>
    <n v="0.85034013605442171"/>
    <n v="1.147984664167413"/>
    <n v="0.79950206330384943"/>
    <n v="0.92148737207359532"/>
    <n v="-1"/>
    <n v="-1"/>
    <n v="-1"/>
    <n v="1"/>
    <n v="-1"/>
    <n v="1"/>
    <n v="-1.5"/>
    <n v="-2"/>
    <n v="-1"/>
    <n v="0"/>
    <s v="ND"/>
    <s v="ND"/>
  </r>
  <r>
    <s v="4f5df611-6ae0-4b03-9f7e-0d8c0afe2aa0"/>
    <x v="3"/>
    <s v="1/22/2026, 1:36:58 PM"/>
    <s v="16.504812, 81.878827"/>
    <s v="No address"/>
    <x v="3"/>
    <s v="Naeem"/>
    <s v="http://164.52.221.216/localmedia/media/surveys/samples/recording_2026-01-22_13-32-44_samples_Kp3md3kq88.mp4"/>
    <x v="8"/>
    <x v="1"/>
    <x v="10"/>
    <x v="0"/>
    <s v="హిందూ"/>
    <x v="2"/>
    <s v="yesu nanu"/>
    <n v="9999999999"/>
    <x v="0"/>
    <x v="1"/>
    <x v="1"/>
    <x v="1"/>
    <x v="0"/>
    <x v="1"/>
    <s v="ఉద్యొగ్య అవకాశాలు కల్పించటం, ఆరోగ్య రంగం అభివృద్ధి చేయటం, వ్యవసాయం, రైతు బాగుండడం"/>
    <x v="1"/>
    <x v="0"/>
    <x v="2"/>
    <x v="1"/>
    <x v="1"/>
    <x v="1"/>
    <s v="Ashish Sk"/>
    <s v="Correctly Done"/>
    <s v="Respondent said no issues, but surveyor kept on his own for Q1"/>
    <x v="0"/>
    <n v="0.80207032429970992"/>
    <n v="1.0795332136445241"/>
    <n v="0.65595572330316032"/>
    <n v="0.85034013605442171"/>
    <n v="1.1213131007097483"/>
    <n v="0.60762903356038633"/>
    <n v="0.38672994380094594"/>
    <n v="-1"/>
    <n v="1"/>
    <n v="-1"/>
    <n v="-1"/>
    <n v="-1"/>
    <n v="-1"/>
    <n v="-3.5"/>
    <n v="-4"/>
    <n v="-5"/>
    <n v="-4"/>
    <n v="-3"/>
    <s v="TDP Sympathiser"/>
  </r>
  <r>
    <s v="d69e05bf-6ab1-440c-9c30-d6cca1e3cedc"/>
    <x v="3"/>
    <s v="1/22/2026, 12:04:33 PM"/>
    <s v="16.503772, 81.878394"/>
    <s v="3, Tatipaka, Andhra Pradesh, India"/>
    <x v="3"/>
    <s v="Naeem"/>
    <s v="http://164.52.221.216/localmedia/media/surveys/samples/recording_2026-01-22_12-01-28_samples_Vm0OK4kRUH.mp4"/>
    <x v="0"/>
    <x v="1"/>
    <x v="10"/>
    <x v="6"/>
    <s v="క్రిస్టియన్"/>
    <x v="0"/>
    <s v="venkatalakshmi"/>
    <n v="9999999999"/>
    <x v="1"/>
    <x v="1"/>
    <x v="1"/>
    <x v="1"/>
    <x v="0"/>
    <x v="1"/>
    <s v="ఉద్యొగ్య అవకాశాలు కల్పించటం, ఆరోగ్య రంగం అభివృద్ధి చేయటం, వ్యవసాయం, రైతు బాగుండడం"/>
    <x v="1"/>
    <x v="0"/>
    <x v="2"/>
    <x v="1"/>
    <x v="1"/>
    <x v="1"/>
    <s v="Deepika D"/>
    <s v="Not Doing It Properly"/>
    <s v="Q4 kept his own"/>
    <x v="0"/>
    <n v="1.3836274505214585"/>
    <n v="1.0795332136445241"/>
    <n v="2.0811826914865059"/>
    <n v="2.1645021645021645"/>
    <n v="1.1213131007097483"/>
    <n v="1.9278542477265657"/>
    <n v="1.2302776805571209"/>
    <n v="-1"/>
    <n v="1"/>
    <n v="-1"/>
    <n v="-1"/>
    <n v="-1"/>
    <n v="-1"/>
    <n v="-3.5"/>
    <n v="-4"/>
    <n v="-5"/>
    <n v="-4"/>
    <n v="-3"/>
    <s v="TDP Sympathiser"/>
  </r>
  <r>
    <s v="23cdcd12-56d3-45a2-a97b-850fc291f9da"/>
    <x v="3"/>
    <s v="1/22/2026, 1:39:00 PM"/>
    <s v="16.330221, 81.734986"/>
    <s v="8PHP+X56, Antervedi Pallipalem, Andhra Pradesh, India"/>
    <x v="4"/>
    <s v="Naeem"/>
    <s v="http://164.52.221.216/localmedia/media/surveys/samples/recording_2026-01-22_13-36-18_samples_RJzNYSjQkI.mp4"/>
    <x v="1"/>
    <x v="3"/>
    <x v="9"/>
    <x v="0"/>
    <s v="హిందూ"/>
    <x v="3"/>
    <s v="rajababu"/>
    <n v="7702456926"/>
    <x v="0"/>
    <x v="4"/>
    <x v="1"/>
    <x v="1"/>
    <x v="1"/>
    <x v="1"/>
    <s v="రోడ్లు వేయటం, ఉద్యొగ్య అవకాశాలు కల్పించటం, ఆరోగ్య రంగం అభివృద్ధి చేయటం"/>
    <x v="1"/>
    <x v="0"/>
    <x v="0"/>
    <x v="1"/>
    <x v="1"/>
    <x v="1"/>
    <s v="Deepika D"/>
    <s v="Fake Audio/Empty Audio"/>
    <s v="fake audio / empty audio"/>
    <x v="1"/>
    <n v="1.1705128247062893"/>
    <n v="1.0795332136445241"/>
    <n v="0.86308903171383233"/>
    <n v="0.85034013605442171"/>
    <n v="1.147984664167413"/>
    <n v="0.79950206330384943"/>
    <n v="0.92148737207359532"/>
    <n v="-1"/>
    <n v="-1"/>
    <n v="-1"/>
    <n v="-1"/>
    <n v="-1"/>
    <n v="1"/>
    <n v="-3.5"/>
    <n v="-4"/>
    <n v="-3"/>
    <n v="-2"/>
    <s v="ND"/>
    <s v="ND"/>
  </r>
  <r>
    <s v="b8884263-6e12-4566-bc1d-4aab5fea6d9e"/>
    <x v="3"/>
    <s v="1/22/2026, 1:40:15 PM"/>
    <s v="16.401604, 81.782626"/>
    <s v="CQ2M+CCM, Antarvedipalem, Andhra Pradesh, India"/>
    <x v="1"/>
    <s v="Naeem"/>
    <s v="http://164.52.221.216/localmedia/media/surveys/samples/recording_2026-01-22_13-38-17_samples_P8YrpU8tel.mp4"/>
    <x v="2"/>
    <x v="3"/>
    <x v="8"/>
    <x v="2"/>
    <s v="హిందూ"/>
    <x v="0"/>
    <s v="thathajii"/>
    <n v="8978793914"/>
    <x v="0"/>
    <x v="3"/>
    <x v="1"/>
    <x v="1"/>
    <x v="1"/>
    <x v="1"/>
    <s v="రోడ్లు వేయటం, ఆరోగ్య రంగం అభివృద్ధి చేయటం, సంక్షేమ పథకాలు (నగదు)"/>
    <x v="1"/>
    <x v="0"/>
    <x v="1"/>
    <x v="1"/>
    <x v="1"/>
    <x v="1"/>
    <s v="Ashish Sk"/>
    <s v="Correctly Done"/>
    <s v="Correctly Done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28ae6eca-701b-4444-b76b-27277c2cf199"/>
    <x v="3"/>
    <s v="1/22/2026, 3:47:57 PM"/>
    <s v="16.333177, 81.733883"/>
    <s v="SHOP NO.9, SAKHINETIPALLI, Andhra Pradesh, India"/>
    <x v="4"/>
    <s v="Naeem"/>
    <s v="http://164.52.221.216/localmedia/media/surveys/samples/recording_2026-01-22_15-43-30_samples_m73PrJd7Vl.mp4"/>
    <x v="8"/>
    <x v="0"/>
    <x v="11"/>
    <x v="0"/>
    <s v="హిందూ"/>
    <x v="1"/>
    <s v="narasimhamurthy"/>
    <n v="9573127664"/>
    <x v="0"/>
    <x v="4"/>
    <x v="0"/>
    <x v="1"/>
    <x v="1"/>
    <x v="1"/>
    <s v="ఉద్యొగ్య అవకాశాలు కల్పించటం, ఆరోగ్య రంగం అభివృద్ధి చేయటం, వ్యవసాయం, రైతు బాగుండడం"/>
    <x v="1"/>
    <x v="0"/>
    <x v="0"/>
    <x v="0"/>
    <x v="0"/>
    <x v="0"/>
    <s v="Ashish Sk"/>
    <s v="Not Doing It Properly"/>
    <s v="Fake sample"/>
    <x v="0"/>
    <n v="0.80207032429970992"/>
    <n v="1.8055837563451775"/>
    <n v="1.0971251128803523"/>
    <n v="0.85034013605442171"/>
    <n v="1.9264642089343564"/>
    <n v="0.60762903356038633"/>
    <n v="2.0730893618557826"/>
    <n v="-1"/>
    <n v="-1"/>
    <n v="-1"/>
    <n v="-1"/>
    <n v="1"/>
    <n v="1"/>
    <n v="-2.5"/>
    <n v="-2"/>
    <n v="-1"/>
    <n v="0"/>
    <n v="2"/>
    <s v="Neutral YSRCP"/>
  </r>
  <r>
    <s v="6451217e-5721-4690-8d31-c0a5da5b6006"/>
    <x v="3"/>
    <s v="1/22/2026, 1:43:41 PM"/>
    <s v="16.505547, 81.878474"/>
    <s v="GV4H+98R, Tatipaka, Andhra Pradesh, India"/>
    <x v="3"/>
    <s v="Naeem"/>
    <s v="http://164.52.221.216/localmedia/media/surveys/samples/recording_2026-01-22_13-40-50_samples_jxfaPRI4zT.mp4"/>
    <x v="1"/>
    <x v="1"/>
    <x v="10"/>
    <x v="0"/>
    <s v="హిందూ"/>
    <x v="0"/>
    <s v="balakrishna"/>
    <n v="7993831085"/>
    <x v="0"/>
    <x v="1"/>
    <x v="1"/>
    <x v="1"/>
    <x v="1"/>
    <x v="1"/>
    <s v="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"/>
    <x v="1"/>
    <x v="0"/>
    <x v="1"/>
    <x v="1"/>
    <x v="1"/>
    <x v="1"/>
    <s v="Ashish Sk"/>
    <s v="Correctly Done"/>
    <s v="Correctly Done"/>
    <x v="0"/>
    <n v="1.1705128247062893"/>
    <n v="1.0795332136445241"/>
    <n v="0.86308903171383233"/>
    <n v="0.85034013605442171"/>
    <n v="1.1213131007097483"/>
    <n v="0.79950206330384943"/>
    <n v="0.7401439088249181"/>
    <n v="-1"/>
    <n v="-1"/>
    <n v="-1"/>
    <n v="-1"/>
    <n v="-1"/>
    <n v="-1"/>
    <n v="-5.5"/>
    <n v="-6"/>
    <n v="-5"/>
    <n v="-4"/>
    <n v="-3"/>
    <s v="TDP HardCore"/>
  </r>
  <r>
    <s v="f275f938-97aa-4cee-9267-722db61dbeca"/>
    <x v="3"/>
    <s v="1/22/2026, 1:52:34 PM"/>
    <s v="16.506999, 81.878113"/>
    <s v="D.NO:7-50, Tatipaka, Andhra Pradesh, India"/>
    <x v="3"/>
    <s v="Naeem"/>
    <s v="http://164.52.221.216/localmedia/media/surveys/samples/recording_2026-01-22_13-49-12_samples_j8S6saeVsO.mp4"/>
    <x v="1"/>
    <x v="1"/>
    <x v="10"/>
    <x v="0"/>
    <s v="క్రిస్టియన్"/>
    <x v="1"/>
    <s v="kannaraju"/>
    <n v="7702512529"/>
    <x v="0"/>
    <x v="2"/>
    <x v="1"/>
    <x v="1"/>
    <x v="1"/>
    <x v="1"/>
    <s v="రోడ్లు వేయటం, విద్య రంగం అభివృద్ధి చేయటం, ఆరోగ్య రంగం అభివృద్ధి చేయటం"/>
    <x v="1"/>
    <x v="0"/>
    <x v="1"/>
    <x v="0"/>
    <x v="3"/>
    <x v="3"/>
    <s v="Ashish Sk"/>
    <s v="Correctly Done"/>
    <s v="Caste is Different"/>
    <x v="0"/>
    <n v="1.1705128247062893"/>
    <n v="1.8055837563451775"/>
    <n v="1.4435679386658844"/>
    <n v="0.85034013605442171"/>
    <n v="1.1213131007097483"/>
    <n v="0.79950206330384943"/>
    <n v="0.7401439088249181"/>
    <n v="-1"/>
    <n v="-1"/>
    <n v="-1"/>
    <n v="-1"/>
    <n v="1"/>
    <n v="-1"/>
    <n v="-4.5"/>
    <n v="-4"/>
    <n v="-3"/>
    <n v="-2"/>
    <n v="-2"/>
    <s v="Neutral TDP"/>
  </r>
  <r>
    <s v="930512c2-de74-44e9-be07-e8cfc4bd3b18"/>
    <x v="3"/>
    <s v="1/22/2026, 1:52:34 PM"/>
    <s v="16.506999, 81.878113"/>
    <s v="D.NO:7-50, Tatipaka, Andhra Pradesh, India"/>
    <x v="3"/>
    <s v="Naeem"/>
    <s v="http://164.52.221.216/localmedia/media/surveys/samples/recording_2026-01-22_13-49-12_samples_9THEi1zWWf.mp4"/>
    <x v="1"/>
    <x v="1"/>
    <x v="10"/>
    <x v="0"/>
    <s v="క్రిస్టియన్"/>
    <x v="1"/>
    <s v="kannaraju"/>
    <n v="7702512529"/>
    <x v="0"/>
    <x v="2"/>
    <x v="1"/>
    <x v="1"/>
    <x v="1"/>
    <x v="1"/>
    <s v="రోడ్లు వేయటం, విద్య రంగం అభివృద్ధి చేయటం, ఆరోగ్య రంగం అభివృద్ధి చేయటం"/>
    <x v="1"/>
    <x v="0"/>
    <x v="1"/>
    <x v="0"/>
    <x v="3"/>
    <x v="3"/>
    <s v="Deepika D"/>
    <s v="Correctly Done"/>
    <n v="0"/>
    <x v="0"/>
    <n v="1.1705128247062893"/>
    <n v="1.8055837563451775"/>
    <n v="1.4435679386658844"/>
    <n v="0.85034013605442171"/>
    <n v="1.1213131007097483"/>
    <n v="0.79950206330384943"/>
    <n v="0.7401439088249181"/>
    <n v="-1"/>
    <n v="-1"/>
    <n v="-1"/>
    <n v="-1"/>
    <n v="1"/>
    <n v="-1"/>
    <n v="-4.5"/>
    <n v="-4"/>
    <n v="-3"/>
    <n v="-2"/>
    <n v="-2"/>
    <s v="Neutral TDP"/>
  </r>
  <r>
    <s v="d07f0f0f-e02c-4f3a-953b-86de0d3695b6"/>
    <x v="3"/>
    <s v="1/22/2026, 4:57:38 PM"/>
    <s v="16.360061, 81.796439"/>
    <s v="9Q6W+377, Kesavadasupalem, Andhra Pradesh, India"/>
    <x v="1"/>
    <s v="Naeem"/>
    <s v="http://164.52.221.216/localmedia/media/surveys/samples/recording_2026-01-22_16-55-47_samples_a30AVutzoU.mp4"/>
    <x v="2"/>
    <x v="3"/>
    <x v="12"/>
    <x v="1"/>
    <s v="హిందూ"/>
    <x v="0"/>
    <s v="nagababu"/>
    <n v="9849835282"/>
    <x v="0"/>
    <x v="1"/>
    <x v="2"/>
    <x v="0"/>
    <x v="0"/>
    <x v="0"/>
    <s v="రోడ్లు వేయటం, విద్య రంగం అభివృద్ధి చేయటం, సంక్షేమ పథకాలు (నగదు)"/>
    <x v="0"/>
    <x v="0"/>
    <x v="0"/>
    <x v="0"/>
    <x v="0"/>
    <x v="0"/>
    <s v="Ashish Sk"/>
    <s v="Not Doing It Properly"/>
    <s v="Hurried in completing the questionnaire and kept Q12 on his own, didn't mentioned the options to the respondent, the respondent said Rapaka varaprasad"/>
    <x v="0"/>
    <n v="1.1461625511156397"/>
    <n v="1.8055837563451775"/>
    <n v="1.2999324650914248"/>
    <n v="0.85034013605442171"/>
    <n v="1.147984664167413"/>
    <n v="0.71995135120329123"/>
    <n v="0.54319084681293095"/>
    <n v="1"/>
    <n v="1"/>
    <n v="1"/>
    <n v="1"/>
    <n v="1"/>
    <n v="1"/>
    <n v="5.5"/>
    <n v="6"/>
    <n v="5"/>
    <n v="4"/>
    <n v="3"/>
    <s v="YSRCP HardCore"/>
  </r>
  <r>
    <s v="e2191cdb-a4b9-42cb-8fdb-189a4d024599"/>
    <x v="3"/>
    <s v="1/22/2026, 1:58:49 PM"/>
    <s v="16.507354, 81.877740"/>
    <s v="D.NO:7-50, Tatipaka, Andhra Pradesh, India"/>
    <x v="3"/>
    <s v="Naeem"/>
    <s v="http://164.52.221.216/localmedia/media/surveys/samples/recording_2026-01-22_13-54-42_samples_7V76EvevC7.mp4"/>
    <x v="1"/>
    <x v="1"/>
    <x v="10"/>
    <x v="1"/>
    <s v="క్రిస్టియన్"/>
    <x v="0"/>
    <s v="nagababu"/>
    <n v="8978056292"/>
    <x v="0"/>
    <x v="1"/>
    <x v="1"/>
    <x v="1"/>
    <x v="1"/>
    <x v="1"/>
    <s v="రోడ్లు వేయటం, ఉద్యొగ్య అవకాశాలు కల్పించటం, విద్య రంగం అభివృద్ధి చేయటం"/>
    <x v="1"/>
    <x v="0"/>
    <x v="1"/>
    <x v="2"/>
    <x v="1"/>
    <x v="1"/>
    <s v="Ashish Sk"/>
    <s v="Correctly Done"/>
    <s v="Correctly Done"/>
    <x v="0"/>
    <n v="1.1705128247062893"/>
    <n v="0.66153846153846207"/>
    <n v="0.52890136495485462"/>
    <n v="0.85034013605442171"/>
    <n v="1.1213131007097483"/>
    <n v="0.79950206330384943"/>
    <n v="0.7401439088249181"/>
    <n v="-1"/>
    <n v="-1"/>
    <n v="-1"/>
    <n v="-1"/>
    <n v="-1"/>
    <n v="-1"/>
    <n v="-5.5"/>
    <n v="-6"/>
    <n v="-5"/>
    <n v="-4"/>
    <n v="-3"/>
    <s v="TDP HardCore"/>
  </r>
  <r>
    <s v="5f4f4e05-9b93-40c3-be41-7755315344be"/>
    <x v="3"/>
    <s v="1/22/2026, 10:28:34 AM"/>
    <s v="16.333917, 81.735719"/>
    <s v="8PMP+GCV, Antervedi Pallipalem, Andhra Pradesh, India"/>
    <x v="4"/>
    <s v="Naeem"/>
    <s v="http://164.52.221.216/localmedia/media/surveys/samples/recording_2026-01-22_10-24-52_samples_Z5x7pBgk54.mp4"/>
    <x v="6"/>
    <x v="3"/>
    <x v="9"/>
    <x v="0"/>
    <s v="హిందూ"/>
    <x v="1"/>
    <s v="G Suresh"/>
    <n v="8523049612"/>
    <x v="0"/>
    <x v="4"/>
    <x v="1"/>
    <x v="1"/>
    <x v="1"/>
    <x v="0"/>
    <s v="రోడ్లు వేయటం, ఉద్యొగ్య అవకాశాలు కల్పించటం, ఆరోగ్య రంగం అభివృద్ధి చేయటం"/>
    <x v="0"/>
    <x v="0"/>
    <x v="1"/>
    <x v="1"/>
    <x v="1"/>
    <x v="1"/>
    <s v="Bhagya H"/>
    <s v="Correctly Done"/>
    <s v="Correctly Done"/>
    <x v="0"/>
    <n v="1.2612194085121222"/>
    <n v="1.0795332136445241"/>
    <n v="0.92029223709519836"/>
    <n v="0.85034013605442171"/>
    <n v="1.147984664167413"/>
    <n v="0.85249089649430487"/>
    <n v="0.41451794778650441"/>
    <n v="-1"/>
    <n v="-1"/>
    <n v="1"/>
    <n v="1"/>
    <n v="-1"/>
    <n v="-1"/>
    <n v="-1.5"/>
    <n v="-2"/>
    <n v="-1"/>
    <n v="0"/>
    <n v="-3"/>
    <s v="Neutral TDP"/>
  </r>
  <r>
    <s v="c4b9f5ba-4fb6-424a-9c96-3152e651b518"/>
    <x v="3"/>
    <s v="1/22/2026, 2:42:39 PM"/>
    <s v="16.333514, 81.733830"/>
    <s v="8PMM+CGG, Antervedi Pallipalem, Andhra Pradesh, India"/>
    <x v="4"/>
    <s v="Naeem"/>
    <s v="http://164.52.221.216/localmedia/media/surveys/samples/recording_2026-01-22_14-39-22_samples_mWkWDX0d43.mp4"/>
    <x v="9"/>
    <x v="3"/>
    <x v="7"/>
    <x v="0"/>
    <s v="హిందూ"/>
    <x v="1"/>
    <s v="laxmi"/>
    <n v="7708275629"/>
    <x v="1"/>
    <x v="4"/>
    <x v="1"/>
    <x v="1"/>
    <x v="0"/>
    <x v="1"/>
    <s v="రోడ్లు వేయటం, విద్య రంగం అభివృద్ధి చేయటం, ఆరోగ్య రంగం అభివృద్ధి చేయటం"/>
    <x v="1"/>
    <x v="0"/>
    <x v="1"/>
    <x v="1"/>
    <x v="1"/>
    <x v="1"/>
    <s v="Deepika D"/>
    <s v="Fake Audio/Empty Audio"/>
    <s v="fake audio"/>
    <x v="1"/>
    <n v="1.1209668980183516"/>
    <n v="1.0795332136445241"/>
    <n v="1.4370186848956754"/>
    <n v="2.1645021645021645"/>
    <n v="1.147984664167413"/>
    <n v="1.3311481913967924"/>
    <n v="0.51141675343184545"/>
    <n v="-1"/>
    <n v="1"/>
    <n v="-1"/>
    <n v="-1"/>
    <n v="-1"/>
    <n v="-1"/>
    <n v="-3.5"/>
    <n v="-4"/>
    <n v="-5"/>
    <n v="-4"/>
    <n v="-3"/>
    <s v="TDP Sympathiser"/>
  </r>
  <r>
    <s v="b6fd985f-660d-49b1-be85-3148eb3b187b"/>
    <x v="3"/>
    <s v="1/22/2026, 10:50:02 AM"/>
    <s v="16.500507, 81.879285"/>
    <s v="GV2H+4RV, Tatipaka, Andhra Pradesh, India"/>
    <x v="3"/>
    <s v="Naeem"/>
    <s v="http://164.52.221.216/localmedia/media/surveys/samples/recording_2026-01-22_10-46-50_samples_d9uljEWsbx.mp4"/>
    <x v="1"/>
    <x v="1"/>
    <x v="10"/>
    <x v="0"/>
    <s v="హిందూ"/>
    <x v="1"/>
    <s v="ram durga prasad"/>
    <n v="9949597227"/>
    <x v="0"/>
    <x v="1"/>
    <x v="1"/>
    <x v="1"/>
    <x v="1"/>
    <x v="1"/>
    <s v="రోడ్లు వేయటం, శాంతి భద్రతలను కాపాడటం, వ్యవసాయం, రైతు బాగుండడం"/>
    <x v="1"/>
    <x v="0"/>
    <x v="1"/>
    <x v="1"/>
    <x v="1"/>
    <x v="1"/>
    <s v="Bhagya H"/>
    <s v="Correctly Done"/>
    <s v="Q6 Not selected proper response"/>
    <x v="0"/>
    <n v="1.1705128247062893"/>
    <n v="1.0795332136445241"/>
    <n v="0.86308903171383233"/>
    <n v="0.85034013605442171"/>
    <n v="1.1213131007097483"/>
    <n v="0.79950206330384943"/>
    <n v="0.7401439088249181"/>
    <n v="-1"/>
    <n v="-1"/>
    <n v="-1"/>
    <n v="-1"/>
    <n v="-1"/>
    <n v="-1"/>
    <n v="-5.5"/>
    <n v="-6"/>
    <n v="-5"/>
    <n v="-4"/>
    <n v="-3"/>
    <s v="TDP HardCore"/>
  </r>
  <r>
    <s v="098f4ef6-5e9d-44bc-bbcc-78f79e88af51"/>
    <x v="3"/>
    <s v="1/22/2026, 1:42:52 PM"/>
    <s v="16.331085, 81.735005"/>
    <s v="Shop No, Antervedi Pallipalem, Andhra Pradesh, India"/>
    <x v="4"/>
    <s v="Naeem"/>
    <s v="http://164.52.221.216/localmedia/media/surveys/samples/recording_2026-01-22_13-40-21_samples_yNsHyFLn94.mp4"/>
    <x v="9"/>
    <x v="0"/>
    <x v="11"/>
    <x v="4"/>
    <s v="హిందూ"/>
    <x v="1"/>
    <s v="yelukoti"/>
    <n v="9505265934"/>
    <x v="0"/>
    <x v="3"/>
    <x v="1"/>
    <x v="1"/>
    <x v="0"/>
    <x v="0"/>
    <s v="రోడ్లు వేయటం, విద్య రంగం అభివృద్ధి చేయటం, వ్యవసాయం, రైతు బాగుండడం"/>
    <x v="1"/>
    <x v="0"/>
    <x v="0"/>
    <x v="0"/>
    <x v="3"/>
    <x v="0"/>
    <s v="Deepika D"/>
    <s v="Not Doing It Properly"/>
    <s v="fake audio/empty audio"/>
    <x v="0"/>
    <n v="1.1209668980183516"/>
    <n v="1.8055837563451775"/>
    <n v="1.7479996739449526"/>
    <n v="0.85034013605442171"/>
    <n v="1.9264642089343564"/>
    <n v="0.96810777556130356"/>
    <n v="3.302959239597544"/>
    <n v="-1"/>
    <n v="1"/>
    <n v="1"/>
    <n v="-1"/>
    <n v="1"/>
    <n v="1"/>
    <n v="1.5"/>
    <n v="2"/>
    <n v="1"/>
    <n v="2"/>
    <n v="2"/>
    <s v="Neutral YSRCP"/>
  </r>
  <r>
    <s v="6c728f57-8c3c-4c60-b45b-3d933c4d2082"/>
    <x v="3"/>
    <s v="1/22/2026, 11:04:35 AM"/>
    <s v="16.501062, 81.879070"/>
    <s v="Shop No.3, Tatipaka, Andhra Pradesh, India"/>
    <x v="3"/>
    <s v="Naeem"/>
    <s v="http://164.52.221.216/localmedia/media/surveys/samples/recording_2026-01-22_11-01-15_samples_qmBqEyducr.mp4"/>
    <x v="8"/>
    <x v="1"/>
    <x v="10"/>
    <x v="0"/>
    <s v="క్రిస్టియన్"/>
    <x v="1"/>
    <s v="tatnaraju"/>
    <n v="9133606515"/>
    <x v="0"/>
    <x v="2"/>
    <x v="2"/>
    <x v="1"/>
    <x v="0"/>
    <x v="0"/>
    <s v="రోడ్లు వేయటం, ఉద్యొగ్య అవకాశాలు కల్పించటం, విద్య రంగం అభివృద్ధి చేయటం, ఆరోగ్య రంగం అభివృద్ధి చేయటం"/>
    <x v="0"/>
    <x v="0"/>
    <x v="1"/>
    <x v="1"/>
    <x v="1"/>
    <x v="1"/>
    <s v="Bhagya H"/>
    <s v="Correctly Done"/>
    <s v="No remarks"/>
    <x v="0"/>
    <n v="0.80207032429970992"/>
    <n v="1.0795332136445241"/>
    <n v="0.65595572330316032"/>
    <n v="0.85034013605442171"/>
    <n v="1.1213131007097483"/>
    <n v="0.60762903356038633"/>
    <n v="0.38672994380094594"/>
    <n v="-1"/>
    <n v="1"/>
    <n v="1"/>
    <n v="1"/>
    <n v="-1"/>
    <n v="-1"/>
    <n v="0.5"/>
    <n v="0"/>
    <n v="-1"/>
    <n v="0"/>
    <n v="-3"/>
    <s v="Neutral TDP"/>
  </r>
  <r>
    <s v="373cb6d4-cff0-405c-b9e4-40ca5b39e645"/>
    <x v="3"/>
    <s v="1/22/2026, 11:04:35 AM"/>
    <s v="16.501062, 81.879070"/>
    <s v="Shop No.3, Tatipaka, Andhra Pradesh, India"/>
    <x v="3"/>
    <s v="Naeem"/>
    <s v="http://164.52.221.216/localmedia/media/surveys/samples/recording_2026-01-22_11-01-15_samples_D7lZaRhztx.mp4"/>
    <x v="8"/>
    <x v="1"/>
    <x v="10"/>
    <x v="0"/>
    <s v="క్రిస్టియన్"/>
    <x v="1"/>
    <s v="tatnaraju"/>
    <n v="9133606515"/>
    <x v="0"/>
    <x v="2"/>
    <x v="2"/>
    <x v="1"/>
    <x v="0"/>
    <x v="0"/>
    <s v="రోడ్లు వేయటం, ఉద్యొగ్య అవకాశాలు కల్పించటం, విద్య రంగం అభివృద్ధి చేయటం, ఆరోగ్య రంగం అభివృద్ధి చేయటం"/>
    <x v="0"/>
    <x v="0"/>
    <x v="1"/>
    <x v="1"/>
    <x v="1"/>
    <x v="1"/>
    <s v="Bhagya H"/>
    <s v="Correctly Done"/>
    <n v="0"/>
    <x v="0"/>
    <n v="0.80207032429970992"/>
    <n v="1.0795332136445241"/>
    <n v="0.65595572330316032"/>
    <n v="0.85034013605442171"/>
    <n v="1.1213131007097483"/>
    <n v="0.60762903356038633"/>
    <n v="0.38672994380094594"/>
    <n v="-1"/>
    <n v="1"/>
    <n v="1"/>
    <n v="1"/>
    <n v="-1"/>
    <n v="-1"/>
    <n v="0.5"/>
    <n v="0"/>
    <n v="-1"/>
    <n v="0"/>
    <n v="-3"/>
    <s v="Neutral TDP"/>
  </r>
  <r>
    <s v="1ee697fe-21b1-4774-99c2-0e7aedd84d33"/>
    <x v="3"/>
    <s v="1/22/2026, 11:04:50 AM"/>
    <s v="16.501062, 81.879070"/>
    <s v="Shop No.3, Tatipaka, Andhra Pradesh, India"/>
    <x v="3"/>
    <s v="Naeem"/>
    <s v="http://164.52.221.216/localmedia/media/surveys/samples/recording_2026-01-22_11-01-15_samples_AN9iOLm6sd.mp4"/>
    <x v="8"/>
    <x v="1"/>
    <x v="10"/>
    <x v="0"/>
    <s v="క్రిస్టియన్"/>
    <x v="1"/>
    <s v="tatnaraju"/>
    <n v="9133606515"/>
    <x v="0"/>
    <x v="2"/>
    <x v="2"/>
    <x v="1"/>
    <x v="0"/>
    <x v="0"/>
    <s v="రోడ్లు వేయటం, ఉద్యొగ్య అవకాశాలు కల్పించటం, విద్య రంగం అభివృద్ధి చేయటం, ఆరోగ్య రంగం అభివృద్ధి చేయటం"/>
    <x v="0"/>
    <x v="0"/>
    <x v="1"/>
    <x v="1"/>
    <x v="1"/>
    <x v="1"/>
    <s v="Bhagya H"/>
    <s v="Correctly Done"/>
    <n v="0"/>
    <x v="0"/>
    <n v="0.80207032429970992"/>
    <n v="1.0795332136445241"/>
    <n v="0.65595572330316032"/>
    <n v="0.85034013605442171"/>
    <n v="1.1213131007097483"/>
    <n v="0.60762903356038633"/>
    <n v="0.38672994380094594"/>
    <n v="-1"/>
    <n v="1"/>
    <n v="1"/>
    <n v="1"/>
    <n v="-1"/>
    <n v="-1"/>
    <n v="0.5"/>
    <n v="0"/>
    <n v="-1"/>
    <n v="0"/>
    <n v="-3"/>
    <s v="Neutral TDP"/>
  </r>
  <r>
    <s v="86f27f0f-91be-4fcf-86ac-26ae96d8d596"/>
    <x v="3"/>
    <s v="1/22/2026, 12:32:51 PM"/>
    <s v="16.330588, 81.734401"/>
    <s v="Shop No, Antervedi Pallipalem, Andhra Pradesh, India"/>
    <x v="4"/>
    <s v="Naeem"/>
    <s v="http://164.52.221.216/localmedia/media/surveys/samples/recording_2026-01-22_12-27-21_samples_DU3txvzGCQ.mp4"/>
    <x v="2"/>
    <x v="3"/>
    <x v="9"/>
    <x v="0"/>
    <s v="హిందూ"/>
    <x v="1"/>
    <s v="J durgaprasad"/>
    <n v="9985424967"/>
    <x v="0"/>
    <x v="3"/>
    <x v="1"/>
    <x v="1"/>
    <x v="0"/>
    <x v="0"/>
    <s v="రోడ్లు వేయటం, విద్య రంగం అభివృద్ధి చేయటం, ఆరోగ్య రంగం అభివృద్ధి చేయటం"/>
    <x v="1"/>
    <x v="0"/>
    <x v="1"/>
    <x v="1"/>
    <x v="1"/>
    <x v="1"/>
    <s v="Deepika D"/>
    <s v="Not Doing It Properly"/>
    <s v="Q1 kept his own"/>
    <x v="0"/>
    <n v="1.1461625511156397"/>
    <n v="1.0795332136445241"/>
    <n v="0.77721139583220644"/>
    <n v="0.85034013605442171"/>
    <n v="1.147984664167413"/>
    <n v="0.71995135120329123"/>
    <n v="0.54319084681293095"/>
    <n v="-1"/>
    <n v="1"/>
    <n v="1"/>
    <n v="-1"/>
    <n v="-1"/>
    <n v="-1"/>
    <n v="-1.5"/>
    <n v="-2"/>
    <n v="-3"/>
    <n v="-2"/>
    <n v="-3"/>
    <s v="Neutral TDP"/>
  </r>
  <r>
    <s v="2e3c2f2b-a2ce-4b8c-a70d-4fb65c317054"/>
    <x v="3"/>
    <s v="1/22/2026, 12:37:53 PM"/>
    <s v="16.332176, 81.733073"/>
    <s v="8PJM+WGM, Antervedi Pallipalem, Andhra Pradesh, India"/>
    <x v="4"/>
    <s v="Naeem"/>
    <s v="http://164.52.221.216/localmedia/media/surveys/samples/recording_2026-01-22_12-34-32_samples_QjYfesgXBV.mp4"/>
    <x v="6"/>
    <x v="0"/>
    <x v="11"/>
    <x v="0"/>
    <s v="హిందూ"/>
    <x v="1"/>
    <s v="nagamanidevi"/>
    <n v="6303864965"/>
    <x v="1"/>
    <x v="2"/>
    <x v="1"/>
    <x v="1"/>
    <x v="0"/>
    <x v="0"/>
    <s v="రోడ్లు వేయటం, ఉద్యొగ్య అవకాశాలు కల్పించటం, విద్య రంగం అభివృద్ధి చేయటం"/>
    <x v="0"/>
    <x v="0"/>
    <x v="0"/>
    <x v="0"/>
    <x v="3"/>
    <x v="0"/>
    <s v="Deepika D"/>
    <s v="Not Doing It Properly"/>
    <s v="fake audio"/>
    <x v="0"/>
    <n v="1.2612194085121222"/>
    <n v="1.8055837563451775"/>
    <n v="4.3746926640885135"/>
    <n v="2.1645021645021645"/>
    <n v="1.9264642089343564"/>
    <n v="2.4228688637206557"/>
    <n v="3.5695242713707369"/>
    <n v="-1"/>
    <n v="1"/>
    <n v="1"/>
    <n v="1"/>
    <n v="1"/>
    <n v="1"/>
    <n v="3.5"/>
    <n v="4"/>
    <n v="3"/>
    <n v="4"/>
    <n v="2"/>
    <s v="YSRCP Sympathiser"/>
  </r>
  <r>
    <s v="5b2f2093-dbc1-4841-8139-730087848aea"/>
    <x v="3"/>
    <s v="1/22/2026, 11:11:39 AM"/>
    <s v="16.499720, 81.879250"/>
    <s v="DOOR NO.8, Tatipaka, Andhra Pradesh, India"/>
    <x v="3"/>
    <s v="Naeem"/>
    <s v="http://164.52.221.216/localmedia/media/surveys/samples/recording_2026-01-22_11-09-07_samples_KG3m6fNCnR.mp4"/>
    <x v="8"/>
    <x v="1"/>
    <x v="10"/>
    <x v="0"/>
    <s v="క్రిస్టియన్"/>
    <x v="1"/>
    <s v="venkataramana"/>
    <n v="9000151051"/>
    <x v="0"/>
    <x v="1"/>
    <x v="1"/>
    <x v="1"/>
    <x v="1"/>
    <x v="1"/>
    <s v="రోడ్లు వేయటం, ఆరోగ్య రంగం అభివృద్ధి చేయటం, వ్యవసాయం, రైతు బాగుండడం"/>
    <x v="1"/>
    <x v="0"/>
    <x v="1"/>
    <x v="1"/>
    <x v="1"/>
    <x v="1"/>
    <s v="Bhagya H"/>
    <s v="Correctly Done"/>
    <s v="Kept Q1 on his own."/>
    <x v="0"/>
    <n v="0.80207032429970992"/>
    <n v="1.0795332136445241"/>
    <n v="0.65595572330316032"/>
    <n v="0.85034013605442171"/>
    <n v="1.1213131007097483"/>
    <n v="0.60762903356038633"/>
    <n v="0.38672994380094594"/>
    <n v="-1"/>
    <n v="-1"/>
    <n v="-1"/>
    <n v="-1"/>
    <n v="-1"/>
    <n v="-1"/>
    <n v="-5.5"/>
    <n v="-6"/>
    <n v="-5"/>
    <n v="-4"/>
    <n v="-3"/>
    <s v="TDP HardCore"/>
  </r>
  <r>
    <s v="2464fb84-e2f4-4d9a-aec1-6b35813562fe"/>
    <x v="3"/>
    <s v="1/22/2026, 1:50:50 PM"/>
    <s v="16.400911, 81.781998"/>
    <s v="8-155, Antarvedipalem, Andhra Pradesh, India"/>
    <x v="1"/>
    <s v="Naeem"/>
    <s v="http://164.52.221.216/localmedia/media/surveys/samples/recording_2026-01-22_13-49-36_samples_KJnRNJqpdx.mp4"/>
    <x v="6"/>
    <x v="3"/>
    <x v="8"/>
    <x v="0"/>
    <s v="హిందూ"/>
    <x v="1"/>
    <s v="ramesh"/>
    <n v="9999999999"/>
    <x v="1"/>
    <x v="3"/>
    <x v="1"/>
    <x v="1"/>
    <x v="1"/>
    <x v="1"/>
    <s v="రోడ్లు వేయటం"/>
    <x v="1"/>
    <x v="0"/>
    <x v="1"/>
    <x v="1"/>
    <x v="1"/>
    <x v="1"/>
    <s v="Deepika D"/>
    <s v="Not Doing It Properly"/>
    <s v="respondent male but mentioned feamle"/>
    <x v="0"/>
    <n v="1.2612194085121222"/>
    <n v="1.0795332136445241"/>
    <n v="2.6155674106916162"/>
    <n v="2.1645021645021645"/>
    <n v="1.147984664167413"/>
    <n v="2.4228688637206557"/>
    <n v="2.2107623881946901"/>
    <n v="-1"/>
    <n v="-1"/>
    <n v="-1"/>
    <n v="-1"/>
    <n v="-1"/>
    <n v="-1"/>
    <n v="-5.5"/>
    <n v="-6"/>
    <n v="-5"/>
    <n v="-4"/>
    <n v="-3"/>
    <s v="TDP HardCore"/>
  </r>
  <r>
    <s v="b819d39d-6e3e-41d3-b923-4ee894a33a04"/>
    <x v="3"/>
    <s v="1/22/2026, 12:26:31 PM"/>
    <s v="16.402865, 81.778272"/>
    <s v="CQ3H+558, SakhinetiPalli, Andhra Pradesh, India"/>
    <x v="1"/>
    <s v="Naeem"/>
    <s v="http://164.52.221.216/localmedia/media/surveys/samples/recording_2026-01-22_12-24-32_samples_RCOXnSLl1C.mp4"/>
    <x v="9"/>
    <x v="3"/>
    <x v="8"/>
    <x v="2"/>
    <s v="హిందూ"/>
    <x v="0"/>
    <s v="halleshaa"/>
    <n v="9550967769"/>
    <x v="1"/>
    <x v="3"/>
    <x v="2"/>
    <x v="1"/>
    <x v="1"/>
    <x v="1"/>
    <s v="రోడ్లు వేయటం, సంక్షేమ పథకాలు (నగదు)"/>
    <x v="1"/>
    <x v="0"/>
    <x v="1"/>
    <x v="1"/>
    <x v="1"/>
    <x v="1"/>
    <s v="Deepika D"/>
    <s v="Not Doing It Properly"/>
    <s v="Q9 kept his own"/>
    <x v="0"/>
    <n v="1.1209668980183516"/>
    <n v="1.0795332136445241"/>
    <n v="1.4370186848956754"/>
    <n v="2.1645021645021645"/>
    <n v="1.147984664167413"/>
    <n v="1.3311481913967924"/>
    <n v="0.51141675343184545"/>
    <n v="-1"/>
    <n v="-1"/>
    <n v="-1"/>
    <n v="-1"/>
    <n v="-1"/>
    <n v="-1"/>
    <n v="-5.5"/>
    <n v="-6"/>
    <n v="-5"/>
    <n v="-4"/>
    <n v="-3"/>
    <s v="TDP HardCore"/>
  </r>
  <r>
    <s v="0ce68bcd-1eed-4e57-b9ee-0437ff8837b4"/>
    <x v="3"/>
    <s v="1/22/2026, 12:21:39 PM"/>
    <s v="16.403686, 81.779231"/>
    <s v="CQ3H+GJ3, SakhinetiPalli, Andhra Pradesh, India"/>
    <x v="1"/>
    <s v="Naeem"/>
    <s v="http://164.52.221.216/localmedia/media/surveys/samples/recording_2026-01-22_12-20-17_samples_hcIwZPUOY1.mp4"/>
    <x v="2"/>
    <x v="3"/>
    <x v="8"/>
    <x v="2"/>
    <s v="హిందూ"/>
    <x v="0"/>
    <s v="vasu"/>
    <n v="9999999999"/>
    <x v="1"/>
    <x v="1"/>
    <x v="1"/>
    <x v="1"/>
    <x v="1"/>
    <x v="1"/>
    <s v="రోడ్లు వేయటం, ఉద్యొగ్య అవకాశాలు కల్పించటం, వ్యవసాయం, రైతు బాగుండడం"/>
    <x v="1"/>
    <x v="0"/>
    <x v="1"/>
    <x v="1"/>
    <x v="1"/>
    <x v="1"/>
    <s v="Deepika D"/>
    <s v="Not Doing It Properly"/>
    <s v="Q1 kept his own, Q4 not explaining padhakalu to the respondent , respondent male but mentioned female"/>
    <x v="0"/>
    <n v="1.1461625511156397"/>
    <n v="1.0795332136445241"/>
    <n v="3.0326483876590018"/>
    <n v="2.1645021645021645"/>
    <n v="1.147984664167413"/>
    <n v="2.8092219390089208"/>
    <n v="2.2934724643212636"/>
    <n v="-1"/>
    <n v="-1"/>
    <n v="-1"/>
    <n v="-1"/>
    <n v="-1"/>
    <n v="-1"/>
    <n v="-5.5"/>
    <n v="-6"/>
    <n v="-5"/>
    <n v="-4"/>
    <n v="-3"/>
    <s v="TDP HardCore"/>
  </r>
  <r>
    <s v="87fe17c3-ec8f-4683-ab63-c935eee66a6a"/>
    <x v="3"/>
    <s v="1/22/2026, 12:49:10 PM"/>
    <s v="16.404156, 81.780988"/>
    <s v="CQ3J+F8P, Antarvedipalem, Andhra Pradesh, India"/>
    <x v="1"/>
    <s v="Naeem"/>
    <s v="http://164.52.221.216/localmedia/media/surveys/samples/recording_2026-01-22_12-46-52_samples_n6lVXxUx8z.mp4"/>
    <x v="2"/>
    <x v="3"/>
    <x v="8"/>
    <x v="2"/>
    <s v="హిందూ"/>
    <x v="0"/>
    <s v="rajak"/>
    <n v="816661794"/>
    <x v="0"/>
    <x v="1"/>
    <x v="2"/>
    <x v="1"/>
    <x v="1"/>
    <x v="1"/>
    <s v="రోడ్లు వేయటం, ఉద్యొగ్య అవకాశాలు కల్పించటం, విద్య రంగం అభివృద్ధి చేయటం, సంక్షేమ పథకాలు (నగదు)"/>
    <x v="1"/>
    <x v="0"/>
    <x v="1"/>
    <x v="1"/>
    <x v="1"/>
    <x v="1"/>
    <s v="Deepika D"/>
    <s v="Not Doing It Properly"/>
    <s v="not asking caste , Q9,17  kept his own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05b082e2-15f2-4e2b-8acd-3954b7e97a87"/>
    <x v="3"/>
    <s v="1/22/2026, 11:17:23 AM"/>
    <s v="16.398394, 81.781569"/>
    <s v="9QXJ+CJM, Antervedi Pallipalem, Andhra Pradesh, India"/>
    <x v="1"/>
    <s v="Naeem"/>
    <s v="http://164.52.221.216/localmedia/media/surveys/samples/recording_2026-01-22_11-16-14_samples_qgQ5aLnnJ9.mp4"/>
    <x v="2"/>
    <x v="3"/>
    <x v="8"/>
    <x v="0"/>
    <s v="హిందూ"/>
    <x v="1"/>
    <s v="manikata"/>
    <n v="9849450469"/>
    <x v="0"/>
    <x v="2"/>
    <x v="1"/>
    <x v="1"/>
    <x v="1"/>
    <x v="1"/>
    <s v="రోడ్లు వేయటం, విద్య రంగం అభివృద్ధి చేయటం"/>
    <x v="1"/>
    <x v="0"/>
    <x v="1"/>
    <x v="1"/>
    <x v="1"/>
    <x v="1"/>
    <s v="Bhagya H"/>
    <s v="Correctly Done"/>
    <s v="Too hurried in completeing the questionnaire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9d1689fe-8683-4df7-a336-9751e6c646d0"/>
    <x v="3"/>
    <s v="1/22/2026, 11:17:56 AM"/>
    <s v="16.499512, 81.878792"/>
    <s v="DOOR NO.8, Tatipaka, Andhra Pradesh, India"/>
    <x v="3"/>
    <s v="Naeem"/>
    <s v="http://164.52.221.216/localmedia/media/surveys/samples/recording_2026-01-22_11-14-51_samples_tnirSuC0bU.mp4"/>
    <x v="8"/>
    <x v="1"/>
    <x v="10"/>
    <x v="0"/>
    <s v="హిందూ"/>
    <x v="0"/>
    <s v="ch. jarj"/>
    <n v="7702562836"/>
    <x v="0"/>
    <x v="2"/>
    <x v="2"/>
    <x v="0"/>
    <x v="1"/>
    <x v="0"/>
    <s v="రోడ్లు వేయటం, ఉద్యొగ్య అవకాశాలు కల్పించటం, ఆరోగ్య రంగం అభివృద్ధి చేయటం"/>
    <x v="1"/>
    <x v="0"/>
    <x v="2"/>
    <x v="1"/>
    <x v="1"/>
    <x v="1"/>
    <s v="Bhagya H"/>
    <s v="Correctly Done"/>
    <s v="No remarks"/>
    <x v="0"/>
    <n v="0.80207032429970992"/>
    <n v="1.0795332136445241"/>
    <n v="0.65595572330316032"/>
    <n v="0.85034013605442171"/>
    <n v="1.1213131007097483"/>
    <n v="0.60762903356038633"/>
    <n v="0.38672994380094594"/>
    <n v="1"/>
    <n v="-1"/>
    <n v="1"/>
    <n v="-1"/>
    <n v="-1"/>
    <n v="-1"/>
    <n v="-1.5"/>
    <n v="-2"/>
    <n v="-1"/>
    <n v="-2"/>
    <n v="-2"/>
    <s v="Neutral TDP"/>
  </r>
  <r>
    <s v="9f1ae943-9904-4852-a1eb-5e9af86ec36b"/>
    <x v="3"/>
    <s v="1/22/2026, 11:24:00 AM"/>
    <s v="16.332460, 81.734522"/>
    <s v="SHOP NO.1, SakhinetiPalli, Andhra Pradesh, India"/>
    <x v="4"/>
    <s v="Naeem"/>
    <s v="http://164.52.221.216/localmedia/media/surveys/samples/recording_2026-01-22_11-19-34_samples_7GZxu97tsd.mp4"/>
    <x v="1"/>
    <x v="3"/>
    <x v="9"/>
    <x v="0"/>
    <s v="హిందూ"/>
    <x v="0"/>
    <s v="kesavarao"/>
    <n v="8309146199"/>
    <x v="0"/>
    <x v="2"/>
    <x v="1"/>
    <x v="1"/>
    <x v="1"/>
    <x v="1"/>
    <s v="రోడ్లు వేయటం, ఉద్యొగ్య అవకాశాలు కల్పించటం, వ్యవసాయం, రైతు బాగుండడం"/>
    <x v="1"/>
    <x v="0"/>
    <x v="0"/>
    <x v="0"/>
    <x v="0"/>
    <x v="0"/>
    <s v="Bhagya H"/>
    <s v="Correctly Done"/>
    <s v="Q9 response is inaudible, and also seems like respondent didn't said anything."/>
    <x v="0"/>
    <n v="1.1705128247062893"/>
    <n v="1.8055837563451775"/>
    <n v="1.4435679386658844"/>
    <n v="0.85034013605442171"/>
    <n v="1.147984664167413"/>
    <n v="0.79950206330384943"/>
    <n v="0.92148737207359532"/>
    <n v="-1"/>
    <n v="-1"/>
    <n v="-1"/>
    <n v="-1"/>
    <n v="1"/>
    <n v="1"/>
    <n v="-2.5"/>
    <n v="-2"/>
    <n v="-1"/>
    <n v="0"/>
    <n v="2"/>
    <s v="Neutral YSRCP"/>
  </r>
  <r>
    <s v="ae212192-f249-4a6d-ae60-abd91953ba83"/>
    <x v="3"/>
    <s v="1/22/2026, 11:34:48 AM"/>
    <s v="16.332027, 81.734670"/>
    <s v="SHOP NO. 4-2, Antervedi Pallipalem, Andhra Pradesh, India"/>
    <x v="4"/>
    <s v="Naeem"/>
    <s v="http://164.52.221.216/localmedia/media/surveys/samples/recording_2026-01-22_11-31-17_samples_IjRgiCMMpT.mp4"/>
    <x v="2"/>
    <x v="3"/>
    <x v="9"/>
    <x v="0"/>
    <s v="హిందూ"/>
    <x v="2"/>
    <s v="Naeasimhaswamy"/>
    <n v="9573597559"/>
    <x v="0"/>
    <x v="2"/>
    <x v="1"/>
    <x v="1"/>
    <x v="1"/>
    <x v="0"/>
    <s v="రోడ్లు వేయటం, ఆరోగ్య రంగం అభివృద్ధి చేయటం, వ్యవసాయం, రైతు బాగుండడం"/>
    <x v="1"/>
    <x v="0"/>
    <x v="1"/>
    <x v="1"/>
    <x v="1"/>
    <x v="1"/>
    <s v="Bhagya H"/>
    <s v="Correctly Done"/>
    <s v="No remarks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1"/>
    <n v="-1"/>
    <n v="-1"/>
    <n v="-1"/>
    <n v="-3.5"/>
    <n v="-4"/>
    <n v="-3"/>
    <n v="-2"/>
    <n v="-3"/>
    <s v="Neutral TDP"/>
  </r>
  <r>
    <s v="8789a033-c295-4e63-abbe-762cceced6c5"/>
    <x v="3"/>
    <s v="1/22/2026, 11:37:09 AM"/>
    <s v="16.503128, 81.878955"/>
    <s v="FVXJ+82F, Tatipaka, Andhra Pradesh, India"/>
    <x v="3"/>
    <s v="Naeem"/>
    <s v="http://164.52.221.216/localmedia/media/surveys/samples/recording_2026-01-22_11-33-21_samples_SFahlo1PEz.mp4"/>
    <x v="0"/>
    <x v="1"/>
    <x v="10"/>
    <x v="0"/>
    <s v="హిందూ"/>
    <x v="2"/>
    <s v="satyanarayana"/>
    <n v="9573123553"/>
    <x v="0"/>
    <x v="1"/>
    <x v="2"/>
    <x v="0"/>
    <x v="1"/>
    <x v="0"/>
    <s v="రోడ్లు వేయటం, ఉద్యొగ్య అవకాశాలు కల్పించటం, శాంతి భద్రతలను కాపాడటం"/>
    <x v="0"/>
    <x v="0"/>
    <x v="0"/>
    <x v="1"/>
    <x v="1"/>
    <x v="1"/>
    <s v="Bhagya H"/>
    <s v="Correctly Done"/>
    <s v="Q1,Q6 entered on his own."/>
    <x v="0"/>
    <n v="1.3836274505214585"/>
    <n v="1.0795332136445241"/>
    <n v="1.1648410586678206"/>
    <n v="0.85034013605442171"/>
    <n v="1.1213131007097483"/>
    <n v="1.0790228998469584"/>
    <n v="0.90933567693352424"/>
    <n v="1"/>
    <n v="-1"/>
    <n v="1"/>
    <n v="1"/>
    <n v="-1"/>
    <n v="1"/>
    <n v="2.5"/>
    <n v="2"/>
    <n v="3"/>
    <n v="2"/>
    <n v="2"/>
    <s v="Neutral YSRCP"/>
  </r>
  <r>
    <s v="04a42c65-e725-4df0-bdf3-c7f47aec7133"/>
    <x v="3"/>
    <s v="1/22/2026, 4:31:27 PM"/>
    <s v="16.332541, 81.734038"/>
    <s v="8PJM+WJW, Antervedi Pallipalem, Andhra Pradesh, India"/>
    <x v="4"/>
    <s v="Naeem"/>
    <s v="http://164.52.221.216/localmedia/media/surveys/samples/recording_2026-01-22_16-27-47_samples_PWvRAFqdIH.mp4"/>
    <x v="0"/>
    <x v="0"/>
    <x v="11"/>
    <x v="0"/>
    <s v="హిందూ"/>
    <x v="0"/>
    <s v="nagarathnamma"/>
    <n v="9618060877"/>
    <x v="1"/>
    <x v="4"/>
    <x v="0"/>
    <x v="0"/>
    <x v="0"/>
    <x v="0"/>
    <s v="ఉద్యొగ్య అవకాశాలు కల్పించటం, విద్య రంగం అభివృద్ధి చేయటం, వ్యవసాయం, రైతు బాగుండడం"/>
    <x v="0"/>
    <x v="0"/>
    <x v="0"/>
    <x v="0"/>
    <x v="0"/>
    <x v="0"/>
    <s v="Ashish Sk"/>
    <s v="Not Doing It Properly"/>
    <s v="Fake sample"/>
    <x v="0"/>
    <n v="1.3836274505214585"/>
    <n v="1.8055837563451775"/>
    <n v="3.4809023142961388"/>
    <n v="2.1645021645021645"/>
    <n v="1.9264642089343564"/>
    <n v="1.9278542477265657"/>
    <n v="4.0768956513699193"/>
    <n v="1"/>
    <n v="1"/>
    <n v="1"/>
    <n v="1"/>
    <n v="1"/>
    <n v="1"/>
    <n v="5.5"/>
    <n v="6"/>
    <n v="5"/>
    <n v="4"/>
    <n v="3"/>
    <s v="YSRCP HardCore"/>
  </r>
  <r>
    <s v="6d4d44f7-b21e-4758-b11f-161b45dad703"/>
    <x v="3"/>
    <s v="1/22/2026, 11:47:02 AM"/>
    <s v="16.502782, 81.878555"/>
    <s v="DOOR NO 8, Tatipaka, Andhra Pradesh, India"/>
    <x v="3"/>
    <s v="Naeem"/>
    <s v="http://164.52.221.216/localmedia/media/surveys/samples/recording_2026-01-22_11-42-27_samples_usciPSkGwv.mp4"/>
    <x v="0"/>
    <x v="1"/>
    <x v="10"/>
    <x v="0"/>
    <s v="క్రిస్టియన్"/>
    <x v="2"/>
    <s v="ramkrishna"/>
    <n v="7993832429"/>
    <x v="0"/>
    <x v="3"/>
    <x v="1"/>
    <x v="1"/>
    <x v="1"/>
    <x v="1"/>
    <s v="రోడ్లు వేయటం, శాంతి భద్రతలను కాపాడటం, విద్య రంగం అభివృద్ధి చేయటం"/>
    <x v="1"/>
    <x v="0"/>
    <x v="1"/>
    <x v="1"/>
    <x v="1"/>
    <x v="1"/>
    <s v="Bhagya H"/>
    <s v="Correctly Done"/>
    <s v="No Remarks"/>
    <x v="0"/>
    <n v="1.3836274505214585"/>
    <n v="1.0795332136445241"/>
    <n v="1.1648410586678206"/>
    <n v="0.85034013605442171"/>
    <n v="1.1213131007097483"/>
    <n v="1.0790228998469584"/>
    <n v="0.90933567693352424"/>
    <n v="-1"/>
    <n v="-1"/>
    <n v="-1"/>
    <n v="-1"/>
    <n v="-1"/>
    <n v="-1"/>
    <n v="-5.5"/>
    <n v="-6"/>
    <n v="-5"/>
    <n v="-4"/>
    <n v="-3"/>
    <s v="TDP HardCore"/>
  </r>
  <r>
    <s v="3026f3fa-3136-46fd-b351-6e9fb892ce45"/>
    <x v="3"/>
    <s v="1/22/2026, 11:57:21 AM"/>
    <s v="16.503264, 81.878511"/>
    <s v="GV3H+CC5, Jaggannapeta, Andhra Pradesh, India"/>
    <x v="3"/>
    <s v="Naeem"/>
    <s v="http://164.52.221.216/localmedia/media/surveys/samples/recording_2026-01-22_11-53-44_samples_zFOOyG04JZ.mp4"/>
    <x v="0"/>
    <x v="1"/>
    <x v="10"/>
    <x v="6"/>
    <s v="క్రిస్టియన్"/>
    <x v="3"/>
    <s v="bhagya"/>
    <n v="9908059266"/>
    <x v="1"/>
    <x v="3"/>
    <x v="1"/>
    <x v="1"/>
    <x v="0"/>
    <x v="0"/>
    <s v="రోడ్లు వేయటం, శాంతి భద్రతలను కాపాడటం, విద్య రంగం అభివృద్ధి చేయటం"/>
    <x v="0"/>
    <x v="0"/>
    <x v="0"/>
    <x v="0"/>
    <x v="0"/>
    <x v="0"/>
    <s v="Bhagya H"/>
    <s v="Correctly Done"/>
    <s v="Correctly done"/>
    <x v="0"/>
    <n v="1.3836274505214585"/>
    <n v="1.8055837563451775"/>
    <n v="3.4809023142961388"/>
    <n v="2.1645021645021645"/>
    <n v="1.1213131007097483"/>
    <n v="1.9278542477265657"/>
    <n v="1.2302776805571209"/>
    <n v="-1"/>
    <n v="1"/>
    <n v="1"/>
    <n v="1"/>
    <n v="1"/>
    <n v="1"/>
    <n v="3.5"/>
    <n v="4"/>
    <n v="3"/>
    <n v="4"/>
    <n v="2"/>
    <s v="YSRCP Sympathiser"/>
  </r>
  <r>
    <s v="b40e0b10-09e7-4ae3-bc92-426dc6eba2d6"/>
    <x v="3"/>
    <s v="1/22/2026, 12:50:37 PM"/>
    <s v="16.326748, 81.733251"/>
    <s v="8PGM+W8R, Antervedi Pallipalem, Andhra Pradesh, India"/>
    <x v="4"/>
    <s v="Naeem"/>
    <s v="http://164.52.221.216/localmedia/media/surveys/samples/recording_2026-01-22_12-47-29_samples_PDKpbNFLvG.mp4"/>
    <x v="2"/>
    <x v="3"/>
    <x v="9"/>
    <x v="0"/>
    <s v="హిందూ"/>
    <x v="0"/>
    <s v="bhaskar"/>
    <n v="9989545372"/>
    <x v="0"/>
    <x v="3"/>
    <x v="1"/>
    <x v="1"/>
    <x v="1"/>
    <x v="0"/>
    <s v="రోడ్లు వేయటం, ఉద్యొగ్య అవకాశాలు కల్పించటం, ఆరోగ్య రంగం అభివృద్ధి చేయటం"/>
    <x v="1"/>
    <x v="0"/>
    <x v="1"/>
    <x v="1"/>
    <x v="1"/>
    <x v="1"/>
    <s v="Ashish Sk"/>
    <s v="Fake Audio/Empty Audio"/>
    <s v="Surveyor kept all options on his own"/>
    <x v="1"/>
    <n v="1.1461625511156397"/>
    <n v="1.0795332136445241"/>
    <n v="0.77721139583220644"/>
    <n v="0.85034013605442171"/>
    <n v="1.147984664167413"/>
    <n v="0.71995135120329123"/>
    <n v="0.54319084681293095"/>
    <n v="-1"/>
    <n v="-1"/>
    <n v="1"/>
    <n v="-1"/>
    <n v="-1"/>
    <n v="-1"/>
    <n v="-3.5"/>
    <n v="-4"/>
    <n v="-3"/>
    <n v="-2"/>
    <n v="-3"/>
    <s v="Neutral TDP"/>
  </r>
  <r>
    <s v="70664f94-c891-4996-805c-00f686d1dbbf"/>
    <x v="3"/>
    <s v="1/22/2026, 12:08:05 PM"/>
    <s v="16.330898, 81.734835"/>
    <s v="Shop No, Antervedi Pallipalem, Andhra Pradesh, India"/>
    <x v="4"/>
    <s v="Naeem"/>
    <s v="http://164.52.221.216/localmedia/media/surveys/samples/recording_2026-01-22_12-03-26_samples_GyGxD8bE3I.mp4"/>
    <x v="2"/>
    <x v="3"/>
    <x v="9"/>
    <x v="1"/>
    <s v="హిందూ"/>
    <x v="1"/>
    <s v="simhachala swamy"/>
    <n v="7993687613"/>
    <x v="0"/>
    <x v="3"/>
    <x v="1"/>
    <x v="1"/>
    <x v="1"/>
    <x v="1"/>
    <s v="రోడ్లు వేయటం, ఉద్యొగ్య అవకాశాలు కల్పించటం, ఆరోగ్య రంగం అభివృద్ధి చేయటం"/>
    <x v="1"/>
    <x v="0"/>
    <x v="1"/>
    <x v="1"/>
    <x v="1"/>
    <x v="1"/>
    <s v="Deepika D"/>
    <s v="Correctly Done"/>
    <s v="correctly done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105e1829-8180-4959-9436-57ce401521f4"/>
    <x v="3"/>
    <s v="1/22/2026, 12:08:05 PM"/>
    <s v="16.330898, 81.734835"/>
    <s v="Shop No, Antervedi Pallipalem, Andhra Pradesh, India"/>
    <x v="4"/>
    <s v="Naeem"/>
    <s v="http://164.52.221.216/localmedia/media/surveys/samples/recording_2026-01-22_12-03-26_samples_frryR5Rxa0.mp4"/>
    <x v="2"/>
    <x v="3"/>
    <x v="9"/>
    <x v="1"/>
    <s v="హిందూ"/>
    <x v="1"/>
    <s v="simhachala swamy"/>
    <n v="7993687613"/>
    <x v="0"/>
    <x v="3"/>
    <x v="1"/>
    <x v="1"/>
    <x v="1"/>
    <x v="1"/>
    <s v="రోడ్లు వేయటం, ఉద్యొగ్య అవకాశాలు కల్పించటం, ఆరోగ్య రంగం అభివృద్ధి చేయటం"/>
    <x v="1"/>
    <x v="0"/>
    <x v="1"/>
    <x v="1"/>
    <x v="1"/>
    <x v="1"/>
    <s v="Ashish Sk"/>
    <s v="Correctly Done"/>
    <n v="0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57431ce6-47a3-40b3-ad42-5110ca637da4"/>
    <x v="3"/>
    <s v="1/22/2026, 1:56:41 PM"/>
    <s v="16.331666, 81.735239"/>
    <s v="SHOP NO.1, SAKHINETIPALLI, Andhra Pradesh, India"/>
    <x v="4"/>
    <s v="Naeem"/>
    <s v="http://164.52.221.216/localmedia/media/surveys/samples/recording_2026-01-22_13-45-54_samples_cb6MBCIzBw.mp4"/>
    <x v="9"/>
    <x v="3"/>
    <x v="9"/>
    <x v="0"/>
    <s v="హిందూ"/>
    <x v="0"/>
    <s v="srinivasulu"/>
    <n v="9704566223"/>
    <x v="0"/>
    <x v="4"/>
    <x v="1"/>
    <x v="0"/>
    <x v="0"/>
    <x v="0"/>
    <s v="ఉద్యొగ్య అవకాశాలు కల్పించటం, విద్య రంగం అభివృద్ధి చేయటం, ఆరోగ్య రంగం అభివృద్ధి చేయటం"/>
    <x v="1"/>
    <x v="0"/>
    <x v="2"/>
    <x v="1"/>
    <x v="1"/>
    <x v="1"/>
    <s v="Ashish Sk"/>
    <s v="Not Doing It Properly"/>
    <s v="Caste wrong- didn't asked the respondent correctly,"/>
    <x v="0"/>
    <n v="1.1209668980183516"/>
    <n v="1.0795332136445241"/>
    <n v="1.0451044981059459"/>
    <n v="0.85034013605442171"/>
    <n v="1.147984664167413"/>
    <n v="0.96810777556130356"/>
    <n v="0.30685005205910726"/>
    <n v="1"/>
    <n v="1"/>
    <n v="1"/>
    <n v="-1"/>
    <n v="-1"/>
    <n v="-1"/>
    <n v="0.5"/>
    <n v="0"/>
    <n v="-1"/>
    <n v="-2"/>
    <n v="-2"/>
    <s v="Neutral TDP"/>
  </r>
  <r>
    <s v="633be197-bd3f-437f-987e-2f456e3bd712"/>
    <x v="3"/>
    <s v="1/22/2026, 12:51:13 PM"/>
    <s v="16.504461, 81.876955"/>
    <s v="Tatipaka Road, Tatipaka, Andhra Pradesh, India"/>
    <x v="3"/>
    <s v="Naeem"/>
    <s v="http://164.52.221.216/localmedia/media/surveys/samples/recording_2026-01-22_12-37-34_samples_Duu5ayIEBF.mp4"/>
    <x v="10"/>
    <x v="1"/>
    <x v="10"/>
    <x v="7"/>
    <s v="హిందూ"/>
    <x v="2"/>
    <s v="k. nageswararao"/>
    <n v="9492247688"/>
    <x v="0"/>
    <x v="3"/>
    <x v="2"/>
    <x v="0"/>
    <x v="1"/>
    <x v="1"/>
    <s v="రోడ్లు వేయటం, ఉద్యొగ్య అవకాశాలు కల్పించటం, ఆరోగ్య రంగం అభివృద్ధి చేయటం"/>
    <x v="1"/>
    <x v="1"/>
    <x v="2"/>
    <x v="2"/>
    <x v="1"/>
    <x v="1"/>
    <s v="Ashish Sk"/>
    <s v="Not Doing It Properly"/>
    <s v="Q9,10 kept on his own"/>
    <x v="0"/>
    <n v="1.016226256869897"/>
    <n v="0.66153846153846207"/>
    <n v="0.33613637727235079"/>
    <n v="0.85034013605442171"/>
    <n v="1.1213131007097483"/>
    <n v="0.50811312843494849"/>
    <n v="0.73498254074817215"/>
    <n v="1"/>
    <n v="-1"/>
    <n v="-1"/>
    <n v="-1"/>
    <n v="-1"/>
    <n v="-1"/>
    <n v="-3.5"/>
    <n v="-4"/>
    <n v="-3"/>
    <n v="-4"/>
    <n v="-2"/>
    <s v="TDP Sympathiser"/>
  </r>
  <r>
    <s v="055ad785-de11-4154-8f28-2714f4784691"/>
    <x v="3"/>
    <s v="1/22/2026, 12:52:38 PM"/>
    <s v="16.403082, 81.781541"/>
    <s v="CQ3J+9VV, Antarvedipalem, Andhra Pradesh, India"/>
    <x v="1"/>
    <s v="Naeem"/>
    <s v="http://164.52.221.216/localmedia/media/surveys/samples/recording_2026-01-22_12-51-18_samples_dTeEbYAmcu.mp4"/>
    <x v="5"/>
    <x v="3"/>
    <x v="8"/>
    <x v="2"/>
    <s v="హిందూ"/>
    <x v="1"/>
    <s v="muahad"/>
    <n v="9999999999"/>
    <x v="1"/>
    <x v="1"/>
    <x v="2"/>
    <x v="0"/>
    <x v="0"/>
    <x v="0"/>
    <s v="రోడ్లు వేయటం"/>
    <x v="0"/>
    <x v="0"/>
    <x v="0"/>
    <x v="1"/>
    <x v="1"/>
    <x v="1"/>
    <s v="Deepika D"/>
    <s v="Not Doing It Properly"/>
    <s v="Q1,6 kept his own , asked questions too fast to complete the survey"/>
    <x v="0"/>
    <n v="1.0478809952686368"/>
    <n v="1.0795332136445241"/>
    <n v="1.7911020357040086"/>
    <n v="2.1645021645021645"/>
    <n v="1.147984664167413"/>
    <n v="1.6591449091753416"/>
    <n v="1.4342187022576396"/>
    <n v="1"/>
    <n v="1"/>
    <n v="1"/>
    <n v="1"/>
    <n v="-1"/>
    <n v="1"/>
    <n v="4.5"/>
    <n v="4"/>
    <n v="3"/>
    <n v="2"/>
    <n v="2"/>
    <s v="Neutral YSRCP"/>
  </r>
  <r>
    <s v="692e572a-bc20-484a-bc84-5241be18b549"/>
    <x v="3"/>
    <s v="1/22/2026, 1:57:12 PM"/>
    <s v="16.402746, 81.778049"/>
    <s v="CQ3H+359, SakhinetiPalli, Andhra Pradesh, India"/>
    <x v="1"/>
    <s v="Naeem"/>
    <s v="http://164.52.221.216/localmedia/media/surveys/samples/recording_2026-01-22_13-56-09_samples_xrlt2VYxh8.mp4"/>
    <x v="6"/>
    <x v="3"/>
    <x v="8"/>
    <x v="0"/>
    <s v="హిందూ"/>
    <x v="1"/>
    <s v="nani"/>
    <n v="9177365502"/>
    <x v="0"/>
    <x v="1"/>
    <x v="1"/>
    <x v="1"/>
    <x v="1"/>
    <x v="1"/>
    <s v="రోడ్లు వేయటం, ఉద్యొగ్య అవకాశాలు కల్పించటం"/>
    <x v="1"/>
    <x v="0"/>
    <x v="1"/>
    <x v="1"/>
    <x v="1"/>
    <x v="1"/>
    <s v="Deepika D"/>
    <s v="Not Doing It Properly"/>
    <s v="Q1 kept his own"/>
    <x v="0"/>
    <n v="1.2612194085121222"/>
    <n v="1.0795332136445241"/>
    <n v="0.92029223709519836"/>
    <n v="0.85034013605442171"/>
    <n v="1.147984664167413"/>
    <n v="0.85249089649430487"/>
    <n v="0.41451794778650441"/>
    <n v="-1"/>
    <n v="-1"/>
    <n v="-1"/>
    <n v="-1"/>
    <n v="-1"/>
    <n v="-1"/>
    <n v="-5.5"/>
    <n v="-6"/>
    <n v="-5"/>
    <n v="-4"/>
    <n v="-3"/>
    <s v="TDP HardCore"/>
  </r>
  <r>
    <s v="f284194d-300e-445d-bebb-60a45ac1171b"/>
    <x v="3"/>
    <s v="1/22/2026, 3:01:44 PM"/>
    <s v="16.332798, 81.733418"/>
    <s v="15-2 Antervedi Devastanam, SakhinetiPalli, Andhra Pradesh, India"/>
    <x v="4"/>
    <s v="Naeem"/>
    <s v="http://164.52.221.216/localmedia/media/surveys/samples/recording_2026-01-22_14-59-47_samples_tXhAYqPmy2.mp4"/>
    <x v="2"/>
    <x v="0"/>
    <x v="11"/>
    <x v="3"/>
    <s v="హిందూ"/>
    <x v="0"/>
    <s v="Madhunuru suryanarayanareddy"/>
    <n v="7702564932"/>
    <x v="0"/>
    <x v="1"/>
    <x v="2"/>
    <x v="0"/>
    <x v="0"/>
    <x v="0"/>
    <s v="రోడ్లు వేయటం, ఆరోగ్య రంగం అభివృద్ధి చేయటం, వ్యవసాయం, రైతు బాగుండడం"/>
    <x v="0"/>
    <x v="0"/>
    <x v="0"/>
    <x v="0"/>
    <x v="0"/>
    <x v="0"/>
    <s v="Deepika D"/>
    <s v="Not Doing It Properly"/>
    <s v="fake audio/empty audio"/>
    <x v="0"/>
    <n v="1.1461625511156397"/>
    <n v="1.8055837563451775"/>
    <n v="1.2999324650914248"/>
    <n v="0.85034013605442171"/>
    <n v="1.9264642089343564"/>
    <n v="0.71995135120329123"/>
    <n v="0.70534647283248642"/>
    <n v="1"/>
    <n v="1"/>
    <n v="1"/>
    <n v="1"/>
    <n v="1"/>
    <n v="1"/>
    <n v="5.5"/>
    <n v="6"/>
    <n v="5"/>
    <n v="4"/>
    <n v="3"/>
    <s v="YSRCP HardCore"/>
  </r>
  <r>
    <s v="465e37b5-68c8-45e5-a736-a9ec12690ac2"/>
    <x v="3"/>
    <s v="1/22/2026, 11:53:32 AM"/>
    <s v="16.331726, 81.734918"/>
    <s v="SHOP NO. 4-2, Antervedi Pallipalem, Andhra Pradesh, India"/>
    <x v="4"/>
    <s v="Naeem"/>
    <s v="http://164.52.221.216/localmedia/media/surveys/samples/recording_2026-01-22_11-48-51_samples_1ilCp1qa0T.mp4"/>
    <x v="6"/>
    <x v="3"/>
    <x v="9"/>
    <x v="0"/>
    <s v="హిందూ"/>
    <x v="1"/>
    <s v="Pathabathhula devi"/>
    <n v="9866499154"/>
    <x v="1"/>
    <x v="2"/>
    <x v="1"/>
    <x v="1"/>
    <x v="1"/>
    <x v="1"/>
    <s v="శాంతి భద్రతలను కాపాడటం, ఆరోగ్య రంగం అభివృద్ధి చేయటం, వ్యవసాయం, రైతు బాగుండడం"/>
    <x v="1"/>
    <x v="2"/>
    <x v="0"/>
    <x v="0"/>
    <x v="0"/>
    <x v="0"/>
    <s v="Bhagya H"/>
    <s v="Not Asking Some of the Questions"/>
    <s v="Q1 Kept on his own, Skipped Q5, Q7,"/>
    <x v="1"/>
    <n v="1.2612194085121222"/>
    <n v="1.8055837563451775"/>
    <n v="4.3746926640885135"/>
    <n v="2.1645021645021645"/>
    <n v="1.147984664167413"/>
    <n v="2.4228688637206557"/>
    <n v="2.2107623881946901"/>
    <n v="-1"/>
    <n v="-1"/>
    <n v="-1"/>
    <n v="-1"/>
    <n v="1"/>
    <n v="1"/>
    <n v="-2.5"/>
    <n v="-2"/>
    <n v="-1"/>
    <n v="0"/>
    <n v="2"/>
    <s v="Neutral YSRCP"/>
  </r>
  <r>
    <s v="673284cb-a99f-403b-8f06-94da032f3c3e"/>
    <x v="3"/>
    <s v="1/22/2026, 12:08:17 PM"/>
    <s v="16.330898, 81.734835"/>
    <s v="Shop No, Antervedi Pallipalem, Andhra Pradesh, India"/>
    <x v="4"/>
    <s v="Naeem"/>
    <s v="http://164.52.221.216/localmedia/media/surveys/samples/recording_2026-01-22_12-03-26_samples_zImHtL4pr4.mp4"/>
    <x v="2"/>
    <x v="3"/>
    <x v="9"/>
    <x v="1"/>
    <s v="హిందూ"/>
    <x v="1"/>
    <s v="simhachala swamy"/>
    <n v="7993687613"/>
    <x v="0"/>
    <x v="3"/>
    <x v="1"/>
    <x v="1"/>
    <x v="1"/>
    <x v="1"/>
    <s v="రోడ్లు వేయటం, ఉద్యొగ్య అవకాశాలు కల్పించటం, ఆరోగ్య రంగం అభివృద్ధి చేయటం"/>
    <x v="1"/>
    <x v="0"/>
    <x v="1"/>
    <x v="1"/>
    <x v="1"/>
    <x v="1"/>
    <s v="Deepika D"/>
    <s v="Correctly Done"/>
    <n v="0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d0e8f2ec-a871-4844-b32e-f968e0880144"/>
    <x v="3"/>
    <s v="1/22/2026, 12:10:19 PM"/>
    <s v="16.504146, 81.878165"/>
    <s v="GV3H+M83, Tatipaka, Andhra Pradesh, India"/>
    <x v="3"/>
    <s v="Naeem"/>
    <s v="http://164.52.221.216/localmedia/media/surveys/samples/recording_2026-01-22_12-07-20_samples_Lb3C7MnI78.mp4"/>
    <x v="0"/>
    <x v="1"/>
    <x v="10"/>
    <x v="2"/>
    <s v="హిందూ"/>
    <x v="1"/>
    <s v="sunil varma"/>
    <n v="8464988939"/>
    <x v="0"/>
    <x v="1"/>
    <x v="2"/>
    <x v="0"/>
    <x v="0"/>
    <x v="0"/>
    <s v="విద్య రంగం అభివృద్ధి చేయటం, ఆరోగ్య రంగం అభివృద్ధి చేయటం, వ్యవసాయం, రైతు బాగుండడం"/>
    <x v="0"/>
    <x v="0"/>
    <x v="0"/>
    <x v="0"/>
    <x v="0"/>
    <x v="0"/>
    <s v="Ashish Sk"/>
    <s v="Correctly Done"/>
    <s v="Correctly Done"/>
    <x v="0"/>
    <n v="1.3836274505214585"/>
    <n v="1.8055837563451775"/>
    <n v="1.9482662206881376"/>
    <n v="0.85034013605442171"/>
    <n v="1.1213131007097483"/>
    <n v="1.0790228998469584"/>
    <n v="0.90933567693352424"/>
    <n v="1"/>
    <n v="1"/>
    <n v="1"/>
    <n v="1"/>
    <n v="1"/>
    <n v="1"/>
    <n v="5.5"/>
    <n v="6"/>
    <n v="5"/>
    <n v="4"/>
    <n v="3"/>
    <s v="YSRCP HardCore"/>
  </r>
  <r>
    <s v="7bca5efe-67cb-43ba-b422-b950f3fe2a3e"/>
    <x v="3"/>
    <s v="1/22/2026, 11:58:24 AM"/>
    <s v="16.331298, 81.735083"/>
    <s v="SHOP NO.1, SAKHINETIPALLI, Andhra Pradesh, India"/>
    <x v="4"/>
    <s v="Naeem"/>
    <s v="http://164.52.221.216/localmedia/media/surveys/samples/recording_2026-01-22_11-55-43_samples_7pslxCf2tV.mp4"/>
    <x v="3"/>
    <x v="3"/>
    <x v="9"/>
    <x v="6"/>
    <s v="హిందూ"/>
    <x v="1"/>
    <s v="Ramani"/>
    <n v="9849074865"/>
    <x v="1"/>
    <x v="2"/>
    <x v="1"/>
    <x v="1"/>
    <x v="1"/>
    <x v="0"/>
    <s v="రోడ్లు వేయటం, విద్య రంగం అభివృద్ధి చేయటం, వ్యవసాయం, రైతు బాగుండడం"/>
    <x v="0"/>
    <x v="0"/>
    <x v="0"/>
    <x v="1"/>
    <x v="1"/>
    <x v="1"/>
    <s v="Ashish Sk"/>
    <s v="Fake Audio/Empty Audio"/>
    <s v="Surveyor added options on his own"/>
    <x v="1"/>
    <n v="1.8452248965186235"/>
    <n v="1.0795332136445241"/>
    <n v="2.738974648348997"/>
    <n v="2.1645021645021645"/>
    <n v="1.147984664167413"/>
    <n v="2.5371842327131073"/>
    <n v="2.9242991836792998"/>
    <n v="-1"/>
    <n v="-1"/>
    <n v="1"/>
    <n v="1"/>
    <n v="-1"/>
    <n v="1"/>
    <n v="0.5"/>
    <n v="0"/>
    <n v="1"/>
    <n v="2"/>
    <s v="ND"/>
    <s v="ND"/>
  </r>
  <r>
    <s v="effed641-e941-43d7-8582-4cfb99b35699"/>
    <x v="3"/>
    <s v="1/22/2026, 12:10:24 PM"/>
    <s v="16.403033, 81.777928"/>
    <s v="CQ3H+558, SakhinetiPalli, Andhra Pradesh, India"/>
    <x v="1"/>
    <s v="Naeem"/>
    <s v="http://164.52.221.216/localmedia/media/surveys/samples/recording_2026-01-22_12-08-29_samples_ew09VqmqEG.mp4"/>
    <x v="9"/>
    <x v="3"/>
    <x v="8"/>
    <x v="2"/>
    <s v="హిందూ"/>
    <x v="1"/>
    <s v="balu"/>
    <n v="9505252282"/>
    <x v="0"/>
    <x v="3"/>
    <x v="1"/>
    <x v="1"/>
    <x v="0"/>
    <x v="0"/>
    <s v="రోడ్లు వేయటం, ఉద్యొగ్య అవకాశాలు కల్పించటం, విద్య రంగం అభివృద్ధి చేయటం, ఆరోగ్య రంగం అభివృద్ధి చేయటం, సంక్షేమ పథకాలు (నగదు)"/>
    <x v="1"/>
    <x v="0"/>
    <x v="1"/>
    <x v="1"/>
    <x v="1"/>
    <x v="1"/>
    <s v="Deepika D"/>
    <s v="Correctly Done"/>
    <s v="correctly done"/>
    <x v="0"/>
    <n v="1.1209668980183516"/>
    <n v="1.0795332136445241"/>
    <n v="1.0451044981059459"/>
    <n v="0.85034013605442171"/>
    <n v="1.147984664167413"/>
    <n v="0.96810777556130356"/>
    <n v="0.30685005205910726"/>
    <n v="-1"/>
    <n v="1"/>
    <n v="1"/>
    <n v="-1"/>
    <n v="-1"/>
    <n v="-1"/>
    <n v="-1.5"/>
    <n v="-2"/>
    <n v="-3"/>
    <n v="-2"/>
    <n v="-3"/>
    <s v="Neutral TDP"/>
  </r>
  <r>
    <s v="c27b93d3-5efa-45d0-be6e-cf723ff458b8"/>
    <x v="3"/>
    <s v="1/22/2026, 12:19:24 PM"/>
    <s v="16.403084, 81.778672"/>
    <s v="near Antervedi road center, SakhinetiPalli, Andhra Pradesh, India"/>
    <x v="1"/>
    <s v="Naeem"/>
    <s v="http://164.52.221.216/localmedia/media/surveys/samples/recording_2026-01-22_12-17-37_samples_o7P3suQL4k.mp4"/>
    <x v="2"/>
    <x v="3"/>
    <x v="8"/>
    <x v="2"/>
    <s v="హిందూ"/>
    <x v="1"/>
    <s v="naradiharao"/>
    <n v="9177506868"/>
    <x v="1"/>
    <x v="2"/>
    <x v="1"/>
    <x v="1"/>
    <x v="1"/>
    <x v="1"/>
    <s v="రోడ్లు వేయటం, సంక్షేమ పథకాలు (నగదు)"/>
    <x v="1"/>
    <x v="0"/>
    <x v="1"/>
    <x v="1"/>
    <x v="1"/>
    <x v="1"/>
    <s v="Ashish Sk"/>
    <s v="Correctly Done"/>
    <s v="Q18 kept on his own, Gender - Male"/>
    <x v="0"/>
    <n v="1.1461625511156397"/>
    <n v="1.0795332136445241"/>
    <n v="3.0326483876590018"/>
    <n v="2.1645021645021645"/>
    <n v="1.147984664167413"/>
    <n v="2.8092219390089208"/>
    <n v="2.2934724643212636"/>
    <n v="-1"/>
    <n v="-1"/>
    <n v="-1"/>
    <n v="-1"/>
    <n v="-1"/>
    <n v="-1"/>
    <n v="-5.5"/>
    <n v="-6"/>
    <n v="-5"/>
    <n v="-4"/>
    <n v="-3"/>
    <s v="TDP HardCore"/>
  </r>
  <r>
    <s v="5bc0ced8-a64a-4028-a95b-5d575a3bcfd3"/>
    <x v="3"/>
    <s v="1/22/2026, 1:00:01 PM"/>
    <s v="16.404049, 81.780516"/>
    <s v="CQ3J+F8P, SakhinetiPalli, Andhra Pradesh, India"/>
    <x v="1"/>
    <s v="Naeem"/>
    <s v="http://164.52.221.216/localmedia/media/surveys/samples/recording_2026-01-22_12-56-49_samples_7HSflRmwiX.mp4"/>
    <x v="1"/>
    <x v="3"/>
    <x v="8"/>
    <x v="1"/>
    <s v="హిందూ"/>
    <x v="0"/>
    <s v="raju"/>
    <n v="9999999999"/>
    <x v="0"/>
    <x v="2"/>
    <x v="2"/>
    <x v="0"/>
    <x v="0"/>
    <x v="0"/>
    <s v="రోడ్లు వేయటం, విద్య రంగం అభివృద్ధి చేయటం, సంక్షేమ పథకాలు (నగదు)"/>
    <x v="0"/>
    <x v="0"/>
    <x v="0"/>
    <x v="1"/>
    <x v="1"/>
    <x v="1"/>
    <s v="Deepika D"/>
    <s v="Not Doing It Properly"/>
    <s v="Q9,16,17 not asking"/>
    <x v="0"/>
    <n v="1.1705128247062893"/>
    <n v="1.0795332136445241"/>
    <n v="0.86308903171383233"/>
    <n v="0.85034013605442171"/>
    <n v="1.147984664167413"/>
    <n v="0.79950206330384943"/>
    <n v="0.92148737207359532"/>
    <n v="1"/>
    <n v="1"/>
    <n v="1"/>
    <n v="1"/>
    <n v="-1"/>
    <n v="1"/>
    <n v="4.5"/>
    <n v="4"/>
    <n v="3"/>
    <n v="2"/>
    <n v="2"/>
    <s v="Neutral YSRCP"/>
  </r>
  <r>
    <s v="be8ed20d-d292-48d4-84e6-a38da68c813b"/>
    <x v="3"/>
    <s v="1/22/2026, 2:00:42 PM"/>
    <s v="16.332118, 81.734544"/>
    <s v="SHOP NO.6-4/2 LAKSHMI NARASIMHA COMPLEX MAIN ROAD ANTERVEDI DEVASTANAM, SakhinetiPalli, Andhra Pradesh, India"/>
    <x v="4"/>
    <s v="Naeem"/>
    <s v="http://164.52.221.216/localmedia/media/surveys/samples/recording_2026-01-22_13-58-12_samples_qULMxYr28j.mp4"/>
    <x v="1"/>
    <x v="3"/>
    <x v="9"/>
    <x v="1"/>
    <s v="హిందూ"/>
    <x v="1"/>
    <s v="Pothuraju pentarao"/>
    <n v="7989697868"/>
    <x v="0"/>
    <x v="3"/>
    <x v="1"/>
    <x v="1"/>
    <x v="1"/>
    <x v="0"/>
    <s v="రోడ్లు వేయటం, విద్య రంగం అభివృద్ధి చేయటం, వ్యవసాయం, రైతు బాగుండడం"/>
    <x v="1"/>
    <x v="0"/>
    <x v="0"/>
    <x v="1"/>
    <x v="1"/>
    <x v="1"/>
    <s v="Ashish Sk"/>
    <s v="Fake Audio/Empty Audio"/>
    <s v="kept all options on his own"/>
    <x v="1"/>
    <n v="1.1705128247062893"/>
    <n v="1.0795332136445241"/>
    <n v="0.86308903171383233"/>
    <n v="0.85034013605442171"/>
    <n v="1.147984664167413"/>
    <n v="0.79950206330384943"/>
    <n v="0.92148737207359532"/>
    <n v="-1"/>
    <n v="-1"/>
    <n v="1"/>
    <n v="-1"/>
    <n v="-1"/>
    <n v="1"/>
    <n v="-1.5"/>
    <n v="-2"/>
    <n v="-1"/>
    <n v="0"/>
    <s v="ND"/>
    <s v="ND"/>
  </r>
  <r>
    <s v="2c2782dd-f562-4f2b-8aa8-75ec0af9cf99"/>
    <x v="3"/>
    <s v="1/22/2026, 3:04:54 PM"/>
    <s v="16.333145, 81.733940"/>
    <s v="SHOP NO.9, SAKHINETIPALLI, Andhra Pradesh, India"/>
    <x v="4"/>
    <s v="Naeem"/>
    <s v="http://164.52.221.216/localmedia/media/surveys/samples/recording_2026-01-22_15-02-13_samples_f79jJkeBAC.mp4"/>
    <x v="6"/>
    <x v="3"/>
    <x v="9"/>
    <x v="6"/>
    <s v="హిందూ"/>
    <x v="0"/>
    <s v="nagalaxmi"/>
    <n v="7989264623"/>
    <x v="1"/>
    <x v="4"/>
    <x v="1"/>
    <x v="1"/>
    <x v="1"/>
    <x v="0"/>
    <s v="ఉద్యొగ్య అవకాశాలు కల్పించటం, ఆరోగ్య రంగం అభివృద్ధి చేయటం, వ్యవసాయం, రైతు బాగుండడం"/>
    <x v="1"/>
    <x v="0"/>
    <x v="1"/>
    <x v="1"/>
    <x v="1"/>
    <x v="1"/>
    <s v="Deepika D"/>
    <s v="Fake Audio/Empty Audio"/>
    <s v="fake audio / empty audio"/>
    <x v="1"/>
    <n v="1.2612194085121222"/>
    <n v="1.0795332136445241"/>
    <n v="2.6155674106916162"/>
    <n v="2.1645021645021645"/>
    <n v="1.147984664167413"/>
    <n v="2.4228688637206557"/>
    <n v="2.2107623881946901"/>
    <n v="-1"/>
    <n v="-1"/>
    <n v="1"/>
    <n v="-1"/>
    <n v="-1"/>
    <n v="-1"/>
    <n v="-3.5"/>
    <n v="-4"/>
    <n v="-3"/>
    <n v="-2"/>
    <n v="-3"/>
    <s v="Neutral TDP"/>
  </r>
  <r>
    <s v="cfe7df81-fc79-4c3f-aa31-5630a7a34818"/>
    <x v="3"/>
    <s v="1/22/2026, 12:25:22 PM"/>
    <s v="16.504609, 81.878173"/>
    <s v="GV3H+M83, Tatipaka, Andhra Pradesh, India"/>
    <x v="3"/>
    <s v="Naeem"/>
    <s v="http://164.52.221.216/localmedia/media/surveys/samples/recording_2026-01-22_12-19-23_samples_8xpzOgSDib.mp4"/>
    <x v="8"/>
    <x v="1"/>
    <x v="10"/>
    <x v="3"/>
    <s v="హిందూ"/>
    <x v="2"/>
    <s v="satyanarauana"/>
    <n v="7702423631"/>
    <x v="0"/>
    <x v="0"/>
    <x v="2"/>
    <x v="0"/>
    <x v="0"/>
    <x v="0"/>
    <s v="రోడ్లు వేయటం, ఉద్యొగ్య అవకాశాలు కల్పించటం, విద్య రంగం అభివృద్ధి చేయటం, ఆరోగ్య రంగం అభివృద్ధి చేయటం"/>
    <x v="1"/>
    <x v="0"/>
    <x v="1"/>
    <x v="1"/>
    <x v="1"/>
    <x v="1"/>
    <s v="Ashish Sk"/>
    <s v="Correctly Done"/>
    <s v="Correctly Done"/>
    <x v="0"/>
    <n v="0.80207032429970992"/>
    <n v="1.0795332136445241"/>
    <n v="0.65595572330316032"/>
    <n v="0.85034013605442171"/>
    <n v="1.1213131007097483"/>
    <n v="0.60762903356038633"/>
    <n v="0.38672994380094594"/>
    <n v="1"/>
    <n v="1"/>
    <n v="1"/>
    <n v="-1"/>
    <n v="-1"/>
    <n v="-1"/>
    <n v="0.5"/>
    <n v="0"/>
    <n v="-1"/>
    <n v="-2"/>
    <n v="-2"/>
    <s v="Neutral TDP"/>
  </r>
  <r>
    <s v="afa51f67-b7a1-4f21-8f0d-08b0cfd6f823"/>
    <x v="3"/>
    <s v="1/22/2026, 3:56:46 PM"/>
    <s v="16.333643, 81.735124"/>
    <s v="8PMP+G4J, Antervedi Pallipalem, Andhra Pradesh, India"/>
    <x v="4"/>
    <s v="Naeem"/>
    <s v="http://164.52.221.216/localmedia/media/surveys/samples/recording_2026-01-22_15-54-33_samples_5v1sHarXcO.mp4"/>
    <x v="2"/>
    <x v="3"/>
    <x v="9"/>
    <x v="1"/>
    <s v="హిందూ"/>
    <x v="0"/>
    <s v="k srirambabu"/>
    <n v="9491581216"/>
    <x v="0"/>
    <x v="2"/>
    <x v="0"/>
    <x v="1"/>
    <x v="0"/>
    <x v="0"/>
    <s v="విద్య రంగం అభివృద్ధి చేయటం, ఆరోగ్య రంగం అభివృద్ధి చేయటం, వ్యవసాయం, రైతు బాగుండడం"/>
    <x v="0"/>
    <x v="0"/>
    <x v="0"/>
    <x v="0"/>
    <x v="0"/>
    <x v="0"/>
    <s v="Deepika D"/>
    <s v="Not Doing It Properly"/>
    <s v="fake/empty audio"/>
    <x v="0"/>
    <n v="1.1461625511156397"/>
    <n v="1.8055837563451775"/>
    <n v="1.2999324650914248"/>
    <n v="0.85034013605442171"/>
    <n v="1.147984664167413"/>
    <n v="0.71995135120329123"/>
    <n v="0.54319084681293095"/>
    <n v="-1"/>
    <n v="1"/>
    <n v="1"/>
    <n v="1"/>
    <n v="1"/>
    <n v="1"/>
    <n v="3.5"/>
    <n v="4"/>
    <n v="3"/>
    <n v="4"/>
    <n v="2"/>
    <s v="YSRCP Sympathiser"/>
  </r>
  <r>
    <s v="37897af4-d505-4912-bc31-3b058e2e26ca"/>
    <x v="3"/>
    <s v="1/22/2026, 4:13:15 PM"/>
    <s v="16.332692, 81.735488"/>
    <s v="8PMP+33M, Antervedi Pallipalem, Andhra Pradesh, India"/>
    <x v="4"/>
    <s v="Naeem"/>
    <s v="http://164.52.221.216/localmedia/media/surveys/samples/recording_2026-01-22_16-10-23_samples_5ICZiF9d6c.mp4"/>
    <x v="0"/>
    <x v="0"/>
    <x v="11"/>
    <x v="0"/>
    <s v="హిందూ"/>
    <x v="1"/>
    <s v="vadapalli sathhibabu"/>
    <n v="9963033146"/>
    <x v="0"/>
    <x v="4"/>
    <x v="2"/>
    <x v="0"/>
    <x v="0"/>
    <x v="0"/>
    <s v="ఉద్యొగ్య అవకాశాలు కల్పించటం, ఆరోగ్య రంగం అభివృద్ధి చేయటం, వ్యవసాయం, రైతు బాగుండడం"/>
    <x v="0"/>
    <x v="0"/>
    <x v="0"/>
    <x v="0"/>
    <x v="0"/>
    <x v="0"/>
    <s v="Deepika D"/>
    <s v="Not Doing It Properly"/>
    <s v="fake/empty audio"/>
    <x v="0"/>
    <n v="1.3836274505214585"/>
    <n v="1.8055837563451775"/>
    <n v="1.9482662206881376"/>
    <n v="0.85034013605442171"/>
    <n v="1.9264642089343564"/>
    <n v="1.0790228998469584"/>
    <n v="2.1355167697651956"/>
    <n v="1"/>
    <n v="1"/>
    <n v="1"/>
    <n v="1"/>
    <n v="1"/>
    <n v="1"/>
    <n v="5.5"/>
    <n v="6"/>
    <n v="5"/>
    <n v="4"/>
    <n v="3"/>
    <s v="YSRCP HardCore"/>
  </r>
  <r>
    <s v="908377b1-e04f-426c-9746-2ca4f663ffb1"/>
    <x v="3"/>
    <s v="1/22/2026, 12:30:28 PM"/>
    <s v="16.403226, 81.778952"/>
    <s v="Anthervedipalem, Malikipuram, Andhra Pradesh, India"/>
    <x v="1"/>
    <s v="Naeem"/>
    <s v="http://164.52.221.216/localmedia/media/surveys/samples/recording_2026-01-22_12-28-34_samples_8RSHswoSMi.mp4"/>
    <x v="10"/>
    <x v="3"/>
    <x v="8"/>
    <x v="2"/>
    <s v="హిందూ"/>
    <x v="3"/>
    <s v="likith"/>
    <n v="8977280447"/>
    <x v="0"/>
    <x v="1"/>
    <x v="1"/>
    <x v="1"/>
    <x v="1"/>
    <x v="1"/>
    <s v="రోడ్లు వేయటం, సంక్షేమ పథకాలు (నగదు)"/>
    <x v="1"/>
    <x v="0"/>
    <x v="1"/>
    <x v="1"/>
    <x v="1"/>
    <x v="1"/>
    <s v="Ashish Sk"/>
    <s v="Correctly Done"/>
    <s v="Wrong caste entered"/>
    <x v="0"/>
    <n v="1.016226256869897"/>
    <n v="1.0795332136445241"/>
    <n v="0.54852499843435276"/>
    <n v="0.85034013605442171"/>
    <n v="1.147984664167413"/>
    <n v="0.50811312843494849"/>
    <n v="0.18301228231933422"/>
    <n v="-1"/>
    <n v="-1"/>
    <n v="-1"/>
    <n v="-1"/>
    <n v="-1"/>
    <n v="-1"/>
    <n v="-5.5"/>
    <n v="-6"/>
    <n v="-5"/>
    <n v="-4"/>
    <n v="-3"/>
    <s v="TDP HardCore"/>
  </r>
  <r>
    <s v="8d2163fc-d4eb-4145-87af-84dbc574eb35"/>
    <x v="3"/>
    <s v="1/22/2026, 5:00:48 PM"/>
    <s v="16.333218, 81.733895"/>
    <s v="Antarvedi devastanam, Antervedi Pallipalem, Andhra Pradesh, India"/>
    <x v="4"/>
    <s v="Naeem"/>
    <s v="http://164.52.221.216/localmedia/media/surveys/samples/recording_2026-01-22_16-58-14_samples_MKMgPilt6v.mp4"/>
    <x v="3"/>
    <x v="3"/>
    <x v="9"/>
    <x v="0"/>
    <s v="హిందూ"/>
    <x v="1"/>
    <s v="T samudrudu"/>
    <n v="9849693250"/>
    <x v="0"/>
    <x v="2"/>
    <x v="1"/>
    <x v="1"/>
    <x v="1"/>
    <x v="0"/>
    <s v="ఉద్యొగ్య అవకాశాలు కల్పించటం, విద్య రంగం అభివృద్ధి చేయటం, వ్యవసాయం, రైతు బాగుండడం"/>
    <x v="1"/>
    <x v="0"/>
    <x v="1"/>
    <x v="1"/>
    <x v="1"/>
    <x v="1"/>
    <s v="Ashish Sk"/>
    <s v="Fake Audio/Empty Audio"/>
    <s v="Fake Sample"/>
    <x v="1"/>
    <n v="1.8452248965186235"/>
    <n v="1.0795332136445241"/>
    <n v="1.5651283704851411"/>
    <n v="0.85034013605442171"/>
    <n v="1.147984664167413"/>
    <n v="1.4498195615503471"/>
    <n v="2.9242991836792998"/>
    <n v="-1"/>
    <n v="-1"/>
    <n v="1"/>
    <n v="-1"/>
    <n v="-1"/>
    <n v="-1"/>
    <n v="-3.5"/>
    <n v="-4"/>
    <n v="-3"/>
    <n v="-2"/>
    <n v="-3"/>
    <s v="Neutral TDP"/>
  </r>
  <r>
    <s v="3c35886b-3460-4119-bb1c-ff96beaa4dc7"/>
    <x v="3"/>
    <s v="1/22/2026, 12:32:21 PM"/>
    <s v="16.505582, 81.878262"/>
    <s v="GV4H+98R, Tatipaka, Andhra Pradesh, India"/>
    <x v="3"/>
    <s v="Naeem"/>
    <s v="http://164.52.221.216/localmedia/media/surveys/samples/recording_2026-01-22_12-29-48_samples_pj1NzsEf8j.mp4"/>
    <x v="2"/>
    <x v="1"/>
    <x v="10"/>
    <x v="1"/>
    <s v="హిందూ"/>
    <x v="0"/>
    <s v="venkateswaramanaa"/>
    <n v="7702456550"/>
    <x v="0"/>
    <x v="4"/>
    <x v="1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0"/>
    <x v="1"/>
    <x v="1"/>
    <x v="1"/>
    <x v="1"/>
    <s v="Deepika D"/>
    <s v="Correctly Done"/>
    <s v="correctly done"/>
    <x v="0"/>
    <n v="1.1461625511156397"/>
    <n v="1.0795332136445241"/>
    <n v="0.77721139583220644"/>
    <n v="0.85034013605442171"/>
    <n v="1.1213131007097483"/>
    <n v="0.71995135120329123"/>
    <n v="1.3370299504035861"/>
    <n v="-1"/>
    <n v="-1"/>
    <n v="-1"/>
    <n v="-1"/>
    <n v="-1"/>
    <n v="-1"/>
    <n v="-5.5"/>
    <n v="-6"/>
    <n v="-5"/>
    <n v="-4"/>
    <n v="-3"/>
    <s v="TDP HardCore"/>
  </r>
  <r>
    <s v="9bb4130d-3781-462f-aad8-a1aad67ef83d"/>
    <x v="3"/>
    <s v="1/22/2026, 12:32:40 PM"/>
    <s v="16.403303, 81.780366"/>
    <s v="CQ3J+F8P, SakhinetiPalli, Andhra Pradesh, India"/>
    <x v="1"/>
    <s v="Naeem"/>
    <s v="http://164.52.221.216/localmedia/media/surveys/samples/recording_2026-01-22_12-31-21_samples_gyLRqb5o6e.mp4"/>
    <x v="2"/>
    <x v="3"/>
    <x v="8"/>
    <x v="1"/>
    <s v="హిందూ"/>
    <x v="3"/>
    <s v="ajay"/>
    <n v="9941992277"/>
    <x v="0"/>
    <x v="1"/>
    <x v="1"/>
    <x v="1"/>
    <x v="1"/>
    <x v="1"/>
    <s v="రోడ్లు వేయటం"/>
    <x v="1"/>
    <x v="0"/>
    <x v="1"/>
    <x v="1"/>
    <x v="1"/>
    <x v="1"/>
    <s v="Ashish Sk"/>
    <s v="Correctly Done"/>
    <s v="Q1 kept on his own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5b636801-488e-49a4-a3a7-23a3a1ef9216"/>
    <x v="3"/>
    <s v="1/22/2026, 12:42:13 PM"/>
    <s v="16.403782, 81.779429"/>
    <s v="SHOP NO.6-2 SRI LAKSHMI COMPLEX MAIN ROAD, Malikipuram, Andhra Pradesh, India"/>
    <x v="1"/>
    <s v="Naeem"/>
    <s v="http://164.52.221.216/localmedia/media/surveys/samples/recording_2026-01-22_12-39-10_samples_VUDpBou94j.mp4"/>
    <x v="10"/>
    <x v="3"/>
    <x v="8"/>
    <x v="0"/>
    <s v="హిందూ"/>
    <x v="0"/>
    <s v="peddiraju"/>
    <n v="9618602733"/>
    <x v="0"/>
    <x v="3"/>
    <x v="1"/>
    <x v="1"/>
    <x v="0"/>
    <x v="1"/>
    <s v="రోడ్లు వేయటం, ఉద్యొగ్య అవకాశాలు కల్పించటం, ఆరోగ్య రంగం అభివృద్ధి చేయటం"/>
    <x v="1"/>
    <x v="0"/>
    <x v="1"/>
    <x v="1"/>
    <x v="1"/>
    <x v="1"/>
    <s v="Ashish Sk"/>
    <s v="Correctly Done"/>
    <s v="caste mentioned as nayi brahmin"/>
    <x v="0"/>
    <n v="1.016226256869897"/>
    <n v="1.0795332136445241"/>
    <n v="0.54852499843435276"/>
    <n v="0.85034013605442171"/>
    <n v="1.147984664167413"/>
    <n v="0.50811312843494849"/>
    <n v="0.18301228231933422"/>
    <n v="-1"/>
    <n v="1"/>
    <n v="-1"/>
    <n v="-1"/>
    <n v="-1"/>
    <n v="-1"/>
    <n v="-3.5"/>
    <n v="-4"/>
    <n v="-5"/>
    <n v="-4"/>
    <n v="-3"/>
    <s v="TDP Sympathiser"/>
  </r>
  <r>
    <s v="5688680a-fcd5-4075-a607-107330225163"/>
    <x v="3"/>
    <s v="1/22/2026, 12:51:13 PM"/>
    <s v="16.504461, 81.876955"/>
    <s v="Tatipaka Road, Tatipaka, Andhra Pradesh, India"/>
    <x v="3"/>
    <s v="Naeem"/>
    <s v="http://164.52.221.216/localmedia/media/surveys/samples/recording_2026-01-22_12-37-34_samples_2FVvsJBtaR.mp4"/>
    <x v="10"/>
    <x v="1"/>
    <x v="10"/>
    <x v="7"/>
    <s v="హిందూ"/>
    <x v="2"/>
    <s v="k. nageswararao"/>
    <n v="9492247688"/>
    <x v="0"/>
    <x v="3"/>
    <x v="2"/>
    <x v="0"/>
    <x v="1"/>
    <x v="1"/>
    <s v="రోడ్లు వేయటం, ఉద్యొగ్య అవకాశాలు కల్పించటం, ఆరోగ్య రంగం అభివృద్ధి చేయటం"/>
    <x v="1"/>
    <x v="1"/>
    <x v="2"/>
    <x v="2"/>
    <x v="1"/>
    <x v="1"/>
    <s v="Deepika D"/>
    <s v="Correctly Done"/>
    <n v="0"/>
    <x v="0"/>
    <n v="1.016226256869897"/>
    <n v="0.66153846153846207"/>
    <n v="0.33613637727235079"/>
    <n v="0.85034013605442171"/>
    <n v="1.1213131007097483"/>
    <n v="0.50811312843494849"/>
    <n v="0.73498254074817215"/>
    <n v="1"/>
    <n v="-1"/>
    <n v="-1"/>
    <n v="-1"/>
    <n v="-1"/>
    <n v="-1"/>
    <n v="-3.5"/>
    <n v="-4"/>
    <n v="-3"/>
    <n v="-4"/>
    <n v="-2"/>
    <s v="TDP Sympathiser"/>
  </r>
  <r>
    <s v="fac5e77d-424f-4541-bb44-a8ad5ce176bc"/>
    <x v="3"/>
    <s v="1/22/2026, 2:15:43 PM"/>
    <s v="16.399183, 81.781761"/>
    <s v="9QXJ+MPJ, Antarvedipalem, Andhra Pradesh, India"/>
    <x v="1"/>
    <s v="Naeem"/>
    <s v="http://164.52.221.216/localmedia/media/surveys/samples/recording_2026-01-22_14-14-37_samples_AfXtLr0mom.mp4"/>
    <x v="0"/>
    <x v="0"/>
    <x v="11"/>
    <x v="6"/>
    <s v="హిందూ"/>
    <x v="0"/>
    <s v="kavitha"/>
    <n v="9999999999"/>
    <x v="1"/>
    <x v="3"/>
    <x v="2"/>
    <x v="0"/>
    <x v="0"/>
    <x v="0"/>
    <s v="రోడ్లు వేయటం, విద్య రంగం అభివృద్ధి చేయటం"/>
    <x v="0"/>
    <x v="1"/>
    <x v="0"/>
    <x v="0"/>
    <x v="2"/>
    <x v="0"/>
    <s v="Deepika D"/>
    <s v="Not Doing It Properly"/>
    <s v="surveyor asking questions but respondent not there"/>
    <x v="0"/>
    <n v="1.3836274505214585"/>
    <n v="1.8055837563451775"/>
    <n v="3.4809023142961388"/>
    <n v="2.1645021645021645"/>
    <n v="1.9264642089343564"/>
    <n v="1.9278542477265657"/>
    <n v="4.0768956513699193"/>
    <n v="1"/>
    <n v="1"/>
    <n v="1"/>
    <n v="1"/>
    <n v="1"/>
    <n v="1"/>
    <n v="5.5"/>
    <n v="6"/>
    <n v="5"/>
    <n v="4"/>
    <n v="3"/>
    <s v="YSRCP HardCore"/>
  </r>
  <r>
    <s v="99b83e9c-67fd-42f7-9ffa-0c7518eeed80"/>
    <x v="3"/>
    <s v="1/22/2026, 12:56:46 PM"/>
    <s v="16.327968, 81.733616"/>
    <s v="8PHM+7FQ, Antervedi Pallipalem, Andhra Pradesh, India"/>
    <x v="4"/>
    <s v="Naeem"/>
    <s v="http://164.52.221.216/localmedia/media/surveys/samples/recording_2026-01-22_12-52-31_samples_jaXs5fb9bk.mp4"/>
    <x v="2"/>
    <x v="3"/>
    <x v="9"/>
    <x v="0"/>
    <s v="హిందూ"/>
    <x v="0"/>
    <s v="satyanarayana"/>
    <n v="8897379713"/>
    <x v="0"/>
    <x v="2"/>
    <x v="1"/>
    <x v="1"/>
    <x v="1"/>
    <x v="1"/>
    <s v="రోడ్లు వేయటం, విద్య రంగం అభివృద్ధి చేయటం, వ్యవసాయం, రైతు బాగుండడం"/>
    <x v="1"/>
    <x v="0"/>
    <x v="1"/>
    <x v="1"/>
    <x v="1"/>
    <x v="1"/>
    <s v="Ashish Sk"/>
    <s v="Correctly Done"/>
    <s v="Q1 kept on his own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dc931c56-41c3-4fb9-92a6-f6dc59981a56"/>
    <x v="3"/>
    <s v="1/22/2026, 2:04:34 PM"/>
    <s v="16.399130, 81.781914"/>
    <s v="9QXJ+MPJ, Antarvedipalem, Andhra Pradesh, India"/>
    <x v="1"/>
    <s v="Naeem"/>
    <s v="http://164.52.221.216/localmedia/media/surveys/samples/recording_2026-01-22_14-02-53_samples_lbz0KBXzZP.mp4"/>
    <x v="6"/>
    <x v="3"/>
    <x v="8"/>
    <x v="0"/>
    <s v="హిందూ"/>
    <x v="2"/>
    <s v="satyanarayana"/>
    <n v="7993388869"/>
    <x v="0"/>
    <x v="1"/>
    <x v="2"/>
    <x v="1"/>
    <x v="1"/>
    <x v="1"/>
    <s v="రోడ్లు వేయటం, విద్య రంగం అభివృద్ధి చేయటం, వ్యవసాయం, రైతు బాగుండడం"/>
    <x v="1"/>
    <x v="0"/>
    <x v="1"/>
    <x v="1"/>
    <x v="1"/>
    <x v="1"/>
    <s v="Deepika D"/>
    <s v="Correctly Done"/>
    <s v="correctly done"/>
    <x v="0"/>
    <n v="1.2612194085121222"/>
    <n v="1.0795332136445241"/>
    <n v="0.92029223709519836"/>
    <n v="0.85034013605442171"/>
    <n v="1.147984664167413"/>
    <n v="0.85249089649430487"/>
    <n v="0.41451794778650441"/>
    <n v="-1"/>
    <n v="-1"/>
    <n v="-1"/>
    <n v="-1"/>
    <n v="-1"/>
    <n v="-1"/>
    <n v="-5.5"/>
    <n v="-6"/>
    <n v="-5"/>
    <n v="-4"/>
    <n v="-3"/>
    <s v="TDP HardCore"/>
  </r>
  <r>
    <s v="ec211021-0e03-4589-927f-7b8387bf87ea"/>
    <x v="3"/>
    <s v="1/22/2026, 2:08:00 PM"/>
    <s v="16.400884, 81.781818"/>
    <s v="8-155, Antarvedipalem, Andhra Pradesh, India"/>
    <x v="1"/>
    <s v="Naeem"/>
    <s v="http://164.52.221.216/localmedia/media/surveys/samples/recording_2026-01-22_14-06-09_samples_r1oFL10HJm.mp4"/>
    <x v="6"/>
    <x v="3"/>
    <x v="8"/>
    <x v="0"/>
    <s v="హిందూ"/>
    <x v="0"/>
    <s v="srinivas"/>
    <n v="9381036835"/>
    <x v="0"/>
    <x v="1"/>
    <x v="1"/>
    <x v="1"/>
    <x v="1"/>
    <x v="1"/>
    <s v="రోడ్లు వేయటం, సంక్షేమ పథకాలు (నగదు)"/>
    <x v="1"/>
    <x v="0"/>
    <x v="1"/>
    <x v="1"/>
    <x v="1"/>
    <x v="1"/>
    <s v="Ashish Sk"/>
    <s v="Correctly Done"/>
    <s v="Wrong caste entered"/>
    <x v="0"/>
    <n v="1.2612194085121222"/>
    <n v="1.0795332136445241"/>
    <n v="0.92029223709519836"/>
    <n v="0.85034013605442171"/>
    <n v="1.147984664167413"/>
    <n v="0.85249089649430487"/>
    <n v="0.41451794778650441"/>
    <n v="-1"/>
    <n v="-1"/>
    <n v="-1"/>
    <n v="-1"/>
    <n v="-1"/>
    <n v="-1"/>
    <n v="-5.5"/>
    <n v="-6"/>
    <n v="-5"/>
    <n v="-4"/>
    <n v="-3"/>
    <s v="TDP HardCore"/>
  </r>
  <r>
    <s v="3df08eb7-c302-414d-a846-d80e2559a21c"/>
    <x v="3"/>
    <s v="1/22/2026, 5:02:54 PM"/>
    <s v="16.359841, 81.794636"/>
    <s v="9Q5V+QHP, Kesavadasupalem, Andhra Pradesh, India"/>
    <x v="1"/>
    <s v="Naeem"/>
    <s v="http://164.52.221.216/localmedia/media/surveys/samples/recording_2026-01-22_17-01-21_samples_QfJudJK8hG.mp4"/>
    <x v="5"/>
    <x v="3"/>
    <x v="12"/>
    <x v="2"/>
    <s v="హిందూ"/>
    <x v="1"/>
    <s v="nanaji"/>
    <n v="9515465715"/>
    <x v="1"/>
    <x v="3"/>
    <x v="2"/>
    <x v="1"/>
    <x v="0"/>
    <x v="0"/>
    <s v="రోడ్లు వేయటం"/>
    <x v="1"/>
    <x v="0"/>
    <x v="1"/>
    <x v="1"/>
    <x v="1"/>
    <x v="1"/>
    <s v="Deepika D"/>
    <s v="Not Doing It Properly"/>
    <s v="Q7 kept his own and respondent male but mentioned female"/>
    <x v="0"/>
    <n v="1.0478809952686368"/>
    <n v="1.0795332136445241"/>
    <n v="1.7911020357040086"/>
    <n v="2.1645021645021645"/>
    <n v="1.147984664167413"/>
    <n v="1.6591449091753416"/>
    <n v="1.4342187022576396"/>
    <n v="-1"/>
    <n v="1"/>
    <n v="1"/>
    <n v="-1"/>
    <n v="-1"/>
    <n v="-1"/>
    <n v="-1.5"/>
    <n v="-2"/>
    <n v="-3"/>
    <n v="-2"/>
    <n v="-3"/>
    <s v="Neutral TDP"/>
  </r>
  <r>
    <s v="2d1f1e61-a9bf-43c0-90a0-299bd014c7d5"/>
    <x v="3"/>
    <s v="1/22/2026, 2:10:47 PM"/>
    <s v="16.507778, 81.877575"/>
    <s v="GV5H+54W, Tatipaka, Andhra Pradesh, India"/>
    <x v="3"/>
    <s v="Naeem"/>
    <s v="http://164.52.221.216/localmedia/media/surveys/samples/recording_2026-01-22_14-04-41_samples_wVqYrbStjl.mp4"/>
    <x v="5"/>
    <x v="1"/>
    <x v="10"/>
    <x v="0"/>
    <s v="హిందూ"/>
    <x v="1"/>
    <s v="durga"/>
    <n v="999999999"/>
    <x v="1"/>
    <x v="1"/>
    <x v="1"/>
    <x v="1"/>
    <x v="0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0"/>
    <x v="1"/>
    <x v="1"/>
    <x v="1"/>
    <x v="1"/>
    <s v="Deepika D"/>
    <s v="Correctly Done"/>
    <s v="correctly done"/>
    <x v="0"/>
    <n v="1.0478809952686368"/>
    <n v="1.0795332136445241"/>
    <n v="1.7911020357040086"/>
    <n v="2.1645021645021645"/>
    <n v="1.1213131007097483"/>
    <n v="1.6591449091753416"/>
    <n v="1.4399657941188679"/>
    <n v="-1"/>
    <n v="1"/>
    <n v="-1"/>
    <n v="-1"/>
    <n v="-1"/>
    <n v="-1"/>
    <n v="-3.5"/>
    <n v="-4"/>
    <n v="-5"/>
    <n v="-4"/>
    <n v="-3"/>
    <s v="TDP Sympathiser"/>
  </r>
  <r>
    <s v="339855c0-ceb4-48a9-85b1-8f92bd183e39"/>
    <x v="3"/>
    <s v="1/22/2026, 2:15:42 PM"/>
    <s v="16.399183, 81.781761"/>
    <s v="9QXJ+MPJ, Antarvedipalem, Andhra Pradesh, India"/>
    <x v="1"/>
    <s v="Naeem"/>
    <s v="http://164.52.221.216/localmedia/media/surveys/samples/recording_2026-01-22_14-14-37_samples_i0zXDI7Usz.mp4"/>
    <x v="0"/>
    <x v="3"/>
    <x v="8"/>
    <x v="6"/>
    <s v="హిందూ"/>
    <x v="0"/>
    <s v="kavitha"/>
    <n v="9999999999"/>
    <x v="1"/>
    <x v="3"/>
    <x v="2"/>
    <x v="0"/>
    <x v="0"/>
    <x v="0"/>
    <s v="రోడ్లు వేయటం, విద్య రంగం అభివృద్ధి చేయటం"/>
    <x v="0"/>
    <x v="1"/>
    <x v="0"/>
    <x v="0"/>
    <x v="2"/>
    <x v="0"/>
    <s v="Ashish Sk"/>
    <s v="Correctly Done"/>
    <n v="0"/>
    <x v="0"/>
    <n v="1.3836274505214585"/>
    <n v="1.8055837563451775"/>
    <n v="3.4809023142961388"/>
    <n v="2.1645021645021645"/>
    <n v="1.147984664167413"/>
    <n v="1.9278542477265657"/>
    <n v="3.2048072590163397"/>
    <n v="1"/>
    <n v="1"/>
    <n v="1"/>
    <n v="1"/>
    <n v="1"/>
    <n v="1"/>
    <n v="5.5"/>
    <n v="6"/>
    <n v="5"/>
    <n v="4"/>
    <n v="3"/>
    <s v="YSRCP HardCore"/>
  </r>
  <r>
    <s v="021911d8-b690-4fe5-a057-35c86618562f"/>
    <x v="3"/>
    <s v="1/22/2026, 2:17:57 PM"/>
    <s v="16.508148, 81.877115"/>
    <s v="GV5G+FW4, Tatipaka, Andhra Pradesh, India"/>
    <x v="3"/>
    <s v="Naeem"/>
    <s v="http://164.52.221.216/localmedia/media/surveys/samples/recording_2026-01-22_14-14-56_samples_8iyzXugWjb.mp4"/>
    <x v="5"/>
    <x v="1"/>
    <x v="10"/>
    <x v="0"/>
    <s v="క్రిస్టియన్"/>
    <x v="1"/>
    <s v="s. rambabu"/>
    <n v="9640672467"/>
    <x v="0"/>
    <x v="1"/>
    <x v="1"/>
    <x v="1"/>
    <x v="0"/>
    <x v="1"/>
    <s v="రోడ్లు వేయటం, విద్య రంగం అభివృద్ధి చేయటం, ఆరోగ్య రంగం అభివృద్ధి చేయటం"/>
    <x v="1"/>
    <x v="0"/>
    <x v="1"/>
    <x v="1"/>
    <x v="1"/>
    <x v="1"/>
    <s v="Ashish Sk"/>
    <s v="Correctly Done"/>
    <s v="Q1 they said all issues"/>
    <x v="0"/>
    <n v="1.0478809952686368"/>
    <n v="1.0795332136445241"/>
    <n v="0.8266624780172348"/>
    <n v="0.85034013605442171"/>
    <n v="1.1213131007097483"/>
    <n v="0.7657591888501577"/>
    <n v="2.8799315882377359"/>
    <n v="-1"/>
    <n v="1"/>
    <n v="-1"/>
    <n v="-1"/>
    <n v="-1"/>
    <n v="-1"/>
    <n v="-3.5"/>
    <n v="-4"/>
    <n v="-5"/>
    <n v="-4"/>
    <n v="-3"/>
    <s v="TDP Sympathiser"/>
  </r>
  <r>
    <s v="3a18da6e-5911-4896-894c-29f0cab77f2f"/>
    <x v="3"/>
    <s v="1/22/2026, 3:14:18 PM"/>
    <s v="16.332048, 81.733498"/>
    <s v="SHOP NO.8-39 SIVALAYAM ROAD NEAR SURIBABU CHICKEN CENTER ANTERVEDI DEVASTANAM, Antervedi Pallipalem, Andhra Pradesh, India"/>
    <x v="4"/>
    <s v="Naeem"/>
    <s v="http://164.52.221.216/localmedia/media/surveys/samples/recording_2026-01-22_15-11-21_samples_7KtS9HfT73.mp4"/>
    <x v="1"/>
    <x v="3"/>
    <x v="9"/>
    <x v="6"/>
    <s v="హిందూ"/>
    <x v="0"/>
    <s v="Ramadevi"/>
    <n v="9550242727"/>
    <x v="1"/>
    <x v="4"/>
    <x v="1"/>
    <x v="1"/>
    <x v="1"/>
    <x v="1"/>
    <s v="రోడ్లు వేయటం, విద్య రంగం అభివృద్ధి చేయటం, వ్యవసాయం, రైతు బాగుండడం"/>
    <x v="1"/>
    <x v="0"/>
    <x v="1"/>
    <x v="1"/>
    <x v="1"/>
    <x v="1"/>
    <s v="Deepika D"/>
    <s v="Fake Audio/Empty Audio"/>
    <s v="fake/empty audio"/>
    <x v="1"/>
    <n v="1.1705128247062893"/>
    <n v="1.0795332136445241"/>
    <n v="2.3577066232182737"/>
    <n v="2.1645021645021645"/>
    <n v="1.147984664167413"/>
    <n v="2.1840056363422229"/>
    <n v="25.80164641806067"/>
    <n v="-1"/>
    <n v="-1"/>
    <n v="-1"/>
    <n v="-1"/>
    <n v="-1"/>
    <n v="-1"/>
    <n v="-5.5"/>
    <n v="-6"/>
    <n v="-5"/>
    <n v="-4"/>
    <n v="-3"/>
    <s v="TDP HardCore"/>
  </r>
  <r>
    <s v="e7232588-8bb3-4134-b746-ef6cbbd1ec95"/>
    <x v="3"/>
    <s v="1/22/2026, 1:27:47 PM"/>
    <s v="16.328815, 81.735645"/>
    <s v="Temple road, Antervedi Pallipalem, Andhra Pradesh, India"/>
    <x v="4"/>
    <s v="Naeem"/>
    <s v="http://164.52.221.216/localmedia/media/surveys/samples/recording_2026-01-22_13-26-11_samples_4cCwiZOqN1.mp4"/>
    <x v="9"/>
    <x v="3"/>
    <x v="9"/>
    <x v="3"/>
    <s v="హిందూ"/>
    <x v="3"/>
    <s v="srnivas"/>
    <n v="9989053760"/>
    <x v="0"/>
    <x v="3"/>
    <x v="1"/>
    <x v="1"/>
    <x v="1"/>
    <x v="1"/>
    <s v="ఉద్యొగ్య అవకాశాలు కల్పించటం, విద్య రంగం అభివృద్ధి చేయటం, వ్యవసాయం, రైతు బాగుండడం"/>
    <x v="1"/>
    <x v="0"/>
    <x v="1"/>
    <x v="1"/>
    <x v="1"/>
    <x v="1"/>
    <s v="Deepika D"/>
    <s v="Fake Audio/Empty Audio"/>
    <s v="fake audio/empty audio"/>
    <x v="1"/>
    <n v="1.1209668980183516"/>
    <n v="1.0795332136445241"/>
    <n v="1.0451044981059459"/>
    <n v="0.85034013605442171"/>
    <n v="1.147984664167413"/>
    <n v="0.96810777556130356"/>
    <n v="0.30685005205910726"/>
    <n v="-1"/>
    <n v="-1"/>
    <n v="-1"/>
    <n v="-1"/>
    <n v="-1"/>
    <n v="-1"/>
    <n v="-5.5"/>
    <n v="-6"/>
    <n v="-5"/>
    <n v="-4"/>
    <n v="-3"/>
    <s v="TDP HardCore"/>
  </r>
  <r>
    <s v="02baed90-9372-41db-b7ee-723256d1bee1"/>
    <x v="3"/>
    <s v="1/22/2026, 2:28:07 PM"/>
    <s v="16.509017, 81.876670"/>
    <s v="SHOP NO.45-21/2, Mamidikududru, Andhra Pradesh, India"/>
    <x v="3"/>
    <s v="Naeem"/>
    <s v="http://164.52.221.216/localmedia/media/surveys/samples/recording_2026-01-22_14-24-59_samples_AAZvwW57Ms.mp4"/>
    <x v="9"/>
    <x v="1"/>
    <x v="10"/>
    <x v="0"/>
    <s v="హిందూ"/>
    <x v="0"/>
    <s v="venkatalakshmi"/>
    <n v="99999999"/>
    <x v="1"/>
    <x v="1"/>
    <x v="1"/>
    <x v="1"/>
    <x v="1"/>
    <x v="1"/>
    <s v="రోడ్లు వేయటం, శాంతి భద్రతలను కాపాడటం, వ్యవసాయం, రైతు బాగుండడం"/>
    <x v="1"/>
    <x v="0"/>
    <x v="1"/>
    <x v="1"/>
    <x v="1"/>
    <x v="1"/>
    <s v="Deepika D"/>
    <s v="Correctly Done"/>
    <s v="correctly done"/>
    <x v="0"/>
    <n v="1.1209668980183516"/>
    <n v="1.0795332136445241"/>
    <n v="1.4370186848956754"/>
    <n v="2.1645021645021645"/>
    <n v="1.1213131007097483"/>
    <n v="1.3311481913967924"/>
    <n v="1.5403981909912889"/>
    <n v="-1"/>
    <n v="-1"/>
    <n v="-1"/>
    <n v="-1"/>
    <n v="-1"/>
    <n v="-1"/>
    <n v="-5.5"/>
    <n v="-6"/>
    <n v="-5"/>
    <n v="-4"/>
    <n v="-3"/>
    <s v="TDP HardCore"/>
  </r>
  <r>
    <s v="f3151800-fa60-412d-9e1a-9f8a2ad765ae"/>
    <x v="3"/>
    <s v="1/22/2026, 4:18:37 PM"/>
    <s v="16.332507, 81.734992"/>
    <s v="8PJP+X2V, Antervedi Pallipalem, Andhra Pradesh, India"/>
    <x v="4"/>
    <s v="Naeem"/>
    <s v="http://164.52.221.216/localmedia/media/surveys/samples/recording_2026-01-22_16-13-23_samples_ye35kFTOWL.mp4"/>
    <x v="6"/>
    <x v="3"/>
    <x v="9"/>
    <x v="0"/>
    <s v="హిందూ"/>
    <x v="1"/>
    <s v="Krishna"/>
    <n v="9704515574"/>
    <x v="0"/>
    <x v="2"/>
    <x v="0"/>
    <x v="0"/>
    <x v="0"/>
    <x v="0"/>
    <s v="శాంతి భద్రతలను కాపాడటం, విద్య రంగం అభివృద్ధి చేయటం, ఆరోగ్య రంగం అభివృద్ధి చేయటం"/>
    <x v="0"/>
    <x v="0"/>
    <x v="0"/>
    <x v="0"/>
    <x v="0"/>
    <x v="0"/>
    <s v="Deepika D"/>
    <s v="Not Doing It Properly"/>
    <s v="Q7 explaining the options ,Q9 kept his own"/>
    <x v="0"/>
    <n v="1.2612194085121222"/>
    <n v="1.8055837563451775"/>
    <n v="1.5392437151422549"/>
    <n v="0.85034013605442171"/>
    <n v="1.147984664167413"/>
    <n v="0.85249089649430487"/>
    <n v="0.41451794778650441"/>
    <n v="1"/>
    <n v="1"/>
    <n v="1"/>
    <n v="1"/>
    <n v="1"/>
    <n v="1"/>
    <n v="5.5"/>
    <n v="6"/>
    <n v="5"/>
    <n v="4"/>
    <n v="3"/>
    <s v="YSRCP HardCore"/>
  </r>
  <r>
    <s v="96b31f27-2aa4-4cdf-9ec5-37b94edef53a"/>
    <x v="3"/>
    <s v="1/22/2026, 4:37:41 PM"/>
    <s v="16.358427, 81.790431"/>
    <s v="Shop No 10 Main Road, Kesavadasupalem, Andhra Pradesh, India"/>
    <x v="1"/>
    <s v="Naeem"/>
    <s v="http://164.52.221.216/localmedia/media/surveys/samples/recording_2026-01-22_16-36-42_samples_eAJdDjkk00.mp4"/>
    <x v="2"/>
    <x v="3"/>
    <x v="12"/>
    <x v="2"/>
    <s v="హిందూ"/>
    <x v="0"/>
    <s v="ravi"/>
    <n v="9999999999"/>
    <x v="0"/>
    <x v="1"/>
    <x v="1"/>
    <x v="1"/>
    <x v="1"/>
    <x v="1"/>
    <s v="రోడ్లు వేయటం, వ్యవసాయం, రైతు బాగుండడం, సంక్షేమ పథకాలు (నగదు)"/>
    <x v="1"/>
    <x v="0"/>
    <x v="1"/>
    <x v="1"/>
    <x v="1"/>
    <x v="1"/>
    <s v="Deepika D"/>
    <s v="Not Doing It Properly"/>
    <s v="Q1,Q16,17 kept his own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d3ce8dda-68ff-453b-9484-12930491b5cb"/>
    <x v="3"/>
    <s v="1/22/2026, 2:33:04 PM"/>
    <s v="16.509712, 81.876384"/>
    <s v="GV5G+VCG, Tatipaka, Andhra Pradesh, India"/>
    <x v="3"/>
    <s v="Naeem"/>
    <s v="http://164.52.221.216/localmedia/media/surveys/samples/recording_2026-01-22_14-30-18_samples_irWdyUoxLW.mp4"/>
    <x v="2"/>
    <x v="1"/>
    <x v="10"/>
    <x v="0"/>
    <s v="హిందూ"/>
    <x v="3"/>
    <s v="santosh"/>
    <n v="9666298475"/>
    <x v="0"/>
    <x v="2"/>
    <x v="1"/>
    <x v="1"/>
    <x v="1"/>
    <x v="1"/>
    <s v="రోడ్లు వేయటం, విద్య రంగం అభివృద్ధి చేయటం, ఆరోగ్య రంగం అభివృద్ధి చేయటం"/>
    <x v="1"/>
    <x v="0"/>
    <x v="1"/>
    <x v="1"/>
    <x v="1"/>
    <x v="1"/>
    <s v="Ashish Sk"/>
    <s v="Correctly Done"/>
    <s v="No Remarks"/>
    <x v="0"/>
    <n v="1.1461625511156397"/>
    <n v="1.0795332136445241"/>
    <n v="0.77721139583220644"/>
    <n v="0.85034013605442171"/>
    <n v="1.1213131007097483"/>
    <n v="0.71995135120329123"/>
    <n v="1.3370299504035861"/>
    <n v="-1"/>
    <n v="-1"/>
    <n v="-1"/>
    <n v="-1"/>
    <n v="-1"/>
    <n v="-1"/>
    <n v="-5.5"/>
    <n v="-6"/>
    <n v="-5"/>
    <n v="-4"/>
    <n v="-3"/>
    <s v="TDP HardCore"/>
  </r>
  <r>
    <s v="663f8847-74d8-44e0-ae87-d31d6b4cfc8d"/>
    <x v="3"/>
    <s v="1/22/2026, 2:49:24 PM"/>
    <s v="16.506535, 81.875811"/>
    <s v="GV4G+G8H, Tatipaka, Andhra Pradesh, India"/>
    <x v="3"/>
    <s v="Naeem"/>
    <s v="http://164.52.221.216/localmedia/media/surveys/samples/recording_2026-01-22_14-45-30_samples_nWB8jMk5hr.mp4"/>
    <x v="4"/>
    <x v="1"/>
    <x v="10"/>
    <x v="0"/>
    <s v="హిందూ"/>
    <x v="2"/>
    <s v="saronana"/>
    <n v="9701154498"/>
    <x v="1"/>
    <x v="1"/>
    <x v="1"/>
    <x v="1"/>
    <x v="1"/>
    <x v="1"/>
    <s v="రోడ్లు వేయటం, విద్య రంగం అభివృద్ధి చేయటం, ఆరోగ్య రంగం అభివృద్ధి చేయటం"/>
    <x v="1"/>
    <x v="0"/>
    <x v="1"/>
    <x v="1"/>
    <x v="1"/>
    <x v="1"/>
    <s v="Ashish Sk"/>
    <s v="Correctly Done"/>
    <s v="No remarks"/>
    <x v="0"/>
    <n v="2.1852575402829908"/>
    <n v="1.0795332136445241"/>
    <n v="3.8334694045417663"/>
    <n v="2.1645021645021645"/>
    <n v="1.1213131007097483"/>
    <n v="3.5510435029598604"/>
    <n v="1.027312553073255"/>
    <n v="-1"/>
    <n v="-1"/>
    <n v="-1"/>
    <n v="-1"/>
    <n v="-1"/>
    <n v="-1"/>
    <n v="-5.5"/>
    <n v="-6"/>
    <n v="-5"/>
    <n v="-4"/>
    <n v="-3"/>
    <s v="TDP HardCore"/>
  </r>
  <r>
    <s v="9c7b6e8d-8e8f-4495-befb-32ad27ab1081"/>
    <x v="3"/>
    <s v="1/22/2026, 1:09:57 PM"/>
    <s v="16.328635, 81.734766"/>
    <s v="Temple road, Antervedi Pallipalem, Andhra Pradesh, India"/>
    <x v="4"/>
    <s v="Naeem"/>
    <s v="http://164.52.221.216/localmedia/media/surveys/samples/recording_2026-01-22_13-07-45_samples_U4kmKWxiP0.mp4"/>
    <x v="6"/>
    <x v="3"/>
    <x v="9"/>
    <x v="6"/>
    <s v="హిందూ"/>
    <x v="1"/>
    <s v="bhagya laxmi"/>
    <n v="6308944653"/>
    <x v="1"/>
    <x v="3"/>
    <x v="1"/>
    <x v="1"/>
    <x v="1"/>
    <x v="0"/>
    <s v="ఉద్యొగ్య అవకాశాలు కల్పించటం, విద్య రంగం అభివృద్ధి చేయటం, ఆరోగ్య రంగం అభివృద్ధి చేయటం"/>
    <x v="1"/>
    <x v="0"/>
    <x v="1"/>
    <x v="1"/>
    <x v="1"/>
    <x v="1"/>
    <s v="Ashish Sk"/>
    <s v="Fake Audio/Empty Audio"/>
    <s v="Kept all options on his own"/>
    <x v="1"/>
    <n v="1.2612194085121222"/>
    <n v="1.0795332136445241"/>
    <n v="2.6155674106916162"/>
    <n v="2.1645021645021645"/>
    <n v="1.147984664167413"/>
    <n v="2.4228688637206557"/>
    <n v="2.2107623881946901"/>
    <n v="-1"/>
    <n v="-1"/>
    <n v="1"/>
    <n v="-1"/>
    <n v="-1"/>
    <n v="-1"/>
    <n v="-3.5"/>
    <n v="-4"/>
    <n v="-3"/>
    <n v="-2"/>
    <n v="-3"/>
    <s v="Neutral TDP"/>
  </r>
  <r>
    <s v="266b585b-cd22-48ca-b03c-f8ca84c86a8e"/>
    <x v="3"/>
    <s v="1/22/2026, 2:58:39 PM"/>
    <s v="16.504929, 81.874138"/>
    <s v="GV4F+5RM, Tatipaka, Andhra Pradesh, India"/>
    <x v="3"/>
    <s v="Naeem"/>
    <s v="http://164.52.221.216/localmedia/media/surveys/samples/recording_2026-01-22_14-53-50_samples_TkvmaIsXJN.mp4"/>
    <x v="2"/>
    <x v="1"/>
    <x v="10"/>
    <x v="0"/>
    <s v="హిందూ"/>
    <x v="1"/>
    <s v="srinivasa naidu"/>
    <n v="8374715677"/>
    <x v="0"/>
    <x v="1"/>
    <x v="1"/>
    <x v="1"/>
    <x v="0"/>
    <x v="0"/>
    <s v="రోడ్లు వేయటం, ఉద్యొగ్య అవకాశాలు కల్పించటం, శాంతి భద్రతలను కాపాడటం"/>
    <x v="0"/>
    <x v="0"/>
    <x v="1"/>
    <x v="1"/>
    <x v="1"/>
    <x v="1"/>
    <s v="Ashish Sk"/>
    <s v="Correctly Done"/>
    <s v="No Remarks"/>
    <x v="0"/>
    <n v="1.1461625511156397"/>
    <n v="1.0795332136445241"/>
    <n v="0.77721139583220644"/>
    <n v="0.85034013605442171"/>
    <n v="1.1213131007097483"/>
    <n v="0.71995135120329123"/>
    <n v="1.3370299504035861"/>
    <n v="-1"/>
    <n v="1"/>
    <n v="1"/>
    <n v="1"/>
    <n v="-1"/>
    <n v="-1"/>
    <n v="0.5"/>
    <n v="0"/>
    <n v="-1"/>
    <n v="0"/>
    <n v="-3"/>
    <s v="Neutral TDP"/>
  </r>
  <r>
    <s v="5573ac78-b3ba-49db-bde8-8b25a6e874a6"/>
    <x v="3"/>
    <s v="1/22/2026, 3:21:24 PM"/>
    <s v="16.332294, 81.734111"/>
    <s v="8PJM+WJW, Antervedi Pallipalem, Andhra Pradesh, India"/>
    <x v="4"/>
    <s v="Naeem"/>
    <s v="http://164.52.221.216/localmedia/media/surveys/samples/recording_2026-01-22_15-18-49_samples_NldppabeBt.mp4"/>
    <x v="0"/>
    <x v="3"/>
    <x v="9"/>
    <x v="5"/>
    <s v="హిందూ"/>
    <x v="3"/>
    <s v="Manikanta Manupati"/>
    <n v="9989977611"/>
    <x v="0"/>
    <x v="2"/>
    <x v="1"/>
    <x v="1"/>
    <x v="1"/>
    <x v="1"/>
    <s v="రోడ్లు వేయటం, విద్య రంగం అభివృద్ధి చేయటం, వ్యవసాయం, రైతు బాగుండడం"/>
    <x v="1"/>
    <x v="2"/>
    <x v="1"/>
    <x v="3"/>
    <x v="1"/>
    <x v="1"/>
    <s v="Ashish Sk"/>
    <s v="Not Doing It Properly"/>
    <s v="wrong caste - yerukula, didn't ask Q2,3,5"/>
    <x v="0"/>
    <n v="1.3836274505214585"/>
    <n v="0.66153846153846207"/>
    <n v="0.71381514912952693"/>
    <n v="0.85034013605442171"/>
    <n v="1.147984664167413"/>
    <n v="1.0790228998469584"/>
    <n v="1.1572915102003449"/>
    <n v="-1"/>
    <n v="-1"/>
    <n v="-1"/>
    <n v="-1"/>
    <n v="-1"/>
    <n v="-1"/>
    <n v="-5.5"/>
    <n v="-6"/>
    <n v="-5"/>
    <n v="-4"/>
    <n v="-3"/>
    <s v="TDP HardCore"/>
  </r>
  <r>
    <s v="f4563090-1486-4d10-a7f0-1b14dab77704"/>
    <x v="3"/>
    <s v="1/22/2026, 3:02:09 PM"/>
    <s v="16.505567, 81.874821"/>
    <s v="5-26, Tatipaka, Andhra Pradesh, India"/>
    <x v="3"/>
    <s v="Naeem"/>
    <s v="http://164.52.221.216/localmedia/media/surveys/samples/recording_2026-01-22_15-00-01_samples_4a1uCM4P0e.mp4"/>
    <x v="3"/>
    <x v="1"/>
    <x v="10"/>
    <x v="1"/>
    <s v="హిందూ"/>
    <x v="1"/>
    <s v="ganesh"/>
    <n v="7997812381"/>
    <x v="0"/>
    <x v="2"/>
    <x v="1"/>
    <x v="1"/>
    <x v="1"/>
    <x v="1"/>
    <s v="శాంతి భద్రతలను కాపాడటం, విద్య రంగం అభివృద్ధి చేయటం, ఆరోగ్య రంగం అభివృద్ధి చేయటం"/>
    <x v="1"/>
    <x v="0"/>
    <x v="1"/>
    <x v="1"/>
    <x v="1"/>
    <x v="1"/>
    <s v="Ashish Sk"/>
    <s v="Correctly Done"/>
    <s v="Caste- Kamma,"/>
    <x v="0"/>
    <n v="1.8452248965186235"/>
    <n v="1.0795332136445241"/>
    <n v="1.5651283704851411"/>
    <n v="0.85034013605442171"/>
    <n v="1.1213131007097483"/>
    <n v="1.4498195615503471"/>
    <n v="0.97867240415506407"/>
    <n v="-1"/>
    <n v="-1"/>
    <n v="-1"/>
    <n v="-1"/>
    <n v="-1"/>
    <n v="-1"/>
    <n v="-5.5"/>
    <n v="-6"/>
    <n v="-5"/>
    <n v="-4"/>
    <n v="-3"/>
    <s v="TDP HardCore"/>
  </r>
  <r>
    <s v="53928585-9f68-4f94-8831-9ffc2e8826b2"/>
    <x v="3"/>
    <s v="1/22/2026, 3:09:28 PM"/>
    <s v="16.332139, 81.732944"/>
    <s v="8PJM+WGM, Antervedi Pallipalem, Andhra Pradesh, India"/>
    <x v="4"/>
    <s v="Naeem"/>
    <s v="http://164.52.221.216/localmedia/media/surveys/samples/recording_2026-01-22_15-05-29_samples_SVJZitXysw.mp4"/>
    <x v="1"/>
    <x v="3"/>
    <x v="7"/>
    <x v="4"/>
    <s v="హిందూ"/>
    <x v="3"/>
    <s v="laxminarasimha"/>
    <n v="8179832477"/>
    <x v="0"/>
    <x v="3"/>
    <x v="1"/>
    <x v="1"/>
    <x v="1"/>
    <x v="0"/>
    <s v="ఉద్యొగ్య అవకాశాలు కల్పించటం, ఆరోగ్య రంగం అభివృద్ధి చేయటం, వ్యవసాయం, రైతు బాగుండడం"/>
    <x v="1"/>
    <x v="0"/>
    <x v="1"/>
    <x v="1"/>
    <x v="1"/>
    <x v="1"/>
    <s v="Ashish Sk"/>
    <s v="Correctly Done"/>
    <s v="Correctly Done"/>
    <x v="0"/>
    <n v="1.1705128247062893"/>
    <n v="1.0795332136445241"/>
    <n v="0.86308903171383233"/>
    <n v="0.85034013605442171"/>
    <n v="1.147984664167413"/>
    <n v="0.79950206330384943"/>
    <n v="0.92148737207359532"/>
    <n v="-1"/>
    <n v="-1"/>
    <n v="1"/>
    <n v="-1"/>
    <n v="-1"/>
    <n v="-1"/>
    <n v="-3.5"/>
    <n v="-4"/>
    <n v="-3"/>
    <n v="-2"/>
    <n v="-3"/>
    <s v="Neutral TDP"/>
  </r>
  <r>
    <s v="3054a86a-edd4-4f82-830f-0b5276920139"/>
    <x v="3"/>
    <s v="1/22/2026, 3:38:48 PM"/>
    <s v="16.399183, 81.781761"/>
    <s v="9QXJ+MPJ, Antarvedipalem, Andhra Pradesh, India"/>
    <x v="1"/>
    <s v="Naeem"/>
    <s v="http://164.52.221.216/localmedia/media/surveys/samples/recording_2026-01-22_14-14-37_samples_XIdRBNnRKF.mp4"/>
    <x v="0"/>
    <x v="3"/>
    <x v="8"/>
    <x v="6"/>
    <s v="హిందూ"/>
    <x v="0"/>
    <s v="kavitha"/>
    <n v="9999999999"/>
    <x v="1"/>
    <x v="3"/>
    <x v="2"/>
    <x v="0"/>
    <x v="0"/>
    <x v="0"/>
    <s v="రోడ్లు వేయటం, విద్య రంగం అభివృద్ధి చేయటం"/>
    <x v="0"/>
    <x v="1"/>
    <x v="0"/>
    <x v="0"/>
    <x v="2"/>
    <x v="0"/>
    <s v="Ashish Sk"/>
    <s v="Correctly Done"/>
    <n v="0"/>
    <x v="0"/>
    <n v="1.3836274505214585"/>
    <n v="1.8055837563451775"/>
    <n v="3.4809023142961388"/>
    <n v="2.1645021645021645"/>
    <n v="1.147984664167413"/>
    <n v="1.9278542477265657"/>
    <n v="3.2048072590163397"/>
    <n v="1"/>
    <n v="1"/>
    <n v="1"/>
    <n v="1"/>
    <n v="1"/>
    <n v="1"/>
    <n v="5.5"/>
    <n v="6"/>
    <n v="5"/>
    <n v="4"/>
    <n v="3"/>
    <s v="YSRCP HardCore"/>
  </r>
  <r>
    <s v="9c9d91f0-eeea-4682-b065-f6cfdcc83511"/>
    <x v="3"/>
    <s v="1/22/2026, 4:43:36 PM"/>
    <s v="16.332323, 81.734384"/>
    <s v="Main Road Antervedi Devastanam Village Sakhinetipalli Mandal, Antervedi Pallipalem, Andhra Pradesh, India"/>
    <x v="4"/>
    <s v="Naeem"/>
    <s v="http://164.52.221.216/localmedia/media/surveys/samples/recording_2026-01-22_16-41-28_samples_g7XfOfwhV4.mp4"/>
    <x v="0"/>
    <x v="0"/>
    <x v="11"/>
    <x v="0"/>
    <s v="క్రిస్టియన్"/>
    <x v="1"/>
    <s v="Nirmala"/>
    <n v="9502156394"/>
    <x v="1"/>
    <x v="4"/>
    <x v="0"/>
    <x v="1"/>
    <x v="0"/>
    <x v="0"/>
    <s v="ఉద్యొగ్య అవకాశాలు కల్పించటం, విద్య రంగం అభివృద్ధి చేయటం, ఆరోగ్య రంగం అభివృద్ధి చేయటం"/>
    <x v="0"/>
    <x v="0"/>
    <x v="0"/>
    <x v="0"/>
    <x v="0"/>
    <x v="0"/>
    <s v="Ashish Sk"/>
    <s v="Not Doing It Properly"/>
    <s v="All options entered on his own"/>
    <x v="0"/>
    <n v="1.3836274505214585"/>
    <n v="1.8055837563451775"/>
    <n v="3.4809023142961388"/>
    <n v="2.1645021645021645"/>
    <n v="1.9264642089343564"/>
    <n v="1.9278542477265657"/>
    <n v="4.0768956513699193"/>
    <n v="-1"/>
    <n v="1"/>
    <n v="1"/>
    <n v="1"/>
    <n v="1"/>
    <n v="1"/>
    <n v="3.5"/>
    <n v="4"/>
    <n v="3"/>
    <n v="4"/>
    <n v="2"/>
    <s v="YSRCP Sympathiser"/>
  </r>
  <r>
    <s v="a7ce2c78-71e9-49ff-b48e-456e739083fe"/>
    <x v="3"/>
    <s v="1/22/2026, 5:07:28 PM"/>
    <s v="16.333476, 81.733236"/>
    <s v="8PMM+G78, Antervedi Pallipalem, Andhra Pradesh, India"/>
    <x v="4"/>
    <s v="Naeem"/>
    <s v="http://164.52.221.216/localmedia/media/surveys/samples/recording_2026-01-22_17-05-29_samples_6MM6E7UKDy.mp4"/>
    <x v="2"/>
    <x v="3"/>
    <x v="9"/>
    <x v="6"/>
    <s v="హిందూ"/>
    <x v="1"/>
    <s v="lakshmi"/>
    <n v="8897629404"/>
    <x v="1"/>
    <x v="4"/>
    <x v="1"/>
    <x v="1"/>
    <x v="1"/>
    <x v="1"/>
    <s v="ఉద్యొగ్య అవకాశాలు కల్పించటం, విద్య రంగం అభివృద్ధి చేయటం, ఆరోగ్య రంగం అభివృద్ధి చేయటం"/>
    <x v="1"/>
    <x v="0"/>
    <x v="1"/>
    <x v="1"/>
    <x v="1"/>
    <x v="1"/>
    <s v="Deepika D"/>
    <s v="Fake Audio/Empty Audio"/>
    <s v="fake/empty audio"/>
    <x v="1"/>
    <n v="1.1461625511156397"/>
    <n v="1.0795332136445241"/>
    <n v="3.0326483876590018"/>
    <n v="2.1645021645021645"/>
    <n v="1.147984664167413"/>
    <n v="2.8092219390089208"/>
    <n v="2.2934724643212636"/>
    <n v="-1"/>
    <n v="-1"/>
    <n v="-1"/>
    <n v="-1"/>
    <n v="-1"/>
    <n v="-1"/>
    <n v="-5.5"/>
    <n v="-6"/>
    <n v="-5"/>
    <n v="-4"/>
    <n v="-3"/>
    <s v="TDP HardCore"/>
  </r>
  <r>
    <s v="51164078-61c3-4b5e-9768-d5399623f86d"/>
    <x v="3"/>
    <s v="1/22/2026, 5:53:27 PM"/>
    <s v="16.360651, 81.798000"/>
    <s v="9Q6X+G4H, Kesavadasupalem, Andhra Pradesh, India"/>
    <x v="1"/>
    <s v="Naeem"/>
    <s v="http://164.52.221.216/localmedia/media/surveys/samples/recording_2026-01-22_17-51-50_samples_Am2F9xVOXw.mp4"/>
    <x v="1"/>
    <x v="3"/>
    <x v="12"/>
    <x v="0"/>
    <s v="హిందూ"/>
    <x v="0"/>
    <s v="rambabu"/>
    <n v="9999999999"/>
    <x v="0"/>
    <x v="1"/>
    <x v="2"/>
    <x v="1"/>
    <x v="0"/>
    <x v="0"/>
    <s v="రోడ్లు వేయటం, వ్యవసాయం, రైతు బాగుండడం, సంక్షేమ పథకాలు (నగదు)"/>
    <x v="1"/>
    <x v="0"/>
    <x v="0"/>
    <x v="1"/>
    <x v="1"/>
    <x v="1"/>
    <s v="Bhagya H"/>
    <s v="Not Doing It Properly"/>
    <s v="Q6 entered on his own"/>
    <x v="0"/>
    <n v="1.1705128247062893"/>
    <n v="1.0795332136445241"/>
    <n v="0.86308903171383233"/>
    <n v="0.85034013605442171"/>
    <n v="1.147984664167413"/>
    <n v="0.79950206330384943"/>
    <n v="0.92148737207359532"/>
    <n v="-1"/>
    <n v="1"/>
    <n v="1"/>
    <n v="-1"/>
    <n v="-1"/>
    <n v="1"/>
    <n v="0.5"/>
    <n v="0"/>
    <n v="-1"/>
    <n v="0"/>
    <s v="ND"/>
    <s v="ND"/>
  </r>
  <r>
    <s v="a724ab57-d0b7-4539-a24a-9825a2a3ec8a"/>
    <x v="3"/>
    <s v="1/22/2026, 3:47:58 PM"/>
    <s v="16.333177, 81.733883"/>
    <s v="SHOP NO.9, SAKHINETIPALLI, Andhra Pradesh, India"/>
    <x v="4"/>
    <s v="Naeem"/>
    <s v="http://164.52.221.216/localmedia/media/surveys/samples/recording_2026-01-22_15-43-30_samples_zoxLFol0bZ.mp4"/>
    <x v="8"/>
    <x v="3"/>
    <x v="9"/>
    <x v="0"/>
    <s v="హిందూ"/>
    <x v="1"/>
    <s v="narasimhamurthy"/>
    <n v="9573127664"/>
    <x v="0"/>
    <x v="4"/>
    <x v="0"/>
    <x v="1"/>
    <x v="1"/>
    <x v="1"/>
    <s v="ఉద్యొగ్య అవకాశాలు కల్పించటం, ఆరోగ్య రంగం అభివృద్ధి చేయటం, వ్యవసాయం, రైతు బాగుండడం"/>
    <x v="1"/>
    <x v="0"/>
    <x v="0"/>
    <x v="0"/>
    <x v="0"/>
    <x v="0"/>
    <s v="Deepika D"/>
    <s v="Correctly Done"/>
    <n v="0"/>
    <x v="0"/>
    <n v="0.80207032429970992"/>
    <n v="1.8055837563451775"/>
    <n v="1.0971251128803523"/>
    <n v="0.85034013605442171"/>
    <n v="1.147984664167413"/>
    <n v="0.60762903356038633"/>
    <n v="1.1555593620092124"/>
    <n v="-1"/>
    <n v="-1"/>
    <n v="-1"/>
    <n v="-1"/>
    <n v="1"/>
    <n v="1"/>
    <n v="-2.5"/>
    <n v="-2"/>
    <n v="-1"/>
    <n v="0"/>
    <n v="2"/>
    <s v="Neutral YSRCP"/>
  </r>
  <r>
    <s v="d0b1d62b-6197-4910-bec3-d65787d18f18"/>
    <x v="3"/>
    <s v="1/22/2026, 3:48:06 PM"/>
    <s v="16.333177, 81.733883"/>
    <s v="SHOP NO.9, SAKHINETIPALLI, Andhra Pradesh, India"/>
    <x v="4"/>
    <s v="Naeem"/>
    <s v="http://164.52.221.216/localmedia/media/surveys/samples/recording_2026-01-22_15-43-30_samples_h46o2BS142.mp4"/>
    <x v="8"/>
    <x v="3"/>
    <x v="9"/>
    <x v="0"/>
    <s v="హిందూ"/>
    <x v="1"/>
    <s v="narasimhamurthy"/>
    <n v="9573127664"/>
    <x v="0"/>
    <x v="4"/>
    <x v="0"/>
    <x v="1"/>
    <x v="1"/>
    <x v="1"/>
    <s v="ఉద్యొగ్య అవకాశాలు కల్పించటం, ఆరోగ్య రంగం అభివృద్ధి చేయటం, వ్యవసాయం, రైతు బాగుండడం"/>
    <x v="1"/>
    <x v="0"/>
    <x v="0"/>
    <x v="0"/>
    <x v="0"/>
    <x v="0"/>
    <s v="Ashish Sk"/>
    <s v="Correctly Done"/>
    <n v="0"/>
    <x v="0"/>
    <n v="0.80207032429970992"/>
    <n v="1.8055837563451775"/>
    <n v="1.0971251128803523"/>
    <n v="0.85034013605442171"/>
    <n v="1.147984664167413"/>
    <n v="0.60762903356038633"/>
    <n v="1.1555593620092124"/>
    <n v="-1"/>
    <n v="-1"/>
    <n v="-1"/>
    <n v="-1"/>
    <n v="1"/>
    <n v="1"/>
    <n v="-2.5"/>
    <n v="-2"/>
    <n v="-1"/>
    <n v="0"/>
    <n v="2"/>
    <s v="Neutral YSRCP"/>
  </r>
  <r>
    <s v="7a4efe7c-5e32-41a8-9411-da945d79e9f5"/>
    <x v="3"/>
    <s v="1/22/2026, 3:30:20 PM"/>
    <s v="16.332084, 81.734616"/>
    <s v="SHOP NO.104 MAIN ROAD NEAR SIXTEEN PILLARS MANDAPAM ANTERVEDI DEVASTANAM, Antervedi Pallipalem, Andhra Pradesh, India"/>
    <x v="4"/>
    <s v="Naeem"/>
    <s v="http://164.52.221.216/localmedia/media/surveys/samples/recording_2026-01-22_15-28-30_samples_qjFXYYrFC7.mp4"/>
    <x v="2"/>
    <x v="3"/>
    <x v="9"/>
    <x v="3"/>
    <s v="హిందూ"/>
    <x v="0"/>
    <s v="Pandurangarao c"/>
    <n v="9963751850"/>
    <x v="0"/>
    <x v="2"/>
    <x v="1"/>
    <x v="1"/>
    <x v="1"/>
    <x v="1"/>
    <s v="ఉద్యొగ్య అవకాశాలు కల్పించటం, విద్య రంగం అభివృద్ధి చేయటం, వ్యవసాయం, రైతు బాగుండడం"/>
    <x v="1"/>
    <x v="0"/>
    <x v="1"/>
    <x v="1"/>
    <x v="1"/>
    <x v="1"/>
    <s v="Deepika D"/>
    <s v="Fake Audio/Empty Audio"/>
    <s v="fake/empty audio"/>
    <x v="1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326d1a8d-b2ed-4f54-9aee-2a97ddee9cde"/>
    <x v="3"/>
    <s v="1/22/2026, 1:36:28 PM"/>
    <s v="16.404442, 81.781018"/>
    <s v="DOOR NO, Antarvedipalem, Andhra Pradesh, India"/>
    <x v="1"/>
    <s v="Naeem"/>
    <s v="http://164.52.221.216/localmedia/media/surveys/samples/recording_2026-01-22_13-35-13_samples_6982vXw8Tw.mp4"/>
    <x v="2"/>
    <x v="3"/>
    <x v="8"/>
    <x v="0"/>
    <s v="హిందూ"/>
    <x v="2"/>
    <s v="ramarao"/>
    <n v="9000226300"/>
    <x v="0"/>
    <x v="1"/>
    <x v="1"/>
    <x v="1"/>
    <x v="1"/>
    <x v="1"/>
    <s v="రోడ్లు వేయటం, సంక్షేమ పథకాలు (నగదు)"/>
    <x v="1"/>
    <x v="0"/>
    <x v="1"/>
    <x v="1"/>
    <x v="1"/>
    <x v="1"/>
    <s v="Deepika D"/>
    <s v="Not Doing It Properly"/>
    <s v="Q9 kept his own and asking questions very fast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340dcf05-8c7c-4750-9f5e-2fd8fbe9794c"/>
    <x v="3"/>
    <s v="1/22/2026, 4:02:00 PM"/>
    <s v="16.333044, 81.735867"/>
    <s v="8PMP+4C8, Antervedi Pallipalem, Andhra Pradesh, India"/>
    <x v="4"/>
    <s v="Naeem"/>
    <s v="http://164.52.221.216/localmedia/media/surveys/samples/recording_2026-01-22_15-58-35_samples_sGVMYKsVcK.mp4"/>
    <x v="0"/>
    <x v="3"/>
    <x v="9"/>
    <x v="3"/>
    <s v="హిందూ"/>
    <x v="0"/>
    <s v="kishore"/>
    <n v="9573591160"/>
    <x v="0"/>
    <x v="2"/>
    <x v="0"/>
    <x v="0"/>
    <x v="1"/>
    <x v="0"/>
    <s v="రోడ్లు వేయటం, విద్య రంగం అభివృద్ధి చేయటం, వ్యవసాయం, రైతు బాగుండడం"/>
    <x v="1"/>
    <x v="0"/>
    <x v="1"/>
    <x v="1"/>
    <x v="1"/>
    <x v="1"/>
    <s v="Deepika D"/>
    <s v="Not Doing It Properly"/>
    <s v="Q5,7,9,10 kept his own"/>
    <x v="0"/>
    <n v="1.3836274505214585"/>
    <n v="1.0795332136445241"/>
    <n v="1.1648410586678206"/>
    <n v="0.85034013605442171"/>
    <n v="1.147984664167413"/>
    <n v="1.0790228998469584"/>
    <n v="1.1572915102003449"/>
    <n v="1"/>
    <n v="-1"/>
    <n v="1"/>
    <n v="-1"/>
    <n v="-1"/>
    <n v="-1"/>
    <n v="-1.5"/>
    <n v="-2"/>
    <n v="-1"/>
    <n v="-2"/>
    <n v="-2"/>
    <s v="Neutral TDP"/>
  </r>
  <r>
    <s v="9e826bca-207e-488c-8c21-fc16c412efbe"/>
    <x v="3"/>
    <s v="1/22/2026, 3:48:35 PM"/>
    <s v="16.359802, 81.793196"/>
    <s v="SHOP NO, SAKHINETIPALLI, Kesavadasupalem, Andhra Pradesh, India"/>
    <x v="1"/>
    <s v="Naeem"/>
    <s v="http://164.52.221.216/localmedia/media/surveys/samples/recording_2026-01-22_15-46-41_samples_a8XZwNBLca.mp4"/>
    <x v="2"/>
    <x v="3"/>
    <x v="12"/>
    <x v="3"/>
    <s v="హిందూ"/>
    <x v="2"/>
    <s v="pardasaradii"/>
    <n v="9999999999"/>
    <x v="0"/>
    <x v="2"/>
    <x v="2"/>
    <x v="1"/>
    <x v="1"/>
    <x v="1"/>
    <s v="రోడ్లు వేయటం, ఉద్యొగ్య అవకాశాలు కల్పించటం, వ్యవసాయం, రైతు బాగుండడం"/>
    <x v="1"/>
    <x v="0"/>
    <x v="1"/>
    <x v="1"/>
    <x v="1"/>
    <x v="1"/>
    <s v="Deepika D"/>
    <s v="Correctly Done"/>
    <s v="correctly done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ec68fc42-0e92-4af8-80a6-b1315324c327"/>
    <x v="3"/>
    <s v="1/22/2026, 3:48:36 PM"/>
    <s v="16.496000, 81.881829"/>
    <s v="FVWJ+9PC, Tatipaka, Andhra Pradesh, India"/>
    <x v="3"/>
    <s v="Naeem"/>
    <s v="http://164.52.221.216/localmedia/media/surveys/samples/recording_2026-01-22_15-46-32_samples_xdgsNu7nbI.mp4"/>
    <x v="1"/>
    <x v="1"/>
    <x v="10"/>
    <x v="0"/>
    <s v="హిందూ"/>
    <x v="1"/>
    <s v="naveen"/>
    <n v="9133151994"/>
    <x v="0"/>
    <x v="1"/>
    <x v="1"/>
    <x v="1"/>
    <x v="1"/>
    <x v="1"/>
    <s v="రోడ్లు వేయటం, ఉద్యొగ్య అవకాశాలు కల్పించటం, ఆరోగ్య రంగం అభివృద్ధి చేయటం"/>
    <x v="1"/>
    <x v="0"/>
    <x v="1"/>
    <x v="1"/>
    <x v="1"/>
    <x v="1"/>
    <s v="Ashish Sk"/>
    <s v="Correctly Done"/>
    <s v="Q1-No issues"/>
    <x v="0"/>
    <n v="1.1705128247062893"/>
    <n v="1.0795332136445241"/>
    <n v="0.86308903171383233"/>
    <n v="0.85034013605442171"/>
    <n v="1.1213131007097483"/>
    <n v="0.79950206330384943"/>
    <n v="0.7401439088249181"/>
    <n v="-1"/>
    <n v="-1"/>
    <n v="-1"/>
    <n v="-1"/>
    <n v="-1"/>
    <n v="-1"/>
    <n v="-5.5"/>
    <n v="-6"/>
    <n v="-5"/>
    <n v="-4"/>
    <n v="-3"/>
    <s v="TDP HardCore"/>
  </r>
  <r>
    <s v="3eeedec8-1f5e-4f67-9cb7-dd439f409edb"/>
    <x v="3"/>
    <s v="1/22/2026, 3:51:11 PM"/>
    <s v="16.359747, 81.794736"/>
    <s v="9Q5V+QHP, Kesavadasupalem, Andhra Pradesh, India"/>
    <x v="1"/>
    <s v="Naeem"/>
    <s v="http://164.52.221.216/localmedia/media/surveys/samples/recording_2026-01-22_15-49-32_samples_aURuaNDaIi.mp4"/>
    <x v="2"/>
    <x v="3"/>
    <x v="12"/>
    <x v="3"/>
    <s v="హిందూ"/>
    <x v="0"/>
    <s v="vekatanarayana"/>
    <n v="9000259567"/>
    <x v="0"/>
    <x v="2"/>
    <x v="2"/>
    <x v="1"/>
    <x v="1"/>
    <x v="1"/>
    <s v="రోడ్లు వేయటం, వ్యవసాయం, రైతు బాగుండడం, సంక్షేమ పథకాలు (నగదు)"/>
    <x v="1"/>
    <x v="0"/>
    <x v="1"/>
    <x v="1"/>
    <x v="1"/>
    <x v="1"/>
    <s v="Deepika D"/>
    <s v="Correctly Done"/>
    <s v="Correctly done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2f35d7dd-fcd3-4923-9a1e-bef48e9404a0"/>
    <x v="3"/>
    <s v="1/22/2026, 3:56:33 PM"/>
    <s v="16.359525, 81.792788"/>
    <s v="9Q5V+V3W, Kesavadasupalem, Andhra Pradesh, India"/>
    <x v="1"/>
    <s v="Naeem"/>
    <s v="http://164.52.221.216/localmedia/media/surveys/samples/recording_2026-01-22_15-54-13_samples_DLOx9BxGFw.mp4"/>
    <x v="2"/>
    <x v="3"/>
    <x v="12"/>
    <x v="1"/>
    <s v="హిందూ"/>
    <x v="0"/>
    <s v="srinivas"/>
    <n v="9849706357"/>
    <x v="0"/>
    <x v="2"/>
    <x v="1"/>
    <x v="1"/>
    <x v="1"/>
    <x v="1"/>
    <s v="రోడ్లు వేయటం, విద్య రంగం అభివృద్ధి చేయటం"/>
    <x v="1"/>
    <x v="0"/>
    <x v="1"/>
    <x v="1"/>
    <x v="1"/>
    <x v="1"/>
    <s v="Ashish Sk"/>
    <s v="Correctly Done"/>
    <s v="No Remarks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991f8f84-bbd8-4b0c-a9da-86fc157460f1"/>
    <x v="3"/>
    <s v="1/22/2026, 12:37:27 PM"/>
    <s v="16.403570, 81.778758"/>
    <s v="SHOP NO.9, SakhinetiPalli, Andhra Pradesh, India"/>
    <x v="1"/>
    <s v="Naeem"/>
    <s v="http://164.52.221.216/localmedia/media/surveys/samples/recording_2026-01-22_12-35-52_samples_1ZtPdBg9Tr.mp4"/>
    <x v="5"/>
    <x v="3"/>
    <x v="8"/>
    <x v="4"/>
    <s v="హిందూ"/>
    <x v="0"/>
    <s v="srinu"/>
    <n v="9959404233"/>
    <x v="0"/>
    <x v="1"/>
    <x v="1"/>
    <x v="1"/>
    <x v="1"/>
    <x v="1"/>
    <s v="రోడ్లు వేయటం, ఉద్యొగ్య అవకాశాలు కల్పించటం"/>
    <x v="1"/>
    <x v="0"/>
    <x v="1"/>
    <x v="1"/>
    <x v="1"/>
    <x v="1"/>
    <s v="Ashish Sk"/>
    <s v="Not Doing It Properly"/>
    <s v="Q1,9,10 kept on his own"/>
    <x v="0"/>
    <n v="1.0478809952686368"/>
    <n v="1.0795332136445241"/>
    <n v="0.8266624780172348"/>
    <n v="0.85034013605442171"/>
    <n v="1.147984664167413"/>
    <n v="0.7657591888501577"/>
    <n v="0.71710935112881979"/>
    <n v="-1"/>
    <n v="-1"/>
    <n v="-1"/>
    <n v="-1"/>
    <n v="-1"/>
    <n v="-1"/>
    <n v="-5.5"/>
    <n v="-6"/>
    <n v="-5"/>
    <n v="-4"/>
    <n v="-3"/>
    <s v="TDP HardCore"/>
  </r>
  <r>
    <s v="06cf4db5-2e04-4596-83ff-a86f06687236"/>
    <x v="3"/>
    <s v="1/22/2026, 1:47:15 PM"/>
    <s v="16.401153, 81.783436"/>
    <s v="CQ2M+CCM, Antarvedipalem, Andhra Pradesh, India"/>
    <x v="1"/>
    <s v="Naeem"/>
    <s v="http://164.52.221.216/localmedia/media/surveys/samples/recording_2026-01-22_13-45-44_samples_erUR6AJSjR.mp4"/>
    <x v="8"/>
    <x v="3"/>
    <x v="8"/>
    <x v="3"/>
    <s v="క్రిస్టియన్"/>
    <x v="1"/>
    <s v="shakar"/>
    <n v="9999999999"/>
    <x v="1"/>
    <x v="1"/>
    <x v="1"/>
    <x v="1"/>
    <x v="1"/>
    <x v="1"/>
    <s v="రోడ్లు వేయటం, విద్య రంగం అభివృద్ధి చేయటం, సంక్షేమ పథకాలు (నగదు)"/>
    <x v="1"/>
    <x v="0"/>
    <x v="1"/>
    <x v="1"/>
    <x v="1"/>
    <x v="1"/>
    <s v="Ashish Sk"/>
    <s v="Not Doing It Properly"/>
    <s v="Didn't ask caste, Gender kept on his own and didn't ask phone number"/>
    <x v="0"/>
    <n v="0.80207032429970992"/>
    <n v="1.0795332136445241"/>
    <n v="1.2733258158237817"/>
    <n v="2.1645021645021645"/>
    <n v="1.147984664167413"/>
    <n v="1.1795151827936912"/>
    <n v="1.9259322700153538"/>
    <n v="-1"/>
    <n v="-1"/>
    <n v="-1"/>
    <n v="-1"/>
    <n v="-1"/>
    <n v="-1"/>
    <n v="-5.5"/>
    <n v="-6"/>
    <n v="-5"/>
    <n v="-4"/>
    <n v="-3"/>
    <s v="TDP HardCore"/>
  </r>
  <r>
    <s v="5a77d223-4139-42ca-bc3c-3cae0b949c40"/>
    <x v="3"/>
    <s v="1/22/2026, 3:33:25 PM"/>
    <s v="16.332732, 81.734234"/>
    <s v="SHOP NO. 9, SAKHINETIPALLI, Andhra Pradesh, India"/>
    <x v="4"/>
    <s v="Naeem"/>
    <s v="http://164.52.221.216/localmedia/media/surveys/samples/recording_2026-01-22_15-30-38_samples_9W9HsHsVF8.mp4"/>
    <x v="3"/>
    <x v="3"/>
    <x v="9"/>
    <x v="0"/>
    <s v="హిందూ"/>
    <x v="1"/>
    <s v="Pruthiviraj"/>
    <n v="9542466474"/>
    <x v="0"/>
    <x v="4"/>
    <x v="1"/>
    <x v="1"/>
    <x v="1"/>
    <x v="1"/>
    <s v="ఉద్యొగ్య అవకాశాలు కల్పించటం, ఆరోగ్య రంగం అభివృద్ధి చేయటం, వ్యవసాయం, రైతు బాగుండడం"/>
    <x v="1"/>
    <x v="0"/>
    <x v="1"/>
    <x v="1"/>
    <x v="1"/>
    <x v="1"/>
    <s v="Ashish Sk"/>
    <s v="Fake Audio/Empty Audio"/>
    <s v="all options entered on his own"/>
    <x v="1"/>
    <n v="1.8452248965186235"/>
    <n v="1.0795332136445241"/>
    <n v="1.5651283704851411"/>
    <n v="0.85034013605442171"/>
    <n v="1.147984664167413"/>
    <n v="1.4498195615503471"/>
    <n v="2.9242991836792998"/>
    <n v="-1"/>
    <n v="-1"/>
    <n v="-1"/>
    <n v="-1"/>
    <n v="-1"/>
    <n v="-1"/>
    <n v="-5.5"/>
    <n v="-6"/>
    <n v="-5"/>
    <n v="-4"/>
    <n v="-3"/>
    <s v="TDP HardCore"/>
  </r>
  <r>
    <s v="997bbfc8-e522-435f-bf7c-3c353fa1fec5"/>
    <x v="3"/>
    <s v="1/22/2026, 1:44:19 PM"/>
    <s v="16.404183, 81.779860"/>
    <s v="CQ3H+MW6, SakhinetiPalli, Andhra Pradesh, India"/>
    <x v="1"/>
    <s v="Naeem"/>
    <s v="http://164.52.221.216/localmedia/media/surveys/samples/recording_2026-01-22_13-43-00_samples_yRzm52GLtX.mp4"/>
    <x v="6"/>
    <x v="3"/>
    <x v="8"/>
    <x v="0"/>
    <s v="హిందూ"/>
    <x v="1"/>
    <s v="suresh"/>
    <n v="9059004877"/>
    <x v="1"/>
    <x v="2"/>
    <x v="1"/>
    <x v="1"/>
    <x v="1"/>
    <x v="0"/>
    <s v="రోడ్లు వేయటం"/>
    <x v="1"/>
    <x v="1"/>
    <x v="0"/>
    <x v="1"/>
    <x v="1"/>
    <x v="1"/>
    <s v="Deepika D"/>
    <s v="Not Doing It Properly"/>
    <s v="respondent male but mentioned female"/>
    <x v="0"/>
    <n v="1.2612194085121222"/>
    <n v="1.0795332136445241"/>
    <n v="2.6155674106916162"/>
    <n v="2.1645021645021645"/>
    <n v="1.147984664167413"/>
    <n v="2.4228688637206557"/>
    <n v="2.2107623881946901"/>
    <n v="-1"/>
    <n v="-1"/>
    <n v="1"/>
    <n v="-1"/>
    <n v="-1"/>
    <n v="1"/>
    <n v="-1.5"/>
    <n v="-2"/>
    <n v="-1"/>
    <n v="0"/>
    <s v="ND"/>
    <s v="ND"/>
  </r>
  <r>
    <s v="8e934083-09a8-44ee-b577-2a8771cf4953"/>
    <x v="3"/>
    <s v="1/22/2026, 3:58:10 PM"/>
    <s v="16.495812, 81.881040"/>
    <s v="FVWJ+78C, Mogalikuduru, Andhra Pradesh, India"/>
    <x v="3"/>
    <s v="Naeem"/>
    <s v="http://164.52.221.216/localmedia/media/surveys/samples/recording_2026-01-22_15-56-02_samples_XgL9lCO01E.mp4"/>
    <x v="4"/>
    <x v="1"/>
    <x v="10"/>
    <x v="0"/>
    <s v="హిందూ"/>
    <x v="2"/>
    <s v="gangadharao"/>
    <n v="9999999999"/>
    <x v="0"/>
    <x v="1"/>
    <x v="1"/>
    <x v="1"/>
    <x v="1"/>
    <x v="1"/>
    <s v="ఉద్యొగ్య అవకాశాలు కల్పించటం, శాంతి భద్రతలను కాపాడటం, ఆరోగ్య రంగం అభివృద్ధి చేయటం"/>
    <x v="1"/>
    <x v="0"/>
    <x v="1"/>
    <x v="1"/>
    <x v="1"/>
    <x v="1"/>
    <s v="Ashish Sk"/>
    <s v="Correctly Done"/>
    <s v="Correctly Done"/>
    <x v="0"/>
    <n v="2.1852575402829908"/>
    <n v="1.0795332136445241"/>
    <n v="1.7037641797963405"/>
    <n v="0.85034013605442171"/>
    <n v="1.1213131007097483"/>
    <n v="1.5782415568710491"/>
    <n v="4.1092502122930199"/>
    <n v="-1"/>
    <n v="-1"/>
    <n v="-1"/>
    <n v="-1"/>
    <n v="-1"/>
    <n v="-1"/>
    <n v="-5.5"/>
    <n v="-6"/>
    <n v="-5"/>
    <n v="-4"/>
    <n v="-3"/>
    <s v="TDP HardCore"/>
  </r>
  <r>
    <s v="356b1625-0e6b-433d-8a4e-ca6d4b00470e"/>
    <x v="3"/>
    <s v="1/22/2026, 4:01:45 PM"/>
    <s v="16.359286, 81.793546"/>
    <s v="9Q5V+V87, Kesavadasupalem, Andhra Pradesh, India"/>
    <x v="1"/>
    <s v="Naeem"/>
    <s v="http://164.52.221.216/localmedia/media/surveys/samples/recording_2026-01-22_15-59-43_samples_ORkA5kfhOA.mp4"/>
    <x v="1"/>
    <x v="3"/>
    <x v="12"/>
    <x v="3"/>
    <s v="హిందూ"/>
    <x v="0"/>
    <s v="vekartareddye"/>
    <n v="9705320967"/>
    <x v="0"/>
    <x v="3"/>
    <x v="1"/>
    <x v="1"/>
    <x v="0"/>
    <x v="1"/>
    <s v="రోడ్లు వేయటం, ఆరోగ్య రంగం అభివృద్ధి చేయటం, వ్యవసాయం, రైతు బాగుండడం"/>
    <x v="1"/>
    <x v="0"/>
    <x v="1"/>
    <x v="1"/>
    <x v="1"/>
    <x v="1"/>
    <s v="Deepika D"/>
    <s v="Correctly Done"/>
    <s v="correctly done"/>
    <x v="0"/>
    <n v="1.1705128247062893"/>
    <n v="1.0795332136445241"/>
    <n v="0.86308903171383233"/>
    <n v="0.85034013605442171"/>
    <n v="1.147984664167413"/>
    <n v="0.79950206330384943"/>
    <n v="0.92148737207359532"/>
    <n v="-1"/>
    <n v="1"/>
    <n v="-1"/>
    <n v="-1"/>
    <n v="-1"/>
    <n v="-1"/>
    <n v="-3.5"/>
    <n v="-4"/>
    <n v="-5"/>
    <n v="-4"/>
    <n v="-3"/>
    <s v="TDP Sympathiser"/>
  </r>
  <r>
    <s v="7ac22075-ca63-40fa-93d8-0a8ab610784b"/>
    <x v="3"/>
    <s v="1/22/2026, 4:50:58 PM"/>
    <s v="16.333025, 81.734007"/>
    <s v="SHOP NO.9, SAKHINETIPALLI, Andhra Pradesh, India"/>
    <x v="4"/>
    <s v="Naeem"/>
    <s v="http://164.52.221.216/localmedia/media/surveys/samples/recording_2026-01-22_16-48-33_samples_nT3yZ94s4n.mp4"/>
    <x v="0"/>
    <x v="3"/>
    <x v="9"/>
    <x v="0"/>
    <s v="హిందూ"/>
    <x v="1"/>
    <s v="rajarajeswari"/>
    <n v="9502686241"/>
    <x v="1"/>
    <x v="4"/>
    <x v="1"/>
    <x v="1"/>
    <x v="1"/>
    <x v="0"/>
    <s v="ఉద్యొగ్య అవకాశాలు కల్పించటం, విద్య రంగం అభివృద్ధి చేయటం, ఆరోగ్య రంగం అభివృద్ధి చేయటం"/>
    <x v="1"/>
    <x v="0"/>
    <x v="1"/>
    <x v="1"/>
    <x v="1"/>
    <x v="1"/>
    <s v="Deepika D"/>
    <s v="Fake Audio/Empty Audio"/>
    <s v="fake/empty audio"/>
    <x v="1"/>
    <n v="1.3836274505214585"/>
    <n v="1.0795332136445241"/>
    <n v="2.0811826914865059"/>
    <n v="2.1645021645021645"/>
    <n v="1.147984664167413"/>
    <n v="1.9278542477265657"/>
    <n v="3.2048072590163397"/>
    <n v="-1"/>
    <n v="-1"/>
    <n v="1"/>
    <n v="-1"/>
    <n v="-1"/>
    <n v="-1"/>
    <n v="-3.5"/>
    <n v="-4"/>
    <n v="-3"/>
    <n v="-2"/>
    <n v="-3"/>
    <s v="Neutral TDP"/>
  </r>
  <r>
    <s v="095ecfb5-5a09-4217-ae9e-283511c72740"/>
    <x v="3"/>
    <s v="1/22/2026, 4:01:45 PM"/>
    <s v="16.359286, 81.793546"/>
    <s v="9Q5V+V87, Kesavadasupalem, Andhra Pradesh, India"/>
    <x v="1"/>
    <s v="Naeem"/>
    <s v="http://164.52.221.216/localmedia/media/surveys/samples/recording_2026-01-22_15-59-43_samples_PjpDKfYjwB.mp4"/>
    <x v="1"/>
    <x v="3"/>
    <x v="12"/>
    <x v="3"/>
    <s v="హిందూ"/>
    <x v="0"/>
    <s v="vekartareddye"/>
    <n v="9705320967"/>
    <x v="0"/>
    <x v="3"/>
    <x v="1"/>
    <x v="1"/>
    <x v="0"/>
    <x v="1"/>
    <s v="రోడ్లు వేయటం, ఆరోగ్య రంగం అభివృద్ధి చేయటం, వ్యవసాయం, రైతు బాగుండడం"/>
    <x v="1"/>
    <x v="0"/>
    <x v="1"/>
    <x v="1"/>
    <x v="1"/>
    <x v="1"/>
    <s v="Ashish Sk"/>
    <s v="Correctly Done"/>
    <n v="0"/>
    <x v="0"/>
    <n v="1.1705128247062893"/>
    <n v="1.0795332136445241"/>
    <n v="0.86308903171383233"/>
    <n v="0.85034013605442171"/>
    <n v="1.147984664167413"/>
    <n v="0.79950206330384943"/>
    <n v="0.92148737207359532"/>
    <n v="-1"/>
    <n v="1"/>
    <n v="-1"/>
    <n v="-1"/>
    <n v="-1"/>
    <n v="-1"/>
    <n v="-3.5"/>
    <n v="-4"/>
    <n v="-5"/>
    <n v="-4"/>
    <n v="-3"/>
    <s v="TDP Sympathiser"/>
  </r>
  <r>
    <s v="37532404-c19d-49d0-89ed-8e3f1b2b5ac4"/>
    <x v="3"/>
    <s v="1/22/2026, 4:02:08 PM"/>
    <s v="16.359286, 81.793546"/>
    <s v="9Q5V+V87, Kesavadasupalem, Andhra Pradesh, India"/>
    <x v="1"/>
    <s v="Naeem"/>
    <s v="http://164.52.221.216/localmedia/media/surveys/samples/recording_2026-01-22_15-59-43_samples_NhT99ju4qs.mp4"/>
    <x v="1"/>
    <x v="3"/>
    <x v="12"/>
    <x v="3"/>
    <s v="హిందూ"/>
    <x v="0"/>
    <s v="vekartareddye"/>
    <n v="9705320967"/>
    <x v="0"/>
    <x v="3"/>
    <x v="1"/>
    <x v="1"/>
    <x v="0"/>
    <x v="1"/>
    <s v="రోడ్లు వేయటం, ఆరోగ్య రంగం అభివృద్ధి చేయటం, వ్యవసాయం, రైతు బాగుండడం"/>
    <x v="1"/>
    <x v="0"/>
    <x v="1"/>
    <x v="1"/>
    <x v="1"/>
    <x v="1"/>
    <s v="Ashish Sk"/>
    <s v="Correctly Done"/>
    <n v="0"/>
    <x v="0"/>
    <n v="1.1705128247062893"/>
    <n v="1.0795332136445241"/>
    <n v="0.86308903171383233"/>
    <n v="0.85034013605442171"/>
    <n v="1.147984664167413"/>
    <n v="0.79950206330384943"/>
    <n v="0.92148737207359532"/>
    <n v="-1"/>
    <n v="1"/>
    <n v="-1"/>
    <n v="-1"/>
    <n v="-1"/>
    <n v="-1"/>
    <n v="-3.5"/>
    <n v="-4"/>
    <n v="-5"/>
    <n v="-4"/>
    <n v="-3"/>
    <s v="TDP Sympathiser"/>
  </r>
  <r>
    <s v="e2e8a58a-0819-4e20-9262-f5f0adcc060a"/>
    <x v="3"/>
    <s v="1/22/2026, 4:05:52 PM"/>
    <s v="16.359615, 81.792753"/>
    <s v="9Q5V+V3W, Kesavadasupalem, Andhra Pradesh, India"/>
    <x v="1"/>
    <s v="Naeem"/>
    <s v="http://164.52.221.216/localmedia/media/surveys/samples/recording_2026-01-22_16-03-17_samples_CLdveXrPC5.mp4"/>
    <x v="1"/>
    <x v="3"/>
    <x v="12"/>
    <x v="0"/>
    <s v="హిందూ"/>
    <x v="0"/>
    <s v="veravekatarathnam"/>
    <n v="9676490463"/>
    <x v="0"/>
    <x v="1"/>
    <x v="1"/>
    <x v="1"/>
    <x v="0"/>
    <x v="0"/>
    <s v="రోడ్లు వేయటం, వ్యవసాయం, రైతు బాగుండడం, సంక్షేమ పథకాలు (నగదు)"/>
    <x v="1"/>
    <x v="0"/>
    <x v="1"/>
    <x v="1"/>
    <x v="1"/>
    <x v="1"/>
    <s v="Deepika D"/>
    <s v="Correctly Done"/>
    <s v="correctly done"/>
    <x v="0"/>
    <n v="1.1705128247062893"/>
    <n v="1.0795332136445241"/>
    <n v="0.86308903171383233"/>
    <n v="0.85034013605442171"/>
    <n v="1.147984664167413"/>
    <n v="0.79950206330384943"/>
    <n v="0.92148737207359532"/>
    <n v="-1"/>
    <n v="1"/>
    <n v="1"/>
    <n v="-1"/>
    <n v="-1"/>
    <n v="-1"/>
    <n v="-1.5"/>
    <n v="-2"/>
    <n v="-3"/>
    <n v="-2"/>
    <n v="-3"/>
    <s v="Neutral TDP"/>
  </r>
  <r>
    <s v="436750c6-393b-4b5e-b0a8-588d54452872"/>
    <x v="3"/>
    <s v="1/22/2026, 4:05:52 PM"/>
    <s v="16.359615, 81.792753"/>
    <s v="9Q5V+V3W, Kesavadasupalem, Andhra Pradesh, India"/>
    <x v="1"/>
    <s v="Naeem"/>
    <s v="http://164.52.221.216/localmedia/media/surveys/samples/recording_2026-01-22_16-03-17_samples_oqfks0hWri.mp4"/>
    <x v="1"/>
    <x v="3"/>
    <x v="12"/>
    <x v="0"/>
    <s v="హిందూ"/>
    <x v="0"/>
    <s v="veravekatarathnam"/>
    <n v="9676490463"/>
    <x v="0"/>
    <x v="1"/>
    <x v="1"/>
    <x v="1"/>
    <x v="0"/>
    <x v="0"/>
    <s v="రోడ్లు వేయటం, వ్యవసాయం, రైతు బాగుండడం, సంక్షేమ పథకాలు (నగదు)"/>
    <x v="1"/>
    <x v="0"/>
    <x v="1"/>
    <x v="1"/>
    <x v="1"/>
    <x v="1"/>
    <s v="Deepika D"/>
    <s v="Correctly Done"/>
    <n v="0"/>
    <x v="0"/>
    <n v="1.1705128247062893"/>
    <n v="1.0795332136445241"/>
    <n v="0.86308903171383233"/>
    <n v="0.85034013605442171"/>
    <n v="1.147984664167413"/>
    <n v="0.79950206330384943"/>
    <n v="0.92148737207359532"/>
    <n v="-1"/>
    <n v="1"/>
    <n v="1"/>
    <n v="-1"/>
    <n v="-1"/>
    <n v="-1"/>
    <n v="-1.5"/>
    <n v="-2"/>
    <n v="-3"/>
    <n v="-2"/>
    <n v="-3"/>
    <s v="Neutral TDP"/>
  </r>
  <r>
    <s v="791289d5-592f-4845-95bc-f09b0ae8cad2"/>
    <x v="3"/>
    <s v="1/22/2026, 3:37:43 PM"/>
    <s v="16.332030, 81.734653"/>
    <s v="SHOP NO. 4-2, Antervedi Pallipalem, Andhra Pradesh, India"/>
    <x v="4"/>
    <s v="Naeem"/>
    <s v="http://164.52.221.216/localmedia/media/surveys/samples/recording_2026-01-22_15-34-28_samples_40qjYmk4PU.mp4"/>
    <x v="6"/>
    <x v="3"/>
    <x v="9"/>
    <x v="1"/>
    <s v="హిందూ"/>
    <x v="0"/>
    <s v="K Mahalaxmi"/>
    <n v="9848962979"/>
    <x v="0"/>
    <x v="2"/>
    <x v="0"/>
    <x v="1"/>
    <x v="1"/>
    <x v="1"/>
    <s v="రోడ్లు వేయటం, ఉద్యొగ్య అవకాశాలు కల్పించటం, విద్య రంగం అభివృద్ధి చేయటం"/>
    <x v="1"/>
    <x v="0"/>
    <x v="1"/>
    <x v="1"/>
    <x v="1"/>
    <x v="1"/>
    <s v="Deepika D"/>
    <s v="Not Doing It Properly"/>
    <s v="Q5 kept his own"/>
    <x v="0"/>
    <n v="1.2612194085121222"/>
    <n v="1.0795332136445241"/>
    <n v="0.92029223709519836"/>
    <n v="0.85034013605442171"/>
    <n v="1.147984664167413"/>
    <n v="0.85249089649430487"/>
    <n v="0.41451794778650441"/>
    <n v="-1"/>
    <n v="-1"/>
    <n v="-1"/>
    <n v="-1"/>
    <n v="-1"/>
    <n v="-1"/>
    <n v="-5.5"/>
    <n v="-6"/>
    <n v="-5"/>
    <n v="-4"/>
    <n v="-3"/>
    <s v="TDP HardCore"/>
  </r>
  <r>
    <s v="0c18a3c7-9361-485b-886c-a3dab6064d1e"/>
    <x v="3"/>
    <s v="1/22/2026, 2:51:24 PM"/>
    <s v="16.333017, 81.733835"/>
    <s v="SHOP NO.9, SAKHINETIPALLI, Andhra Pradesh, India"/>
    <x v="4"/>
    <s v="Naeem"/>
    <s v="http://164.52.221.216/localmedia/media/surveys/samples/recording_2026-01-22_14-49-03_samples_YL7mB000KP.mp4"/>
    <x v="2"/>
    <x v="3"/>
    <x v="9"/>
    <x v="0"/>
    <s v="హిందూ"/>
    <x v="1"/>
    <s v="Raju"/>
    <n v="7702524614"/>
    <x v="0"/>
    <x v="4"/>
    <x v="1"/>
    <x v="1"/>
    <x v="1"/>
    <x v="1"/>
    <s v="రోడ్లు వేయటం, విద్య రంగం అభివృద్ధి చేయటం, వ్యవసాయం, రైతు బాగుండడం"/>
    <x v="1"/>
    <x v="0"/>
    <x v="1"/>
    <x v="1"/>
    <x v="1"/>
    <x v="1"/>
    <s v="Deepika D"/>
    <s v="Fake Audio/Empty Audio"/>
    <s v="fake audio/empty audio"/>
    <x v="1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30d5ccd7-ad6b-4057-bc08-757e009a6947"/>
    <x v="3"/>
    <s v="1/22/2026, 4:05:52 PM"/>
    <s v="16.359615, 81.792753"/>
    <s v="9Q5V+V3W, Kesavadasupalem, Andhra Pradesh, India"/>
    <x v="1"/>
    <s v="Naeem"/>
    <s v="http://164.52.221.216/localmedia/media/surveys/samples/recording_2026-01-22_16-03-17_samples_9WHzgC8Rf3.mp4"/>
    <x v="1"/>
    <x v="3"/>
    <x v="12"/>
    <x v="0"/>
    <s v="హిందూ"/>
    <x v="0"/>
    <s v="veravekatarathnam"/>
    <n v="9676490463"/>
    <x v="0"/>
    <x v="1"/>
    <x v="1"/>
    <x v="1"/>
    <x v="0"/>
    <x v="0"/>
    <s v="రోడ్లు వేయటం, వ్యవసాయం, రైతు బాగుండడం, సంక్షేమ పథకాలు (నగదు)"/>
    <x v="1"/>
    <x v="0"/>
    <x v="1"/>
    <x v="1"/>
    <x v="1"/>
    <x v="1"/>
    <s v="Ashish Sk"/>
    <s v="Correctly Done"/>
    <n v="0"/>
    <x v="0"/>
    <n v="1.1705128247062893"/>
    <n v="1.0795332136445241"/>
    <n v="0.86308903171383233"/>
    <n v="0.85034013605442171"/>
    <n v="1.147984664167413"/>
    <n v="0.79950206330384943"/>
    <n v="0.92148737207359532"/>
    <n v="-1"/>
    <n v="1"/>
    <n v="1"/>
    <n v="-1"/>
    <n v="-1"/>
    <n v="-1"/>
    <n v="-1.5"/>
    <n v="-2"/>
    <n v="-3"/>
    <n v="-2"/>
    <n v="-3"/>
    <s v="Neutral TDP"/>
  </r>
  <r>
    <s v="64f9f672-dbc5-4ae7-9715-b336371715ca"/>
    <x v="3"/>
    <s v="1/22/2026, 4:25:21 PM"/>
    <s v="16.332465, 81.734512"/>
    <s v="SHOP NO.1, SakhinetiPalli, Andhra Pradesh, India"/>
    <x v="4"/>
    <s v="Naeem"/>
    <s v="http://164.52.221.216/localmedia/media/surveys/samples/recording_2026-01-22_16-22-45_samples_1kZkFIUpIH.mp4"/>
    <x v="0"/>
    <x v="0"/>
    <x v="11"/>
    <x v="0"/>
    <s v="క్రిస్టియన్"/>
    <x v="3"/>
    <s v="veerababu"/>
    <n v="9490635278"/>
    <x v="0"/>
    <x v="4"/>
    <x v="2"/>
    <x v="0"/>
    <x v="0"/>
    <x v="0"/>
    <s v="రోడ్లు వేయటం, ఉద్యొగ్య అవకాశాలు కల్పించటం, ఆరోగ్య రంగం అభివృద్ధి చేయటం"/>
    <x v="0"/>
    <x v="0"/>
    <x v="1"/>
    <x v="0"/>
    <x v="0"/>
    <x v="0"/>
    <s v="Deepika D"/>
    <s v="Not Doing It Properly"/>
    <s v="fake/empty audio"/>
    <x v="0"/>
    <n v="1.3836274505214585"/>
    <n v="1.8055837563451775"/>
    <n v="1.9482662206881376"/>
    <n v="0.85034013605442171"/>
    <n v="1.9264642089343564"/>
    <n v="1.0790228998469584"/>
    <n v="2.1355167697651956"/>
    <n v="1"/>
    <n v="1"/>
    <n v="1"/>
    <n v="1"/>
    <n v="1"/>
    <n v="-1"/>
    <n v="3.5"/>
    <n v="4"/>
    <n v="3"/>
    <n v="2"/>
    <s v="ND"/>
    <s v="ND"/>
  </r>
  <r>
    <s v="f7d9778a-cb1b-4264-89db-eb5fc4a1f27d"/>
    <x v="3"/>
    <s v="1/22/2026, 4:11:46 PM"/>
    <s v="16.359992, 81.793403"/>
    <s v="Shop No, Gondi, Andhra Pradesh, India"/>
    <x v="1"/>
    <s v="Naeem"/>
    <s v="http://164.52.221.216/localmedia/media/surveys/samples/recording_2026-01-22_16-08-35_samples_IZ9n0AmEAj.mp4"/>
    <x v="0"/>
    <x v="3"/>
    <x v="12"/>
    <x v="1"/>
    <s v="హిందూ"/>
    <x v="0"/>
    <s v="sudhir"/>
    <n v="6301573136"/>
    <x v="0"/>
    <x v="1"/>
    <x v="2"/>
    <x v="0"/>
    <x v="0"/>
    <x v="0"/>
    <s v="రోడ్లు వేయటం, సంక్షేమ పథకాలు (నగదు)"/>
    <x v="0"/>
    <x v="0"/>
    <x v="0"/>
    <x v="0"/>
    <x v="0"/>
    <x v="0"/>
    <s v="Ashish Sk"/>
    <s v="Correctly Done"/>
    <s v="No Remarks"/>
    <x v="0"/>
    <n v="1.3836274505214585"/>
    <n v="1.8055837563451775"/>
    <n v="1.9482662206881376"/>
    <n v="0.85034013605442171"/>
    <n v="1.147984664167413"/>
    <n v="1.0790228998469584"/>
    <n v="1.1572915102003449"/>
    <n v="1"/>
    <n v="1"/>
    <n v="1"/>
    <n v="1"/>
    <n v="1"/>
    <n v="1"/>
    <n v="5.5"/>
    <n v="6"/>
    <n v="5"/>
    <n v="4"/>
    <n v="3"/>
    <s v="YSRCP HardCore"/>
  </r>
  <r>
    <s v="f5ee3614-7a5e-48fb-872d-60f6e650eb80"/>
    <x v="3"/>
    <s v="1/22/2026, 4:15:22 PM"/>
    <s v="16.359482, 81.792712"/>
    <s v="9Q5V+P25, Kesavadasupalem, Andhra Pradesh, India"/>
    <x v="1"/>
    <s v="Naeem"/>
    <s v="http://164.52.221.216/localmedia/media/surveys/samples/recording_2026-01-22_16-13-44_samples_10LriwaQf5.mp4"/>
    <x v="2"/>
    <x v="3"/>
    <x v="12"/>
    <x v="3"/>
    <s v="హిందూ"/>
    <x v="2"/>
    <s v="satyanarayana"/>
    <n v="9999999999"/>
    <x v="1"/>
    <x v="2"/>
    <x v="2"/>
    <x v="1"/>
    <x v="1"/>
    <x v="1"/>
    <s v="రోడ్లు వేయటం, సంక్షేమ పథకాలు (నగదు)"/>
    <x v="1"/>
    <x v="0"/>
    <x v="1"/>
    <x v="1"/>
    <x v="1"/>
    <x v="1"/>
    <s v="Ashish Sk"/>
    <s v="Correctly Done"/>
    <s v="Correctly Done"/>
    <x v="0"/>
    <n v="1.1461625511156397"/>
    <n v="1.0795332136445241"/>
    <n v="3.0326483876590018"/>
    <n v="2.1645021645021645"/>
    <n v="1.147984664167413"/>
    <n v="2.8092219390089208"/>
    <n v="2.2934724643212636"/>
    <n v="-1"/>
    <n v="-1"/>
    <n v="-1"/>
    <n v="-1"/>
    <n v="-1"/>
    <n v="-1"/>
    <n v="-5.5"/>
    <n v="-6"/>
    <n v="-5"/>
    <n v="-4"/>
    <n v="-3"/>
    <s v="TDP HardCore"/>
  </r>
  <r>
    <s v="90e999c4-b17c-450e-884a-4a26aeb6f11d"/>
    <x v="3"/>
    <s v="1/22/2026, 4:18:37 PM"/>
    <s v="16.332507, 81.734992"/>
    <s v="8PJP+X2V, Antervedi Pallipalem, Andhra Pradesh, India"/>
    <x v="4"/>
    <s v="Naeem"/>
    <s v="http://164.52.221.216/localmedia/media/surveys/samples/recording_2026-01-22_16-13-23_samples_KYEJF5S3Bk.mp4"/>
    <x v="6"/>
    <x v="3"/>
    <x v="9"/>
    <x v="0"/>
    <s v="హిందూ"/>
    <x v="1"/>
    <s v="Krishna"/>
    <n v="9704515574"/>
    <x v="0"/>
    <x v="2"/>
    <x v="0"/>
    <x v="0"/>
    <x v="0"/>
    <x v="0"/>
    <s v="శాంతి భద్రతలను కాపాడటం, విద్య రంగం అభివృద్ధి చేయటం, ఆరోగ్య రంగం అభివృద్ధి చేయటం"/>
    <x v="0"/>
    <x v="0"/>
    <x v="0"/>
    <x v="0"/>
    <x v="0"/>
    <x v="0"/>
    <s v="Ashish Sk"/>
    <s v="Correctly Done"/>
    <n v="0"/>
    <x v="0"/>
    <n v="1.2612194085121222"/>
    <n v="1.8055837563451775"/>
    <n v="1.5392437151422549"/>
    <n v="0.85034013605442171"/>
    <n v="1.147984664167413"/>
    <n v="0.85249089649430487"/>
    <n v="0.41451794778650441"/>
    <n v="1"/>
    <n v="1"/>
    <n v="1"/>
    <n v="1"/>
    <n v="1"/>
    <n v="1"/>
    <n v="5.5"/>
    <n v="6"/>
    <n v="5"/>
    <n v="4"/>
    <n v="3"/>
    <s v="YSRCP HardCore"/>
  </r>
  <r>
    <s v="8135ae38-45ad-453e-84f5-2058ef057b4e"/>
    <x v="3"/>
    <s v="1/22/2026, 4:18:48 PM"/>
    <s v="16.332507, 81.734992"/>
    <s v="8PJP+X2V, Antervedi Pallipalem, Andhra Pradesh, India"/>
    <x v="4"/>
    <s v="Naeem"/>
    <s v="http://164.52.221.216/localmedia/media/surveys/samples/recording_2026-01-22_16-13-23_samples_8yhvZpAPBr.mp4"/>
    <x v="6"/>
    <x v="3"/>
    <x v="9"/>
    <x v="0"/>
    <s v="హిందూ"/>
    <x v="1"/>
    <s v="Krishna"/>
    <n v="9704515574"/>
    <x v="0"/>
    <x v="2"/>
    <x v="0"/>
    <x v="0"/>
    <x v="0"/>
    <x v="0"/>
    <s v="శాంతి భద్రతలను కాపాడటం, విద్య రంగం అభివృద్ధి చేయటం, ఆరోగ్య రంగం అభివృద్ధి చేయటం"/>
    <x v="0"/>
    <x v="0"/>
    <x v="0"/>
    <x v="0"/>
    <x v="0"/>
    <x v="0"/>
    <s v="Deepika D"/>
    <s v="Correctly Done"/>
    <n v="0"/>
    <x v="0"/>
    <n v="1.2612194085121222"/>
    <n v="1.8055837563451775"/>
    <n v="1.5392437151422549"/>
    <n v="0.85034013605442171"/>
    <n v="1.147984664167413"/>
    <n v="0.85249089649430487"/>
    <n v="0.41451794778650441"/>
    <n v="1"/>
    <n v="1"/>
    <n v="1"/>
    <n v="1"/>
    <n v="1"/>
    <n v="1"/>
    <n v="5.5"/>
    <n v="6"/>
    <n v="5"/>
    <n v="4"/>
    <n v="3"/>
    <s v="YSRCP HardCore"/>
  </r>
  <r>
    <s v="c087983a-da55-48dd-bf84-f08074127715"/>
    <x v="3"/>
    <s v="1/22/2026, 4:20:11 PM"/>
    <s v="16.359171, 81.793859"/>
    <s v="9Q5V+QHP, Kesavadasupalem, Andhra Pradesh, India"/>
    <x v="1"/>
    <s v="Naeem"/>
    <s v="http://164.52.221.216/localmedia/media/surveys/samples/recording_2026-01-22_16-17-44_samples_R7Xfsk8ZEK.mp4"/>
    <x v="0"/>
    <x v="3"/>
    <x v="12"/>
    <x v="2"/>
    <s v="క్రిస్టియన్"/>
    <x v="1"/>
    <s v="anil "/>
    <n v="8247026002"/>
    <x v="1"/>
    <x v="1"/>
    <x v="2"/>
    <x v="0"/>
    <x v="0"/>
    <x v="0"/>
    <s v="రోడ్లు వేయటం, సంక్షేమ పథకాలు (నగదు)"/>
    <x v="0"/>
    <x v="0"/>
    <x v="0"/>
    <x v="0"/>
    <x v="0"/>
    <x v="0"/>
    <s v="Ashish Sk"/>
    <s v="Correctly Done"/>
    <s v="Sample is taken from male but mentioned as female"/>
    <x v="0"/>
    <n v="1.3836274505214585"/>
    <n v="1.8055837563451775"/>
    <n v="3.4809023142961388"/>
    <n v="2.1645021645021645"/>
    <n v="1.147984664167413"/>
    <n v="1.9278542477265657"/>
    <n v="3.2048072590163397"/>
    <n v="1"/>
    <n v="1"/>
    <n v="1"/>
    <n v="1"/>
    <n v="1"/>
    <n v="1"/>
    <n v="5.5"/>
    <n v="6"/>
    <n v="5"/>
    <n v="4"/>
    <n v="3"/>
    <s v="YSRCP HardCore"/>
  </r>
  <r>
    <s v="0496e09c-a596-4ec5-aec4-c7ece06edcc1"/>
    <x v="3"/>
    <s v="1/22/2026, 1:59:40 PM"/>
    <s v="16.402872, 81.780461"/>
    <s v="CQ3J+F8P, SakhinetiPalli, Andhra Pradesh, India"/>
    <x v="1"/>
    <s v="Naeem"/>
    <s v="http://164.52.221.216/localmedia/media/surveys/samples/recording_2026-01-22_13-58-36_samples_PWZCeb1RgF.mp4"/>
    <x v="9"/>
    <x v="3"/>
    <x v="8"/>
    <x v="2"/>
    <s v="హిందూ"/>
    <x v="1"/>
    <s v="muthyalarao"/>
    <n v="9999999999"/>
    <x v="1"/>
    <x v="1"/>
    <x v="1"/>
    <x v="1"/>
    <x v="0"/>
    <x v="1"/>
    <s v="రోడ్లు వేయటం, ఆరోగ్య రంగం అభివృద్ధి చేయటం"/>
    <x v="1"/>
    <x v="0"/>
    <x v="1"/>
    <x v="1"/>
    <x v="1"/>
    <x v="1"/>
    <s v="Deepika D"/>
    <s v="Not Doing It Properly"/>
    <s v="Q1 kept his own and respondent male but mentioned female"/>
    <x v="0"/>
    <n v="1.1209668980183516"/>
    <n v="1.0795332136445241"/>
    <n v="1.4370186848956754"/>
    <n v="2.1645021645021645"/>
    <n v="1.147984664167413"/>
    <n v="1.3311481913967924"/>
    <n v="0.51141675343184545"/>
    <n v="-1"/>
    <n v="1"/>
    <n v="-1"/>
    <n v="-1"/>
    <n v="-1"/>
    <n v="-1"/>
    <n v="-3.5"/>
    <n v="-4"/>
    <n v="-5"/>
    <n v="-4"/>
    <n v="-3"/>
    <s v="TDP Sympathiser"/>
  </r>
  <r>
    <s v="66414b27-5599-471c-ba5b-cd44e6e76b59"/>
    <x v="3"/>
    <s v="1/22/2026, 4:30:02 PM"/>
    <s v="16.358432, 81.794141"/>
    <s v="9Q5V+QHP, Kesavadasupalem, Andhra Pradesh, India"/>
    <x v="1"/>
    <s v="Naeem"/>
    <s v="http://164.52.221.216/localmedia/media/surveys/samples/recording_2026-01-22_16-28-45_samples_RT58RIKp9r.mp4"/>
    <x v="2"/>
    <x v="3"/>
    <x v="12"/>
    <x v="0"/>
    <s v="హిందూ"/>
    <x v="1"/>
    <s v="vekat"/>
    <n v="9999999999"/>
    <x v="0"/>
    <x v="3"/>
    <x v="1"/>
    <x v="1"/>
    <x v="1"/>
    <x v="1"/>
    <s v="రోడ్లు వేయటం, వ్యవసాయం, రైతు బాగుండడం, సంక్షేమ పథకాలు (నగదు)"/>
    <x v="1"/>
    <x v="0"/>
    <x v="1"/>
    <x v="1"/>
    <x v="1"/>
    <x v="1"/>
    <s v="Deepika D"/>
    <s v="Correctly Done"/>
    <s v="correctly done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b8efd62c-65c3-4fd4-b556-622be301d99c"/>
    <x v="3"/>
    <s v="1/22/2026, 4:25:26 PM"/>
    <s v="16.359444, 81.792670"/>
    <s v="9Q5V+P25, Kesavadasupalem, Andhra Pradesh, India"/>
    <x v="1"/>
    <s v="Naeem"/>
    <s v="http://164.52.221.216/localmedia/media/surveys/samples/recording_2026-01-22_16-23-11_samples_wthnfDnuAT.mp4"/>
    <x v="2"/>
    <x v="3"/>
    <x v="12"/>
    <x v="0"/>
    <s v="హిందూ"/>
    <x v="0"/>
    <s v="satyanarayana"/>
    <n v="9999999999"/>
    <x v="0"/>
    <x v="4"/>
    <x v="1"/>
    <x v="1"/>
    <x v="1"/>
    <x v="0"/>
    <s v="రోడ్లు వేయటం, వ్యవసాయం, రైతు బాగుండడం, సంక్షేమ పథకాలు (నగదు)"/>
    <x v="1"/>
    <x v="0"/>
    <x v="1"/>
    <x v="1"/>
    <x v="1"/>
    <x v="1"/>
    <s v="Ashish Sk"/>
    <s v="Correctly Done"/>
    <s v="Didn't ask his caste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1"/>
    <n v="-1"/>
    <n v="-1"/>
    <n v="-1"/>
    <n v="-3.5"/>
    <n v="-4"/>
    <n v="-3"/>
    <n v="-2"/>
    <n v="-3"/>
    <s v="Neutral TDP"/>
  </r>
  <r>
    <s v="87881bac-c3da-48bf-8ce2-0c49e90af0e4"/>
    <x v="3"/>
    <s v="1/22/2026, 4:55:18 PM"/>
    <s v="16.333306, 81.734549"/>
    <s v="8PMM+CWC, Antervedi Pallipalem, Andhra Pradesh, India"/>
    <x v="4"/>
    <s v="Naeem"/>
    <s v="http://164.52.221.216/localmedia/media/surveys/samples/recording_2026-01-22_16-51-54_samples_FNpYw0XlP3.mp4"/>
    <x v="6"/>
    <x v="3"/>
    <x v="9"/>
    <x v="1"/>
    <s v="హిందూ"/>
    <x v="1"/>
    <s v="B prabhakarrao"/>
    <n v="9963751860"/>
    <x v="0"/>
    <x v="2"/>
    <x v="1"/>
    <x v="1"/>
    <x v="1"/>
    <x v="1"/>
    <s v="ఉద్యొగ్య అవకాశాలు కల్పించటం, విద్య రంగం అభివృద్ధి చేయటం, ఆరోగ్య రంగం అభివృద్ధి చేయటం"/>
    <x v="1"/>
    <x v="0"/>
    <x v="1"/>
    <x v="1"/>
    <x v="1"/>
    <x v="1"/>
    <s v="Deepika D"/>
    <s v="Fake Audio/Empty Audio"/>
    <s v="fake/empty audio"/>
    <x v="1"/>
    <n v="1.2612194085121222"/>
    <n v="1.0795332136445241"/>
    <n v="0.92029223709519836"/>
    <n v="0.85034013605442171"/>
    <n v="1.147984664167413"/>
    <n v="0.85249089649430487"/>
    <n v="0.41451794778650441"/>
    <n v="-1"/>
    <n v="-1"/>
    <n v="-1"/>
    <n v="-1"/>
    <n v="-1"/>
    <n v="-1"/>
    <n v="-5.5"/>
    <n v="-6"/>
    <n v="-5"/>
    <n v="-4"/>
    <n v="-3"/>
    <s v="TDP HardCore"/>
  </r>
  <r>
    <s v="4caa5558-ad2e-4384-8d51-9b8a0874ceb2"/>
    <x v="3"/>
    <s v="1/22/2026, 4:35:11 PM"/>
    <s v="16.359580, 81.792846"/>
    <s v="9Q5V+V3W, Kesavadasupalem, Andhra Pradesh, India"/>
    <x v="1"/>
    <s v="Naeem"/>
    <s v="http://164.52.221.216/localmedia/media/surveys/samples/recording_2026-01-22_16-33-57_samples_yW0WKJtg94.mp4"/>
    <x v="2"/>
    <x v="3"/>
    <x v="12"/>
    <x v="2"/>
    <s v="హిందూ"/>
    <x v="3"/>
    <s v="manikata"/>
    <n v="9999999999"/>
    <x v="0"/>
    <x v="1"/>
    <x v="1"/>
    <x v="1"/>
    <x v="1"/>
    <x v="1"/>
    <s v="రోడ్లు వేయటం"/>
    <x v="1"/>
    <x v="0"/>
    <x v="1"/>
    <x v="1"/>
    <x v="1"/>
    <x v="1"/>
    <s v="Deepika D"/>
    <s v="Correctly Done"/>
    <s v="correctly done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16f9d79b-afea-4a20-9b54-81b28edd6ed2"/>
    <x v="3"/>
    <s v="1/22/2026, 10:38:44 AM"/>
    <s v="16.332050, 81.733503"/>
    <s v="SHOP NO.8-39 SIVALAYAM ROAD NEAR SURIBABU CHICKEN CENTER ANTERVEDI DEVASTANAM, Antervedi Pallipalem, Andhra Pradesh, India"/>
    <x v="4"/>
    <s v="Naeem"/>
    <s v="http://164.52.221.216/localmedia/media/surveys/samples/recording_2026-01-22_10-36-31_samples_wIhVjdK0Xs.mp4"/>
    <x v="6"/>
    <x v="3"/>
    <x v="9"/>
    <x v="1"/>
    <s v="హిందూ"/>
    <x v="1"/>
    <s v="k vasu"/>
    <n v="9849448571"/>
    <x v="0"/>
    <x v="3"/>
    <x v="1"/>
    <x v="1"/>
    <x v="1"/>
    <x v="0"/>
    <s v="ఉద్యొగ్య అవకాశాలు కల్పించటం, ఆరోగ్య రంగం అభివృద్ధి చేయటం, వ్యవసాయం, రైతు బాగుండడం"/>
    <x v="1"/>
    <x v="0"/>
    <x v="1"/>
    <x v="1"/>
    <x v="1"/>
    <x v="1"/>
    <s v="Bhagya H"/>
    <s v="Fake Audio/Empty Audio"/>
    <s v="Fake sample entered on his own"/>
    <x v="1"/>
    <n v="1.2612194085121222"/>
    <n v="1.0795332136445241"/>
    <n v="0.92029223709519836"/>
    <n v="0.85034013605442171"/>
    <n v="1.147984664167413"/>
    <n v="0.85249089649430487"/>
    <n v="0.41451794778650441"/>
    <n v="-1"/>
    <n v="-1"/>
    <n v="1"/>
    <n v="-1"/>
    <n v="-1"/>
    <n v="-1"/>
    <n v="-3.5"/>
    <n v="-4"/>
    <n v="-3"/>
    <n v="-2"/>
    <n v="-3"/>
    <s v="Neutral TDP"/>
  </r>
  <r>
    <s v="8466e21a-b991-4ed1-99a2-37875ef93353"/>
    <x v="3"/>
    <s v="1/22/2026, 10:48:42 AM"/>
    <s v="16.332089, 81.732964"/>
    <s v="8PJM+WGM, Antervedi Pallipalem, Andhra Pradesh, India"/>
    <x v="4"/>
    <s v="Naeem"/>
    <s v="http://164.52.221.216/localmedia/media/surveys/samples/recording_2026-01-22_10-45-49_samples_nJpfnUm3d3.mp4"/>
    <x v="1"/>
    <x v="3"/>
    <x v="9"/>
    <x v="1"/>
    <s v="హిందూ"/>
    <x v="0"/>
    <s v="N satyanarayana"/>
    <n v="9866603431"/>
    <x v="0"/>
    <x v="3"/>
    <x v="2"/>
    <x v="1"/>
    <x v="1"/>
    <x v="0"/>
    <s v="ఉద్యొగ్య అవకాశాలు కల్పించటం, విద్య రంగం అభివృద్ధి చేయటం, ఆరోగ్య రంగం అభివృద్ధి చేయటం"/>
    <x v="1"/>
    <x v="0"/>
    <x v="0"/>
    <x v="1"/>
    <x v="1"/>
    <x v="1"/>
    <s v="Bhagya H"/>
    <s v="Fake Audio/Empty Audio"/>
    <s v="Enetring on his own"/>
    <x v="1"/>
    <n v="1.1705128247062893"/>
    <n v="1.0795332136445241"/>
    <n v="0.86308903171383233"/>
    <n v="0.85034013605442171"/>
    <n v="1.147984664167413"/>
    <n v="0.79950206330384943"/>
    <n v="0.92148737207359532"/>
    <n v="-1"/>
    <n v="-1"/>
    <n v="1"/>
    <n v="-1"/>
    <n v="-1"/>
    <n v="1"/>
    <n v="-1.5"/>
    <n v="-2"/>
    <n v="-1"/>
    <n v="0"/>
    <s v="ND"/>
    <s v="ND"/>
  </r>
  <r>
    <s v="5d155a02-2383-4fdc-a175-d195576a0419"/>
    <x v="3"/>
    <s v="1/22/2026, 4:37:17 PM"/>
    <s v="16.331868, 81.734738"/>
    <s v="SHOP NO. 4-2, Antervedi Pallipalem, Andhra Pradesh, India"/>
    <x v="4"/>
    <s v="Naeem"/>
    <s v="http://164.52.221.216/localmedia/media/surveys/samples/recording_2026-01-22_16-33-14_samples_c7uwJghGs0.mp4"/>
    <x v="0"/>
    <x v="3"/>
    <x v="9"/>
    <x v="0"/>
    <s v="క్రిస్టియన్"/>
    <x v="0"/>
    <s v="I Venu"/>
    <n v="9866331541"/>
    <x v="0"/>
    <x v="4"/>
    <x v="1"/>
    <x v="1"/>
    <x v="1"/>
    <x v="0"/>
    <s v="ఉద్యొగ్య అవకాశాలు కల్పించటం, విద్య రంగం అభివృద్ధి చేయటం, ఆరోగ్య రంగం అభివృద్ధి చేయటం"/>
    <x v="0"/>
    <x v="0"/>
    <x v="1"/>
    <x v="0"/>
    <x v="0"/>
    <x v="0"/>
    <s v="Ashish Sk"/>
    <s v="Correctly Done"/>
    <s v="Correctly Done"/>
    <x v="0"/>
    <n v="1.3836274505214585"/>
    <n v="1.8055837563451775"/>
    <n v="1.9482662206881376"/>
    <n v="0.85034013605442171"/>
    <n v="1.147984664167413"/>
    <n v="1.0790228998469584"/>
    <n v="1.1572915102003449"/>
    <n v="-1"/>
    <n v="-1"/>
    <n v="1"/>
    <n v="1"/>
    <n v="1"/>
    <n v="-1"/>
    <n v="-0.5"/>
    <n v="0"/>
    <n v="1"/>
    <n v="2"/>
    <n v="-2"/>
    <s v="Neutral TDP"/>
  </r>
  <r>
    <s v="a4d92d21-a525-4371-9c8c-a024616f008a"/>
    <x v="3"/>
    <s v="1/22/2026, 4:53:10 PM"/>
    <s v="16.359882, 81.793661"/>
    <s v="No address"/>
    <x v="1"/>
    <s v="Naeem"/>
    <s v="http://164.52.221.216/localmedia/media/surveys/samples/recording_2026-01-22_16-51-31_samples_jywsCXOiQy.mp4"/>
    <x v="0"/>
    <x v="3"/>
    <x v="12"/>
    <x v="3"/>
    <s v="హిందూ"/>
    <x v="1"/>
    <s v="chinna"/>
    <n v="9999999999"/>
    <x v="1"/>
    <x v="1"/>
    <x v="1"/>
    <x v="0"/>
    <x v="0"/>
    <x v="0"/>
    <s v="రోడ్లు వేయటం, సంక్షేమ పథకాలు (నగదు)"/>
    <x v="0"/>
    <x v="0"/>
    <x v="0"/>
    <x v="0"/>
    <x v="0"/>
    <x v="0"/>
    <s v="Ashish Sk"/>
    <s v="Correctly Done"/>
    <s v="Correctly Done"/>
    <x v="0"/>
    <n v="1.3836274505214585"/>
    <n v="1.8055837563451775"/>
    <n v="3.4809023142961388"/>
    <n v="2.1645021645021645"/>
    <n v="1.147984664167413"/>
    <n v="1.9278542477265657"/>
    <n v="3.2048072590163397"/>
    <n v="1"/>
    <n v="1"/>
    <n v="1"/>
    <n v="1"/>
    <n v="1"/>
    <n v="1"/>
    <n v="5.5"/>
    <n v="6"/>
    <n v="5"/>
    <n v="4"/>
    <n v="3"/>
    <s v="YSRCP HardCore"/>
  </r>
  <r>
    <s v="1798b4bb-5b40-4169-ba62-c0a2adb65abc"/>
    <x v="3"/>
    <s v="1/22/2026, 5:00:27 PM"/>
    <s v="16.359858, 81.793711"/>
    <s v="4-183 KALVAMOGA CENTER KESAVADASUPALEM KESAVADASUPALEM SAKH, Kesavadasupalem, Andhra Pradesh, India"/>
    <x v="1"/>
    <s v="Naeem"/>
    <s v="http://164.52.221.216/localmedia/media/surveys/samples/recording_2026-01-22_16-58-49_samples_1gAFj7wpWE.mp4"/>
    <x v="0"/>
    <x v="3"/>
    <x v="12"/>
    <x v="0"/>
    <s v="క్రిస్టియన్"/>
    <x v="1"/>
    <s v="praveenkumar"/>
    <n v="9177495701"/>
    <x v="0"/>
    <x v="1"/>
    <x v="2"/>
    <x v="0"/>
    <x v="0"/>
    <x v="0"/>
    <s v="రోడ్లు వేయటం, వ్యవసాయం, రైతు బాగుండడం, సంక్షేమ పథకాలు (నగదు)"/>
    <x v="0"/>
    <x v="0"/>
    <x v="0"/>
    <x v="0"/>
    <x v="0"/>
    <x v="0"/>
    <s v="Deepika D"/>
    <s v="Correctly Done"/>
    <s v="correctly done"/>
    <x v="0"/>
    <n v="1.3836274505214585"/>
    <n v="1.8055837563451775"/>
    <n v="1.9482662206881376"/>
    <n v="0.85034013605442171"/>
    <n v="1.147984664167413"/>
    <n v="1.0790228998469584"/>
    <n v="1.1572915102003449"/>
    <n v="1"/>
    <n v="1"/>
    <n v="1"/>
    <n v="1"/>
    <n v="1"/>
    <n v="1"/>
    <n v="5.5"/>
    <n v="6"/>
    <n v="5"/>
    <n v="4"/>
    <n v="3"/>
    <s v="YSRCP HardCore"/>
  </r>
  <r>
    <s v="ce13444d-0ddc-4e61-9a9e-7041d3fbe44d"/>
    <x v="3"/>
    <s v="1/22/2026, 5:05:25 PM"/>
    <s v="16.359836, 81.793710"/>
    <s v="4-183 KALVAMOGA CENTER KESAVADASUPALEM KESAVADASUPALEM SAKH, Kesavadasupalem, Andhra Pradesh, India"/>
    <x v="1"/>
    <s v="Naeem"/>
    <s v="http://164.52.221.216/localmedia/media/surveys/samples/recording_2026-01-22_17-04-08_samples_pUwMV6riVN.mp4"/>
    <x v="2"/>
    <x v="3"/>
    <x v="12"/>
    <x v="2"/>
    <s v="హిందూ"/>
    <x v="3"/>
    <s v="bharath"/>
    <n v="8247676059"/>
    <x v="1"/>
    <x v="3"/>
    <x v="1"/>
    <x v="1"/>
    <x v="1"/>
    <x v="1"/>
    <s v="రోడ్లు వేయటం, వ్యవసాయం, రైతు బాగుండడం, సంక్షేమ పథకాలు (నగదు)"/>
    <x v="1"/>
    <x v="0"/>
    <x v="1"/>
    <x v="1"/>
    <x v="1"/>
    <x v="1"/>
    <s v="Ashish Sk"/>
    <s v="Correctly Done"/>
    <s v="Wrong Gender entered"/>
    <x v="0"/>
    <n v="1.1461625511156397"/>
    <n v="1.0795332136445241"/>
    <n v="3.0326483876590018"/>
    <n v="2.1645021645021645"/>
    <n v="1.147984664167413"/>
    <n v="2.8092219390089208"/>
    <n v="2.2934724643212636"/>
    <n v="-1"/>
    <n v="-1"/>
    <n v="-1"/>
    <n v="-1"/>
    <n v="-1"/>
    <n v="-1"/>
    <n v="-5.5"/>
    <n v="-6"/>
    <n v="-5"/>
    <n v="-4"/>
    <n v="-3"/>
    <s v="TDP HardCore"/>
  </r>
  <r>
    <s v="76ba4cde-931e-4d53-a985-1923537cfe1d"/>
    <x v="3"/>
    <s v="1/22/2026, 11:04:50 AM"/>
    <s v="16.400858, 81.777848"/>
    <s v="CQ2H+C6Q, Antarvedipalem, Andhra Pradesh, India"/>
    <x v="1"/>
    <s v="Naeem"/>
    <s v="http://164.52.221.216/localmedia/media/surveys/samples/recording_2026-01-22_11-00-36_samples_CKrY43B5Bb.mp4"/>
    <x v="2"/>
    <x v="3"/>
    <x v="8"/>
    <x v="3"/>
    <s v="హిందూ"/>
    <x v="2"/>
    <s v="vekatapathiraju"/>
    <n v="9999999999"/>
    <x v="0"/>
    <x v="3"/>
    <x v="2"/>
    <x v="1"/>
    <x v="0"/>
    <x v="0"/>
    <s v="రోడ్లు వేయటం, వ్యవసాయం, రైతు బాగుండడం, సంక్షేమ పథకాలు (నగదు)"/>
    <x v="0"/>
    <x v="0"/>
    <x v="0"/>
    <x v="0"/>
    <x v="2"/>
    <x v="0"/>
    <s v="Bhagya H"/>
    <s v="Correctly Done"/>
    <s v="Didn't asked caste, Q6 Kept on his own, Q9 response was inaudible, Q12 to Q14,Q17 didn't asked quesions"/>
    <x v="0"/>
    <n v="1.1461625511156397"/>
    <n v="1.8055837563451775"/>
    <n v="1.2999324650914248"/>
    <n v="0.85034013605442171"/>
    <n v="1.147984664167413"/>
    <n v="0.71995135120329123"/>
    <n v="0.54319084681293095"/>
    <n v="-1"/>
    <n v="1"/>
    <n v="1"/>
    <n v="1"/>
    <n v="1"/>
    <n v="1"/>
    <n v="3.5"/>
    <n v="4"/>
    <n v="3"/>
    <n v="4"/>
    <n v="2"/>
    <s v="YSRCP Sympathiser"/>
  </r>
  <r>
    <s v="6cb09c68-ff89-40a3-af22-eba5d725cfda"/>
    <x v="3"/>
    <s v="1/22/2026, 11:06:38 AM"/>
    <s v="16.332035, 81.733572"/>
    <s v="SHOP NO.8-39 SIVALAYAM ROAD NEAR SURIBABU CHICKEN CENTER ANTERVEDI DEVASTANAM, Antervedi Pallipalem, Andhra Pradesh, India"/>
    <x v="4"/>
    <s v="Naeem"/>
    <s v="http://164.52.221.216/localmedia/media/surveys/samples/recording_2026-01-22_11-04-03_samples_o3RE5IhqRC.mp4"/>
    <x v="3"/>
    <x v="3"/>
    <x v="9"/>
    <x v="0"/>
    <s v="హిందూ"/>
    <x v="1"/>
    <s v="Peddiraju"/>
    <n v="9849265187"/>
    <x v="0"/>
    <x v="3"/>
    <x v="2"/>
    <x v="1"/>
    <x v="0"/>
    <x v="0"/>
    <s v="రోడ్లు వేయటం, ఉద్యొగ్య అవకాశాలు కల్పించటం, విద్య రంగం అభివృద్ధి చేయటం"/>
    <x v="0"/>
    <x v="0"/>
    <x v="0"/>
    <x v="1"/>
    <x v="1"/>
    <x v="1"/>
    <s v="Bhagya H"/>
    <s v="Fake Audio/Empty Audio"/>
    <s v="Entered on his own"/>
    <x v="1"/>
    <n v="1.8452248965186235"/>
    <n v="1.0795332136445241"/>
    <n v="1.5651283704851411"/>
    <n v="0.85034013605442171"/>
    <n v="1.147984664167413"/>
    <n v="1.4498195615503471"/>
    <n v="2.9242991836792998"/>
    <n v="-1"/>
    <n v="1"/>
    <n v="1"/>
    <n v="1"/>
    <n v="-1"/>
    <n v="1"/>
    <n v="2.5"/>
    <n v="2"/>
    <n v="1"/>
    <n v="2"/>
    <s v="ND"/>
    <s v="ND"/>
  </r>
  <r>
    <s v="317fafb9-dd8b-4449-bc41-21a8d6a1a1c4"/>
    <x v="3"/>
    <s v="1/22/2026, 11:09:15 AM"/>
    <s v="16.395859, 81.782528"/>
    <s v="9QWJ+FWJ, Antarvedipalem, Andhra Pradesh, India"/>
    <x v="1"/>
    <s v="Naeem"/>
    <s v="http://164.52.221.216/localmedia/media/surveys/samples/recording_2026-01-22_11-07-46_samples_TQZWbGD8oK.mp4"/>
    <x v="2"/>
    <x v="3"/>
    <x v="8"/>
    <x v="0"/>
    <s v="హిందూ"/>
    <x v="2"/>
    <s v="narayanaswami"/>
    <n v="9999999999"/>
    <x v="0"/>
    <x v="1"/>
    <x v="2"/>
    <x v="1"/>
    <x v="0"/>
    <x v="1"/>
    <s v="రోడ్లు వేయటం, సంక్షేమ పథకాలు (నగదు)"/>
    <x v="1"/>
    <x v="0"/>
    <x v="1"/>
    <x v="1"/>
    <x v="1"/>
    <x v="1"/>
    <s v="Bhagya H"/>
    <s v="Correctly Done"/>
    <s v="Hurried in completing the questionnaire not letting the respondent to give thier response. And skipped Q8,9,10,14 questions.kept q5 response before the respondent answers."/>
    <x v="0"/>
    <n v="1.1461625511156397"/>
    <n v="1.0795332136445241"/>
    <n v="0.77721139583220644"/>
    <n v="0.85034013605442171"/>
    <n v="1.147984664167413"/>
    <n v="0.71995135120329123"/>
    <n v="0.54319084681293095"/>
    <n v="-1"/>
    <n v="1"/>
    <n v="-1"/>
    <n v="-1"/>
    <n v="-1"/>
    <n v="-1"/>
    <n v="-3.5"/>
    <n v="-4"/>
    <n v="-5"/>
    <n v="-4"/>
    <n v="-3"/>
    <s v="TDP Sympathiser"/>
  </r>
  <r>
    <s v="bb50ae77-eaf5-40a1-8e42-e2d3ccc96b62"/>
    <x v="3"/>
    <s v="1/22/2026, 5:10:40 PM"/>
    <s v="16.361237, 81.797113"/>
    <s v="9Q6X+G4H, Kesavadasupalem, Andhra Pradesh, India"/>
    <x v="1"/>
    <s v="Naeem"/>
    <s v="http://164.52.221.216/localmedia/media/surveys/samples/recording_2026-01-22_17-09-09_samples_VCYbXV2jWH.mp4"/>
    <x v="2"/>
    <x v="3"/>
    <x v="12"/>
    <x v="1"/>
    <s v="హిందూ"/>
    <x v="1"/>
    <s v="raja"/>
    <n v="9999999999"/>
    <x v="0"/>
    <x v="1"/>
    <x v="1"/>
    <x v="0"/>
    <x v="1"/>
    <x v="0"/>
    <s v="విద్య రంగం అభివృద్ధి చేయటం, ఆరోగ్య రంగం అభివృద్ధి చేయటం, సంక్షేమ పథకాలు (నగదు)"/>
    <x v="1"/>
    <x v="0"/>
    <x v="1"/>
    <x v="1"/>
    <x v="1"/>
    <x v="1"/>
    <s v="Ashish Sk"/>
    <s v="Correctly Done"/>
    <s v="Correctly Done"/>
    <x v="0"/>
    <n v="1.1461625511156397"/>
    <n v="1.0795332136445241"/>
    <n v="0.77721139583220644"/>
    <n v="0.85034013605442171"/>
    <n v="1.147984664167413"/>
    <n v="0.71995135120329123"/>
    <n v="0.54319084681293095"/>
    <n v="1"/>
    <n v="-1"/>
    <n v="1"/>
    <n v="-1"/>
    <n v="-1"/>
    <n v="-1"/>
    <n v="-1.5"/>
    <n v="-2"/>
    <n v="-1"/>
    <n v="-2"/>
    <n v="-2"/>
    <s v="Neutral TDP"/>
  </r>
  <r>
    <s v="aca4b837-05b2-475f-9f01-6e0abe62b630"/>
    <x v="3"/>
    <s v="1/22/2026, 11:12:48 AM"/>
    <s v="16.397745, 81.781672"/>
    <s v="SHOP NO.6, ANTERDIPALEM, SakhinetiPalli, Andhra Pradesh, India"/>
    <x v="1"/>
    <s v="Naeem"/>
    <s v="http://164.52.221.216/localmedia/media/surveys/samples/recording_2026-01-22_11-10-38_samples_T7ohwd7ahY.mp4"/>
    <x v="2"/>
    <x v="3"/>
    <x v="8"/>
    <x v="2"/>
    <s v="హిందూ"/>
    <x v="0"/>
    <s v="gopal krishna"/>
    <n v="9492451117"/>
    <x v="0"/>
    <x v="3"/>
    <x v="2"/>
    <x v="1"/>
    <x v="0"/>
    <x v="0"/>
    <s v="రోడ్లు వేయటం, శాంతి భద్రతలను కాపాడటం, వ్యవసాయం, రైతు బాగుండడం"/>
    <x v="0"/>
    <x v="1"/>
    <x v="0"/>
    <x v="0"/>
    <x v="0"/>
    <x v="0"/>
    <s v="Bhagya H"/>
    <s v="Not Doing It Properly"/>
    <s v="Q6 Kept on his own, didn't asked properly.Q8 kept on his own."/>
    <x v="0"/>
    <n v="1.1461625511156397"/>
    <n v="1.8055837563451775"/>
    <n v="1.2999324650914248"/>
    <n v="0.85034013605442171"/>
    <n v="1.147984664167413"/>
    <n v="0.71995135120329123"/>
    <n v="0.54319084681293095"/>
    <n v="-1"/>
    <n v="1"/>
    <n v="1"/>
    <n v="1"/>
    <n v="1"/>
    <n v="1"/>
    <n v="3.5"/>
    <n v="4"/>
    <n v="3"/>
    <n v="4"/>
    <n v="2"/>
    <s v="YSRCP Sympathiser"/>
  </r>
  <r>
    <s v="c46d9d3d-76e1-4dd3-aeb3-0ac95a1d1cb6"/>
    <x v="3"/>
    <s v="1/22/2026, 11:16:30 AM"/>
    <s v="16.332266, 81.733997"/>
    <s v="Viswanath Home, Antervedi Pallipalem, Andhra Pradesh, India"/>
    <x v="4"/>
    <s v="Naeem"/>
    <s v="http://164.52.221.216/localmedia/media/surveys/samples/recording_2026-01-22_11-13-12_samples_cgHnB48ncb.mp4"/>
    <x v="5"/>
    <x v="3"/>
    <x v="9"/>
    <x v="2"/>
    <s v="హిందూ"/>
    <x v="1"/>
    <s v="Prasad"/>
    <n v="8143783383"/>
    <x v="0"/>
    <x v="3"/>
    <x v="1"/>
    <x v="1"/>
    <x v="1"/>
    <x v="1"/>
    <s v="రోడ్లు వేయటం, ఉద్యొగ్య అవకాశాలు కల్పించటం, విద్య రంగం అభివృద్ధి చేయటం, ఆరోగ్య రంగం అభివృద్ధి చేయటం"/>
    <x v="1"/>
    <x v="0"/>
    <x v="1"/>
    <x v="1"/>
    <x v="1"/>
    <x v="1"/>
    <s v="Bhagya H"/>
    <s v="Not Doing It Properly"/>
    <s v="Caste- Yerukula, Q1 kept on hiw own,"/>
    <x v="0"/>
    <n v="1.0478809952686368"/>
    <n v="1.0795332136445241"/>
    <n v="0.8266624780172348"/>
    <n v="0.85034013605442171"/>
    <n v="1.147984664167413"/>
    <n v="0.7657591888501577"/>
    <n v="0.71710935112881979"/>
    <n v="-1"/>
    <n v="-1"/>
    <n v="-1"/>
    <n v="-1"/>
    <n v="-1"/>
    <n v="-1"/>
    <n v="-5.5"/>
    <n v="-6"/>
    <n v="-5"/>
    <n v="-4"/>
    <n v="-3"/>
    <s v="TDP HardCore"/>
  </r>
  <r>
    <s v="57feecbf-53ef-419c-8317-99f5b58c2d1b"/>
    <x v="3"/>
    <s v="1/22/2026, 5:18:20 PM"/>
    <s v="16.361082, 81.798105"/>
    <s v="9Q6X+G4H, Kesavadasupalem, Andhra Pradesh, India"/>
    <x v="1"/>
    <s v="Naeem"/>
    <s v="http://164.52.221.216/localmedia/media/surveys/samples/recording_2026-01-22_17-16-20_samples_b5GSsKgSMW.mp4"/>
    <x v="2"/>
    <x v="3"/>
    <x v="12"/>
    <x v="0"/>
    <s v="హిందూ"/>
    <x v="2"/>
    <s v="adinarayana"/>
    <n v="9999999999"/>
    <x v="0"/>
    <x v="3"/>
    <x v="2"/>
    <x v="0"/>
    <x v="0"/>
    <x v="0"/>
    <s v="రోడ్లు వేయటం, విద్య రంగం అభివృద్ధి చేయటం, సంక్షేమ పథకాలు (నగదు)"/>
    <x v="1"/>
    <x v="0"/>
    <x v="1"/>
    <x v="1"/>
    <x v="1"/>
    <x v="1"/>
    <s v="Deepika D"/>
    <s v="Correctly Done"/>
    <s v="correctly done"/>
    <x v="0"/>
    <n v="1.1461625511156397"/>
    <n v="1.0795332136445241"/>
    <n v="0.77721139583220644"/>
    <n v="0.85034013605442171"/>
    <n v="1.147984664167413"/>
    <n v="0.71995135120329123"/>
    <n v="0.54319084681293095"/>
    <n v="1"/>
    <n v="1"/>
    <n v="1"/>
    <n v="-1"/>
    <n v="-1"/>
    <n v="-1"/>
    <n v="0.5"/>
    <n v="0"/>
    <n v="-1"/>
    <n v="-2"/>
    <n v="-2"/>
    <s v="Neutral TDP"/>
  </r>
  <r>
    <s v="8506c280-a796-4c14-ae40-0b3305d2bf56"/>
    <x v="3"/>
    <s v="1/22/2026, 5:20:43 PM"/>
    <s v="16.359754, 81.793657"/>
    <s v="4-183 KALVAMOGA CENTER KESAVADASUPALEM KESAVADASUPALEM SAKH, Kesavadasupalem, Andhra Pradesh, India"/>
    <x v="1"/>
    <s v="Naeem"/>
    <s v="http://164.52.221.216/localmedia/media/surveys/samples/recording_2026-01-22_17-18-58_samples_0zBXvVpcQ4.mp4"/>
    <x v="2"/>
    <x v="3"/>
    <x v="12"/>
    <x v="3"/>
    <s v="హిందూ"/>
    <x v="2"/>
    <s v="veravekatasurya"/>
    <n v="9999999999"/>
    <x v="0"/>
    <x v="3"/>
    <x v="2"/>
    <x v="1"/>
    <x v="0"/>
    <x v="1"/>
    <s v="రోడ్లు వేయటం, ఆరోగ్య రంగం అభివృద్ధి చేయటం, సంక్షేమ పథకాలు (నగదు)"/>
    <x v="1"/>
    <x v="0"/>
    <x v="1"/>
    <x v="1"/>
    <x v="1"/>
    <x v="1"/>
    <s v="Ashish Sk"/>
    <s v="Correctly Done"/>
    <s v="Correctly Done"/>
    <x v="0"/>
    <n v="1.1461625511156397"/>
    <n v="1.0795332136445241"/>
    <n v="0.77721139583220644"/>
    <n v="0.85034013605442171"/>
    <n v="1.147984664167413"/>
    <n v="0.71995135120329123"/>
    <n v="0.54319084681293095"/>
    <n v="-1"/>
    <n v="1"/>
    <n v="-1"/>
    <n v="-1"/>
    <n v="-1"/>
    <n v="-1"/>
    <n v="-3.5"/>
    <n v="-4"/>
    <n v="-5"/>
    <n v="-4"/>
    <n v="-3"/>
    <s v="TDP Sympathiser"/>
  </r>
  <r>
    <s v="597ca3bd-99d2-46d6-beec-44f7f1d13ebf"/>
    <x v="3"/>
    <s v="1/22/2026, 11:22:51 AM"/>
    <s v="16.398883, 81.781735"/>
    <s v="9QXJ+MPJ, Antarvedipalem, Andhra Pradesh, India"/>
    <x v="1"/>
    <s v="Naeem"/>
    <s v="http://164.52.221.216/localmedia/media/surveys/samples/recording_2026-01-22_11-20-53_samples_X7VdkM2H00.mp4"/>
    <x v="2"/>
    <x v="3"/>
    <x v="8"/>
    <x v="0"/>
    <s v="హిందూ"/>
    <x v="0"/>
    <s v="adinarayana"/>
    <n v="9866960822"/>
    <x v="0"/>
    <x v="1"/>
    <x v="1"/>
    <x v="1"/>
    <x v="1"/>
    <x v="1"/>
    <s v="రోడ్లు వేయటం, వ్యవసాయం, రైతు బాగుండడం"/>
    <x v="1"/>
    <x v="0"/>
    <x v="1"/>
    <x v="1"/>
    <x v="1"/>
    <x v="1"/>
    <s v="Bhagya H"/>
    <s v="Not Doing It Properly"/>
    <s v="Q1,Q6 entered on hiw own, Too hurried to complete the questionnaire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4362c68c-1472-485f-afbd-e3baaf5fbeb7"/>
    <x v="3"/>
    <s v="1/22/2026, 5:23:52 PM"/>
    <s v="16.360925, 81.798132"/>
    <s v="9Q6X+G4H, Kesavadasupalem, Andhra Pradesh, India"/>
    <x v="1"/>
    <s v="Naeem"/>
    <s v="http://164.52.221.216/localmedia/media/surveys/samples/recording_2026-01-22_17-22-10_samples_xtTr9SjfVs.mp4"/>
    <x v="0"/>
    <x v="3"/>
    <x v="12"/>
    <x v="0"/>
    <s v="క్రిస్టియన్"/>
    <x v="0"/>
    <s v="ramesh"/>
    <n v="9999999999"/>
    <x v="0"/>
    <x v="2"/>
    <x v="2"/>
    <x v="1"/>
    <x v="0"/>
    <x v="0"/>
    <s v="రోడ్లు వేయటం, వ్యవసాయం, రైతు బాగుండడం, సంక్షేమ పథకాలు (నగదు)"/>
    <x v="1"/>
    <x v="0"/>
    <x v="1"/>
    <x v="1"/>
    <x v="1"/>
    <x v="1"/>
    <s v="Deepika D"/>
    <s v="Correctly Done"/>
    <s v="correctly done"/>
    <x v="0"/>
    <n v="1.3836274505214585"/>
    <n v="1.0795332136445241"/>
    <n v="1.1648410586678206"/>
    <n v="0.85034013605442171"/>
    <n v="1.147984664167413"/>
    <n v="1.0790228998469584"/>
    <n v="1.1572915102003449"/>
    <n v="-1"/>
    <n v="1"/>
    <n v="1"/>
    <n v="-1"/>
    <n v="-1"/>
    <n v="-1"/>
    <n v="-1.5"/>
    <n v="-2"/>
    <n v="-3"/>
    <n v="-2"/>
    <n v="-3"/>
    <s v="Neutral TDP"/>
  </r>
  <r>
    <s v="30fe40e8-a5a0-4d82-99f1-8c2a1f5d4bfb"/>
    <x v="3"/>
    <s v="1/22/2026, 11:33:46 AM"/>
    <s v="16.401373, 81.778207"/>
    <s v="CQ2H+G6V, Kakinada, Andhra Pradesh, India"/>
    <x v="1"/>
    <s v="Naeem"/>
    <s v="http://164.52.221.216/localmedia/media/surveys/samples/recording_2026-01-22_11-32-03_samples_3oBFEvC8gB.mp4"/>
    <x v="9"/>
    <x v="3"/>
    <x v="8"/>
    <x v="0"/>
    <s v="హిందూ"/>
    <x v="2"/>
    <s v="hanumathrao"/>
    <n v="9959775430"/>
    <x v="0"/>
    <x v="3"/>
    <x v="2"/>
    <x v="1"/>
    <x v="0"/>
    <x v="1"/>
    <s v="రోడ్లు వేయటం, ఉద్యొగ్య అవకాశాలు కల్పించటం"/>
    <x v="1"/>
    <x v="0"/>
    <x v="1"/>
    <x v="1"/>
    <x v="1"/>
    <x v="1"/>
    <s v="Bhagya H"/>
    <s v="Not Doing It Properly"/>
    <s v="Caste didn't mentioned, Not letting respondent to finish the responses asking the next question."/>
    <x v="0"/>
    <n v="1.1209668980183516"/>
    <n v="1.0795332136445241"/>
    <n v="1.0451044981059459"/>
    <n v="0.85034013605442171"/>
    <n v="1.147984664167413"/>
    <n v="0.96810777556130356"/>
    <n v="0.30685005205910726"/>
    <n v="-1"/>
    <n v="1"/>
    <n v="-1"/>
    <n v="-1"/>
    <n v="-1"/>
    <n v="-1"/>
    <n v="-3.5"/>
    <n v="-4"/>
    <n v="-5"/>
    <n v="-4"/>
    <n v="-3"/>
    <s v="TDP Sympathiser"/>
  </r>
  <r>
    <s v="9cec00cd-4a4c-4f6f-b0cd-76bb4f7d4b99"/>
    <x v="3"/>
    <s v="1/22/2026, 5:26:40 PM"/>
    <s v="16.359849, 81.793604"/>
    <s v="4-183 KALVAMOGA CENTER KESAVADASUPALEM KESAVADASUPALEM SAKH, Kesavadasupalem, Andhra Pradesh, India"/>
    <x v="1"/>
    <s v="Naeem"/>
    <s v="http://164.52.221.216/localmedia/media/surveys/samples/recording_2026-01-22_17-25-04_samples_2nU99SH2sO.mp4"/>
    <x v="2"/>
    <x v="3"/>
    <x v="12"/>
    <x v="3"/>
    <s v="హిందూ"/>
    <x v="0"/>
    <s v="srinu"/>
    <n v="9999999999"/>
    <x v="0"/>
    <x v="1"/>
    <x v="1"/>
    <x v="1"/>
    <x v="1"/>
    <x v="1"/>
    <s v="రోడ్లు వేయటం, ఉద్యొగ్య అవకాశాలు కల్పించటం, సంక్షేమ పథకాలు (నగదు)"/>
    <x v="1"/>
    <x v="0"/>
    <x v="1"/>
    <x v="1"/>
    <x v="1"/>
    <x v="1"/>
    <s v="Ashish Sk"/>
    <s v="Correctly Done"/>
    <s v="Correctly Done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ee927d8a-da08-4dbe-8c0d-48b54e22a740"/>
    <x v="3"/>
    <s v="1/22/2026, 5:29:41 PM"/>
    <s v="16.360240, 81.799796"/>
    <s v="9Q6X+7WJ, Kesavadasupalem, Andhra Pradesh, India"/>
    <x v="1"/>
    <s v="Naeem"/>
    <s v="http://164.52.221.216/localmedia/media/surveys/samples/recording_2026-01-22_17-28-00_samples_BumFwAdzY9.mp4"/>
    <x v="2"/>
    <x v="3"/>
    <x v="12"/>
    <x v="3"/>
    <s v="హిందూ"/>
    <x v="2"/>
    <s v="mulaswami"/>
    <n v="7731922178"/>
    <x v="0"/>
    <x v="1"/>
    <x v="2"/>
    <x v="1"/>
    <x v="1"/>
    <x v="1"/>
    <s v="రోడ్లు వేయటం, విద్య రంగం అభివృద్ధి చేయటం, వ్యవసాయం, రైతు బాగుండడం"/>
    <x v="1"/>
    <x v="0"/>
    <x v="1"/>
    <x v="1"/>
    <x v="1"/>
    <x v="1"/>
    <s v="Deepika D"/>
    <s v="Correctly Done"/>
    <s v="correctly done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fbaacf31-e7bd-49e1-90ce-601601216e29"/>
    <x v="3"/>
    <s v="1/22/2026, 5:34:40 PM"/>
    <s v="16.360008, 81.793710"/>
    <s v="9Q6V+2G3, Kesavadasupalem, Andhra Pradesh, India"/>
    <x v="1"/>
    <s v="Naeem"/>
    <s v="http://164.52.221.216/localmedia/media/surveys/samples/recording_2026-01-22_17-32-11_samples_ZAV9Qkacv9.mp4"/>
    <x v="2"/>
    <x v="3"/>
    <x v="12"/>
    <x v="1"/>
    <s v="హిందూ"/>
    <x v="2"/>
    <s v="satyanarayana"/>
    <n v="9999999999"/>
    <x v="0"/>
    <x v="1"/>
    <x v="1"/>
    <x v="1"/>
    <x v="1"/>
    <x v="1"/>
    <s v="రోడ్లు వేయటం, విద్య రంగం అభివృద్ధి చేయటం, సంక్షేమ పథకాలు (నగదు)"/>
    <x v="1"/>
    <x v="0"/>
    <x v="1"/>
    <x v="1"/>
    <x v="1"/>
    <x v="1"/>
    <s v="Ashish Sk"/>
    <s v="Correctly Done"/>
    <s v="Q5,7,8,9 are kept on his own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f430679f-c1cb-46e4-bdeb-c7a3e5533252"/>
    <x v="3"/>
    <s v="1/22/2026, 11:47:16 AM"/>
    <s v="16.331291, 81.735101"/>
    <s v="SHOP NO.1, SAKHINETIPALLI, Andhra Pradesh, India"/>
    <x v="4"/>
    <s v="Naeem"/>
    <s v="http://164.52.221.216/localmedia/media/surveys/samples/recording_2026-01-22_11-45-31_samples_Px4LEtLejU.mp4"/>
    <x v="1"/>
    <x v="3"/>
    <x v="9"/>
    <x v="0"/>
    <s v="హిందూ"/>
    <x v="1"/>
    <s v="durgarao"/>
    <n v="9701086442"/>
    <x v="0"/>
    <x v="3"/>
    <x v="1"/>
    <x v="1"/>
    <x v="1"/>
    <x v="1"/>
    <s v="రోడ్లు వేయటం, విద్య రంగం అభివృద్ధి చేయటం, ఆరోగ్య రంగం అభివృద్ధి చేయటం"/>
    <x v="1"/>
    <x v="0"/>
    <x v="1"/>
    <x v="1"/>
    <x v="1"/>
    <x v="1"/>
    <s v="Bhagya H"/>
    <s v="Fake Audio/Empty Audio"/>
    <s v="Entered fake sample"/>
    <x v="1"/>
    <n v="1.1705128247062893"/>
    <n v="1.0795332136445241"/>
    <n v="0.86308903171383233"/>
    <n v="0.85034013605442171"/>
    <n v="1.147984664167413"/>
    <n v="0.79950206330384943"/>
    <n v="0.92148737207359532"/>
    <n v="-1"/>
    <n v="-1"/>
    <n v="-1"/>
    <n v="-1"/>
    <n v="-1"/>
    <n v="-1"/>
    <n v="-5.5"/>
    <n v="-6"/>
    <n v="-5"/>
    <n v="-4"/>
    <n v="-3"/>
    <s v="TDP HardCore"/>
  </r>
  <r>
    <s v="550fef15-5649-411d-b9d4-bd8498154bc6"/>
    <x v="3"/>
    <s v="1/22/2026, 5:56:09 PM"/>
    <s v="16.360744, 81.798776"/>
    <s v="9Q6X+7WJ, Kesavadasupalem, Andhra Pradesh, India"/>
    <x v="1"/>
    <s v="Naeem"/>
    <s v="http://164.52.221.216/localmedia/media/surveys/samples/recording_2026-01-22_17-54-18_samples_O3pzJXMdQT.mp4"/>
    <x v="0"/>
    <x v="3"/>
    <x v="12"/>
    <x v="0"/>
    <s v="క్రిస్టియన్"/>
    <x v="0"/>
    <s v="suvarna raju"/>
    <n v="9177817586"/>
    <x v="0"/>
    <x v="2"/>
    <x v="2"/>
    <x v="0"/>
    <x v="0"/>
    <x v="0"/>
    <s v="రోడ్లు వేయటం, ఆరోగ్య రంగం అభివృద్ధి చేయటం, సంక్షేమ పథకాలు (నగదు)"/>
    <x v="0"/>
    <x v="0"/>
    <x v="0"/>
    <x v="0"/>
    <x v="0"/>
    <x v="0"/>
    <s v="Ashish Sk"/>
    <s v="Correctly Done"/>
    <s v="Correctly Done"/>
    <x v="0"/>
    <n v="1.3836274505214585"/>
    <n v="1.8055837563451775"/>
    <n v="1.9482662206881376"/>
    <n v="0.85034013605442171"/>
    <n v="1.147984664167413"/>
    <n v="1.0790228998469584"/>
    <n v="1.1572915102003449"/>
    <n v="1"/>
    <n v="1"/>
    <n v="1"/>
    <n v="1"/>
    <n v="1"/>
    <n v="1"/>
    <n v="5.5"/>
    <n v="6"/>
    <n v="5"/>
    <n v="4"/>
    <n v="3"/>
    <s v="YSRCP HardCore"/>
  </r>
  <r>
    <s v="2b628c57-4386-4b01-b2b0-0d99474a9e97"/>
    <x v="3"/>
    <s v="1/22/2026, 6:40:58 PM"/>
    <s v="16.361437, 81.800483"/>
    <s v="9R62+927, Kesavadasupalem, Andhra Pradesh, India"/>
    <x v="1"/>
    <s v="Naeem"/>
    <s v="http://164.52.221.216/localmedia/media/surveys/samples/recording_2026-01-22_18-39-25_samples_UTR4lU9yTD.mp4"/>
    <x v="0"/>
    <x v="3"/>
    <x v="12"/>
    <x v="2"/>
    <s v="హిందూ"/>
    <x v="1"/>
    <s v="ramesh "/>
    <n v="9999999999"/>
    <x v="0"/>
    <x v="2"/>
    <x v="1"/>
    <x v="1"/>
    <x v="1"/>
    <x v="1"/>
    <s v="రోడ్లు వేయటం, విద్య రంగం అభివృద్ధి చేయటం, ఆరోగ్య రంగం అభివృద్ధి చేయటం"/>
    <x v="1"/>
    <x v="0"/>
    <x v="1"/>
    <x v="1"/>
    <x v="1"/>
    <x v="1"/>
    <s v="Bhagya H"/>
    <s v="Correctly Done"/>
    <n v="0"/>
    <x v="0"/>
    <n v="1.3836274505214585"/>
    <n v="1.0795332136445241"/>
    <n v="1.1648410586678206"/>
    <n v="0.85034013605442171"/>
    <n v="1.147984664167413"/>
    <n v="1.0790228998469584"/>
    <n v="1.1572915102003449"/>
    <n v="-1"/>
    <n v="-1"/>
    <n v="-1"/>
    <n v="-1"/>
    <n v="-1"/>
    <n v="-1"/>
    <n v="-5.5"/>
    <n v="-6"/>
    <n v="-5"/>
    <n v="-4"/>
    <n v="-3"/>
    <s v="TDP HardCore"/>
  </r>
  <r>
    <s v="691efe0f-4bee-4f3e-bcc0-8e258d026d30"/>
    <x v="3"/>
    <s v="1/22/2026, 3:40:59 PM"/>
    <s v="16.332720, 81.734418"/>
    <s v="SHOP NO. 9, SAKHINETIPALLI, Andhra Pradesh, India"/>
    <x v="4"/>
    <s v="Naeem"/>
    <s v="http://164.52.221.216/localmedia/media/surveys/samples/recording_2026-01-22_15-37-58_samples_J0lqmkrg5J.mp4"/>
    <x v="6"/>
    <x v="3"/>
    <x v="9"/>
    <x v="6"/>
    <s v="హిందూ"/>
    <x v="1"/>
    <s v="prasannakumari"/>
    <n v="7989531195"/>
    <x v="1"/>
    <x v="2"/>
    <x v="1"/>
    <x v="1"/>
    <x v="1"/>
    <x v="1"/>
    <s v="రోడ్లు వేయటం, ఉద్యొగ్య అవకాశాలు కల్పించటం, విద్య రంగం అభివృద్ధి చేయటం"/>
    <x v="1"/>
    <x v="0"/>
    <x v="1"/>
    <x v="1"/>
    <x v="1"/>
    <x v="1"/>
    <s v="Deepika D"/>
    <s v="Fake Audio/Empty Audio"/>
    <s v="fake/empty audio"/>
    <x v="1"/>
    <n v="1.2612194085121222"/>
    <n v="1.0795332136445241"/>
    <n v="2.6155674106916162"/>
    <n v="2.1645021645021645"/>
    <n v="1.147984664167413"/>
    <n v="2.4228688637206557"/>
    <n v="2.2107623881946901"/>
    <n v="-1"/>
    <n v="-1"/>
    <n v="-1"/>
    <n v="-1"/>
    <n v="-1"/>
    <n v="-1"/>
    <n v="-5.5"/>
    <n v="-6"/>
    <n v="-5"/>
    <n v="-4"/>
    <n v="-3"/>
    <s v="TDP HardCore"/>
  </r>
  <r>
    <s v="c3d3728a-dcca-4c79-914b-7757c100cbec"/>
    <x v="4"/>
    <s v="23/01/2026, 08:22:49"/>
    <s v="16.486343, 81.885331"/>
    <s v="FVPM+F9M, Palagummi, Andhra Pradesh, India"/>
    <x v="3"/>
    <s v="Naeem"/>
    <s v="http://164.52.221.216/localmedia/media/surveys/samples/recording_2026-01-23_08-19-17_samples_ebgElLwseS.mp4"/>
    <x v="8"/>
    <x v="1"/>
    <x v="10"/>
    <x v="0"/>
    <s v="హిందూ"/>
    <x v="1"/>
    <s v="dankarao"/>
    <n v="8886098544"/>
    <x v="0"/>
    <x v="3"/>
    <x v="1"/>
    <x v="1"/>
    <x v="1"/>
    <x v="1"/>
    <s v="రోడ్లు వేయటం, విద్య రంగం అభివృద్ధి చేయటం, వ్యవసాయం, రైతు బాగుండడం"/>
    <x v="1"/>
    <x v="0"/>
    <x v="1"/>
    <x v="1"/>
    <x v="1"/>
    <x v="1"/>
    <s v="Deepika"/>
    <s v="Correctly Done"/>
    <n v="0"/>
    <x v="0"/>
    <n v="0.80207032429970992"/>
    <n v="1.0795332136445241"/>
    <n v="0.65595572330316032"/>
    <n v="0.85034013605442171"/>
    <n v="1.1213131007097483"/>
    <n v="0.60762903356038633"/>
    <n v="0.38672994380094594"/>
    <n v="-1"/>
    <n v="-1"/>
    <n v="-1"/>
    <n v="-1"/>
    <n v="-1"/>
    <n v="-1"/>
    <n v="-5.5"/>
    <n v="-6"/>
    <n v="-5"/>
    <n v="-4"/>
    <n v="-3"/>
    <s v="TDP HardCore"/>
  </r>
  <r>
    <s v="1ddd85bf-6e5c-41a4-9507-3ea90e0e3112"/>
    <x v="4"/>
    <s v="23/01/2026, 08:49:01"/>
    <s v="16.505425, 81.878629"/>
    <s v="GV4H+9HC, Tatipaka, Andhra Pradesh, India"/>
    <x v="3"/>
    <s v="Naeem"/>
    <s v="http://164.52.221.216/localmedia/media/surveys/samples/recording_2026-01-23_08-45-57_samples_1KWXY0CdQd.mp4"/>
    <x v="1"/>
    <x v="1"/>
    <x v="10"/>
    <x v="2"/>
    <s v="హిందూ"/>
    <x v="1"/>
    <s v="durga lakshmi"/>
    <n v="9908133189"/>
    <x v="1"/>
    <x v="2"/>
    <x v="1"/>
    <x v="1"/>
    <x v="0"/>
    <x v="1"/>
    <s v="విద్య రంగం అభివృద్ధి చేయటం, ఆరోగ్య రంగం అభివృద్ధి చేయటం, వ్యవసాయం, రైతు బాగుండడం"/>
    <x v="1"/>
    <x v="0"/>
    <x v="1"/>
    <x v="1"/>
    <x v="1"/>
    <x v="1"/>
    <s v="Deepika"/>
    <s v="Correctly Done"/>
    <s v="No remarks"/>
    <x v="0"/>
    <n v="1.1705128247062893"/>
    <n v="1.0795332136445241"/>
    <n v="2.3577066232182737"/>
    <n v="2.1645021645021645"/>
    <n v="1.1213131007097483"/>
    <n v="2.1840056363422229"/>
    <n v="0.95944580773600496"/>
    <n v="-1"/>
    <n v="1"/>
    <n v="-1"/>
    <n v="-1"/>
    <n v="-1"/>
    <n v="-1"/>
    <n v="-3.5"/>
    <n v="-4"/>
    <n v="-5"/>
    <n v="-4"/>
    <n v="-3"/>
    <s v="TDP Sympathiser"/>
  </r>
  <r>
    <s v="2262c336-f006-40ef-b547-d3fedd9df72e"/>
    <x v="4"/>
    <s v="23/01/2026, 09:04:52"/>
    <s v="16.504363, 81.876825"/>
    <s v="Tatipaka Road, Tatipaka, Andhra Pradesh, India"/>
    <x v="3"/>
    <s v="Naeem"/>
    <s v="http://164.52.221.216/localmedia/media/surveys/samples/recording_2026-01-23_09-02-03_samples_XzJorOFzJr.mp4"/>
    <x v="1"/>
    <x v="1"/>
    <x v="10"/>
    <x v="0"/>
    <s v="హిందూ"/>
    <x v="1"/>
    <s v="veerababu"/>
    <n v="7997841231"/>
    <x v="0"/>
    <x v="5"/>
    <x v="1"/>
    <x v="1"/>
    <x v="1"/>
    <x v="1"/>
    <s v="రోడ్లు వేయటం, విద్య రంగం అభివృద్ధి చేయటం, ఆరోగ్య రంగం అభివృద్ధి చేయటం"/>
    <x v="1"/>
    <x v="0"/>
    <x v="1"/>
    <x v="1"/>
    <x v="1"/>
    <x v="1"/>
    <s v="Deepika"/>
    <s v="Correctly Done"/>
    <s v="No Remarks"/>
    <x v="0"/>
    <n v="1.1705128247062893"/>
    <n v="1.0795332136445241"/>
    <n v="0.86308903171383233"/>
    <n v="0.85034013605442171"/>
    <n v="1.1213131007097483"/>
    <n v="0.79950206330384943"/>
    <n v="0.7401439088249181"/>
    <n v="-1"/>
    <n v="-1"/>
    <n v="-1"/>
    <n v="-1"/>
    <n v="-1"/>
    <n v="-1"/>
    <n v="-5.5"/>
    <n v="-6"/>
    <n v="-5"/>
    <n v="-4"/>
    <n v="-3"/>
    <s v="TDP HardCore"/>
  </r>
  <r>
    <s v="aa32dc9f-dcec-4b69-8154-accab1b238d2"/>
    <x v="4"/>
    <s v="23/01/2026, 09:17:37"/>
    <s v="16.439523, 81.711723"/>
    <s v="Sakinetipalli Revu, SakhinetiPalli, Andhra Pradesh, India"/>
    <x v="4"/>
    <s v="Naeem"/>
    <s v="http://164.52.221.216/localmedia/media/surveys/samples/recording_2026-01-23_09-13-57_samples_6N2RFXdKVz.mp4"/>
    <x v="0"/>
    <x v="3"/>
    <x v="9"/>
    <x v="0"/>
    <s v="హిందూ"/>
    <x v="1"/>
    <s v="kumar"/>
    <n v="9000000000"/>
    <x v="0"/>
    <x v="5"/>
    <x v="1"/>
    <x v="1"/>
    <x v="1"/>
    <x v="0"/>
    <s v="ఉద్యొగ్య అవకాశాలు కల్పించటం, విద్య రంగం అభివృద్ధి చేయటం, ఆరోగ్య రంగం అభివృద్ధి చేయటం"/>
    <x v="1"/>
    <x v="0"/>
    <x v="0"/>
    <x v="0"/>
    <x v="0"/>
    <x v="0"/>
    <s v="Ashish"/>
    <s v="Correctly Done"/>
    <n v="0"/>
    <x v="0"/>
    <n v="1.3836274505214585"/>
    <n v="1.8055837563451775"/>
    <n v="1.9482662206881376"/>
    <n v="0.85034013605442171"/>
    <n v="1.147984664167413"/>
    <n v="1.0790228998469584"/>
    <n v="1.1572915102003449"/>
    <n v="-1"/>
    <n v="-1"/>
    <n v="1"/>
    <n v="-1"/>
    <n v="1"/>
    <n v="1"/>
    <n v="-0.5"/>
    <n v="0"/>
    <n v="1"/>
    <n v="2"/>
    <n v="2"/>
    <s v="Neutral YSRCP"/>
  </r>
  <r>
    <s v="a4bc2513-b96b-4827-b726-9d963b259611"/>
    <x v="4"/>
    <s v="23/01/2026, 10:52:04"/>
    <s v="16.359516, 81.795246"/>
    <s v="9Q6W+377, Kesavadasupalem, Andhra Pradesh, India"/>
    <x v="1"/>
    <s v="Naeem"/>
    <s v="http://164.52.221.216/localmedia/media/surveys/samples/recording_2026-01-23_10-49-56_samples_gBeV9C0qN7.mp4"/>
    <x v="0"/>
    <x v="3"/>
    <x v="12"/>
    <x v="2"/>
    <s v="హిందూ"/>
    <x v="1"/>
    <s v="naresh"/>
    <n v="9866178869"/>
    <x v="0"/>
    <x v="3"/>
    <x v="2"/>
    <x v="0"/>
    <x v="1"/>
    <x v="1"/>
    <s v="రోడ్లు వేయటం, ఆరోగ్య రంగం అభివృద్ధి చేయటం, సంక్షేమ పథకాలు (నగదు)"/>
    <x v="1"/>
    <x v="0"/>
    <x v="1"/>
    <x v="1"/>
    <x v="1"/>
    <x v="1"/>
    <s v="Ashish"/>
    <s v="Correctly Done"/>
    <s v="Didn't ask caste"/>
    <x v="0"/>
    <n v="1.3836274505214585"/>
    <n v="1.0795332136445241"/>
    <n v="1.1648410586678206"/>
    <n v="0.85034013605442171"/>
    <n v="1.147984664167413"/>
    <n v="1.0790228998469584"/>
    <n v="1.1572915102003449"/>
    <n v="1"/>
    <n v="-1"/>
    <n v="-1"/>
    <n v="-1"/>
    <n v="-1"/>
    <n v="-1"/>
    <n v="-3.5"/>
    <n v="-4"/>
    <n v="-3"/>
    <n v="-4"/>
    <n v="-2"/>
    <s v="TDP Sympathiser"/>
  </r>
  <r>
    <s v="dbea4ec0-32f6-4155-bc69-d1236f881ea0"/>
    <x v="4"/>
    <s v="23/01/2026, 09:23:04"/>
    <s v="16.504268, 81.875143"/>
    <s v="GV3G+J5Q, Tatipaka, Andhra Pradesh, India"/>
    <x v="3"/>
    <s v="Naeem"/>
    <s v="http://164.52.221.216/localmedia/media/surveys/samples/recording_2026-01-23_09-19-00_samples_WPCO6AS2K8.mp4"/>
    <x v="3"/>
    <x v="1"/>
    <x v="10"/>
    <x v="2"/>
    <s v="హిందూ"/>
    <x v="1"/>
    <s v="sireeshi"/>
    <n v="8106390677"/>
    <x v="1"/>
    <x v="5"/>
    <x v="1"/>
    <x v="1"/>
    <x v="1"/>
    <x v="1"/>
    <s v="ఉద్యొగ్య అవకాశాలు కల్పించటం, విద్య రంగం అభివృద్ధి చేయటం, ఆరోగ్య రంగం అభివృద్ధి చేయటం"/>
    <x v="0"/>
    <x v="0"/>
    <x v="0"/>
    <x v="1"/>
    <x v="1"/>
    <x v="1"/>
    <s v="Deepika"/>
    <s v="Correctly Done"/>
    <n v="0"/>
    <x v="0"/>
    <n v="1.8452248965186235"/>
    <n v="1.0795332136445241"/>
    <n v="2.738974648348997"/>
    <n v="2.1645021645021645"/>
    <n v="1.1213131007097483"/>
    <n v="2.5371842327131073"/>
    <n v="1.4680086062325961"/>
    <n v="-1"/>
    <n v="-1"/>
    <n v="-1"/>
    <n v="1"/>
    <n v="-1"/>
    <n v="1"/>
    <n v="-1.5"/>
    <n v="-2"/>
    <n v="-1"/>
    <n v="0"/>
    <s v="ND"/>
    <s v="ND"/>
  </r>
  <r>
    <s v="5a03a689-093d-48af-ac8b-fe2a25edc988"/>
    <x v="4"/>
    <s v="23/01/2026, 11:41:24"/>
    <s v="16.355805, 81.790435"/>
    <s v="9Q4R+59V, Kesavadasupalem, Andhra Pradesh, India"/>
    <x v="1"/>
    <s v="Naeem"/>
    <s v="http://164.52.221.216/localmedia/media/surveys/samples/recording_2026-01-23_11-39-56_samples_NB6pMgq0Tb.mp4"/>
    <x v="6"/>
    <x v="3"/>
    <x v="12"/>
    <x v="1"/>
    <s v="హిందూ"/>
    <x v="0"/>
    <s v="veraraju"/>
    <n v="9999999999"/>
    <x v="0"/>
    <x v="1"/>
    <x v="1"/>
    <x v="1"/>
    <x v="1"/>
    <x v="1"/>
    <s v="రోడ్లు వేయటం, ఉద్యొగ్య అవకాశాలు కల్పించటం, ఆరోగ్య రంగం అభివృద్ధి చేయటం"/>
    <x v="1"/>
    <x v="0"/>
    <x v="1"/>
    <x v="1"/>
    <x v="1"/>
    <x v="1"/>
    <s v="Deepika"/>
    <s v="Not Doing It Properly"/>
    <s v="Q5,9 kept his own"/>
    <x v="0"/>
    <n v="1.2612194085121222"/>
    <n v="1.0795332136445241"/>
    <n v="0.92029223709519836"/>
    <n v="0.85034013605442171"/>
    <n v="1.147984664167413"/>
    <n v="0.85249089649430487"/>
    <n v="0.41451794778650441"/>
    <n v="-1"/>
    <n v="-1"/>
    <n v="-1"/>
    <n v="-1"/>
    <n v="-1"/>
    <n v="-1"/>
    <n v="-5.5"/>
    <n v="-6"/>
    <n v="-5"/>
    <n v="-4"/>
    <n v="-3"/>
    <s v="TDP HardCore"/>
  </r>
  <r>
    <s v="3055d0bd-3bb4-4289-b4f3-5ef6ea3d2b68"/>
    <x v="4"/>
    <s v="23/01/2026, 08:59:30"/>
    <s v="16.506380, 81.877325"/>
    <s v="Tatipaka Road, Tatipaka, Andhra Pradesh, India"/>
    <x v="3"/>
    <s v="Naeem"/>
    <s v="http://164.52.221.216/localmedia/media/surveys/samples/recording_2026-01-23_08-54-33_samples_9yByhzR0d0.mp4"/>
    <x v="7"/>
    <x v="1"/>
    <x v="10"/>
    <x v="0"/>
    <s v="హిందూ"/>
    <x v="0"/>
    <s v="venkateswararao "/>
    <n v="9573568890"/>
    <x v="0"/>
    <x v="1"/>
    <x v="1"/>
    <x v="1"/>
    <x v="0"/>
    <x v="1"/>
    <s v="ఉద్యొగ్య అవకాశాలు కల్పించటం, శాంతి భద్రతలను కాపాడటం, వ్యవసాయం, రైతు బాగుండడం"/>
    <x v="1"/>
    <x v="0"/>
    <x v="2"/>
    <x v="2"/>
    <x v="1"/>
    <x v="1"/>
    <s v="Deepika"/>
    <s v="Not Doing It Properly"/>
    <s v="Q1 kept his own , Q9,10 respondent not said properly"/>
    <x v="0"/>
    <n v="1.0786696182614144"/>
    <n v="0.66153846153846207"/>
    <n v="0.7135814397729362"/>
    <n v="0.85034013605442171"/>
    <n v="1.1213131007097483"/>
    <n v="1.0786696182614144"/>
    <n v="0.46808670685181952"/>
    <n v="-1"/>
    <n v="1"/>
    <n v="-1"/>
    <n v="-1"/>
    <n v="-1"/>
    <n v="-1"/>
    <n v="-3.5"/>
    <n v="-4"/>
    <n v="-5"/>
    <n v="-4"/>
    <n v="-3"/>
    <s v="TDP Sympathiser"/>
  </r>
  <r>
    <s v="83507b2c-71f4-4f1a-b2eb-f04d15d41602"/>
    <x v="4"/>
    <s v="23/01/2026, 09:23:05"/>
    <s v="16.504268, 81.875143"/>
    <s v="GV3G+J5Q, Tatipaka, Andhra Pradesh, India"/>
    <x v="3"/>
    <s v="Naeem"/>
    <s v="http://164.52.221.216/localmedia/media/surveys/samples/recording_2026-01-23_09-19-00_samples_wULGBc7dQA.mp4"/>
    <x v="3"/>
    <x v="1"/>
    <x v="10"/>
    <x v="2"/>
    <s v="హిందూ"/>
    <x v="1"/>
    <s v="sireeshi"/>
    <n v="8106390677"/>
    <x v="1"/>
    <x v="5"/>
    <x v="1"/>
    <x v="1"/>
    <x v="1"/>
    <x v="1"/>
    <s v="ఉద్యొగ్య అవకాశాలు కల్పించటం, విద్య రంగం అభివృద్ధి చేయటం, ఆరోగ్య రంగం అభివృద్ధి చేయటం"/>
    <x v="0"/>
    <x v="0"/>
    <x v="0"/>
    <x v="1"/>
    <x v="1"/>
    <x v="1"/>
    <n v="0"/>
    <s v="Correctly Done"/>
    <n v="0"/>
    <x v="0"/>
    <n v="1.8452248965186235"/>
    <n v="1.0795332136445241"/>
    <n v="2.738974648348997"/>
    <n v="2.1645021645021645"/>
    <n v="1.1213131007097483"/>
    <n v="2.5371842327131073"/>
    <n v="1.4680086062325961"/>
    <n v="-1"/>
    <n v="-1"/>
    <n v="-1"/>
    <n v="1"/>
    <n v="-1"/>
    <n v="1"/>
    <n v="-1.5"/>
    <n v="-2"/>
    <n v="-1"/>
    <n v="0"/>
    <s v="ND"/>
    <s v="ND"/>
  </r>
  <r>
    <s v="366b5e08-4530-44a0-aa41-6ab09b28d1bd"/>
    <x v="4"/>
    <s v="23/01/2026, 09:27:10"/>
    <s v="16.503810, 81.875126"/>
    <s v="GV3G+G4F, Tatipaka, Andhra Pradesh, India"/>
    <x v="3"/>
    <s v="Naeem"/>
    <s v="http://164.52.221.216/localmedia/media/surveys/samples/recording_2026-01-23_09-24-13_samples_gIncoeSSxS.mp4"/>
    <x v="3"/>
    <x v="1"/>
    <x v="10"/>
    <x v="3"/>
    <s v="హిందూ"/>
    <x v="0"/>
    <s v="nageswararao"/>
    <n v="9492259508"/>
    <x v="0"/>
    <x v="5"/>
    <x v="1"/>
    <x v="1"/>
    <x v="1"/>
    <x v="1"/>
    <s v="ఉద్యొగ్య అవకాశాలు కల్పించటం, శాంతి భద్రతలను కాపాడటం, వ్యవసాయం, రైతు బాగుండడం"/>
    <x v="1"/>
    <x v="0"/>
    <x v="1"/>
    <x v="1"/>
    <x v="1"/>
    <x v="1"/>
    <s v="Deepika"/>
    <s v="Correctly Done"/>
    <n v="0"/>
    <x v="0"/>
    <n v="1.8452248965186235"/>
    <n v="1.0795332136445241"/>
    <n v="1.5651283704851411"/>
    <n v="0.85034013605442171"/>
    <n v="1.1213131007097483"/>
    <n v="1.4498195615503471"/>
    <n v="0.97867240415506407"/>
    <n v="-1"/>
    <n v="-1"/>
    <n v="-1"/>
    <n v="-1"/>
    <n v="-1"/>
    <n v="-1"/>
    <n v="-5.5"/>
    <n v="-6"/>
    <n v="-5"/>
    <n v="-4"/>
    <n v="-3"/>
    <s v="TDP HardCore"/>
  </r>
  <r>
    <s v="fc3d602c-c0b8-428d-8eff-eefb8b64685f"/>
    <x v="4"/>
    <s v="23/01/2026, 09:47:42"/>
    <s v="16.496456, 81.881603"/>
    <s v="FVWJ+QMM, Mogalikuduru, Andhra Pradesh, India"/>
    <x v="3"/>
    <s v="Naeem"/>
    <s v="http://164.52.221.216/localmedia/media/surveys/samples/recording_2026-01-23_09-44-47_samples_hPQahuahon.mp4"/>
    <x v="1"/>
    <x v="1"/>
    <x v="10"/>
    <x v="3"/>
    <s v="క్రిస్టియన్"/>
    <x v="1"/>
    <s v="pramila"/>
    <n v="8978391247"/>
    <x v="1"/>
    <x v="5"/>
    <x v="1"/>
    <x v="1"/>
    <x v="1"/>
    <x v="1"/>
    <s v="శాంతి భద్రతలను కాపాడటం, ఆరోగ్య రంగం అభివృద్ధి చేయటం, వ్యవసాయం, రైతు బాగుండడం"/>
    <x v="1"/>
    <x v="0"/>
    <x v="1"/>
    <x v="1"/>
    <x v="1"/>
    <x v="1"/>
    <s v="Deepika"/>
    <s v="Correctly Done"/>
    <s v="No Remarks"/>
    <x v="0"/>
    <n v="1.1705128247062893"/>
    <n v="1.0795332136445241"/>
    <n v="2.3577066232182737"/>
    <n v="2.1645021645021645"/>
    <n v="1.1213131007097483"/>
    <n v="2.1840056363422229"/>
    <n v="0.95944580773600496"/>
    <n v="-1"/>
    <n v="-1"/>
    <n v="-1"/>
    <n v="-1"/>
    <n v="-1"/>
    <n v="-1"/>
    <n v="-5.5"/>
    <n v="-6"/>
    <n v="-5"/>
    <n v="-4"/>
    <n v="-3"/>
    <s v="TDP HardCore"/>
  </r>
  <r>
    <s v="ed6d19c3-e197-4532-b3f3-9ecdcabd247f"/>
    <x v="4"/>
    <s v="23/01/2026, 09:47:59"/>
    <s v="16.362654, 81.803019"/>
    <s v="9R63+FHW, Kesavadasupalem, Andhra Pradesh, India"/>
    <x v="1"/>
    <s v="Naeem"/>
    <s v="http://164.52.221.216/localmedia/media/surveys/samples/recording_2026-01-23_09-45-57_samples_5aQIssfa7z.mp4"/>
    <x v="10"/>
    <x v="3"/>
    <x v="12"/>
    <x v="1"/>
    <s v="హిందూ"/>
    <x v="0"/>
    <s v="gnapathi"/>
    <n v="9999999999"/>
    <x v="0"/>
    <x v="1"/>
    <x v="1"/>
    <x v="1"/>
    <x v="0"/>
    <x v="1"/>
    <s v="రోడ్లు వేయటం, విద్య రంగం అభివృద్ధి చేయటం, సంక్షేమ పథకాలు (నగదు)"/>
    <x v="1"/>
    <x v="0"/>
    <x v="1"/>
    <x v="1"/>
    <x v="1"/>
    <x v="1"/>
    <n v="0"/>
    <s v="Correctly Done"/>
    <n v="0"/>
    <x v="0"/>
    <n v="1.016226256869897"/>
    <n v="1.0795332136445241"/>
    <n v="0.54852499843435276"/>
    <n v="0.85034013605442171"/>
    <n v="1.147984664167413"/>
    <n v="0.50811312843494849"/>
    <n v="0.18301228231933422"/>
    <n v="-1"/>
    <n v="1"/>
    <n v="-1"/>
    <n v="-1"/>
    <n v="-1"/>
    <n v="-1"/>
    <n v="-3.5"/>
    <n v="-4"/>
    <n v="-5"/>
    <n v="-4"/>
    <n v="-3"/>
    <s v="TDP Sympathiser"/>
  </r>
  <r>
    <s v="9c2969b3-8b20-4483-97b4-7f69a17362b8"/>
    <x v="4"/>
    <s v="23/01/2026, 11:24:10"/>
    <s v="16.357293, 81.795214"/>
    <s v="9Q4W+V28, Kesavadasupalem, Andhra Pradesh, India"/>
    <x v="1"/>
    <s v="Naeem"/>
    <s v="http://164.52.221.216/localmedia/media/surveys/samples/recording_2026-01-23_11-22-51_samples_GVLygLlPFd.mp4"/>
    <x v="2"/>
    <x v="3"/>
    <x v="12"/>
    <x v="1"/>
    <s v="హిందూ"/>
    <x v="1"/>
    <s v="anji"/>
    <n v="9999999999"/>
    <x v="0"/>
    <x v="2"/>
    <x v="2"/>
    <x v="1"/>
    <x v="1"/>
    <x v="1"/>
    <s v="రోడ్లు వేయటం, శాంతి భద్రతలను కాపాడటం, విద్య రంగం అభివృద్ధి చేయటం, ఆరోగ్య రంగం అభివృద్ధి చేయటం"/>
    <x v="1"/>
    <x v="0"/>
    <x v="1"/>
    <x v="0"/>
    <x v="0"/>
    <x v="0"/>
    <s v="Ashish"/>
    <s v="Not Asking Some of the Questions"/>
    <s v="Q11,12 options entered on his own"/>
    <x v="1"/>
    <n v="1.1461625511156397"/>
    <n v="1.8055837563451775"/>
    <n v="1.2999324650914248"/>
    <n v="0.85034013605442171"/>
    <n v="1.147984664167413"/>
    <n v="0.71995135120329123"/>
    <n v="0.54319084681293095"/>
    <n v="-1"/>
    <n v="-1"/>
    <n v="-1"/>
    <n v="-1"/>
    <n v="1"/>
    <n v="-1"/>
    <n v="-4.5"/>
    <n v="-4"/>
    <n v="-3"/>
    <n v="-2"/>
    <n v="-2"/>
    <s v="Neutral TDP"/>
  </r>
  <r>
    <s v="57f8628c-7f50-4627-b271-66bc3990a858"/>
    <x v="4"/>
    <s v="23/01/2026, 09:48:02"/>
    <s v="16.362654, 81.803019"/>
    <s v="9R63+FHW, Kesavadasupalem, Andhra Pradesh, India"/>
    <x v="1"/>
    <s v="Naeem"/>
    <s v="http://164.52.221.216/localmedia/media/surveys/samples/recording_2026-01-23_09-45-57_samples_0ODnQvJft7.mp4"/>
    <x v="10"/>
    <x v="3"/>
    <x v="12"/>
    <x v="1"/>
    <s v="హిందూ"/>
    <x v="0"/>
    <s v="gnapathi"/>
    <n v="9999999999"/>
    <x v="0"/>
    <x v="1"/>
    <x v="1"/>
    <x v="1"/>
    <x v="0"/>
    <x v="1"/>
    <s v="రోడ్లు వేయటం, విద్య రంగం అభివృద్ధి చేయటం, సంక్షేమ పథకాలు (నగదు)"/>
    <x v="1"/>
    <x v="0"/>
    <x v="1"/>
    <x v="1"/>
    <x v="1"/>
    <x v="1"/>
    <s v="Deepika"/>
    <s v="Correctly Done"/>
    <s v="Q5,7 ,9,18 kept his own"/>
    <x v="0"/>
    <n v="1.016226256869897"/>
    <n v="1.0795332136445241"/>
    <n v="0.54852499843435276"/>
    <n v="0.85034013605442171"/>
    <n v="1.147984664167413"/>
    <n v="0.50811312843494849"/>
    <n v="0.18301228231933422"/>
    <n v="-1"/>
    <n v="1"/>
    <n v="-1"/>
    <n v="-1"/>
    <n v="-1"/>
    <n v="-1"/>
    <n v="-3.5"/>
    <n v="-4"/>
    <n v="-5"/>
    <n v="-4"/>
    <n v="-3"/>
    <s v="TDP Sympathiser"/>
  </r>
  <r>
    <s v="d5a4abf0-cec1-4e57-b0ce-e8bc9a476558"/>
    <x v="4"/>
    <s v="23/01/2026, 09:48:24"/>
    <s v="16.362654, 81.803019"/>
    <s v="9R63+FHW, Kesavadasupalem, Andhra Pradesh, India"/>
    <x v="1"/>
    <s v="Naeem"/>
    <s v="http://164.52.221.216/localmedia/media/surveys/samples/recording_2026-01-23_09-45-57_samples_orOecgdeFx.mp4"/>
    <x v="10"/>
    <x v="3"/>
    <x v="12"/>
    <x v="1"/>
    <s v="హిందూ"/>
    <x v="0"/>
    <s v="gnapathi"/>
    <n v="9999999999"/>
    <x v="0"/>
    <x v="1"/>
    <x v="1"/>
    <x v="1"/>
    <x v="0"/>
    <x v="1"/>
    <s v="రోడ్లు వేయటం, విద్య రంగం అభివృద్ధి చేయటం, సంక్షేమ పథకాలు (నగదు)"/>
    <x v="1"/>
    <x v="0"/>
    <x v="1"/>
    <x v="1"/>
    <x v="1"/>
    <x v="1"/>
    <n v="0"/>
    <s v="Correctly Done"/>
    <n v="0"/>
    <x v="0"/>
    <n v="1.016226256869897"/>
    <n v="1.0795332136445241"/>
    <n v="0.54852499843435276"/>
    <n v="0.85034013605442171"/>
    <n v="1.147984664167413"/>
    <n v="0.50811312843494849"/>
    <n v="0.18301228231933422"/>
    <n v="-1"/>
    <n v="1"/>
    <n v="-1"/>
    <n v="-1"/>
    <n v="-1"/>
    <n v="-1"/>
    <n v="-3.5"/>
    <n v="-4"/>
    <n v="-5"/>
    <n v="-4"/>
    <n v="-3"/>
    <s v="TDP Sympathiser"/>
  </r>
  <r>
    <s v="60af232e-1f24-4677-b5f0-80c086ffbcdf"/>
    <x v="4"/>
    <s v="23/01/2026, 12:12:40"/>
    <s v="16.333544, 81.733816"/>
    <s v="8PMM+CGG, అంతర్వేదిపాలెం, ఆంధ్ర ప్రదేశ్, India"/>
    <x v="4"/>
    <s v="Naeem"/>
    <s v="http://164.52.221.216/localmedia/media/surveys/samples/recording_2026-01-23_12-08-43_samples_xWpJpH8DZE.mp4"/>
    <x v="10"/>
    <x v="3"/>
    <x v="9"/>
    <x v="5"/>
    <s v="హిందూ"/>
    <x v="3"/>
    <s v="Sandeep"/>
    <n v="8886030690"/>
    <x v="0"/>
    <x v="3"/>
    <x v="2"/>
    <x v="1"/>
    <x v="1"/>
    <x v="1"/>
    <s v="రోడ్లు వేయటం, విద్య రంగం అభివృద్ధి చేయటం, వ్యవసాయం, రైతు బాగుండడం"/>
    <x v="0"/>
    <x v="0"/>
    <x v="1"/>
    <x v="0"/>
    <x v="0"/>
    <x v="0"/>
    <s v="Bhagya"/>
    <s v="Not Asking Some of the Questions"/>
    <s v="Fake / Sample taken from multpile people and entering responses on his own"/>
    <x v="1"/>
    <n v="1.016226256869897"/>
    <n v="1.8055837563451775"/>
    <n v="0.9174408110878739"/>
    <n v="0.85034013605442171"/>
    <n v="1.147984664167413"/>
    <n v="0.50811312843494849"/>
    <n v="0.18301228231933422"/>
    <n v="-1"/>
    <n v="-1"/>
    <n v="-1"/>
    <n v="1"/>
    <n v="1"/>
    <n v="-1"/>
    <n v="-2.5"/>
    <n v="-2"/>
    <n v="-1"/>
    <n v="0"/>
    <n v="-2"/>
    <s v="Neutral TDP"/>
  </r>
  <r>
    <s v="90838397-096b-406c-bd0d-476e6d86c6ac"/>
    <x v="4"/>
    <s v="23/01/2026, 09:51:36"/>
    <s v="16.363819, 81.804494"/>
    <s v="Chitturi vari group, Kesavadasupalem, Andhra Pradesh, India"/>
    <x v="1"/>
    <s v="Naeem"/>
    <s v="http://164.52.221.216/localmedia/media/surveys/samples/recording_2026-01-23_09-49-52_samples_CWlWIzxyXf.mp4"/>
    <x v="3"/>
    <x v="3"/>
    <x v="12"/>
    <x v="1"/>
    <s v="హిందూ"/>
    <x v="1"/>
    <s v="naveen"/>
    <n v="8897770698"/>
    <x v="0"/>
    <x v="3"/>
    <x v="2"/>
    <x v="1"/>
    <x v="1"/>
    <x v="1"/>
    <s v="రోడ్లు వేయటం, ఆరోగ్య రంగం అభివృద్ధి చేయటం, సంక్షేమ పథకాలు (నగదు)"/>
    <x v="1"/>
    <x v="0"/>
    <x v="1"/>
    <x v="1"/>
    <x v="1"/>
    <x v="1"/>
    <s v="Ashish"/>
    <s v="Correctly Done"/>
    <n v="0"/>
    <x v="0"/>
    <n v="1.8452248965186235"/>
    <n v="1.0795332136445241"/>
    <n v="1.5651283704851411"/>
    <n v="0.85034013605442171"/>
    <n v="1.147984664167413"/>
    <n v="1.4498195615503471"/>
    <n v="2.9242991836792998"/>
    <n v="-1"/>
    <n v="-1"/>
    <n v="-1"/>
    <n v="-1"/>
    <n v="-1"/>
    <n v="-1"/>
    <n v="-5.5"/>
    <n v="-6"/>
    <n v="-5"/>
    <n v="-4"/>
    <n v="-3"/>
    <s v="TDP HardCore"/>
  </r>
  <r>
    <s v="8444c6df-ee9e-43c7-b39e-02a3c50b3cf2"/>
    <x v="4"/>
    <s v="23/01/2026, 09:55:57"/>
    <s v="16.365840, 81.804125"/>
    <s v="9R83+58Q, Kesavadasupalem, Andhra Pradesh, India"/>
    <x v="1"/>
    <s v="Naeem"/>
    <s v="http://164.52.221.216/localmedia/media/surveys/samples/recording_2026-01-23_09-54-04_samples_vWOtqmi5va.mp4"/>
    <x v="1"/>
    <x v="3"/>
    <x v="12"/>
    <x v="0"/>
    <s v="హిందూ"/>
    <x v="0"/>
    <s v="srinivas"/>
    <n v="9999999999"/>
    <x v="0"/>
    <x v="3"/>
    <x v="1"/>
    <x v="1"/>
    <x v="1"/>
    <x v="1"/>
    <s v="రోడ్లు వేయటం, ఉద్యొగ్య అవకాశాలు కల్పించటం, ఆరోగ్య రంగం అభివృద్ధి చేయటం"/>
    <x v="1"/>
    <x v="0"/>
    <x v="1"/>
    <x v="1"/>
    <x v="1"/>
    <x v="1"/>
    <s v="Ashish"/>
    <s v="Correctly Done"/>
    <n v="0"/>
    <x v="0"/>
    <n v="1.1705128247062893"/>
    <n v="1.0795332136445241"/>
    <n v="0.86308903171383233"/>
    <n v="0.85034013605442171"/>
    <n v="1.147984664167413"/>
    <n v="0.79950206330384943"/>
    <n v="0.92148737207359532"/>
    <n v="-1"/>
    <n v="-1"/>
    <n v="-1"/>
    <n v="-1"/>
    <n v="-1"/>
    <n v="-1"/>
    <n v="-5.5"/>
    <n v="-6"/>
    <n v="-5"/>
    <n v="-4"/>
    <n v="-3"/>
    <s v="TDP HardCore"/>
  </r>
  <r>
    <s v="1188a320-025c-4ca4-b16c-6169ae4dd7cf"/>
    <x v="4"/>
    <s v="23/01/2026, 09:58:19"/>
    <s v="16.366643, 81.806827"/>
    <s v="9R94+4V, Kesavadasupalem, Andhra Pradesh, India"/>
    <x v="1"/>
    <s v="Naeem"/>
    <s v="http://164.52.221.216/localmedia/media/surveys/samples/recording_2026-01-23_09-56-39_samples_cBLLFSXFfY.mp4"/>
    <x v="9"/>
    <x v="3"/>
    <x v="12"/>
    <x v="0"/>
    <s v="హిందూ"/>
    <x v="1"/>
    <s v="babu"/>
    <n v="9999999999"/>
    <x v="0"/>
    <x v="3"/>
    <x v="1"/>
    <x v="1"/>
    <x v="1"/>
    <x v="1"/>
    <s v="రోడ్లు వేయటం, విద్య రంగం అభివృద్ధి చేయటం, ఆరోగ్య రంగం అభివృద్ధి చేయటం"/>
    <x v="1"/>
    <x v="0"/>
    <x v="1"/>
    <x v="1"/>
    <x v="1"/>
    <x v="1"/>
    <n v="0"/>
    <s v="Correctly Done"/>
    <n v="0"/>
    <x v="0"/>
    <n v="1.1209668980183516"/>
    <n v="1.0795332136445241"/>
    <n v="1.0451044981059459"/>
    <n v="0.85034013605442171"/>
    <n v="1.147984664167413"/>
    <n v="0.96810777556130356"/>
    <n v="0.30685005205910726"/>
    <n v="-1"/>
    <n v="-1"/>
    <n v="-1"/>
    <n v="-1"/>
    <n v="-1"/>
    <n v="-1"/>
    <n v="-5.5"/>
    <n v="-6"/>
    <n v="-5"/>
    <n v="-4"/>
    <n v="-3"/>
    <s v="TDP HardCore"/>
  </r>
  <r>
    <s v="ddf404e9-fb0a-482a-9bf3-97943020adde"/>
    <x v="4"/>
    <s v="23/01/2026, 09:58:21"/>
    <s v="16.366643, 81.806827"/>
    <s v="9R94+4V, Kesavadasupalem, Andhra Pradesh, India"/>
    <x v="1"/>
    <s v="Naeem"/>
    <s v="http://164.52.221.216/localmedia/media/surveys/samples/recording_2026-01-23_09-56-39_samples_JMSAPs4Khv.mp4"/>
    <x v="9"/>
    <x v="3"/>
    <x v="12"/>
    <x v="0"/>
    <s v="హిందూ"/>
    <x v="1"/>
    <s v="babu"/>
    <n v="9999999999"/>
    <x v="0"/>
    <x v="3"/>
    <x v="1"/>
    <x v="1"/>
    <x v="1"/>
    <x v="1"/>
    <s v="రోడ్లు వేయటం, విద్య రంగం అభివృద్ధి చేయటం, ఆరోగ్య రంగం అభివృద్ధి చేయటం"/>
    <x v="1"/>
    <x v="0"/>
    <x v="1"/>
    <x v="1"/>
    <x v="1"/>
    <x v="1"/>
    <n v="0"/>
    <s v="Correctly Done"/>
    <n v="0"/>
    <x v="0"/>
    <n v="1.1209668980183516"/>
    <n v="1.0795332136445241"/>
    <n v="1.0451044981059459"/>
    <n v="0.85034013605442171"/>
    <n v="1.147984664167413"/>
    <n v="0.96810777556130356"/>
    <n v="0.30685005205910726"/>
    <n v="-1"/>
    <n v="-1"/>
    <n v="-1"/>
    <n v="-1"/>
    <n v="-1"/>
    <n v="-1"/>
    <n v="-5.5"/>
    <n v="-6"/>
    <n v="-5"/>
    <n v="-4"/>
    <n v="-3"/>
    <s v="TDP HardCore"/>
  </r>
  <r>
    <s v="403374c7-6a44-48bf-ae57-20125fcba96d"/>
    <x v="4"/>
    <s v="23/01/2026, 09:58:32"/>
    <s v="16.366643, 81.806827"/>
    <s v="9R94+4V, Kesavadasupalem, Andhra Pradesh, India"/>
    <x v="1"/>
    <s v="Naeem"/>
    <s v="http://164.52.221.216/localmedia/media/surveys/samples/recording_2026-01-23_09-56-39_samples_QpuV5NnsjW.mp4"/>
    <x v="9"/>
    <x v="3"/>
    <x v="12"/>
    <x v="0"/>
    <s v="హిందూ"/>
    <x v="1"/>
    <s v="babu"/>
    <n v="9999999999"/>
    <x v="0"/>
    <x v="3"/>
    <x v="1"/>
    <x v="1"/>
    <x v="1"/>
    <x v="1"/>
    <s v="రోడ్లు వేయటం, విద్య రంగం అభివృద్ధి చేయటం, ఆరోగ్య రంగం అభివృద్ధి చేయటం"/>
    <x v="1"/>
    <x v="0"/>
    <x v="1"/>
    <x v="1"/>
    <x v="1"/>
    <x v="1"/>
    <s v="Deepika"/>
    <s v="Correctly Done"/>
    <s v="No Remarks"/>
    <x v="0"/>
    <n v="1.1209668980183516"/>
    <n v="1.0795332136445241"/>
    <n v="1.0451044981059459"/>
    <n v="0.85034013605442171"/>
    <n v="1.147984664167413"/>
    <n v="0.96810777556130356"/>
    <n v="0.30685005205910726"/>
    <n v="-1"/>
    <n v="-1"/>
    <n v="-1"/>
    <n v="-1"/>
    <n v="-1"/>
    <n v="-1"/>
    <n v="-5.5"/>
    <n v="-6"/>
    <n v="-5"/>
    <n v="-4"/>
    <n v="-3"/>
    <s v="TDP HardCore"/>
  </r>
  <r>
    <s v="670bb7c1-f6d1-43ca-8c8d-e129300fc712"/>
    <x v="4"/>
    <s v="23/01/2026, 10:55:14"/>
    <s v="16.358760, 81.794044"/>
    <s v="9Q5V+QHP, Kesavadasupalem, Andhra Pradesh, India"/>
    <x v="1"/>
    <s v="Naeem"/>
    <s v="http://164.52.221.216/localmedia/media/surveys/samples/recording_2026-01-23_10-52-57_samples_GgPWmlt0EH.mp4"/>
    <x v="3"/>
    <x v="3"/>
    <x v="12"/>
    <x v="3"/>
    <s v="హిందూ"/>
    <x v="0"/>
    <s v="srinu"/>
    <n v="9999999999"/>
    <x v="1"/>
    <x v="3"/>
    <x v="2"/>
    <x v="1"/>
    <x v="0"/>
    <x v="0"/>
    <s v="రోడ్లు వేయటం, వ్యవసాయం, రైతు బాగుండడం"/>
    <x v="0"/>
    <x v="1"/>
    <x v="1"/>
    <x v="0"/>
    <x v="0"/>
    <x v="0"/>
    <s v="Ashish"/>
    <s v="Correctly Done"/>
    <s v="Didn't ask Q12,17 and respondent is male"/>
    <x v="0"/>
    <n v="1.8452248965186235"/>
    <n v="1.8055837563451775"/>
    <n v="4.5810986374418894"/>
    <n v="2.1645021645021645"/>
    <n v="1.147984664167413"/>
    <n v="2.5371842327131073"/>
    <n v="2.9242991836792998"/>
    <n v="-1"/>
    <n v="1"/>
    <n v="1"/>
    <n v="1"/>
    <n v="1"/>
    <n v="-1"/>
    <n v="1.5"/>
    <n v="2"/>
    <n v="1"/>
    <n v="2"/>
    <n v="-2"/>
    <s v="Neutral TDP"/>
  </r>
  <r>
    <s v="1d687f28-c817-4b60-9a4b-62b6c5902a48"/>
    <x v="4"/>
    <s v="23/01/2026, 11:26:13"/>
    <s v="16.360118, 81.793809"/>
    <s v="9Q6V+2G3, Kesavadasupalem, Andhra Pradesh, India"/>
    <x v="1"/>
    <s v="Naeem"/>
    <s v="http://164.52.221.216/localmedia/media/surveys/samples/recording_2026-01-23_11-24-48_samples_fiAE1pQvRE.mp4"/>
    <x v="2"/>
    <x v="3"/>
    <x v="12"/>
    <x v="1"/>
    <s v="హిందూ"/>
    <x v="3"/>
    <s v="banu"/>
    <n v="7702048253"/>
    <x v="0"/>
    <x v="1"/>
    <x v="1"/>
    <x v="1"/>
    <x v="1"/>
    <x v="1"/>
    <s v="రోడ్లు వేయటం, ఆరోగ్య రంగం అభివృద్ధి చేయటం, సంక్షేమ పథకాలు (నగదు)"/>
    <x v="1"/>
    <x v="0"/>
    <x v="1"/>
    <x v="1"/>
    <x v="1"/>
    <x v="1"/>
    <s v="Deepika"/>
    <s v="Not Doing It Properly"/>
    <s v="Q1 kept his own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348fc2e7-65f5-4060-9537-002ab4f24832"/>
    <x v="4"/>
    <s v="23/01/2026, 10:02:35"/>
    <s v="16.363199, 81.807043"/>
    <s v="SHOP NO.9, Kesavadasupalem, Andhra Pradesh, India"/>
    <x v="1"/>
    <s v="Naeem"/>
    <s v="http://164.52.221.216/localmedia/media/surveys/samples/recording_2026-01-23_10-00-09_samples_V6kJVdbUtT.mp4"/>
    <x v="1"/>
    <x v="3"/>
    <x v="12"/>
    <x v="0"/>
    <s v="హిందూ"/>
    <x v="1"/>
    <s v="ravi"/>
    <n v="9999999999"/>
    <x v="0"/>
    <x v="3"/>
    <x v="1"/>
    <x v="1"/>
    <x v="1"/>
    <x v="1"/>
    <s v="రోడ్లు వేయటం, ఆరోగ్య రంగం అభివృద్ధి చేయటం, వ్యవసాయం, రైతు బాగుండడం"/>
    <x v="0"/>
    <x v="0"/>
    <x v="1"/>
    <x v="1"/>
    <x v="1"/>
    <x v="1"/>
    <s v="Bhagya"/>
    <s v="Correctly Done"/>
    <s v="Caste-Gouda"/>
    <x v="0"/>
    <n v="1.1705128247062893"/>
    <n v="1.0795332136445241"/>
    <n v="0.86308903171383233"/>
    <n v="0.85034013605442171"/>
    <n v="1.147984664167413"/>
    <n v="0.79950206330384943"/>
    <n v="0.92148737207359532"/>
    <n v="-1"/>
    <n v="-1"/>
    <n v="-1"/>
    <n v="1"/>
    <n v="-1"/>
    <n v="-1"/>
    <n v="-3.5"/>
    <n v="-4"/>
    <n v="-3"/>
    <n v="-2"/>
    <n v="-3"/>
    <s v="Neutral TDP"/>
  </r>
  <r>
    <s v="80528fbd-f9fa-4196-a9fb-00109846e15d"/>
    <x v="4"/>
    <s v="23/01/2026, 10:21:06"/>
    <s v="16.513861, 81.907822"/>
    <s v="Pedapattanam-Mamidikuduru Road, Pedapatnam, Andhra Pradesh, India"/>
    <x v="3"/>
    <s v="Naeem"/>
    <s v="http://164.52.221.216/localmedia/media/surveys/samples/recording_2026-01-23_10-17-23_samples_yPFoXfkzl4.mp4"/>
    <x v="0"/>
    <x v="0"/>
    <x v="0"/>
    <x v="0"/>
    <s v="హిందూ"/>
    <x v="0"/>
    <s v="resh kumar"/>
    <n v="7732055198"/>
    <x v="0"/>
    <x v="5"/>
    <x v="2"/>
    <x v="0"/>
    <x v="0"/>
    <x v="0"/>
    <s v="ఉద్యొగ్య అవకాశాలు కల్పించటం, శాంతి భద్రతలను కాపాడటం, విద్య రంగం అభివృద్ధి చేయటం"/>
    <x v="0"/>
    <x v="0"/>
    <x v="0"/>
    <x v="0"/>
    <x v="0"/>
    <x v="4"/>
    <s v="Deepika"/>
    <s v="Correctly Done"/>
    <s v="No Remarks"/>
    <x v="0"/>
    <n v="1.3836274505214585"/>
    <n v="1.8055837563451775"/>
    <n v="1.9482662206881376"/>
    <n v="0.85034013605442171"/>
    <n v="1.9264642089343564"/>
    <n v="1.0790228998469584"/>
    <n v="2.1355167697651956"/>
    <n v="1"/>
    <n v="1"/>
    <n v="1"/>
    <n v="1"/>
    <n v="1"/>
    <n v="1"/>
    <n v="5.5"/>
    <n v="6"/>
    <n v="5"/>
    <n v="4"/>
    <n v="3"/>
    <s v="YSRCP HardCore"/>
  </r>
  <r>
    <s v="bb28083a-47c2-4e27-8160-a61a39f7a267"/>
    <x v="4"/>
    <s v="23/01/2026, 10:28:43"/>
    <s v="16.361389, 81.804807"/>
    <s v="9R63+FHW, Kesavadasupalem, Andhra Pradesh, India"/>
    <x v="1"/>
    <s v="Naeem"/>
    <s v="http://164.52.221.216/localmedia/media/surveys/samples/recording_2026-01-23_10-26-11_samples_1vdDo7Y3kL.mp4"/>
    <x v="9"/>
    <x v="3"/>
    <x v="12"/>
    <x v="2"/>
    <s v="హిందూ"/>
    <x v="0"/>
    <s v="bekatesh"/>
    <n v="9999999999"/>
    <x v="0"/>
    <x v="2"/>
    <x v="1"/>
    <x v="1"/>
    <x v="1"/>
    <x v="1"/>
    <s v="రోడ్లు వేయటం, వ్యవసాయం, రైతు బాగుండడం, సంక్షేమ పథకాలు (నగదు)"/>
    <x v="1"/>
    <x v="0"/>
    <x v="1"/>
    <x v="1"/>
    <x v="1"/>
    <x v="1"/>
    <s v="Ashish"/>
    <s v="Correctly Done"/>
    <n v="0"/>
    <x v="0"/>
    <n v="1.1209668980183516"/>
    <n v="1.0795332136445241"/>
    <n v="1.0451044981059459"/>
    <n v="0.85034013605442171"/>
    <n v="1.147984664167413"/>
    <n v="0.96810777556130356"/>
    <n v="0.30685005205910726"/>
    <n v="-1"/>
    <n v="-1"/>
    <n v="-1"/>
    <n v="-1"/>
    <n v="-1"/>
    <n v="-1"/>
    <n v="-5.5"/>
    <n v="-6"/>
    <n v="-5"/>
    <n v="-4"/>
    <n v="-3"/>
    <s v="TDP HardCore"/>
  </r>
  <r>
    <s v="e983e196-a67c-40f3-83be-4c82088ad7e3"/>
    <x v="4"/>
    <s v="23/01/2026, 13:11:55"/>
    <s v="16.515957, 81.906761"/>
    <s v="GW85+V78, Pedapatnam, Andhra Pradesh, India"/>
    <x v="3"/>
    <s v="Naeem"/>
    <s v="http://164.52.221.216/localmedia/media/surveys/samples/recording_2026-01-23_13-06-24_samples_jad1s5ZDct.mp4"/>
    <x v="8"/>
    <x v="2"/>
    <x v="2"/>
    <x v="0"/>
    <s v="హిందూ"/>
    <x v="0"/>
    <s v="pedintlu"/>
    <n v="9963278424"/>
    <x v="1"/>
    <x v="5"/>
    <x v="0"/>
    <x v="0"/>
    <x v="1"/>
    <x v="0"/>
    <s v="ఉద్యొగ్య అవకాశాలు కల్పించటం, విద్య రంగం అభివృద్ధి చేయటం, వ్యవసాయం, రైతు బాగుండడం"/>
    <x v="0"/>
    <x v="0"/>
    <x v="1"/>
    <x v="1"/>
    <x v="1"/>
    <x v="1"/>
    <s v="Bhagya"/>
    <s v="Not Doing It Properly"/>
    <s v="Q6 Kept on his own"/>
    <x v="0"/>
    <n v="0.80207032429970992"/>
    <n v="1.0795332136445241"/>
    <n v="1.2733258158237817"/>
    <n v="2.1645021645021645"/>
    <n v="0.75433779645928134"/>
    <n v="1.1795151827936912"/>
    <n v="0.37562400914419181"/>
    <n v="1"/>
    <n v="-1"/>
    <n v="1"/>
    <n v="1"/>
    <n v="-1"/>
    <n v="-1"/>
    <n v="0.5"/>
    <n v="0"/>
    <n v="1"/>
    <n v="0"/>
    <n v="-2"/>
    <s v="Neutral TDP"/>
  </r>
  <r>
    <s v="b7c73281-0567-4944-9c99-89ff98902cb7"/>
    <x v="4"/>
    <s v="23/01/2026, 13:47:57"/>
    <s v="16.360378, 81.799829"/>
    <s v="9Q6X+7WJ, Kesavadasupalem, Andhra Pradesh, India"/>
    <x v="1"/>
    <s v="Naeem"/>
    <s v="http://164.52.221.216/localmedia/media/surveys/samples/recording_2026-01-23_13-46-38_samples_Vp5nXOc2nU.mp4"/>
    <x v="1"/>
    <x v="3"/>
    <x v="12"/>
    <x v="2"/>
    <s v="హిందూ"/>
    <x v="1"/>
    <s v="durgaprasad"/>
    <n v="9999999999"/>
    <x v="0"/>
    <x v="1"/>
    <x v="1"/>
    <x v="1"/>
    <x v="1"/>
    <x v="1"/>
    <s v="రోడ్లు వేయటం, ఆరోగ్య రంగం అభివృద్ధి చేయటం"/>
    <x v="1"/>
    <x v="0"/>
    <x v="1"/>
    <x v="1"/>
    <x v="1"/>
    <x v="1"/>
    <s v="Bhagya"/>
    <s v="Not Doing It Properly"/>
    <s v="Respondent said he doen't belong to that village, Q6 didn't asked properly,"/>
    <x v="0"/>
    <n v="1.1705128247062893"/>
    <n v="1.0795332136445241"/>
    <n v="0.86308903171383233"/>
    <n v="0.85034013605442171"/>
    <n v="1.147984664167413"/>
    <n v="0.79950206330384943"/>
    <n v="0.92148737207359532"/>
    <n v="-1"/>
    <n v="-1"/>
    <n v="-1"/>
    <n v="-1"/>
    <n v="-1"/>
    <n v="-1"/>
    <n v="-5.5"/>
    <n v="-6"/>
    <n v="-5"/>
    <n v="-4"/>
    <n v="-3"/>
    <s v="TDP HardCore"/>
  </r>
  <r>
    <s v="a93fc63f-0e83-4938-96ae-5ce27561a6b9"/>
    <x v="4"/>
    <s v="23/01/2026, 09:14:12"/>
    <s v="16.503872, 81.876852"/>
    <s v="GV3G+GQ4, Tatipaka, Andhra Pradesh, India"/>
    <x v="3"/>
    <s v="Naeem"/>
    <s v="http://164.52.221.216/localmedia/media/surveys/samples/recording_2026-01-23_09-10-24_samples_viwFKdqOXk.mp4"/>
    <x v="2"/>
    <x v="1"/>
    <x v="10"/>
    <x v="8"/>
    <s v="హిందూ"/>
    <x v="2"/>
    <s v="satyanarayana"/>
    <n v="9999999999"/>
    <x v="1"/>
    <x v="5"/>
    <x v="1"/>
    <x v="1"/>
    <x v="0"/>
    <x v="1"/>
    <s v="రోడ్లు వేయటం, ఉద్యొగ్య అవకాశాలు కల్పించటం, సంక్షేమ పథకాలు (నగదు)"/>
    <x v="1"/>
    <x v="0"/>
    <x v="2"/>
    <x v="1"/>
    <x v="1"/>
    <x v="1"/>
    <s v="Deepika"/>
    <s v="Not Doing It Properly"/>
    <s v="respondent male but mentioned female"/>
    <x v="0"/>
    <n v="1.1461625511156397"/>
    <n v="1.0795332136445241"/>
    <n v="3.0326483876590018"/>
    <n v="2.1645021645021645"/>
    <n v="1.1213131007097483"/>
    <n v="2.8092219390089208"/>
    <n v="1.8020838461961379"/>
    <n v="-1"/>
    <n v="1"/>
    <n v="-1"/>
    <n v="-1"/>
    <n v="-1"/>
    <n v="-1"/>
    <n v="-3.5"/>
    <n v="-4"/>
    <n v="-5"/>
    <n v="-4"/>
    <n v="-3"/>
    <s v="TDP Sympathiser"/>
  </r>
  <r>
    <s v="f4a4c3b8-07d9-43b6-aedd-c247c7a99578"/>
    <x v="4"/>
    <s v="23/01/2026, 10:28:58"/>
    <s v="16.513553, 81.907150"/>
    <s v="Pedapattanam-Mamidikuduru Road, Pedapatnam, Andhra Pradesh, India"/>
    <x v="3"/>
    <s v="Naeem"/>
    <s v="http://164.52.221.216/localmedia/media/surveys/samples/recording_2026-01-23_10-25-15_samples_5x04G66Zl4.mp4"/>
    <x v="0"/>
    <x v="2"/>
    <x v="2"/>
    <x v="0"/>
    <s v="హిందూ"/>
    <x v="2"/>
    <s v="k. chitti venkayya"/>
    <n v="9989688163"/>
    <x v="0"/>
    <x v="5"/>
    <x v="1"/>
    <x v="1"/>
    <x v="0"/>
    <x v="0"/>
    <s v="ఉద్యొగ్య అవకాశాలు కల్పించటం, విద్య రంగం అభివృద్ధి చేయటం, ఆరోగ్య రంగం అభివృద్ధి చేయటం"/>
    <x v="0"/>
    <x v="0"/>
    <x v="0"/>
    <x v="0"/>
    <x v="2"/>
    <x v="2"/>
    <s v="Deepika"/>
    <s v="Correctly Done"/>
    <n v="0"/>
    <x v="0"/>
    <n v="1.3836274505214585"/>
    <n v="1.8055837563451775"/>
    <n v="1.9482662206881376"/>
    <n v="0.85034013605442171"/>
    <n v="0.75433779645928134"/>
    <n v="1.0790228998469584"/>
    <n v="0.52423486800867025"/>
    <n v="-1"/>
    <n v="1"/>
    <n v="1"/>
    <n v="1"/>
    <n v="1"/>
    <n v="1"/>
    <n v="3.5"/>
    <n v="4"/>
    <n v="3"/>
    <n v="4"/>
    <n v="2"/>
    <s v="YSRCP Sympathiser"/>
  </r>
  <r>
    <s v="0eecee35-e830-4876-a773-f8b319b01f55"/>
    <x v="4"/>
    <s v="23/01/2026, 10:31:15"/>
    <s v="16.360767, 81.800488"/>
    <s v="9R62+927, Kesavadasupalem, Andhra Pradesh, India"/>
    <x v="1"/>
    <s v="Naeem"/>
    <s v="http://164.52.221.216/localmedia/media/surveys/samples/recording_2026-01-23_10-29-55_samples_I03KT7LYZs.mp4"/>
    <x v="2"/>
    <x v="3"/>
    <x v="12"/>
    <x v="1"/>
    <s v="హిందూ"/>
    <x v="0"/>
    <s v="murthi"/>
    <n v="9999999999"/>
    <x v="0"/>
    <x v="2"/>
    <x v="2"/>
    <x v="1"/>
    <x v="1"/>
    <x v="1"/>
    <s v="రోడ్లు వేయటం, విద్య రంగం అభివృద్ధి చేయటం, ఆరోగ్య రంగం అభివృద్ధి చేయటం"/>
    <x v="1"/>
    <x v="0"/>
    <x v="1"/>
    <x v="1"/>
    <x v="1"/>
    <x v="1"/>
    <s v="Ashish"/>
    <s v="Correctly Done"/>
    <n v="0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1698331f-7baa-4af4-87cb-d42401cbcb60"/>
    <x v="4"/>
    <s v="23/01/2026, 10:34:27"/>
    <s v="16.360168, 81.799873"/>
    <s v="9Q6X+7WJ, Kesavadasupalem, Andhra Pradesh, India"/>
    <x v="1"/>
    <s v="Naeem"/>
    <s v="http://164.52.221.216/localmedia/media/surveys/samples/recording_2026-01-23_10-32-34_samples_zM15rh8kbn.mp4"/>
    <x v="1"/>
    <x v="3"/>
    <x v="12"/>
    <x v="2"/>
    <s v="హిందూ"/>
    <x v="1"/>
    <s v="rambabu"/>
    <n v="9999999999"/>
    <x v="0"/>
    <x v="3"/>
    <x v="1"/>
    <x v="0"/>
    <x v="0"/>
    <x v="0"/>
    <s v="రోడ్లు వేయటం, వ్యవసాయం, రైతు బాగుండడం, సంక్షేమ పథకాలు (నగదు)"/>
    <x v="0"/>
    <x v="0"/>
    <x v="0"/>
    <x v="0"/>
    <x v="0"/>
    <x v="0"/>
    <s v="Ashish"/>
    <s v="Correctly Done"/>
    <n v="0"/>
    <x v="0"/>
    <n v="1.1705128247062893"/>
    <n v="1.8055837563451775"/>
    <n v="1.4435679386658844"/>
    <n v="0.85034013605442171"/>
    <n v="1.147984664167413"/>
    <n v="0.79950206330384943"/>
    <n v="0.92148737207359532"/>
    <n v="1"/>
    <n v="1"/>
    <n v="1"/>
    <n v="1"/>
    <n v="1"/>
    <n v="1"/>
    <n v="5.5"/>
    <n v="6"/>
    <n v="5"/>
    <n v="4"/>
    <n v="3"/>
    <s v="YSRCP HardCore"/>
  </r>
  <r>
    <s v="e345225b-81b0-4195-8074-b9ab01bfd7ff"/>
    <x v="4"/>
    <s v="23/01/2026, 10:37:34"/>
    <s v="16.359409, 81.798690"/>
    <s v="9Q5X+VM5, Kesavadasupalem, Andhra Pradesh, India"/>
    <x v="1"/>
    <s v="Naeem"/>
    <s v="http://164.52.221.216/localmedia/media/surveys/samples/recording_2026-01-23_10-35-20_samples_fvikyz2M18.mp4"/>
    <x v="9"/>
    <x v="3"/>
    <x v="12"/>
    <x v="2"/>
    <s v="హిందూ"/>
    <x v="0"/>
    <s v="vekatasubaro"/>
    <n v="9999999999"/>
    <x v="0"/>
    <x v="3"/>
    <x v="2"/>
    <x v="0"/>
    <x v="0"/>
    <x v="0"/>
    <s v="రోడ్లు వేయటం, విద్య రంగం అభివృద్ధి చేయటం, ఆరోగ్య రంగం అభివృద్ధి చేయటం"/>
    <x v="0"/>
    <x v="0"/>
    <x v="0"/>
    <x v="0"/>
    <x v="3"/>
    <x v="0"/>
    <s v="Ashish"/>
    <s v="Correctly Done"/>
    <s v="Q12 kept on his own"/>
    <x v="0"/>
    <n v="1.1209668980183516"/>
    <n v="1.8055837563451775"/>
    <n v="1.7479996739449526"/>
    <n v="0.85034013605442171"/>
    <n v="1.147984664167413"/>
    <n v="0.96810777556130356"/>
    <n v="0.30685005205910726"/>
    <n v="1"/>
    <n v="1"/>
    <n v="1"/>
    <n v="1"/>
    <n v="1"/>
    <n v="1"/>
    <n v="5.5"/>
    <n v="6"/>
    <n v="5"/>
    <n v="4"/>
    <n v="3"/>
    <s v="YSRCP HardCore"/>
  </r>
  <r>
    <s v="f9637631-10d7-4461-8987-b66fbc40adf8"/>
    <x v="4"/>
    <s v="23/01/2026, 11:29:00"/>
    <s v="16.358154, 81.794706"/>
    <s v="9Q4V+WXF, Kesavadasupalem, Andhra Pradesh, India"/>
    <x v="1"/>
    <s v="Naeem"/>
    <s v="http://164.52.221.216/localmedia/media/surveys/samples/recording_2026-01-23_11-27-24_samples_8Pti37J0m6.mp4"/>
    <x v="2"/>
    <x v="3"/>
    <x v="12"/>
    <x v="1"/>
    <s v="హిందూ"/>
    <x v="2"/>
    <s v="nageswrao"/>
    <n v="9999999999"/>
    <x v="0"/>
    <x v="1"/>
    <x v="1"/>
    <x v="1"/>
    <x v="1"/>
    <x v="1"/>
    <s v="రోడ్లు వేయటం, సంక్షేమ పథకాలు (నగదు)"/>
    <x v="1"/>
    <x v="0"/>
    <x v="1"/>
    <x v="1"/>
    <x v="1"/>
    <x v="1"/>
    <s v="Deepika"/>
    <s v="Not Doing It Properly"/>
    <s v="Q1,6,9,10 kept his own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e9acb51a-4f52-4810-8fd5-d56bd8f8a975"/>
    <x v="4"/>
    <s v="23/01/2026, 10:38:06"/>
    <s v="16.512958, 81.904674"/>
    <s v="Nagaram - Pedapatnam Rd, Dr. B. R. Ambedkar Konseema, Andhra Pradesh, India"/>
    <x v="3"/>
    <s v="Naeem"/>
    <s v="http://164.52.221.216/localmedia/media/surveys/samples/recording_2026-01-23_10-33-55_samples_8f26uyC8m3.mp4"/>
    <x v="0"/>
    <x v="2"/>
    <x v="2"/>
    <x v="0"/>
    <s v="క్రిస్టియన్"/>
    <x v="1"/>
    <s v="k. madhavarao"/>
    <n v="9493493933"/>
    <x v="0"/>
    <x v="5"/>
    <x v="1"/>
    <x v="0"/>
    <x v="0"/>
    <x v="0"/>
    <s v="శాంతి భద్రతలను కాపాడటం, విద్య రంగం అభివృద్ధి చేయటం, వ్యవసాయం, రైతు బాగుండడం"/>
    <x v="0"/>
    <x v="0"/>
    <x v="0"/>
    <x v="0"/>
    <x v="0"/>
    <x v="2"/>
    <s v="Deepika"/>
    <s v="Correctly Done"/>
    <n v="0"/>
    <x v="0"/>
    <n v="1.3836274505214585"/>
    <n v="1.8055837563451775"/>
    <n v="1.9482662206881376"/>
    <n v="0.85034013605442171"/>
    <n v="0.75433779645928134"/>
    <n v="1.0790228998469584"/>
    <n v="0.52423486800867025"/>
    <n v="1"/>
    <n v="1"/>
    <n v="1"/>
    <n v="1"/>
    <n v="1"/>
    <n v="1"/>
    <n v="5.5"/>
    <n v="6"/>
    <n v="5"/>
    <n v="4"/>
    <n v="3"/>
    <s v="YSRCP HardCore"/>
  </r>
  <r>
    <s v="f268e569-b19d-4dec-b804-3cf0632008d8"/>
    <x v="4"/>
    <s v="23/01/2026, 10:41:11"/>
    <s v="16.333535, 81.733207"/>
    <s v="8PMM+G78, Antervedi Pallipalem, Andhra Pradesh, India"/>
    <x v="4"/>
    <s v="Naeem"/>
    <s v="http://164.52.221.216/localmedia/media/surveys/samples/recording_2026-01-23_10-36-32_samples_ve4eGYwUqj.mp4"/>
    <x v="6"/>
    <x v="3"/>
    <x v="9"/>
    <x v="0"/>
    <s v="హిందూ"/>
    <x v="1"/>
    <s v="B Srinivasulu"/>
    <n v="7032922271"/>
    <x v="0"/>
    <x v="3"/>
    <x v="1"/>
    <x v="1"/>
    <x v="0"/>
    <x v="0"/>
    <s v="ఉద్యొగ్య అవకాశాలు కల్పించటం, విద్య రంగం అభివృద్ధి చేయటం, ఆరోగ్య రంగం అభివృద్ధి చేయటం"/>
    <x v="0"/>
    <x v="0"/>
    <x v="1"/>
    <x v="3"/>
    <x v="1"/>
    <x v="1"/>
    <s v="Ashish"/>
    <s v="Correctly Done"/>
    <n v="0"/>
    <x v="0"/>
    <n v="1.2612194085121222"/>
    <n v="0.66153846153846207"/>
    <n v="0.5639555161423867"/>
    <n v="0.85034013605442171"/>
    <n v="1.147984664167413"/>
    <n v="0.85249089649430487"/>
    <n v="0.41451794778650441"/>
    <n v="-1"/>
    <n v="1"/>
    <n v="1"/>
    <n v="1"/>
    <n v="-1"/>
    <n v="-1"/>
    <n v="0.5"/>
    <n v="0"/>
    <n v="-1"/>
    <n v="0"/>
    <n v="-3"/>
    <s v="Neutral TDP"/>
  </r>
  <r>
    <s v="7fe28a97-f821-4a53-98aa-f60620e672b1"/>
    <x v="4"/>
    <s v="23/01/2026, 10:44:33"/>
    <s v="16.359039, 81.797713"/>
    <s v="9Q5W+FH8, Kesavadasupalem, Andhra Pradesh, India"/>
    <x v="1"/>
    <s v="Naeem"/>
    <s v="http://164.52.221.216/localmedia/media/surveys/samples/recording_2026-01-23_10-43-04_samples_nvhjlcgPnz.mp4"/>
    <x v="1"/>
    <x v="3"/>
    <x v="12"/>
    <x v="2"/>
    <s v="హిందూ"/>
    <x v="0"/>
    <s v="krishna"/>
    <n v="9393497777"/>
    <x v="0"/>
    <x v="3"/>
    <x v="2"/>
    <x v="1"/>
    <x v="1"/>
    <x v="1"/>
    <s v="రోడ్లు వేయటం, విద్య రంగం అభివృద్ధి చేయటం, ఆరోగ్య రంగం అభివృద్ధి చేయటం"/>
    <x v="1"/>
    <x v="0"/>
    <x v="1"/>
    <x v="1"/>
    <x v="1"/>
    <x v="1"/>
    <s v="Ashish"/>
    <s v="Correctly Done"/>
    <n v="0"/>
    <x v="0"/>
    <n v="1.1705128247062893"/>
    <n v="1.0795332136445241"/>
    <n v="0.86308903171383233"/>
    <n v="0.85034013605442171"/>
    <n v="1.147984664167413"/>
    <n v="0.79950206330384943"/>
    <n v="0.92148737207359532"/>
    <n v="-1"/>
    <n v="-1"/>
    <n v="-1"/>
    <n v="-1"/>
    <n v="-1"/>
    <n v="-1"/>
    <n v="-5.5"/>
    <n v="-6"/>
    <n v="-5"/>
    <n v="-4"/>
    <n v="-3"/>
    <s v="TDP HardCore"/>
  </r>
  <r>
    <s v="0e1e9954-d0f6-4682-b3d4-685184931b51"/>
    <x v="4"/>
    <s v="23/01/2026, 10:48:57"/>
    <s v="16.333408, 81.733882"/>
    <s v="Antarvedi devastanam, Antervedi Pallipalem, Andhra Pradesh, India"/>
    <x v="4"/>
    <s v="Naeem"/>
    <s v="http://164.52.221.216/localmedia/media/surveys/samples/recording_2026-01-23_10-45-29_samples_VQepvzMXKc.mp4"/>
    <x v="6"/>
    <x v="3"/>
    <x v="9"/>
    <x v="1"/>
    <s v="హిందూ"/>
    <x v="1"/>
    <s v="B N Raju"/>
    <n v="9849459362"/>
    <x v="0"/>
    <x v="4"/>
    <x v="1"/>
    <x v="1"/>
    <x v="1"/>
    <x v="1"/>
    <s v="ఉద్యొగ్య అవకాశాలు కల్పించటం, విద్య రంగం అభివృద్ధి చేయటం, ఆరోగ్య రంగం అభివృద్ధి చేయటం"/>
    <x v="1"/>
    <x v="0"/>
    <x v="1"/>
    <x v="1"/>
    <x v="1"/>
    <x v="1"/>
    <s v="Ashish"/>
    <s v="Correctly Done"/>
    <n v="0"/>
    <x v="0"/>
    <n v="1.2612194085121222"/>
    <n v="1.0795332136445241"/>
    <n v="0.92029223709519836"/>
    <n v="0.85034013605442171"/>
    <n v="1.147984664167413"/>
    <n v="0.85249089649430487"/>
    <n v="0.41451794778650441"/>
    <n v="-1"/>
    <n v="-1"/>
    <n v="-1"/>
    <n v="-1"/>
    <n v="-1"/>
    <n v="-1"/>
    <n v="-5.5"/>
    <n v="-6"/>
    <n v="-5"/>
    <n v="-4"/>
    <n v="-3"/>
    <s v="TDP HardCore"/>
  </r>
  <r>
    <s v="0897cf16-5dd6-4791-8091-2f0a24e8ac98"/>
    <x v="4"/>
    <s v="23/01/2026, 10:48:57"/>
    <s v="16.333408, 81.733882"/>
    <s v="Antarvedi devastanam, Antervedi Pallipalem, Andhra Pradesh, India"/>
    <x v="4"/>
    <s v="Naeem"/>
    <s v="http://164.52.221.216/localmedia/media/surveys/samples/recording_2026-01-23_10-45-29_samples_qFxzuQ6JvM.mp4"/>
    <x v="6"/>
    <x v="3"/>
    <x v="9"/>
    <x v="1"/>
    <s v="హిందూ"/>
    <x v="1"/>
    <s v="B N Raju"/>
    <n v="9849459362"/>
    <x v="0"/>
    <x v="4"/>
    <x v="1"/>
    <x v="1"/>
    <x v="1"/>
    <x v="1"/>
    <s v="ఉద్యొగ్య అవకాశాలు కల్పించటం, విద్య రంగం అభివృద్ధి చేయటం, ఆరోగ్య రంగం అభివృద్ధి చేయటం"/>
    <x v="1"/>
    <x v="0"/>
    <x v="1"/>
    <x v="1"/>
    <x v="1"/>
    <x v="1"/>
    <n v="0"/>
    <s v="Correctly Done"/>
    <n v="0"/>
    <x v="0"/>
    <n v="1.2612194085121222"/>
    <n v="1.0795332136445241"/>
    <n v="0.92029223709519836"/>
    <n v="0.85034013605442171"/>
    <n v="1.147984664167413"/>
    <n v="0.85249089649430487"/>
    <n v="0.41451794778650441"/>
    <n v="-1"/>
    <n v="-1"/>
    <n v="-1"/>
    <n v="-1"/>
    <n v="-1"/>
    <n v="-1"/>
    <n v="-5.5"/>
    <n v="-6"/>
    <n v="-5"/>
    <n v="-4"/>
    <n v="-3"/>
    <s v="TDP HardCore"/>
  </r>
  <r>
    <s v="cadc753e-da5c-432c-a839-2a84ee55db6d"/>
    <x v="4"/>
    <s v="23/01/2026, 10:49:10"/>
    <s v="16.333408, 81.733882"/>
    <s v="Antarvedi devastanam, Antervedi Pallipalem, Andhra Pradesh, India"/>
    <x v="4"/>
    <s v="Naeem"/>
    <s v="http://164.52.221.216/localmedia/media/surveys/samples/recording_2026-01-23_10-45-29_samples_5tJnnMVydq.mp4"/>
    <x v="6"/>
    <x v="3"/>
    <x v="9"/>
    <x v="1"/>
    <s v="హిందూ"/>
    <x v="1"/>
    <s v="B N Raju"/>
    <n v="9849459362"/>
    <x v="0"/>
    <x v="4"/>
    <x v="1"/>
    <x v="1"/>
    <x v="1"/>
    <x v="1"/>
    <s v="ఉద్యొగ్య అవకాశాలు కల్పించటం, విద్య రంగం అభివృద్ధి చేయటం, ఆరోగ్య రంగం అభివృద్ధి చేయటం"/>
    <x v="1"/>
    <x v="0"/>
    <x v="1"/>
    <x v="1"/>
    <x v="1"/>
    <x v="1"/>
    <n v="0"/>
    <s v="Correctly Done"/>
    <n v="0"/>
    <x v="0"/>
    <n v="1.2612194085121222"/>
    <n v="1.0795332136445241"/>
    <n v="0.92029223709519836"/>
    <n v="0.85034013605442171"/>
    <n v="1.147984664167413"/>
    <n v="0.85249089649430487"/>
    <n v="0.41451794778650441"/>
    <n v="-1"/>
    <n v="-1"/>
    <n v="-1"/>
    <n v="-1"/>
    <n v="-1"/>
    <n v="-1"/>
    <n v="-5.5"/>
    <n v="-6"/>
    <n v="-5"/>
    <n v="-4"/>
    <n v="-3"/>
    <s v="TDP HardCore"/>
  </r>
  <r>
    <s v="94610092-5338-4d90-b2b0-40bba3b90e61"/>
    <x v="4"/>
    <s v="23/01/2026, 10:51:54"/>
    <s v="16.359516, 81.795246"/>
    <s v="9Q6W+377, Kesavadasupalem, Andhra Pradesh, India"/>
    <x v="1"/>
    <s v="Naeem"/>
    <s v="http://164.52.221.216/localmedia/media/surveys/samples/recording_2026-01-23_10-49-56_samples_bOuSUk86gD.mp4"/>
    <x v="0"/>
    <x v="3"/>
    <x v="12"/>
    <x v="2"/>
    <s v="హిందూ"/>
    <x v="1"/>
    <s v="naresh"/>
    <n v="9866178869"/>
    <x v="0"/>
    <x v="3"/>
    <x v="2"/>
    <x v="0"/>
    <x v="1"/>
    <x v="1"/>
    <s v="రోడ్లు వేయటం, ఆరోగ్య రంగం అభివృద్ధి చేయటం, సంక్షేమ పథకాలు (నగదు)"/>
    <x v="1"/>
    <x v="0"/>
    <x v="1"/>
    <x v="1"/>
    <x v="1"/>
    <x v="1"/>
    <n v="0"/>
    <s v="Correctly Done"/>
    <n v="0"/>
    <x v="0"/>
    <n v="1.3836274505214585"/>
    <n v="1.0795332136445241"/>
    <n v="1.1648410586678206"/>
    <n v="0.85034013605442171"/>
    <n v="1.147984664167413"/>
    <n v="1.0790228998469584"/>
    <n v="1.1572915102003449"/>
    <n v="1"/>
    <n v="-1"/>
    <n v="-1"/>
    <n v="-1"/>
    <n v="-1"/>
    <n v="-1"/>
    <n v="-3.5"/>
    <n v="-4"/>
    <n v="-3"/>
    <n v="-4"/>
    <n v="-2"/>
    <s v="TDP Sympathiser"/>
  </r>
  <r>
    <s v="c5a6d6a4-530b-491a-8f29-3507e252c656"/>
    <x v="4"/>
    <s v="23/01/2026, 10:51:54"/>
    <s v="16.359516, 81.795246"/>
    <s v="9Q6W+377, Kesavadasupalem, Andhra Pradesh, India"/>
    <x v="1"/>
    <s v="Naeem"/>
    <s v="http://164.52.221.216/localmedia/media/surveys/samples/recording_2026-01-23_10-49-56_samples_UQLKV5skVA.mp4"/>
    <x v="0"/>
    <x v="3"/>
    <x v="12"/>
    <x v="2"/>
    <s v="హిందూ"/>
    <x v="1"/>
    <s v="naresh"/>
    <n v="9866178869"/>
    <x v="0"/>
    <x v="3"/>
    <x v="2"/>
    <x v="0"/>
    <x v="1"/>
    <x v="1"/>
    <s v="రోడ్లు వేయటం, ఆరోగ్య రంగం అభివృద్ధి చేయటం, సంక్షేమ పథకాలు (నగదు)"/>
    <x v="1"/>
    <x v="0"/>
    <x v="1"/>
    <x v="1"/>
    <x v="1"/>
    <x v="1"/>
    <n v="0"/>
    <s v="Correctly Done"/>
    <n v="0"/>
    <x v="0"/>
    <n v="1.3836274505214585"/>
    <n v="1.0795332136445241"/>
    <n v="1.1648410586678206"/>
    <n v="0.85034013605442171"/>
    <n v="1.147984664167413"/>
    <n v="1.0790228998469584"/>
    <n v="1.1572915102003449"/>
    <n v="1"/>
    <n v="-1"/>
    <n v="-1"/>
    <n v="-1"/>
    <n v="-1"/>
    <n v="-1"/>
    <n v="-3.5"/>
    <n v="-4"/>
    <n v="-3"/>
    <n v="-4"/>
    <n v="-2"/>
    <s v="TDP Sympathiser"/>
  </r>
  <r>
    <s v="35035f21-4bf2-4c48-a3d6-5d47591c3d49"/>
    <x v="4"/>
    <s v="23/01/2026, 11:31:39"/>
    <s v="16.357301, 81.795178"/>
    <s v="9Q4W+V28, Kesavadasupalem, Andhra Pradesh, India"/>
    <x v="1"/>
    <s v="Naeem"/>
    <s v="http://164.52.221.216/localmedia/media/surveys/samples/recording_2026-01-23_11-30-29_samples_zOO8Z0MkGt.mp4"/>
    <x v="2"/>
    <x v="3"/>
    <x v="12"/>
    <x v="1"/>
    <s v="హిందూ"/>
    <x v="0"/>
    <s v="krishna"/>
    <n v="9999999999"/>
    <x v="0"/>
    <x v="1"/>
    <x v="1"/>
    <x v="1"/>
    <x v="1"/>
    <x v="1"/>
    <s v="రోడ్లు వేయటం, విద్య రంగం అభివృద్ధి చేయటం, ఆరోగ్య రంగం అభివృద్ధి చేయటం"/>
    <x v="1"/>
    <x v="0"/>
    <x v="1"/>
    <x v="1"/>
    <x v="1"/>
    <x v="1"/>
    <s v="Deepika"/>
    <s v="Correctly Done"/>
    <s v="not asking caste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baff47ff-0527-4806-ae8a-ce5e1f79f9d9"/>
    <x v="4"/>
    <s v="23/01/2026, 10:53:04"/>
    <s v="16.511404, 81.899023"/>
    <s v="GV6X+VHP, Mamidikududru, Andhra Pradesh, India"/>
    <x v="3"/>
    <s v="Naeem"/>
    <s v="http://164.52.221.216/localmedia/media/surveys/samples/recording_2026-01-23_10-50-09_samples_fGrje9gtZE.mp4"/>
    <x v="0"/>
    <x v="2"/>
    <x v="2"/>
    <x v="2"/>
    <s v="హిందూ"/>
    <x v="1"/>
    <s v="chndhini"/>
    <n v="9866585980"/>
    <x v="1"/>
    <x v="5"/>
    <x v="1"/>
    <x v="0"/>
    <x v="0"/>
    <x v="0"/>
    <s v="ఉద్యొగ్య అవకాశాలు కల్పించటం, విద్య రంగం అభివృద్ధి చేయటం, ఆరోగ్య రంగం అభివృద్ధి చేయటం"/>
    <x v="0"/>
    <x v="0"/>
    <x v="0"/>
    <x v="0"/>
    <x v="0"/>
    <x v="2"/>
    <s v="Deepika"/>
    <s v="Correctly Done"/>
    <n v="0"/>
    <x v="0"/>
    <n v="1.3836274505214585"/>
    <n v="1.8055837563451775"/>
    <n v="3.4809023142961388"/>
    <n v="2.1645021645021645"/>
    <n v="0.75433779645928134"/>
    <n v="1.9278542477265657"/>
    <n v="0.95595770048639872"/>
    <n v="1"/>
    <n v="1"/>
    <n v="1"/>
    <n v="1"/>
    <n v="1"/>
    <n v="1"/>
    <n v="5.5"/>
    <n v="6"/>
    <n v="5"/>
    <n v="4"/>
    <n v="3"/>
    <s v="YSRCP HardCore"/>
  </r>
  <r>
    <s v="8c4226b1-13f2-4451-9ed2-42bdca6c0485"/>
    <x v="4"/>
    <s v="23/01/2026, 10:58:33"/>
    <s v="16.511949, 81.898521"/>
    <s v="GV6X+VHP, Mamidikududru, Andhra Pradesh, India"/>
    <x v="3"/>
    <s v="Naeem"/>
    <s v="http://164.52.221.216/localmedia/media/surveys/samples/recording_2026-01-23_10-54-41_samples_ay8sq4bZVV.mp4"/>
    <x v="0"/>
    <x v="2"/>
    <x v="2"/>
    <x v="2"/>
    <s v="హిందూ"/>
    <x v="1"/>
    <s v="ravi shekar"/>
    <n v="8978202120"/>
    <x v="0"/>
    <x v="5"/>
    <x v="1"/>
    <x v="1"/>
    <x v="0"/>
    <x v="0"/>
    <s v="విద్య రంగం అభివృద్ధి చేయటం, ఆరోగ్య రంగం అభివృద్ధి చేయటం, సంక్షేమ పథకాలు (నగదు)"/>
    <x v="1"/>
    <x v="0"/>
    <x v="0"/>
    <x v="0"/>
    <x v="0"/>
    <x v="2"/>
    <s v="Deepika"/>
    <s v="Correctly Done"/>
    <n v="0"/>
    <x v="0"/>
    <n v="1.3836274505214585"/>
    <n v="1.8055837563451775"/>
    <n v="1.9482662206881376"/>
    <n v="0.85034013605442171"/>
    <n v="0.75433779645928134"/>
    <n v="1.0790228998469584"/>
    <n v="0.52423486800867025"/>
    <n v="-1"/>
    <n v="1"/>
    <n v="1"/>
    <n v="-1"/>
    <n v="1"/>
    <n v="1"/>
    <n v="1.5"/>
    <n v="2"/>
    <n v="1"/>
    <n v="2"/>
    <n v="2"/>
    <s v="Neutral YSRCP"/>
  </r>
  <r>
    <s v="bbd7c6f1-4c24-48a9-8cac-afaf3aaea4cb"/>
    <x v="4"/>
    <s v="23/01/2026, 10:59:56"/>
    <s v="16.332454, 81.734144"/>
    <s v="Shop No, Antervedi Pallipalem, Andhra Pradesh, India"/>
    <x v="4"/>
    <s v="Naeem"/>
    <s v="http://164.52.221.216/localmedia/media/surveys/samples/recording_2026-01-23_10-55-50_samples_c4ctKvWeCL.mp4"/>
    <x v="0"/>
    <x v="3"/>
    <x v="9"/>
    <x v="0"/>
    <s v="క్రిస్టియన్"/>
    <x v="0"/>
    <s v="Thote Venkatareddy"/>
    <n v="8465881453"/>
    <x v="0"/>
    <x v="3"/>
    <x v="1"/>
    <x v="1"/>
    <x v="0"/>
    <x v="0"/>
    <s v="ఉద్యొగ్య అవకాశాలు కల్పించటం, విద్య రంగం అభివృద్ధి చేయటం, ఆరోగ్య రంగం అభివృద్ధి చేయటం"/>
    <x v="0"/>
    <x v="0"/>
    <x v="0"/>
    <x v="0"/>
    <x v="0"/>
    <x v="0"/>
    <s v="Ashish"/>
    <s v="Correctly Done"/>
    <n v="0"/>
    <x v="0"/>
    <n v="1.3836274505214585"/>
    <n v="1.8055837563451775"/>
    <n v="1.9482662206881376"/>
    <n v="0.85034013605442171"/>
    <n v="1.147984664167413"/>
    <n v="1.0790228998469584"/>
    <n v="1.1572915102003449"/>
    <n v="-1"/>
    <n v="1"/>
    <n v="1"/>
    <n v="1"/>
    <n v="1"/>
    <n v="1"/>
    <n v="3.5"/>
    <n v="4"/>
    <n v="3"/>
    <n v="4"/>
    <n v="2"/>
    <s v="YSRCP Sympathiser"/>
  </r>
  <r>
    <s v="0c229e73-bf25-4419-9f5c-058ac4ea5e20"/>
    <x v="4"/>
    <s v="23/01/2026, 11:15:46"/>
    <s v="16.519167, 81.898559"/>
    <s v="DOR NO 2-2-2, Manepally, Andhra Pradesh, India"/>
    <x v="3"/>
    <s v="Naeem"/>
    <s v="http://164.52.221.216/localmedia/media/surveys/samples/recording_2026-01-23_11-11-37_samples_9DVNNWaIVb.mp4"/>
    <x v="1"/>
    <x v="2"/>
    <x v="2"/>
    <x v="6"/>
    <s v="హిందూ"/>
    <x v="3"/>
    <s v="sravani"/>
    <n v="9494506652"/>
    <x v="1"/>
    <x v="5"/>
    <x v="1"/>
    <x v="1"/>
    <x v="0"/>
    <x v="0"/>
    <s v="రోడ్లు వేయటం, ఉద్యొగ్య అవకాశాలు కల్పించటం, విద్య రంగం అభివృద్ధి చేయటం"/>
    <x v="0"/>
    <x v="2"/>
    <x v="0"/>
    <x v="0"/>
    <x v="3"/>
    <x v="4"/>
    <s v="Ashish"/>
    <s v="Correctly Done"/>
    <n v="0"/>
    <x v="0"/>
    <n v="1.1705128247062893"/>
    <n v="1.8055837563451775"/>
    <n v="3.9434051007458306"/>
    <n v="2.1645021645021645"/>
    <n v="0.75433779645928134"/>
    <n v="2.1840056363422229"/>
    <n v="1.1182714552164577"/>
    <n v="-1"/>
    <n v="1"/>
    <n v="1"/>
    <n v="1"/>
    <n v="1"/>
    <n v="1"/>
    <n v="3.5"/>
    <n v="4"/>
    <n v="3"/>
    <n v="4"/>
    <n v="2"/>
    <s v="YSRCP Sympathiser"/>
  </r>
  <r>
    <s v="e7798d42-0d87-4a44-b94e-87fa47068cc0"/>
    <x v="4"/>
    <s v="23/01/2026, 11:18:30"/>
    <s v="16.332081, 81.732966"/>
    <s v="8PJM+WGM, Antervedi Pallipalem, Andhra Pradesh, India"/>
    <x v="4"/>
    <s v="Naeem"/>
    <s v="http://164.52.221.216/localmedia/media/surveys/samples/recording_2026-01-23_11-15-47_samples_CRhRFowiZY.mp4"/>
    <x v="8"/>
    <x v="3"/>
    <x v="9"/>
    <x v="0"/>
    <s v="హిందూ"/>
    <x v="1"/>
    <s v="sandeep"/>
    <n v="9542285200"/>
    <x v="0"/>
    <x v="4"/>
    <x v="1"/>
    <x v="1"/>
    <x v="1"/>
    <x v="0"/>
    <s v="రోడ్లు వేయటం, విద్య రంగం అభివృద్ధి చేయటం, ఆరోగ్య రంగం అభివృద్ధి చేయటం"/>
    <x v="1"/>
    <x v="0"/>
    <x v="1"/>
    <x v="1"/>
    <x v="1"/>
    <x v="1"/>
    <s v="Ashish"/>
    <s v="Correctly Done"/>
    <s v="Caste - Madiga"/>
    <x v="0"/>
    <n v="0.80207032429970992"/>
    <n v="1.0795332136445241"/>
    <n v="0.65595572330316032"/>
    <n v="0.85034013605442171"/>
    <n v="1.147984664167413"/>
    <n v="0.60762903356038633"/>
    <n v="1.1555593620092124"/>
    <n v="-1"/>
    <n v="-1"/>
    <n v="1"/>
    <n v="-1"/>
    <n v="-1"/>
    <n v="-1"/>
    <n v="-3.5"/>
    <n v="-4"/>
    <n v="-3"/>
    <n v="-2"/>
    <n v="-3"/>
    <s v="Neutral TDP"/>
  </r>
  <r>
    <s v="410c08b3-5762-41ec-a474-ef39a198f16c"/>
    <x v="4"/>
    <s v="23/01/2026, 11:34:44"/>
    <s v="16.356535, 81.793533"/>
    <s v="Church peta Road, Kesavadasupalem, Andhra Pradesh, India"/>
    <x v="1"/>
    <s v="Naeem"/>
    <s v="http://164.52.221.216/localmedia/media/surveys/samples/recording_2026-01-23_11-33-01_samples_0QvRCgRJt1.mp4"/>
    <x v="0"/>
    <x v="3"/>
    <x v="12"/>
    <x v="3"/>
    <s v="క్రిస్టియన్"/>
    <x v="2"/>
    <s v="rajarthnam"/>
    <n v="9999999999"/>
    <x v="0"/>
    <x v="1"/>
    <x v="1"/>
    <x v="1"/>
    <x v="1"/>
    <x v="1"/>
    <s v="రోడ్లు వేయటం, ఆరోగ్య రంగం అభివృద్ధి చేయటం, సంక్షేమ పథకాలు (నగదు)"/>
    <x v="1"/>
    <x v="0"/>
    <x v="1"/>
    <x v="0"/>
    <x v="0"/>
    <x v="0"/>
    <s v="Deepika"/>
    <s v="Correctly Done"/>
    <n v="0"/>
    <x v="0"/>
    <n v="1.3836274505214585"/>
    <n v="1.8055837563451775"/>
    <n v="1.9482662206881376"/>
    <n v="0.85034013605442171"/>
    <n v="1.147984664167413"/>
    <n v="1.0790228998469584"/>
    <n v="1.1572915102003449"/>
    <n v="-1"/>
    <n v="-1"/>
    <n v="-1"/>
    <n v="-1"/>
    <n v="1"/>
    <n v="-1"/>
    <n v="-4.5"/>
    <n v="-4"/>
    <n v="-3"/>
    <n v="-2"/>
    <n v="-2"/>
    <s v="Neutral TDP"/>
  </r>
  <r>
    <s v="b07f39fe-9655-4ab7-b74d-d01b38e7b356"/>
    <x v="4"/>
    <s v="23/01/2026, 11:39:05"/>
    <s v="16.521039, 81.902969"/>
    <s v="GWC3+C6R, Pedapatnam, Andhra Pradesh, India"/>
    <x v="3"/>
    <s v="Naeem"/>
    <s v="http://164.52.221.216/localmedia/media/surveys/samples/recording_2026-01-23_11-34-52_samples_L48BV8F4ac.mp4"/>
    <x v="2"/>
    <x v="2"/>
    <x v="2"/>
    <x v="4"/>
    <s v="హిందూ"/>
    <x v="1"/>
    <s v="semeswararao"/>
    <n v="8341307557"/>
    <x v="0"/>
    <x v="5"/>
    <x v="0"/>
    <x v="1"/>
    <x v="0"/>
    <x v="1"/>
    <s v="ఉద్యొగ్య అవకాశాలు కల్పించటం, విద్య రంగం అభివృద్ధి చేయటం, ఆరోగ్య రంగం అభివృద్ధి చేయటం"/>
    <x v="1"/>
    <x v="0"/>
    <x v="2"/>
    <x v="1"/>
    <x v="1"/>
    <x v="1"/>
    <s v="Deepika"/>
    <s v="Correctly Done"/>
    <n v="0"/>
    <x v="0"/>
    <n v="1.1461625511156397"/>
    <n v="1.0795332136445241"/>
    <n v="0.77721139583220644"/>
    <n v="0.85034013605442171"/>
    <n v="0.75433779645928134"/>
    <n v="0.71995135120329123"/>
    <n v="0.55527787174877274"/>
    <n v="-1"/>
    <n v="1"/>
    <n v="-1"/>
    <n v="-1"/>
    <n v="-1"/>
    <n v="-1"/>
    <n v="-3.5"/>
    <n v="-4"/>
    <n v="-5"/>
    <n v="-4"/>
    <n v="-3"/>
    <s v="TDP Sympathiser"/>
  </r>
  <r>
    <s v="512c6ad5-086a-4065-a9c8-d49f9aa1a714"/>
    <x v="4"/>
    <s v="23/01/2026, 11:46:55"/>
    <s v="16.360150, 81.793307"/>
    <s v="Shop No.2, Sakhinetipalli Mandal, Gondi, Andhra Pradesh, India"/>
    <x v="1"/>
    <s v="Naeem"/>
    <s v="http://164.52.221.216/localmedia/media/surveys/samples/recording_2026-01-23_11-45-03_samples_f0X2g2fhuk.mp4"/>
    <x v="0"/>
    <x v="3"/>
    <x v="12"/>
    <x v="2"/>
    <s v="హిందూ"/>
    <x v="3"/>
    <s v="navanith"/>
    <n v="9121093047"/>
    <x v="0"/>
    <x v="1"/>
    <x v="2"/>
    <x v="0"/>
    <x v="0"/>
    <x v="0"/>
    <s v="రోడ్లు వేయటం, ఆరోగ్య రంగం అభివృద్ధి చేయటం, సంక్షేమ పథకాలు (నగదు)"/>
    <x v="0"/>
    <x v="0"/>
    <x v="0"/>
    <x v="0"/>
    <x v="0"/>
    <x v="0"/>
    <s v="Deepika"/>
    <s v="Correctly Done"/>
    <n v="0"/>
    <x v="0"/>
    <n v="1.3836274505214585"/>
    <n v="1.8055837563451775"/>
    <n v="1.9482662206881376"/>
    <n v="0.85034013605442171"/>
    <n v="1.147984664167413"/>
    <n v="1.0790228998469584"/>
    <n v="1.1572915102003449"/>
    <n v="1"/>
    <n v="1"/>
    <n v="1"/>
    <n v="1"/>
    <n v="1"/>
    <n v="1"/>
    <n v="5.5"/>
    <n v="6"/>
    <n v="5"/>
    <n v="4"/>
    <n v="3"/>
    <s v="YSRCP HardCore"/>
  </r>
  <r>
    <s v="59204d4b-ffd9-468b-8740-ad26c9adc11f"/>
    <x v="4"/>
    <s v="23/01/2026, 11:11:29"/>
    <s v="16.332021, 81.733442"/>
    <s v="SHOP NO.8-39 SIVALAYAM ROAD NEAR SURIBABU CHICKEN CENTER ANTERVEDI DEVASTANAM, Antervedi Pallipalem, Andhra Pradesh, India"/>
    <x v="4"/>
    <s v="Naeem"/>
    <s v="http://164.52.221.216/localmedia/media/surveys/samples/recording_2026-01-23_11-08-17_samples_hv5KCFHQYT.mp4"/>
    <x v="6"/>
    <x v="3"/>
    <x v="9"/>
    <x v="0"/>
    <s v="హిందూ"/>
    <x v="0"/>
    <s v="laxmi"/>
    <n v="8106048813"/>
    <x v="1"/>
    <x v="4"/>
    <x v="0"/>
    <x v="0"/>
    <x v="0"/>
    <x v="1"/>
    <s v="రోడ్లు వేయటం, ఉద్యొగ్య అవకాశాలు కల్పించటం, ఆరోగ్య రంగం అభివృద్ధి చేయటం"/>
    <x v="1"/>
    <x v="0"/>
    <x v="0"/>
    <x v="2"/>
    <x v="1"/>
    <x v="1"/>
    <s v="Ashish"/>
    <s v="Not Asking Some of the Questions"/>
    <s v="Q7,8,9,10 kept on his own"/>
    <x v="1"/>
    <n v="1.2612194085121222"/>
    <n v="0.66153846153846207"/>
    <n v="1.6028209406152043"/>
    <n v="2.1645021645021645"/>
    <n v="1.147984664167413"/>
    <n v="2.4228688637206557"/>
    <n v="2.2107623881946901"/>
    <n v="1"/>
    <n v="1"/>
    <n v="-1"/>
    <n v="-1"/>
    <n v="-1"/>
    <n v="1"/>
    <n v="0.5"/>
    <n v="0"/>
    <n v="-1"/>
    <n v="-2"/>
    <n v="2"/>
    <s v="Neutral YSRCP"/>
  </r>
  <r>
    <s v="ed50ad5d-af17-4ce1-b5f9-1b03701c2377"/>
    <x v="4"/>
    <s v="23/01/2026, 11:49:48"/>
    <s v="16.357920, 81.790623"/>
    <s v="9Q5Q+3WC, Kesavadasupalem, Andhra Pradesh, India"/>
    <x v="1"/>
    <s v="Naeem"/>
    <s v="http://164.52.221.216/localmedia/media/surveys/samples/recording_2026-01-23_11-48-07_samples_ZuATcy86eu.mp4"/>
    <x v="0"/>
    <x v="3"/>
    <x v="12"/>
    <x v="2"/>
    <s v="క్రిస్టియన్"/>
    <x v="3"/>
    <s v="solmonraju"/>
    <n v="8978083186"/>
    <x v="0"/>
    <x v="1"/>
    <x v="2"/>
    <x v="1"/>
    <x v="0"/>
    <x v="0"/>
    <s v="రోడ్లు వేయటం, ఆరోగ్య రంగం అభివృద్ధి చేయటం"/>
    <x v="0"/>
    <x v="1"/>
    <x v="0"/>
    <x v="4"/>
    <x v="1"/>
    <x v="1"/>
    <s v="Ashish"/>
    <s v="Correctly Done"/>
    <s v="For Q6 not saying out the options to the respondent"/>
    <x v="0"/>
    <n v="1.3836274505214585"/>
    <n v="0.66153846153846207"/>
    <n v="0.71381514912952693"/>
    <n v="0.85034013605442171"/>
    <n v="1.147984664167413"/>
    <n v="1.0790228998469584"/>
    <n v="1.1572915102003449"/>
    <n v="-1"/>
    <n v="1"/>
    <n v="1"/>
    <n v="1"/>
    <n v="-1"/>
    <n v="1"/>
    <n v="2.5"/>
    <n v="2"/>
    <n v="1"/>
    <n v="2"/>
    <s v="ND"/>
    <s v="ND"/>
  </r>
  <r>
    <s v="188f125c-607e-498b-b8e9-a674affca57e"/>
    <x v="4"/>
    <s v="23/01/2026, 11:52:36"/>
    <s v="16.358792, 81.792128"/>
    <s v="9Q5V+P25, Kesavadasupalem, Andhra Pradesh, India"/>
    <x v="1"/>
    <s v="Naeem"/>
    <s v="http://164.52.221.216/localmedia/media/surveys/samples/recording_2026-01-23_11-51-05_samples_gngq7oOgU7.mp4"/>
    <x v="0"/>
    <x v="3"/>
    <x v="12"/>
    <x v="1"/>
    <s v="క్రిస్టియన్"/>
    <x v="3"/>
    <s v="seelraj"/>
    <n v="9391171385"/>
    <x v="0"/>
    <x v="1"/>
    <x v="2"/>
    <x v="0"/>
    <x v="0"/>
    <x v="0"/>
    <s v="రోడ్లు వేయటం, విద్య రంగం అభివృద్ధి చేయటం, ఆరోగ్య రంగం అభివృద్ధి చేయటం"/>
    <x v="0"/>
    <x v="0"/>
    <x v="0"/>
    <x v="0"/>
    <x v="0"/>
    <x v="0"/>
    <s v="Ashish"/>
    <s v="Correctly Done"/>
    <n v="0"/>
    <x v="0"/>
    <n v="1.3836274505214585"/>
    <n v="1.8055837563451775"/>
    <n v="1.9482662206881376"/>
    <n v="0.85034013605442171"/>
    <n v="1.147984664167413"/>
    <n v="1.0790228998469584"/>
    <n v="1.1572915102003449"/>
    <n v="1"/>
    <n v="1"/>
    <n v="1"/>
    <n v="1"/>
    <n v="1"/>
    <n v="1"/>
    <n v="5.5"/>
    <n v="6"/>
    <n v="5"/>
    <n v="4"/>
    <n v="3"/>
    <s v="YSRCP HardCore"/>
  </r>
  <r>
    <s v="e5d77c0d-0ca4-4475-8d5d-61a393796efb"/>
    <x v="4"/>
    <s v="23/01/2026, 11:54:27"/>
    <s v="16.520205, 81.905923"/>
    <s v="GWC4+385, Pedapatnam, Andhra Pradesh, India"/>
    <x v="3"/>
    <s v="Naeem"/>
    <s v="http://164.52.221.216/localmedia/media/surveys/samples/recording_2026-01-23_11-52-05_samples_cvtHwTok1i.mp4"/>
    <x v="1"/>
    <x v="2"/>
    <x v="2"/>
    <x v="6"/>
    <s v="హిందూ"/>
    <x v="1"/>
    <s v="sangeetha"/>
    <n v="8096429066"/>
    <x v="1"/>
    <x v="5"/>
    <x v="1"/>
    <x v="1"/>
    <x v="1"/>
    <x v="1"/>
    <s v="ఉద్యొగ్య అవకాశాలు కల్పించటం, విద్య రంగం అభివృద్ధి చేయటం, వ్యవసాయం, రైతు బాగుండడం"/>
    <x v="0"/>
    <x v="0"/>
    <x v="1"/>
    <x v="1"/>
    <x v="1"/>
    <x v="1"/>
    <s v="Ashish"/>
    <s v="Correctly Done"/>
    <n v="0"/>
    <x v="0"/>
    <n v="1.1705128247062893"/>
    <n v="1.0795332136445241"/>
    <n v="2.3577066232182737"/>
    <n v="2.1645021645021645"/>
    <n v="0.75433779645928134"/>
    <n v="2.1840056363422229"/>
    <n v="1.1182714552164577"/>
    <n v="-1"/>
    <n v="-1"/>
    <n v="-1"/>
    <n v="1"/>
    <n v="-1"/>
    <n v="-1"/>
    <n v="-3.5"/>
    <n v="-4"/>
    <n v="-3"/>
    <n v="-2"/>
    <n v="-3"/>
    <s v="Neutral TDP"/>
  </r>
  <r>
    <s v="f7900104-8b3e-4722-81d3-bfc5438a58f0"/>
    <x v="4"/>
    <s v="23/01/2026, 11:54:49"/>
    <s v="16.332827, 81.734152"/>
    <s v="SHOP NO. 9, SAKHINETIPALLI, Andhra Pradesh, India"/>
    <x v="4"/>
    <s v="Naeem"/>
    <s v="http://164.52.221.216/localmedia/media/surveys/samples/recording_2026-01-23_11-52-13_samples_KokalkGN7g.mp4"/>
    <x v="6"/>
    <x v="3"/>
    <x v="9"/>
    <x v="0"/>
    <s v="హిందూ"/>
    <x v="1"/>
    <s v="Manikyarao"/>
    <n v="9542760582"/>
    <x v="0"/>
    <x v="4"/>
    <x v="1"/>
    <x v="1"/>
    <x v="1"/>
    <x v="1"/>
    <s v="ఉద్యొగ్య అవకాశాలు కల్పించటం, విద్య రంగం అభివృద్ధి చేయటం, ఆరోగ్య రంగం అభివృద్ధి చేయటం"/>
    <x v="1"/>
    <x v="0"/>
    <x v="1"/>
    <x v="1"/>
    <x v="1"/>
    <x v="1"/>
    <s v="Ashish"/>
    <s v="Correctly Done"/>
    <n v="0"/>
    <x v="0"/>
    <n v="1.2612194085121222"/>
    <n v="1.0795332136445241"/>
    <n v="0.92029223709519836"/>
    <n v="0.85034013605442171"/>
    <n v="1.147984664167413"/>
    <n v="0.85249089649430487"/>
    <n v="0.41451794778650441"/>
    <n v="-1"/>
    <n v="-1"/>
    <n v="-1"/>
    <n v="-1"/>
    <n v="-1"/>
    <n v="-1"/>
    <n v="-5.5"/>
    <n v="-6"/>
    <n v="-5"/>
    <n v="-4"/>
    <n v="-3"/>
    <s v="TDP HardCore"/>
  </r>
  <r>
    <s v="5326bd31-d762-4d5c-81d5-c2329b8536c9"/>
    <x v="4"/>
    <s v="23/01/2026, 11:54:50"/>
    <s v="16.332827, 81.734152"/>
    <s v="SHOP NO. 9, SAKHINETIPALLI, Andhra Pradesh, India"/>
    <x v="4"/>
    <s v="Naeem"/>
    <s v="http://164.52.221.216/localmedia/media/surveys/samples/recording_2026-01-23_11-52-13_samples_i7lFpjGJVi.mp4"/>
    <x v="6"/>
    <x v="3"/>
    <x v="9"/>
    <x v="0"/>
    <s v="హిందూ"/>
    <x v="1"/>
    <s v="Manikyarao"/>
    <n v="9542760582"/>
    <x v="0"/>
    <x v="4"/>
    <x v="1"/>
    <x v="1"/>
    <x v="1"/>
    <x v="1"/>
    <s v="ఉద్యొగ్య అవకాశాలు కల్పించటం, విద్య రంగం అభివృద్ధి చేయటం, ఆరోగ్య రంగం అభివృద్ధి చేయటం"/>
    <x v="1"/>
    <x v="0"/>
    <x v="1"/>
    <x v="1"/>
    <x v="1"/>
    <x v="1"/>
    <n v="0"/>
    <s v="Correctly Done"/>
    <n v="0"/>
    <x v="0"/>
    <n v="1.2612194085121222"/>
    <n v="1.0795332136445241"/>
    <n v="0.92029223709519836"/>
    <n v="0.85034013605442171"/>
    <n v="1.147984664167413"/>
    <n v="0.85249089649430487"/>
    <n v="0.41451794778650441"/>
    <n v="-1"/>
    <n v="-1"/>
    <n v="-1"/>
    <n v="-1"/>
    <n v="-1"/>
    <n v="-1"/>
    <n v="-5.5"/>
    <n v="-6"/>
    <n v="-5"/>
    <n v="-4"/>
    <n v="-3"/>
    <s v="TDP HardCore"/>
  </r>
  <r>
    <s v="6630ac31-9e11-49e9-9324-6584ea0b069b"/>
    <x v="4"/>
    <s v="23/01/2026, 11:55:07"/>
    <s v="16.332827, 81.734152"/>
    <s v="SHOP NO. 9, SAKHINETIPALLI, Andhra Pradesh, India"/>
    <x v="4"/>
    <s v="Naeem"/>
    <s v="http://164.52.221.216/localmedia/media/surveys/samples/recording_2026-01-23_11-52-13_samples_N4leKzQi2d.mp4"/>
    <x v="6"/>
    <x v="3"/>
    <x v="9"/>
    <x v="0"/>
    <s v="హిందూ"/>
    <x v="1"/>
    <s v="Manikyarao"/>
    <n v="9542760582"/>
    <x v="0"/>
    <x v="4"/>
    <x v="1"/>
    <x v="1"/>
    <x v="1"/>
    <x v="1"/>
    <s v="ఉద్యొగ్య అవకాశాలు కల్పించటం, విద్య రంగం అభివృద్ధి చేయటం, ఆరోగ్య రంగం అభివృద్ధి చేయటం"/>
    <x v="1"/>
    <x v="0"/>
    <x v="1"/>
    <x v="1"/>
    <x v="1"/>
    <x v="1"/>
    <n v="0"/>
    <s v="Correctly Done"/>
    <n v="0"/>
    <x v="0"/>
    <n v="1.2612194085121222"/>
    <n v="1.0795332136445241"/>
    <n v="0.92029223709519836"/>
    <n v="0.85034013605442171"/>
    <n v="1.147984664167413"/>
    <n v="0.85249089649430487"/>
    <n v="0.41451794778650441"/>
    <n v="-1"/>
    <n v="-1"/>
    <n v="-1"/>
    <n v="-1"/>
    <n v="-1"/>
    <n v="-1"/>
    <n v="-5.5"/>
    <n v="-6"/>
    <n v="-5"/>
    <n v="-4"/>
    <n v="-3"/>
    <s v="TDP HardCore"/>
  </r>
  <r>
    <s v="98ed6e75-3956-4b26-b193-f85c617695d5"/>
    <x v="4"/>
    <s v="23/01/2026, 11:58:23"/>
    <s v="16.359297, 81.792446"/>
    <s v="9Q5V+P25, Kesavadasupalem, Andhra Pradesh, India"/>
    <x v="1"/>
    <s v="Naeem"/>
    <s v="http://164.52.221.216/localmedia/media/surveys/samples/recording_2026-01-23_11-57-06_samples_qWE4molSv3.mp4"/>
    <x v="2"/>
    <x v="3"/>
    <x v="12"/>
    <x v="0"/>
    <s v="హిందూ"/>
    <x v="0"/>
    <s v="yesubabau"/>
    <n v="9963219259"/>
    <x v="0"/>
    <x v="4"/>
    <x v="1"/>
    <x v="1"/>
    <x v="1"/>
    <x v="1"/>
    <s v="రోడ్లు వేయటం, విద్య రంగం అభివృద్ధి చేయటం, ఆరోగ్య రంగం అభివృద్ధి చేయటం"/>
    <x v="1"/>
    <x v="0"/>
    <x v="1"/>
    <x v="1"/>
    <x v="1"/>
    <x v="1"/>
    <s v="Bhagya"/>
    <s v="Correctly Done"/>
    <s v="Q6 Saying out only those options he selected to the respondent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2561ddbc-c70a-4372-8735-9fefe5445bfc"/>
    <x v="4"/>
    <s v="23/01/2026, 12:00:16"/>
    <s v="16.359120, 81.793844"/>
    <s v="9Q5V+QHP, Kesavadasupalem, Andhra Pradesh, India"/>
    <x v="1"/>
    <s v="Naeem"/>
    <s v="http://164.52.221.216/localmedia/media/surveys/samples/recording_2026-01-23_11-59-02_samples_vca0nVZAWP.mp4"/>
    <x v="2"/>
    <x v="3"/>
    <x v="12"/>
    <x v="0"/>
    <s v="హిందూ"/>
    <x v="1"/>
    <s v="prabukumar"/>
    <n v="9182076331"/>
    <x v="0"/>
    <x v="1"/>
    <x v="1"/>
    <x v="1"/>
    <x v="1"/>
    <x v="1"/>
    <s v="రోడ్లు వేయటం, విద్య రంగం అభివృద్ధి చేయటం, ఆరోగ్య రంగం అభివృద్ధి చేయటం, వ్యవసాయం, రైతు బాగుండడం"/>
    <x v="1"/>
    <x v="0"/>
    <x v="1"/>
    <x v="1"/>
    <x v="1"/>
    <x v="1"/>
    <s v="Bhagya"/>
    <s v="Correctly Done"/>
    <s v="Q6 Saying out only those options he selected to the respondent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03a08b5c-a5a6-4fe2-97a8-c0c4ebb5a4b1"/>
    <x v="4"/>
    <s v="23/01/2026, 12:00:32"/>
    <s v="16.519405, 81.906542"/>
    <s v="GW94+JHX, Pedapatnam, Andhra Pradesh, India"/>
    <x v="3"/>
    <s v="Naeem"/>
    <s v="http://164.52.221.216/localmedia/media/surveys/samples/recording_2026-01-23_11-57-21_samples_uImCBzLEps.mp4"/>
    <x v="1"/>
    <x v="2"/>
    <x v="2"/>
    <x v="0"/>
    <s v="హిందూ"/>
    <x v="0"/>
    <s v="uesjdasu"/>
    <n v="8184801446"/>
    <x v="0"/>
    <x v="5"/>
    <x v="1"/>
    <x v="1"/>
    <x v="1"/>
    <x v="1"/>
    <s v="రోడ్లు వేయటం, ఉద్యొగ్య అవకాశాలు కల్పించటం, ఆరోగ్య రంగం అభివృద్ధి చేయటం"/>
    <x v="1"/>
    <x v="2"/>
    <x v="1"/>
    <x v="1"/>
    <x v="1"/>
    <x v="1"/>
    <s v="Bhagya"/>
    <s v="Correctly Done"/>
    <n v="0"/>
    <x v="0"/>
    <n v="1.1705128247062893"/>
    <n v="1.0795332136445241"/>
    <n v="0.86308903171383233"/>
    <n v="0.85034013605442171"/>
    <n v="0.75433779645928134"/>
    <n v="0.79950206330384943"/>
    <n v="0.40257772387792479"/>
    <n v="-1"/>
    <n v="-1"/>
    <n v="-1"/>
    <n v="-1"/>
    <n v="-1"/>
    <n v="-1"/>
    <n v="-5.5"/>
    <n v="-6"/>
    <n v="-5"/>
    <n v="-4"/>
    <n v="-3"/>
    <s v="TDP HardCore"/>
  </r>
  <r>
    <s v="0afef30e-236e-4d92-99a9-163f1bf3e59c"/>
    <x v="4"/>
    <s v="23/01/2026, 11:38:04"/>
    <s v="16.355246, 81.791859"/>
    <s v="9Q4R+6R9, Kesavadasupalem, Andhra Pradesh, India"/>
    <x v="1"/>
    <s v="Naeem"/>
    <s v="http://164.52.221.216/localmedia/media/surveys/samples/recording_2026-01-23_11-35-44_samples_0wfFTj1iou.mp4"/>
    <x v="2"/>
    <x v="3"/>
    <x v="12"/>
    <x v="1"/>
    <s v="హిందూ"/>
    <x v="2"/>
    <s v="mutyam"/>
    <n v="9999999999"/>
    <x v="0"/>
    <x v="1"/>
    <x v="1"/>
    <x v="1"/>
    <x v="1"/>
    <x v="1"/>
    <s v="రోడ్లు వేయటం, విద్య రంగం అభివృద్ధి చేయటం, సంక్షేమ పథకాలు (నగదు)"/>
    <x v="1"/>
    <x v="0"/>
    <x v="1"/>
    <x v="1"/>
    <x v="1"/>
    <x v="1"/>
    <s v="Deepika"/>
    <s v="Not Doing It Properly"/>
    <s v="Q1,9 kept his own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9cef0664-10a8-48ad-ba68-8bc63823cd3c"/>
    <x v="4"/>
    <s v="23/01/2026, 12:04:11"/>
    <s v="16.358506, 81.793817"/>
    <s v="9Q5V+QHP, Kesavadasupalem, Andhra Pradesh, India"/>
    <x v="1"/>
    <s v="Naeem"/>
    <s v="http://164.52.221.216/localmedia/media/surveys/samples/recording_2026-01-23_12-02-26_samples_rA7SvQLUYX.mp4"/>
    <x v="2"/>
    <x v="3"/>
    <x v="12"/>
    <x v="0"/>
    <s v="హిందూ"/>
    <x v="0"/>
    <s v="raju"/>
    <n v="9999999999"/>
    <x v="0"/>
    <x v="1"/>
    <x v="1"/>
    <x v="1"/>
    <x v="1"/>
    <x v="1"/>
    <s v="రోడ్లు వేయటం, ఉద్యొగ్య అవకాశాలు కల్పించటం, ఆరోగ్య రంగం అభివృద్ధి చేయటం"/>
    <x v="1"/>
    <x v="0"/>
    <x v="1"/>
    <x v="1"/>
    <x v="1"/>
    <x v="1"/>
    <s v="Bhagya"/>
    <s v="Correctly Done"/>
    <n v="0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3b06f96e-0efb-434d-abb2-b33ba00827d0"/>
    <x v="4"/>
    <s v="23/01/2026, 12:06:19"/>
    <s v="16.358316, 81.794728"/>
    <s v="9Q4V+WXF, Kesavadasupalem, Andhra Pradesh, India"/>
    <x v="1"/>
    <s v="Naeem"/>
    <s v="http://164.52.221.216/localmedia/media/surveys/samples/recording_2026-01-23_12-05-16_samples_8cIokMPYr9.mp4"/>
    <x v="2"/>
    <x v="3"/>
    <x v="12"/>
    <x v="0"/>
    <s v="హిందూ"/>
    <x v="1"/>
    <s v="saikumar"/>
    <n v="9999999999"/>
    <x v="0"/>
    <x v="1"/>
    <x v="1"/>
    <x v="1"/>
    <x v="1"/>
    <x v="1"/>
    <s v="రోడ్లు వేయటం, విద్య రంగం అభివృద్ధి చేయటం, ఆరోగ్య రంగం అభివృద్ధి చేయటం"/>
    <x v="1"/>
    <x v="0"/>
    <x v="1"/>
    <x v="1"/>
    <x v="1"/>
    <x v="1"/>
    <s v="Bhagya"/>
    <s v="Correctly Done"/>
    <s v="No Issues-Q1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303a7802-cf4c-46ac-83be-bf76bdf92dda"/>
    <x v="4"/>
    <s v="23/01/2026, 12:36:58"/>
    <s v="16.520188, 81.906244"/>
    <s v="GWC4+5GW, Pedapatnam, Andhra Pradesh, India"/>
    <x v="3"/>
    <s v="Naeem"/>
    <s v="http://164.52.221.216/localmedia/media/surveys/samples/recording_2026-01-23_12-33-29_samples_CzpKzUfI1v.mp4"/>
    <x v="1"/>
    <x v="0"/>
    <x v="0"/>
    <x v="6"/>
    <s v="హిందూ"/>
    <x v="0"/>
    <s v="satya yakambre swari"/>
    <n v="9652493881"/>
    <x v="1"/>
    <x v="4"/>
    <x v="1"/>
    <x v="1"/>
    <x v="0"/>
    <x v="0"/>
    <s v="రోడ్లు వేయటం, ఉద్యొగ్య అవకాశాలు కల్పించటం, శాంతి భద్రతలను కాపాడటం"/>
    <x v="1"/>
    <x v="0"/>
    <x v="2"/>
    <x v="1"/>
    <x v="1"/>
    <x v="1"/>
    <s v="Ashish"/>
    <s v="Correctly Done"/>
    <s v="Didn't ask caste and Q9 kept on his own"/>
    <x v="0"/>
    <n v="1.1705128247062893"/>
    <n v="1.0795332136445241"/>
    <n v="2.3577066232182737"/>
    <n v="2.1645021645021645"/>
    <n v="1.9264642089343564"/>
    <n v="2.1840056363422229"/>
    <n v="6.9432761915375547"/>
    <n v="-1"/>
    <n v="1"/>
    <n v="1"/>
    <n v="-1"/>
    <n v="-1"/>
    <n v="-1"/>
    <n v="-1.5"/>
    <n v="-2"/>
    <n v="-3"/>
    <n v="-2"/>
    <n v="-3"/>
    <s v="Neutral TDP"/>
  </r>
  <r>
    <s v="a8373b7d-a61f-4fd6-a3a8-33f9cb0182f4"/>
    <x v="4"/>
    <s v="23/01/2026, 13:25:41"/>
    <s v="16.514946, 81.907340"/>
    <s v="GW85+9JH, Pedapatnam, Andhra Pradesh, India"/>
    <x v="3"/>
    <s v="Naeem"/>
    <s v="http://164.52.221.216/localmedia/media/surveys/samples/recording_2026-01-23_13-21-17_samples_YR72SqCjOW.mp4"/>
    <x v="8"/>
    <x v="2"/>
    <x v="2"/>
    <x v="6"/>
    <s v="హిందూ"/>
    <x v="1"/>
    <s v="syam lakshmi"/>
    <n v="8919816158"/>
    <x v="1"/>
    <x v="3"/>
    <x v="1"/>
    <x v="1"/>
    <x v="0"/>
    <x v="1"/>
    <s v="రోడ్లు వేయటం, ఉద్యొగ్య అవకాశాలు కల్పించటం, ఆరోగ్య రంగం అభివృద్ధి చేయటం"/>
    <x v="1"/>
    <x v="0"/>
    <x v="2"/>
    <x v="1"/>
    <x v="1"/>
    <x v="1"/>
    <s v="Bhagya"/>
    <s v="Not Doing It Properly"/>
    <n v="0"/>
    <x v="0"/>
    <n v="0.80207032429970992"/>
    <n v="1.0795332136445241"/>
    <n v="1.2733258158237817"/>
    <n v="2.1645021645021645"/>
    <n v="0.75433779645928134"/>
    <n v="1.1795151827936912"/>
    <n v="0.37562400914419181"/>
    <n v="-1"/>
    <n v="1"/>
    <n v="-1"/>
    <n v="-1"/>
    <n v="-1"/>
    <n v="-1"/>
    <n v="-3.5"/>
    <n v="-4"/>
    <n v="-5"/>
    <n v="-4"/>
    <n v="-3"/>
    <s v="TDP Sympathiser"/>
  </r>
  <r>
    <s v="687d6647-de69-4e2b-b7c3-33da3a801b26"/>
    <x v="4"/>
    <s v="23/01/2026, 13:50:32"/>
    <s v="16.515759, 81.907654"/>
    <s v="GW85+9JH, Pedapatnam, Andhra Pradesh, India"/>
    <x v="3"/>
    <s v="Naeem"/>
    <s v="http://164.52.221.216/localmedia/media/surveys/samples/recording_2026-01-23_13-47-23_samples_pFtf8fidNd.mp4"/>
    <x v="5"/>
    <x v="2"/>
    <x v="2"/>
    <x v="0"/>
    <s v="హిందూ"/>
    <x v="0"/>
    <s v="p. durga"/>
    <n v="8500801765"/>
    <x v="1"/>
    <x v="3"/>
    <x v="0"/>
    <x v="1"/>
    <x v="1"/>
    <x v="0"/>
    <s v="రోడ్లు వేయటం, శాంతి భద్రతలను కాపాడటం, ఆరోగ్య రంగం అభివృద్ధి చేయటం"/>
    <x v="0"/>
    <x v="2"/>
    <x v="2"/>
    <x v="2"/>
    <x v="1"/>
    <x v="1"/>
    <s v="Bhagya"/>
    <s v="Not Doing It Properly"/>
    <n v="0"/>
    <x v="0"/>
    <n v="1.0478809952686368"/>
    <n v="0.66153846153846207"/>
    <n v="1.0975881706852268"/>
    <n v="2.1645021645021645"/>
    <n v="0.75433779645928134"/>
    <n v="1.6591449091753416"/>
    <n v="0.55944540451290081"/>
    <n v="-1"/>
    <n v="-1"/>
    <n v="1"/>
    <n v="1"/>
    <n v="-1"/>
    <n v="-1"/>
    <n v="-1.5"/>
    <n v="-2"/>
    <n v="-1"/>
    <n v="0"/>
    <n v="-3"/>
    <s v="Neutral TDP"/>
  </r>
  <r>
    <s v="3982290a-bed4-4006-ab48-cb3f65a6ac6a"/>
    <x v="4"/>
    <s v="23/01/2026, 12:08:52"/>
    <s v="16.357684, 81.795169"/>
    <s v="9Q4V+WXF, Kesavadasupalem, Andhra Pradesh, India"/>
    <x v="1"/>
    <s v="Naeem"/>
    <s v="http://164.52.221.216/localmedia/media/surveys/samples/recording_2026-01-23_12-07-12_samples_e04VwTA2x9.mp4"/>
    <x v="0"/>
    <x v="3"/>
    <x v="12"/>
    <x v="3"/>
    <s v="క్రిస్టియన్"/>
    <x v="1"/>
    <s v="ramesh"/>
    <n v="8639755513"/>
    <x v="0"/>
    <x v="1"/>
    <x v="1"/>
    <x v="1"/>
    <x v="1"/>
    <x v="0"/>
    <s v="రోడ్లు వేయటం, విద్య రంగం అభివృద్ధి చేయటం, ఆరోగ్య రంగం అభివృద్ధి చేయటం"/>
    <x v="0"/>
    <x v="0"/>
    <x v="0"/>
    <x v="0"/>
    <x v="0"/>
    <x v="0"/>
    <s v="Bhagya"/>
    <s v="Correctly Done"/>
    <n v="0"/>
    <x v="0"/>
    <n v="1.3836274505214585"/>
    <n v="1.8055837563451775"/>
    <n v="1.9482662206881376"/>
    <n v="0.85034013605442171"/>
    <n v="1.147984664167413"/>
    <n v="1.0790228998469584"/>
    <n v="1.1572915102003449"/>
    <n v="-1"/>
    <n v="-1"/>
    <n v="1"/>
    <n v="1"/>
    <n v="1"/>
    <n v="1"/>
    <n v="1.5"/>
    <n v="2"/>
    <n v="3"/>
    <n v="4"/>
    <n v="2"/>
    <s v="YSRCP Sympathiser"/>
  </r>
  <r>
    <s v="091d4ab0-715a-49a6-b8b3-1fe6041ef669"/>
    <x v="4"/>
    <s v="23/01/2026, 12:11:44"/>
    <s v="16.518708, 81.907259"/>
    <s v="GW94+HR9, Pedapatnam, Andhra Pradesh, India"/>
    <x v="3"/>
    <s v="Naeem"/>
    <s v="http://164.52.221.216/localmedia/media/surveys/samples/recording_2026-01-23_12-08-18_samples_X8H5zQTpwh.mp4"/>
    <x v="1"/>
    <x v="2"/>
    <x v="2"/>
    <x v="0"/>
    <s v="హిందూ"/>
    <x v="0"/>
    <s v="prasad"/>
    <n v="9000164249"/>
    <x v="0"/>
    <x v="2"/>
    <x v="0"/>
    <x v="1"/>
    <x v="0"/>
    <x v="1"/>
    <s v="రోడ్లు వేయటం, విద్య రంగం అభివృద్ధి చేయటం, ఆరోగ్య రంగం అభివృద్ధి చేయటం"/>
    <x v="1"/>
    <x v="0"/>
    <x v="0"/>
    <x v="0"/>
    <x v="3"/>
    <x v="2"/>
    <s v="Bhagya"/>
    <s v="Correctly Done"/>
    <n v="0"/>
    <x v="0"/>
    <n v="1.1705128247062893"/>
    <n v="1.8055837563451775"/>
    <n v="1.4435679386658844"/>
    <n v="0.85034013605442171"/>
    <n v="0.75433779645928134"/>
    <n v="0.79950206330384943"/>
    <n v="0.40257772387792479"/>
    <n v="-1"/>
    <n v="1"/>
    <n v="-1"/>
    <n v="-1"/>
    <n v="1"/>
    <n v="1"/>
    <n v="-0.5"/>
    <n v="0"/>
    <n v="-1"/>
    <n v="0"/>
    <n v="2"/>
    <s v="Neutral YSRCP"/>
  </r>
  <r>
    <s v="5b905f7f-5a17-4679-b5bc-ef6aed632e84"/>
    <x v="4"/>
    <s v="23/01/2026, 12:18:13"/>
    <s v="16.358167, 81.796449"/>
    <s v="9Q5W+FH8, Kesavadasupalem, Andhra Pradesh, India"/>
    <x v="1"/>
    <s v="Naeem"/>
    <s v="http://164.52.221.216/localmedia/media/surveys/samples/recording_2026-01-23_12-16-32_samples_jEj2xknqdz.mp4"/>
    <x v="1"/>
    <x v="3"/>
    <x v="12"/>
    <x v="1"/>
    <s v="హిందూ"/>
    <x v="1"/>
    <s v="ravi"/>
    <n v="9999999999"/>
    <x v="0"/>
    <x v="1"/>
    <x v="2"/>
    <x v="0"/>
    <x v="0"/>
    <x v="0"/>
    <s v="రోడ్లు వేయటం, ఆరోగ్య రంగం అభివృద్ధి చేయటం, వ్యవసాయం, రైతు బాగుండడం"/>
    <x v="0"/>
    <x v="1"/>
    <x v="0"/>
    <x v="1"/>
    <x v="1"/>
    <x v="1"/>
    <s v="Bhagya"/>
    <s v="Correctly Done"/>
    <s v="Q6 Saying out only those options he selected to the respondent"/>
    <x v="0"/>
    <n v="1.1705128247062893"/>
    <n v="1.0795332136445241"/>
    <n v="0.86308903171383233"/>
    <n v="0.85034013605442171"/>
    <n v="1.147984664167413"/>
    <n v="0.79950206330384943"/>
    <n v="0.92148737207359532"/>
    <n v="1"/>
    <n v="1"/>
    <n v="1"/>
    <n v="1"/>
    <n v="-1"/>
    <n v="1"/>
    <n v="4.5"/>
    <n v="4"/>
    <n v="3"/>
    <n v="2"/>
    <n v="2"/>
    <s v="Neutral YSRCP"/>
  </r>
  <r>
    <s v="3cbdda62-c445-4094-a588-0ab0eb19ecdc"/>
    <x v="4"/>
    <s v="23/01/2026, 12:22:51"/>
    <s v="16.359145, 81.798287"/>
    <s v="9Q5X+VM5, Kesavadasupalem, Andhra Pradesh, India"/>
    <x v="1"/>
    <s v="Naeem"/>
    <s v="http://164.52.221.216/localmedia/media/surveys/samples/recording_2026-01-23_12-20-39_samples_yOQfIwwSTk.mp4"/>
    <x v="2"/>
    <x v="3"/>
    <x v="12"/>
    <x v="1"/>
    <s v="హిందూ"/>
    <x v="1"/>
    <s v="vektesh"/>
    <n v="99999999"/>
    <x v="0"/>
    <x v="1"/>
    <x v="2"/>
    <x v="0"/>
    <x v="1"/>
    <x v="0"/>
    <s v="రోడ్లు వేయటం, విద్య రంగం అభివృద్ధి చేయటం, వ్యవసాయం, రైతు బాగుండడం"/>
    <x v="0"/>
    <x v="0"/>
    <x v="0"/>
    <x v="0"/>
    <x v="0"/>
    <x v="0"/>
    <s v="Bhagya"/>
    <s v="Correctly Done"/>
    <n v="0"/>
    <x v="0"/>
    <n v="1.1461625511156397"/>
    <n v="1.8055837563451775"/>
    <n v="1.2999324650914248"/>
    <n v="0.85034013605442171"/>
    <n v="1.147984664167413"/>
    <n v="0.71995135120329123"/>
    <n v="0.54319084681293095"/>
    <n v="1"/>
    <n v="-1"/>
    <n v="1"/>
    <n v="1"/>
    <n v="1"/>
    <n v="1"/>
    <n v="3.5"/>
    <n v="4"/>
    <n v="5"/>
    <n v="4"/>
    <n v="3"/>
    <s v="YSRCP Sympathiser"/>
  </r>
  <r>
    <s v="92eb2710-9167-4cc4-8456-c6945ca34630"/>
    <x v="4"/>
    <s v="23/01/2026, 12:26:02"/>
    <s v="16.519447, 81.906855"/>
    <s v="GW94+JMP, Pedapatnam, Andhra Pradesh, India"/>
    <x v="3"/>
    <s v="Naeem"/>
    <s v="http://164.52.221.216/localmedia/media/surveys/samples/recording_2026-01-23_12-23-35_samples_sPPXYCp9Jd.mp4"/>
    <x v="1"/>
    <x v="2"/>
    <x v="2"/>
    <x v="0"/>
    <s v="హిందూ"/>
    <x v="1"/>
    <s v="chandra shekae"/>
    <n v="9010787039"/>
    <x v="0"/>
    <x v="2"/>
    <x v="1"/>
    <x v="1"/>
    <x v="1"/>
    <x v="1"/>
    <s v="రోడ్లు వేయటం, ఆరోగ్య రంగం అభివృద్ధి చేయటం, వ్యవసాయం, రైతు బాగుండడం"/>
    <x v="1"/>
    <x v="0"/>
    <x v="1"/>
    <x v="1"/>
    <x v="1"/>
    <x v="1"/>
    <s v="Ashish"/>
    <s v="Correctly Done"/>
    <n v="0"/>
    <x v="0"/>
    <n v="1.1705128247062893"/>
    <n v="1.0795332136445241"/>
    <n v="0.86308903171383233"/>
    <n v="0.85034013605442171"/>
    <n v="0.75433779645928134"/>
    <n v="0.79950206330384943"/>
    <n v="0.40257772387792479"/>
    <n v="-1"/>
    <n v="-1"/>
    <n v="-1"/>
    <n v="-1"/>
    <n v="-1"/>
    <n v="-1"/>
    <n v="-5.5"/>
    <n v="-6"/>
    <n v="-5"/>
    <n v="-4"/>
    <n v="-3"/>
    <s v="TDP HardCore"/>
  </r>
  <r>
    <s v="e8e6bc72-a296-41e7-a783-c68b3c75acba"/>
    <x v="4"/>
    <s v="23/01/2026, 11:18:19"/>
    <s v="16.359171, 81.793614"/>
    <s v="9Q5V+QHP, Kesavadasupalem, Andhra Pradesh, India"/>
    <x v="1"/>
    <s v="Naeem"/>
    <s v="http://164.52.221.216/localmedia/media/surveys/samples/recording_2026-01-23_11-16-45_samples_N70p9xcfXW.mp4"/>
    <x v="2"/>
    <x v="3"/>
    <x v="12"/>
    <x v="0"/>
    <s v="హిందూ"/>
    <x v="3"/>
    <s v="manoj"/>
    <n v="9502063849"/>
    <x v="0"/>
    <x v="1"/>
    <x v="2"/>
    <x v="1"/>
    <x v="1"/>
    <x v="0"/>
    <s v="రోడ్లు వేయటం, విద్య రంగం అభివృద్ధి చేయటం, ఆరోగ్య రంగం అభివృద్ధి చేయటం"/>
    <x v="1"/>
    <x v="0"/>
    <x v="1"/>
    <x v="1"/>
    <x v="1"/>
    <x v="1"/>
    <s v="Ashish"/>
    <s v="Correctly Done"/>
    <s v="Didn't ask caste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1"/>
    <n v="-1"/>
    <n v="-1"/>
    <n v="-1"/>
    <n v="-3.5"/>
    <n v="-4"/>
    <n v="-3"/>
    <n v="-2"/>
    <n v="-3"/>
    <s v="Neutral TDP"/>
  </r>
  <r>
    <s v="0c353eea-c554-408f-a1e5-6a42c36a2962"/>
    <x v="4"/>
    <s v="23/01/2026, 12:28:08"/>
    <s v="16.333447, 81.733299"/>
    <s v="8PMM+G78, Antervedi Pallipalem, Andhra Pradesh, India"/>
    <x v="4"/>
    <s v="Naeem"/>
    <s v="http://164.52.221.216/localmedia/media/surveys/samples/recording_2026-01-23_12-23-37_samples_ZIHOPNGbxD.mp4"/>
    <x v="4"/>
    <x v="3"/>
    <x v="9"/>
    <x v="0"/>
    <s v="హిందూ"/>
    <x v="0"/>
    <s v="kinda trinathrao"/>
    <n v="9705644546"/>
    <x v="0"/>
    <x v="3"/>
    <x v="2"/>
    <x v="1"/>
    <x v="0"/>
    <x v="0"/>
    <s v="రోడ్లు వేయటం, విద్య రంగం అభివృద్ధి చేయటం, వ్యవసాయం, రైతు బాగుండడం"/>
    <x v="1"/>
    <x v="0"/>
    <x v="0"/>
    <x v="1"/>
    <x v="1"/>
    <x v="1"/>
    <s v="Ashish"/>
    <s v="Correctly Done"/>
    <n v="0"/>
    <x v="0"/>
    <n v="2.1852575402829908"/>
    <n v="1.0795332136445241"/>
    <n v="1.7037641797963405"/>
    <n v="0.85034013605442171"/>
    <n v="1.147984664167413"/>
    <n v="1.5782415568710491"/>
    <n v="4.092849657122005"/>
    <n v="-1"/>
    <n v="1"/>
    <n v="1"/>
    <n v="-1"/>
    <n v="-1"/>
    <n v="1"/>
    <n v="0.5"/>
    <n v="0"/>
    <n v="-1"/>
    <n v="0"/>
    <s v="ND"/>
    <s v="ND"/>
  </r>
  <r>
    <s v="1cc281dd-4918-4b1b-892c-ea6cc6f09be2"/>
    <x v="4"/>
    <s v="23/01/2026, 12:41:36"/>
    <s v="16.519647, 81.907845"/>
    <s v="Pedapattanam Road, Pedapatnam, Andhra Pradesh, India"/>
    <x v="3"/>
    <s v="Naeem"/>
    <s v="http://164.52.221.216/localmedia/media/surveys/samples/recording_2026-01-23_12-38-15_samples_jngVoLB5V5.mp4"/>
    <x v="1"/>
    <x v="2"/>
    <x v="2"/>
    <x v="0"/>
    <s v="హిందూ"/>
    <x v="2"/>
    <s v="satya narayana"/>
    <n v="9912802619"/>
    <x v="0"/>
    <x v="5"/>
    <x v="2"/>
    <x v="1"/>
    <x v="0"/>
    <x v="1"/>
    <s v="రోడ్లు వేయటం, ఉద్యొగ్య అవకాశాలు కల్పించటం, శాంతి భద్రతలను కాపాడటం"/>
    <x v="1"/>
    <x v="0"/>
    <x v="1"/>
    <x v="1"/>
    <x v="1"/>
    <x v="1"/>
    <s v="Ashish"/>
    <s v="Correctly Done"/>
    <n v="0"/>
    <x v="0"/>
    <n v="1.1705128247062893"/>
    <n v="1.0795332136445241"/>
    <n v="0.86308903171383233"/>
    <n v="0.85034013605442171"/>
    <n v="0.75433779645928134"/>
    <n v="0.79950206330384943"/>
    <n v="0.40257772387792479"/>
    <n v="-1"/>
    <n v="1"/>
    <n v="-1"/>
    <n v="-1"/>
    <n v="-1"/>
    <n v="-1"/>
    <n v="-3.5"/>
    <n v="-4"/>
    <n v="-5"/>
    <n v="-4"/>
    <n v="-3"/>
    <s v="TDP Sympathiser"/>
  </r>
  <r>
    <s v="87c75dfd-1c68-40d6-9110-95913a809093"/>
    <x v="4"/>
    <s v="23/01/2026, 12:48:12"/>
    <s v="16.519616, 81.906891"/>
    <s v="9-9, Pedapatnam, Andhra Pradesh, India"/>
    <x v="3"/>
    <s v="Naeem"/>
    <s v="http://164.52.221.216/localmedia/media/surveys/samples/recording_2026-01-23_12-44-51_samples_pzAd1TUg9f.mp4"/>
    <x v="2"/>
    <x v="2"/>
    <x v="2"/>
    <x v="6"/>
    <s v="హిందూ"/>
    <x v="1"/>
    <s v="suryakumari"/>
    <n v="8500801877"/>
    <x v="1"/>
    <x v="4"/>
    <x v="1"/>
    <x v="1"/>
    <x v="1"/>
    <x v="1"/>
    <s v="రోడ్లు వేయటం, ఉద్యొగ్య అవకాశాలు కల్పించటం, ఆరోగ్య రంగం అభివృద్ధి చేయటం"/>
    <x v="1"/>
    <x v="0"/>
    <x v="1"/>
    <x v="1"/>
    <x v="1"/>
    <x v="1"/>
    <s v="Ashish"/>
    <s v="Correctly Done"/>
    <n v="0"/>
    <x v="0"/>
    <n v="1.1461625511156397"/>
    <n v="1.0795332136445241"/>
    <n v="3.0326483876590018"/>
    <n v="2.1645021645021645"/>
    <n v="0.75433779645928134"/>
    <n v="2.8092219390089208"/>
    <n v="5.3676860935714705"/>
    <n v="-1"/>
    <n v="-1"/>
    <n v="-1"/>
    <n v="-1"/>
    <n v="-1"/>
    <n v="-1"/>
    <n v="-5.5"/>
    <n v="-6"/>
    <n v="-5"/>
    <n v="-4"/>
    <n v="-3"/>
    <s v="TDP HardCore"/>
  </r>
  <r>
    <s v="d9e7b7cb-4290-40cd-975b-d983a7daacd1"/>
    <x v="4"/>
    <s v="23/01/2026, 13:17:47"/>
    <s v="16.515693, 81.907369"/>
    <s v="GW85+V78, Pedapatnam, Andhra Pradesh, India"/>
    <x v="3"/>
    <s v="Naeem"/>
    <s v="http://164.52.221.216/localmedia/media/surveys/samples/recording_2026-01-23_13-14-22_samples_rsbRu3j7rs.mp4"/>
    <x v="8"/>
    <x v="0"/>
    <x v="0"/>
    <x v="0"/>
    <s v="హిందూ"/>
    <x v="1"/>
    <s v="dirga"/>
    <n v="9948617721"/>
    <x v="1"/>
    <x v="5"/>
    <x v="1"/>
    <x v="1"/>
    <x v="1"/>
    <x v="0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0"/>
    <x v="1"/>
    <x v="1"/>
    <x v="1"/>
    <x v="1"/>
    <s v="Bhagya"/>
    <s v="Correctly Done"/>
    <s v="Q9- Said dont know"/>
    <x v="0"/>
    <n v="0.80207032429970992"/>
    <n v="1.0795332136445241"/>
    <n v="1.2733258158237817"/>
    <n v="2.1645021645021645"/>
    <n v="1.9264642089343564"/>
    <n v="1.1795151827936912"/>
    <n v="2.0730893618557826"/>
    <n v="-1"/>
    <n v="-1"/>
    <n v="1"/>
    <n v="-1"/>
    <n v="-1"/>
    <n v="-1"/>
    <n v="-3.5"/>
    <n v="-4"/>
    <n v="-3"/>
    <n v="-2"/>
    <n v="-3"/>
    <s v="Neutral TDP"/>
  </r>
  <r>
    <s v="e0a124da-e0cb-4c65-bfe8-239e4ad9b28a"/>
    <x v="4"/>
    <s v="23/01/2026, 13:41:22"/>
    <s v="16.514572, 81.907602"/>
    <s v="GW75+VQH, Pedapatnam, Andhra Pradesh, India"/>
    <x v="3"/>
    <s v="Naeem"/>
    <s v="http://164.52.221.216/localmedia/media/surveys/samples/recording_2026-01-23_13-37-28_samples_fCHoHUN54T.mp4"/>
    <x v="8"/>
    <x v="2"/>
    <x v="2"/>
    <x v="0"/>
    <s v="హిందూ"/>
    <x v="2"/>
    <s v="gangarao"/>
    <n v="999999999"/>
    <x v="0"/>
    <x v="3"/>
    <x v="2"/>
    <x v="1"/>
    <x v="0"/>
    <x v="0"/>
    <s v="ఉద్యొగ్య అవకాశాలు కల్పించటం, శాంతి భద్రతలను కాపాడటం, ఆరోగ్య రంగం అభివృద్ధి చేయటం"/>
    <x v="0"/>
    <x v="0"/>
    <x v="0"/>
    <x v="1"/>
    <x v="1"/>
    <x v="1"/>
    <s v="Bhagya"/>
    <s v="Not Doing It Properly"/>
    <s v="Q6 Kept on his own"/>
    <x v="0"/>
    <n v="0.80207032429970992"/>
    <n v="1.0795332136445241"/>
    <n v="0.65595572330316032"/>
    <n v="0.85034013605442171"/>
    <n v="0.75433779645928134"/>
    <n v="0.60762903356038633"/>
    <n v="0.22537440548651508"/>
    <n v="-1"/>
    <n v="1"/>
    <n v="1"/>
    <n v="1"/>
    <n v="-1"/>
    <n v="1"/>
    <n v="2.5"/>
    <n v="2"/>
    <n v="1"/>
    <n v="2"/>
    <s v="ND"/>
    <s v="ND"/>
  </r>
  <r>
    <s v="e510b39f-7b90-4659-a6df-7a0b685973e8"/>
    <x v="4"/>
    <s v="23/01/2026, 13:50:36"/>
    <s v="16.359691, 81.799424"/>
    <s v="9Q5X+VM5, Kesavadasupalem, Andhra Pradesh, India"/>
    <x v="1"/>
    <s v="Naeem"/>
    <s v="http://164.52.221.216/localmedia/media/surveys/samples/recording_2026-01-23_13-49-07_samples_1FB1n4zWRe.mp4"/>
    <x v="6"/>
    <x v="3"/>
    <x v="12"/>
    <x v="2"/>
    <s v="హిందూ"/>
    <x v="0"/>
    <s v="satyanarayana"/>
    <n v="9999999999"/>
    <x v="0"/>
    <x v="1"/>
    <x v="1"/>
    <x v="1"/>
    <x v="1"/>
    <x v="1"/>
    <s v="రోడ్లు వేయటం, వ్యవసాయం, రైతు బాగుండడం, సంక్షేమ పథకాలు (నగదు)"/>
    <x v="1"/>
    <x v="0"/>
    <x v="1"/>
    <x v="1"/>
    <x v="1"/>
    <x v="1"/>
    <s v="Bhagya"/>
    <s v="Not Asking Some of the Questions"/>
    <s v="Kept Q4,Q5 ,Q10 on his own"/>
    <x v="1"/>
    <n v="1.2612194085121222"/>
    <n v="1.0795332136445241"/>
    <n v="0.92029223709519836"/>
    <n v="0.85034013605442171"/>
    <n v="1.147984664167413"/>
    <n v="0.85249089649430487"/>
    <n v="0.41451794778650441"/>
    <n v="-1"/>
    <n v="-1"/>
    <n v="-1"/>
    <n v="-1"/>
    <n v="-1"/>
    <n v="-1"/>
    <n v="-5.5"/>
    <n v="-6"/>
    <n v="-5"/>
    <n v="-4"/>
    <n v="-3"/>
    <s v="TDP HardCore"/>
  </r>
  <r>
    <s v="54dd07a1-4f1d-458b-8fd8-86306f00cd45"/>
    <x v="4"/>
    <s v="23/01/2026, 13:51:41"/>
    <s v="16.333227, 81.732828"/>
    <s v="8PMM+F2H, Antervedi Pallipalem, Andhra Pradesh, India"/>
    <x v="4"/>
    <s v="Naeem"/>
    <s v="http://164.52.221.216/localmedia/media/surveys/samples/recording_2026-01-23_13-47-57_samples_XPRU0I4nZI.mp4"/>
    <x v="2"/>
    <x v="3"/>
    <x v="9"/>
    <x v="0"/>
    <s v="హిందూ"/>
    <x v="1"/>
    <s v="ramanamma"/>
    <n v="9849675266"/>
    <x v="1"/>
    <x v="3"/>
    <x v="1"/>
    <x v="1"/>
    <x v="1"/>
    <x v="0"/>
    <s v="ఉద్యొగ్య అవకాశాలు కల్పించటం, విద్య రంగం అభివృద్ధి చేయటం, ఆరోగ్య రంగం అభివృద్ధి చేయటం"/>
    <x v="1"/>
    <x v="0"/>
    <x v="1"/>
    <x v="1"/>
    <x v="1"/>
    <x v="1"/>
    <s v="Bhagya"/>
    <s v="Fake Audio/Empty Audio"/>
    <n v="0"/>
    <x v="1"/>
    <n v="1.1461625511156397"/>
    <n v="1.0795332136445241"/>
    <n v="3.0326483876590018"/>
    <n v="2.1645021645021645"/>
    <n v="1.147984664167413"/>
    <n v="2.8092219390089208"/>
    <n v="2.2934724643212636"/>
    <n v="-1"/>
    <n v="-1"/>
    <n v="1"/>
    <n v="-1"/>
    <n v="-1"/>
    <n v="-1"/>
    <n v="-3.5"/>
    <n v="-4"/>
    <n v="-3"/>
    <n v="-2"/>
    <n v="-3"/>
    <s v="Neutral TDP"/>
  </r>
  <r>
    <s v="d72e8415-f339-4ed4-bfb4-edf497f4eaec"/>
    <x v="4"/>
    <s v="23/01/2026, 13:55:18"/>
    <s v="16.359394, 81.798737"/>
    <s v="9Q5X+VM5, Kesavadasupalem, Andhra Pradesh, India"/>
    <x v="1"/>
    <s v="Naeem"/>
    <s v="http://164.52.221.216/localmedia/media/surveys/samples/recording_2026-01-23_13-52-30_samples_3vtXYM1dJ5.mp4"/>
    <x v="6"/>
    <x v="3"/>
    <x v="12"/>
    <x v="3"/>
    <s v="హిందూ"/>
    <x v="2"/>
    <s v="vekatastynarayana"/>
    <n v="9999999999"/>
    <x v="0"/>
    <x v="2"/>
    <x v="1"/>
    <x v="1"/>
    <x v="0"/>
    <x v="0"/>
    <s v="రోడ్లు వేయటం, ఉద్యొగ్య అవకాశాలు కల్పించటం, వ్యవసాయం, రైతు బాగుండడం"/>
    <x v="1"/>
    <x v="0"/>
    <x v="1"/>
    <x v="1"/>
    <x v="1"/>
    <x v="1"/>
    <s v="Bhagya"/>
    <s v="Correctly Done"/>
    <s v="Q6 Kept on his own"/>
    <x v="0"/>
    <n v="1.2612194085121222"/>
    <n v="1.0795332136445241"/>
    <n v="0.92029223709519836"/>
    <n v="0.85034013605442171"/>
    <n v="1.147984664167413"/>
    <n v="0.85249089649430487"/>
    <n v="0.41451794778650441"/>
    <n v="-1"/>
    <n v="1"/>
    <n v="1"/>
    <n v="-1"/>
    <n v="-1"/>
    <n v="-1"/>
    <n v="-1.5"/>
    <n v="-2"/>
    <n v="-3"/>
    <n v="-2"/>
    <n v="-3"/>
    <s v="Neutral TDP"/>
  </r>
  <r>
    <s v="c7c0e2e8-c7de-41e2-a8ff-87dde1c3b31c"/>
    <x v="4"/>
    <s v="23/01/2026, 13:56:49"/>
    <s v="16.516339, 81.907655"/>
    <s v="GW85+V78, Pedapatnam, Andhra Pradesh, India"/>
    <x v="3"/>
    <s v="Naeem"/>
    <s v="http://164.52.221.216/localmedia/media/surveys/samples/recording_2026-01-23_13-53-10_samples_15Ghk3b368.mp4"/>
    <x v="5"/>
    <x v="2"/>
    <x v="2"/>
    <x v="0"/>
    <s v="హిందూ"/>
    <x v="2"/>
    <s v="p. nagaraju"/>
    <n v="8143696617"/>
    <x v="0"/>
    <x v="2"/>
    <x v="2"/>
    <x v="0"/>
    <x v="0"/>
    <x v="0"/>
    <s v="రోడ్లు వేయటం, శాంతి భద్రతలను కాపాడటం, ఆరోగ్య రంగం అభివృద్ధి చేయటం"/>
    <x v="0"/>
    <x v="0"/>
    <x v="1"/>
    <x v="1"/>
    <x v="1"/>
    <x v="1"/>
    <s v="Bhagya"/>
    <s v="Not Doing It Properly"/>
    <s v="Hurried in completing the questionnaire"/>
    <x v="0"/>
    <n v="1.0478809952686368"/>
    <n v="1.0795332136445241"/>
    <n v="0.8266624780172348"/>
    <n v="0.85034013605442171"/>
    <n v="0.75433779645928134"/>
    <n v="0.7657591888501577"/>
    <n v="0.22377816180516033"/>
    <n v="1"/>
    <n v="1"/>
    <n v="1"/>
    <n v="1"/>
    <n v="-1"/>
    <n v="-1"/>
    <n v="2.5"/>
    <n v="2"/>
    <n v="1"/>
    <n v="0"/>
    <n v="-2"/>
    <s v="Neutral TDP"/>
  </r>
  <r>
    <s v="73b5aa68-72ce-4181-a1b0-2ac535ca585e"/>
    <x v="4"/>
    <s v="23/01/2026, 13:58:33"/>
    <s v="16.359047, 81.798016"/>
    <s v="9Q5X+VM5, Kesavadasupalem, Andhra Pradesh, India"/>
    <x v="1"/>
    <s v="Naeem"/>
    <s v="http://164.52.221.216/localmedia/media/surveys/samples/recording_2026-01-23_13-56-59_samples_oqdRjgoN4N.mp4"/>
    <x v="6"/>
    <x v="3"/>
    <x v="12"/>
    <x v="1"/>
    <s v="హిందూ"/>
    <x v="0"/>
    <s v="raju"/>
    <n v="9999999999"/>
    <x v="0"/>
    <x v="2"/>
    <x v="1"/>
    <x v="1"/>
    <x v="1"/>
    <x v="1"/>
    <s v="రోడ్లు వేయటం, విద్య రంగం అభివృద్ధి చేయటం, సంక్షేమ పథకాలు (నగదు)"/>
    <x v="1"/>
    <x v="0"/>
    <x v="1"/>
    <x v="1"/>
    <x v="1"/>
    <x v="1"/>
    <s v="Bhagya"/>
    <s v="Not Doing It Properly"/>
    <s v="Q6 Kept on his own"/>
    <x v="0"/>
    <n v="1.2612194085121222"/>
    <n v="1.0795332136445241"/>
    <n v="0.92029223709519836"/>
    <n v="0.85034013605442171"/>
    <n v="1.147984664167413"/>
    <n v="0.85249089649430487"/>
    <n v="0.41451794778650441"/>
    <n v="-1"/>
    <n v="-1"/>
    <n v="-1"/>
    <n v="-1"/>
    <n v="-1"/>
    <n v="-1"/>
    <n v="-5.5"/>
    <n v="-6"/>
    <n v="-5"/>
    <n v="-4"/>
    <n v="-3"/>
    <s v="TDP HardCore"/>
  </r>
  <r>
    <s v="b50acef2-a105-4329-99f0-b90e25a4ef03"/>
    <x v="4"/>
    <s v="23/01/2026, 14:02:20"/>
    <s v="16.359077, 81.797376"/>
    <s v="9Q5W+FH8, Kesavadasupalem, Andhra Pradesh, India"/>
    <x v="1"/>
    <s v="Naeem"/>
    <s v="http://164.52.221.216/localmedia/media/surveys/samples/recording_2026-01-23_14-00-21_samples_2GxjVwpgr2.mp4"/>
    <x v="2"/>
    <x v="3"/>
    <x v="12"/>
    <x v="2"/>
    <s v="హిందూ"/>
    <x v="1"/>
    <s v="b.manikata"/>
    <n v="9618827143"/>
    <x v="0"/>
    <x v="1"/>
    <x v="1"/>
    <x v="1"/>
    <x v="1"/>
    <x v="1"/>
    <s v="రోడ్లు వేయటం, విద్య రంగం అభివృద్ధి చేయటం, వ్యవసాయం, రైతు బాగుండడం"/>
    <x v="1"/>
    <x v="0"/>
    <x v="1"/>
    <x v="1"/>
    <x v="1"/>
    <x v="1"/>
    <s v="Ashish"/>
    <s v="Correctly Done"/>
    <n v="0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17652389-de23-4617-8f4a-ceef8424546b"/>
    <x v="4"/>
    <s v="23/01/2026, 14:04:13"/>
    <s v="16.516523, 81.906727"/>
    <s v="GW85+V78, Pedapatnam, Andhra Pradesh, India"/>
    <x v="3"/>
    <s v="Naeem"/>
    <s v="http://164.52.221.216/localmedia/media/surveys/samples/recording_2026-01-23_13-58-30_samples_Yl7jugUUsF.mp4"/>
    <x v="5"/>
    <x v="2"/>
    <x v="2"/>
    <x v="6"/>
    <s v="హిందూ"/>
    <x v="2"/>
    <s v="nagaratnam"/>
    <n v="9550499408"/>
    <x v="1"/>
    <x v="4"/>
    <x v="0"/>
    <x v="1"/>
    <x v="1"/>
    <x v="1"/>
    <s v="రోడ్లు వేయటం, విద్య రంగం అభివృద్ధి చేయటం, ఆరోగ్య రంగం అభివృద్ధి చేయటం"/>
    <x v="1"/>
    <x v="0"/>
    <x v="1"/>
    <x v="1"/>
    <x v="1"/>
    <x v="1"/>
    <s v="Ashish"/>
    <s v="Correctly Done"/>
    <n v="0"/>
    <x v="0"/>
    <n v="1.0478809952686368"/>
    <n v="1.0795332136445241"/>
    <n v="1.7911020357040086"/>
    <n v="2.1645021645021645"/>
    <n v="0.75433779645928134"/>
    <n v="1.6591449091753416"/>
    <n v="0.55944540451290081"/>
    <n v="-1"/>
    <n v="-1"/>
    <n v="-1"/>
    <n v="-1"/>
    <n v="-1"/>
    <n v="-1"/>
    <n v="-5.5"/>
    <n v="-6"/>
    <n v="-5"/>
    <n v="-4"/>
    <n v="-3"/>
    <s v="TDP HardCore"/>
  </r>
  <r>
    <s v="a7eea778-96f7-473d-8664-a975302f3f90"/>
    <x v="4"/>
    <s v="23/01/2026, 14:04:41"/>
    <s v="16.358228, 81.796721"/>
    <s v="9Q5W+FH8, Kesavadasupalem, Andhra Pradesh, India"/>
    <x v="1"/>
    <s v="Naeem"/>
    <s v="http://164.52.221.216/localmedia/media/surveys/samples/recording_2026-01-23_14-03-02_samples_eXgWxI00hm.mp4"/>
    <x v="6"/>
    <x v="3"/>
    <x v="12"/>
    <x v="6"/>
    <s v="హిందూ"/>
    <x v="1"/>
    <s v="srilaxmi"/>
    <n v="9999999999"/>
    <x v="1"/>
    <x v="2"/>
    <x v="1"/>
    <x v="1"/>
    <x v="0"/>
    <x v="0"/>
    <s v="రోడ్లు వేయటం, ఆరోగ్య రంగం అభివృద్ధి చేయటం"/>
    <x v="1"/>
    <x v="0"/>
    <x v="1"/>
    <x v="1"/>
    <x v="1"/>
    <x v="1"/>
    <s v="Ashish"/>
    <s v="Not Doing It Properly"/>
    <s v="Q6,7,9,10 kept on his own"/>
    <x v="0"/>
    <n v="1.2612194085121222"/>
    <n v="1.0795332136445241"/>
    <n v="2.6155674106916162"/>
    <n v="2.1645021645021645"/>
    <n v="1.147984664167413"/>
    <n v="2.4228688637206557"/>
    <n v="2.2107623881946901"/>
    <n v="-1"/>
    <n v="1"/>
    <n v="1"/>
    <n v="-1"/>
    <n v="-1"/>
    <n v="-1"/>
    <n v="-1.5"/>
    <n v="-2"/>
    <n v="-3"/>
    <n v="-2"/>
    <n v="-3"/>
    <s v="Neutral TDP"/>
  </r>
  <r>
    <s v="08bf3bc2-63fa-4631-b424-569b4ae49e76"/>
    <x v="4"/>
    <s v="23/01/2026, 14:05:14"/>
    <s v="16.330278, 81.733839"/>
    <s v="8PJM+4CW, Antervedi Pallipalem, Andhra Pradesh, India"/>
    <x v="4"/>
    <s v="Naeem"/>
    <s v="http://164.52.221.216/localmedia/media/surveys/samples/recording_2026-01-23_14-03-23_samples_RNcbGXPbhg.mp4"/>
    <x v="0"/>
    <x v="0"/>
    <x v="11"/>
    <x v="0"/>
    <s v="క్రిస్టియన్"/>
    <x v="0"/>
    <s v="yelisha raju"/>
    <n v="8550496452"/>
    <x v="0"/>
    <x v="3"/>
    <x v="1"/>
    <x v="0"/>
    <x v="0"/>
    <x v="0"/>
    <s v="రోడ్లు వేయటం, విద్య రంగం అభివృద్ధి చేయటం, వ్యవసాయం, రైతు బాగుండడం"/>
    <x v="0"/>
    <x v="0"/>
    <x v="0"/>
    <x v="0"/>
    <x v="0"/>
    <x v="0"/>
    <s v="Ashish"/>
    <s v="Not Doing It Properly"/>
    <s v="all options entered on his own"/>
    <x v="0"/>
    <n v="1.3836274505214585"/>
    <n v="1.8055837563451775"/>
    <n v="1.9482662206881376"/>
    <n v="0.85034013605442171"/>
    <n v="1.9264642089343564"/>
    <n v="1.0790228998469584"/>
    <n v="2.1355167697651956"/>
    <n v="1"/>
    <n v="1"/>
    <n v="1"/>
    <n v="1"/>
    <n v="1"/>
    <n v="1"/>
    <n v="5.5"/>
    <n v="6"/>
    <n v="5"/>
    <n v="4"/>
    <n v="3"/>
    <s v="YSRCP HardCore"/>
  </r>
  <r>
    <s v="d325191f-33c7-48eb-9c60-a0aa07389437"/>
    <x v="4"/>
    <s v="23/01/2026, 14:07:32"/>
    <s v="16.357636, 81.795546"/>
    <s v="9Q4W+V28, Kesavadasupalem, Andhra Pradesh, India"/>
    <x v="1"/>
    <s v="Naeem"/>
    <s v="http://164.52.221.216/localmedia/media/surveys/samples/recording_2026-01-23_14-06-13_samples_PEUyH7XIsB.mp4"/>
    <x v="6"/>
    <x v="3"/>
    <x v="12"/>
    <x v="0"/>
    <s v="హిందూ"/>
    <x v="3"/>
    <s v="naveen"/>
    <n v="9177319382"/>
    <x v="0"/>
    <x v="1"/>
    <x v="1"/>
    <x v="1"/>
    <x v="0"/>
    <x v="1"/>
    <s v="రోడ్లు వేయటం, ఉద్యొగ్య అవకాశాలు కల్పించటం"/>
    <x v="1"/>
    <x v="0"/>
    <x v="1"/>
    <x v="1"/>
    <x v="1"/>
    <x v="1"/>
    <s v="Deepika"/>
    <s v="Correctly Done"/>
    <n v="0"/>
    <x v="0"/>
    <n v="1.2612194085121222"/>
    <n v="1.0795332136445241"/>
    <n v="0.92029223709519836"/>
    <n v="0.85034013605442171"/>
    <n v="1.147984664167413"/>
    <n v="0.85249089649430487"/>
    <n v="0.41451794778650441"/>
    <n v="-1"/>
    <n v="1"/>
    <n v="-1"/>
    <n v="-1"/>
    <n v="-1"/>
    <n v="-1"/>
    <n v="-3.5"/>
    <n v="-4"/>
    <n v="-5"/>
    <n v="-4"/>
    <n v="-3"/>
    <s v="TDP Sympathiser"/>
  </r>
  <r>
    <s v="9c36420a-1f8c-4843-bded-d45ac5c6db5a"/>
    <x v="4"/>
    <s v="23/01/2026, 14:09:42"/>
    <s v="16.358387, 81.794763"/>
    <s v="9Q4V+WXF, Kesavadasupalem, Andhra Pradesh, India"/>
    <x v="1"/>
    <s v="Naeem"/>
    <s v="http://164.52.221.216/localmedia/media/surveys/samples/recording_2026-01-23_14-08-19_samples_qFWQh1zkAn.mp4"/>
    <x v="8"/>
    <x v="3"/>
    <x v="12"/>
    <x v="3"/>
    <s v="హిందూ"/>
    <x v="3"/>
    <s v="harish"/>
    <n v="8978232250"/>
    <x v="0"/>
    <x v="3"/>
    <x v="1"/>
    <x v="1"/>
    <x v="1"/>
    <x v="0"/>
    <s v="రోడ్లు వేయటం, ఉద్యొగ్య అవకాశాలు కల్పించటం, ఆరోగ్య రంగం అభివృద్ధి చేయటం"/>
    <x v="0"/>
    <x v="0"/>
    <x v="0"/>
    <x v="0"/>
    <x v="0"/>
    <x v="0"/>
    <s v="Deepika"/>
    <s v="Correctly Done"/>
    <n v="0"/>
    <x v="0"/>
    <n v="0.80207032429970992"/>
    <n v="1.8055837563451775"/>
    <n v="1.0971251128803523"/>
    <n v="0.85034013605442171"/>
    <n v="1.147984664167413"/>
    <n v="0.60762903356038633"/>
    <n v="1.1555593620092124"/>
    <n v="-1"/>
    <n v="-1"/>
    <n v="1"/>
    <n v="1"/>
    <n v="1"/>
    <n v="1"/>
    <n v="1.5"/>
    <n v="2"/>
    <n v="3"/>
    <n v="4"/>
    <n v="2"/>
    <s v="YSRCP Sympathiser"/>
  </r>
  <r>
    <s v="513110d4-bcfb-4190-8a8f-e9d61460c8c3"/>
    <x v="4"/>
    <s v="23/01/2026, 14:10:18"/>
    <s v="16.403374, 81.802471"/>
    <s v="SHOP NO.9-6/6, SAKHINETIPALLI, Malikipuram, Andhra Pradesh, India"/>
    <x v="5"/>
    <s v="Naeem"/>
    <s v="http://164.52.221.216/localmedia/media/surveys/samples/recording_2026-01-23_14-04-20_samples_oxKxYsFVFJ.mp4"/>
    <x v="0"/>
    <x v="3"/>
    <x v="13"/>
    <x v="0"/>
    <s v="క్రిస్టియన్"/>
    <x v="0"/>
    <s v="dharmaraja"/>
    <n v="8897002705"/>
    <x v="0"/>
    <x v="2"/>
    <x v="1"/>
    <x v="0"/>
    <x v="1"/>
    <x v="0"/>
    <s v="ఉద్యొగ్య అవకాశాలు కల్పించటం, ఆరోగ్య రంగం అభివృద్ధి చేయటం, వ్యవసాయం, రైతు బాగుండడం"/>
    <x v="0"/>
    <x v="0"/>
    <x v="0"/>
    <x v="0"/>
    <x v="0"/>
    <x v="3"/>
    <s v="Deepika"/>
    <s v="Correctly Done"/>
    <s v="surveyor not asking properly"/>
    <x v="0"/>
    <n v="1.3836274505214585"/>
    <n v="1.8055837563451775"/>
    <n v="1.9482662206881376"/>
    <n v="0.85034013605442171"/>
    <n v="1.147984664167413"/>
    <n v="1.0790228998469584"/>
    <n v="1.1572915102003449"/>
    <n v="1"/>
    <n v="-1"/>
    <n v="1"/>
    <n v="1"/>
    <n v="1"/>
    <n v="1"/>
    <n v="3.5"/>
    <n v="4"/>
    <n v="5"/>
    <n v="4"/>
    <n v="3"/>
    <s v="YSRCP Sympathiser"/>
  </r>
  <r>
    <s v="919d22d0-9756-4434-a413-6554b1225dae"/>
    <x v="4"/>
    <s v="23/01/2026, 14:14:39"/>
    <s v="16.334264, 81.736756"/>
    <s v="Antarvedi devastanam road 2, Antervedi Pallipalem, Andhra Pradesh, India"/>
    <x v="4"/>
    <s v="Naeem"/>
    <s v="http://164.52.221.216/localmedia/media/surveys/samples/recording_2026-01-23_14-12-35_samples_Qn1mQBcldK.mp4"/>
    <x v="0"/>
    <x v="0"/>
    <x v="11"/>
    <x v="0"/>
    <s v="క్రిస్టియన్"/>
    <x v="0"/>
    <s v="v. radha"/>
    <n v="8142703842"/>
    <x v="1"/>
    <x v="3"/>
    <x v="1"/>
    <x v="1"/>
    <x v="0"/>
    <x v="0"/>
    <s v="రోడ్లు వేయటం, ఆరోగ్య రంగం అభివృద్ధి చేయటం, వ్యవసాయం, రైతు బాగుండడం"/>
    <x v="0"/>
    <x v="0"/>
    <x v="0"/>
    <x v="0"/>
    <x v="0"/>
    <x v="0"/>
    <s v="Deepika"/>
    <s v="Not Doing It Properly"/>
    <s v="not asking any questions"/>
    <x v="0"/>
    <n v="1.3836274505214585"/>
    <n v="1.8055837563451775"/>
    <n v="3.4809023142961388"/>
    <n v="2.1645021645021645"/>
    <n v="1.9264642089343564"/>
    <n v="1.9278542477265657"/>
    <n v="4.0768956513699193"/>
    <n v="-1"/>
    <n v="1"/>
    <n v="1"/>
    <n v="1"/>
    <n v="1"/>
    <n v="1"/>
    <n v="3.5"/>
    <n v="4"/>
    <n v="3"/>
    <n v="4"/>
    <n v="2"/>
    <s v="YSRCP Sympathiser"/>
  </r>
  <r>
    <s v="f1f798c7-f14d-4f30-a637-e458502ddab1"/>
    <x v="4"/>
    <s v="23/01/2026, 14:14:44"/>
    <s v="16.359434, 81.794073"/>
    <s v="9Q5V+QHP, Kesavadasupalem, Andhra Pradesh, India"/>
    <x v="1"/>
    <s v="Naeem"/>
    <s v="http://164.52.221.216/localmedia/media/surveys/samples/recording_2026-01-23_14-13-17_samples_yCpIUDfyhp.mp4"/>
    <x v="2"/>
    <x v="3"/>
    <x v="12"/>
    <x v="2"/>
    <s v="హిందూ"/>
    <x v="0"/>
    <s v="srinevas"/>
    <n v="9999999999"/>
    <x v="0"/>
    <x v="1"/>
    <x v="1"/>
    <x v="1"/>
    <x v="1"/>
    <x v="1"/>
    <s v="రోడ్లు వేయటం, విద్య రంగం అభివృద్ధి చేయటం, ఆరోగ్య రంగం అభివృద్ధి చేయటం"/>
    <x v="1"/>
    <x v="0"/>
    <x v="1"/>
    <x v="1"/>
    <x v="1"/>
    <x v="1"/>
    <s v="Deepika"/>
    <s v="Correctly Done"/>
    <n v="0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1e3e0086-cd43-4d9a-af0f-0095ce2a6fcd"/>
    <x v="4"/>
    <s v="23/01/2026, 14:17:59"/>
    <s v="16.402559, 81.802478"/>
    <s v="MARKET ROAD VUYYURIVARI MERAKA, Antarvedipalem, Andhra Pradesh, India"/>
    <x v="5"/>
    <s v="Naeem"/>
    <s v="http://164.52.221.216/localmedia/media/surveys/samples/recording_2026-01-23_14-14-54_samples_b7VQnz20MZ.mp4"/>
    <x v="2"/>
    <x v="3"/>
    <x v="13"/>
    <x v="1"/>
    <s v="హిందూ"/>
    <x v="1"/>
    <s v="మరి surya "/>
    <n v="7702037347"/>
    <x v="0"/>
    <x v="3"/>
    <x v="1"/>
    <x v="1"/>
    <x v="1"/>
    <x v="1"/>
    <s v="రోడ్లు వేయటం, ఉద్యొగ్య అవకాశాలు కల్పించటం, విద్య రంగం అభివృద్ధి చేయటం, ఆరోగ్య రంగం అభివృద్ధి చేయటం"/>
    <x v="1"/>
    <x v="0"/>
    <x v="1"/>
    <x v="1"/>
    <x v="1"/>
    <x v="1"/>
    <s v="Deepika"/>
    <s v="Not Asking Some of the Questions"/>
    <s v="Q4,6 kept his own and Q7,8,9,10 not asking"/>
    <x v="1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5167432e-ea34-4c8d-bcb1-2ea503b694e7"/>
    <x v="4"/>
    <s v="23/01/2026, 14:18:54"/>
    <s v="16.358957, 81.793869"/>
    <s v="9Q5V+QHP, Kesavadasupalem, Andhra Pradesh, India"/>
    <x v="1"/>
    <s v="Naeem"/>
    <s v="http://164.52.221.216/localmedia/media/surveys/samples/recording_2026-01-23_14-16-14_samples_Xbz6co42qA.mp4"/>
    <x v="0"/>
    <x v="3"/>
    <x v="12"/>
    <x v="2"/>
    <s v="క్రిస్టియన్"/>
    <x v="1"/>
    <s v="naresh"/>
    <n v="9550155826"/>
    <x v="1"/>
    <x v="1"/>
    <x v="1"/>
    <x v="0"/>
    <x v="0"/>
    <x v="0"/>
    <s v="విద్య రంగం అభివృద్ధి చేయటం, ఆరోగ్య రంగం అభివృద్ధి చేయటం, వ్యవసాయం, రైతు బాగుండడం"/>
    <x v="0"/>
    <x v="0"/>
    <x v="2"/>
    <x v="2"/>
    <x v="1"/>
    <x v="1"/>
    <s v="Deepika"/>
    <s v="Not Doing It Properly"/>
    <s v="respondent male but mentioned female"/>
    <x v="0"/>
    <n v="1.3836274505214585"/>
    <n v="0.66153846153846207"/>
    <n v="1.2753497331114214"/>
    <n v="2.1645021645021645"/>
    <n v="1.147984664167413"/>
    <n v="1.9278542477265657"/>
    <n v="3.2048072590163397"/>
    <n v="1"/>
    <n v="1"/>
    <n v="1"/>
    <n v="1"/>
    <n v="-1"/>
    <n v="-1"/>
    <n v="2.5"/>
    <n v="2"/>
    <n v="1"/>
    <n v="0"/>
    <n v="-2"/>
    <s v="Neutral TDP"/>
  </r>
  <r>
    <s v="ce187911-8329-4bfd-858d-d13666886c58"/>
    <x v="4"/>
    <s v="23/01/2026, 14:19:11"/>
    <s v="16.333291, 81.736878"/>
    <s v="8PMP+4C8, Antervedi Pallipalem, Andhra Pradesh, India"/>
    <x v="4"/>
    <s v="Naeem"/>
    <s v="http://164.52.221.216/localmedia/media/surveys/samples/recording_2026-01-23_14-17-15_samples_ryskmzTC0y.mp4"/>
    <x v="6"/>
    <x v="3"/>
    <x v="9"/>
    <x v="0"/>
    <s v="హిందూ"/>
    <x v="1"/>
    <s v="Bonam lavanya"/>
    <n v="9381436965"/>
    <x v="1"/>
    <x v="4"/>
    <x v="1"/>
    <x v="1"/>
    <x v="1"/>
    <x v="1"/>
    <s v="రోడ్లు వేయటం, విద్య రంగం అభివృద్ధి చేయటం, ఆరోగ్య రంగం అభివృద్ధి చేయటం"/>
    <x v="0"/>
    <x v="0"/>
    <x v="1"/>
    <x v="1"/>
    <x v="1"/>
    <x v="1"/>
    <s v="Deepika"/>
    <s v="Fake Audio/Empty Audio"/>
    <n v="0"/>
    <x v="1"/>
    <n v="1.2612194085121222"/>
    <n v="1.0795332136445241"/>
    <n v="2.6155674106916162"/>
    <n v="2.1645021645021645"/>
    <n v="1.147984664167413"/>
    <n v="2.4228688637206557"/>
    <n v="2.2107623881946901"/>
    <n v="-1"/>
    <n v="-1"/>
    <n v="-1"/>
    <n v="1"/>
    <n v="-1"/>
    <n v="-1"/>
    <n v="-3.5"/>
    <n v="-4"/>
    <n v="-3"/>
    <n v="-2"/>
    <n v="-3"/>
    <s v="Neutral TDP"/>
  </r>
  <r>
    <s v="d0c2966a-78b6-45ec-a4fa-ac1148143d6d"/>
    <x v="4"/>
    <s v="23/01/2026, 14:23:12"/>
    <s v="16.358682, 81.793253"/>
    <s v="9Q5V+P25, Kesavadasupalem, Andhra Pradesh, India"/>
    <x v="1"/>
    <s v="Naeem"/>
    <s v="http://164.52.221.216/localmedia/media/surveys/samples/recording_2026-01-23_14-21-06_samples_xRuhPahhI9.mp4"/>
    <x v="2"/>
    <x v="3"/>
    <x v="12"/>
    <x v="2"/>
    <s v="హిందూ"/>
    <x v="0"/>
    <s v="nayudu"/>
    <n v="9849850020"/>
    <x v="0"/>
    <x v="1"/>
    <x v="1"/>
    <x v="1"/>
    <x v="1"/>
    <x v="1"/>
    <s v="రోడ్లు వేయటం, ఆరోగ్య రంగం అభివృద్ధి చేయటం, వ్యవసాయం, రైతు బాగుండడం"/>
    <x v="1"/>
    <x v="0"/>
    <x v="1"/>
    <x v="1"/>
    <x v="1"/>
    <x v="1"/>
    <s v="Deepika"/>
    <s v="Not Doing It Properly"/>
    <s v="Q5,6,7,9,10 respondent not said properly then kept his own options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3f06d76b-ccde-4e39-8c20-52e557e91039"/>
    <x v="4"/>
    <s v="23/01/2026, 14:26:47"/>
    <s v="16.402058, 81.802868"/>
    <s v="Shop No.3-4/7 Sri Lakshmi Complex Mori Road, Vuyyurivari Meraka, SakhinetiPalli, Andhra Pradesh, India"/>
    <x v="5"/>
    <s v="Naeem"/>
    <s v="http://164.52.221.216/localmedia/media/surveys/samples/recording_2026-01-23_14-21-08_samples_KEbvdV2bz6.mp4"/>
    <x v="6"/>
    <x v="3"/>
    <x v="13"/>
    <x v="1"/>
    <s v="హిందూ"/>
    <x v="1"/>
    <s v="ramanayudu "/>
    <n v="9133225861"/>
    <x v="0"/>
    <x v="3"/>
    <x v="0"/>
    <x v="1"/>
    <x v="1"/>
    <x v="0"/>
    <s v="ఉద్యొగ్య అవకాశాలు కల్పించటం, శాంతి భద్రతలను కాపాడటం, విద్య రంగం అభివృద్ధి చేయటం"/>
    <x v="0"/>
    <x v="0"/>
    <x v="2"/>
    <x v="1"/>
    <x v="1"/>
    <x v="1"/>
    <s v="Deepika"/>
    <s v="Correctly Done"/>
    <s v="respondent not said properly"/>
    <x v="0"/>
    <n v="1.2612194085121222"/>
    <n v="1.0795332136445241"/>
    <n v="0.92029223709519836"/>
    <n v="0.85034013605442171"/>
    <n v="1.147984664167413"/>
    <n v="0.85249089649430487"/>
    <n v="0.41451794778650441"/>
    <n v="-1"/>
    <n v="-1"/>
    <n v="1"/>
    <n v="1"/>
    <n v="-1"/>
    <n v="-1"/>
    <n v="-1.5"/>
    <n v="-2"/>
    <n v="-1"/>
    <n v="0"/>
    <n v="-3"/>
    <s v="Neutral TDP"/>
  </r>
  <r>
    <s v="7693ea76-f0b7-4555-b67c-9b6999f15e45"/>
    <x v="4"/>
    <s v="23/01/2026, 14:27:18"/>
    <s v="16.358444, 81.794212"/>
    <s v="9Q5V+QHP, Kesavadasupalem, Andhra Pradesh, India"/>
    <x v="1"/>
    <s v="Naeem"/>
    <s v="http://164.52.221.216/localmedia/media/surveys/samples/recording_2026-01-23_14-25-11_samples_GW5kd8dBLF.mp4"/>
    <x v="2"/>
    <x v="3"/>
    <x v="12"/>
    <x v="1"/>
    <s v="హిందూ"/>
    <x v="2"/>
    <s v="jan babu"/>
    <n v="9959930896"/>
    <x v="0"/>
    <x v="2"/>
    <x v="1"/>
    <x v="1"/>
    <x v="1"/>
    <x v="0"/>
    <s v="రోడ్లు వేయటం, ఉద్యొగ్య అవకాశాలు కల్పించటం, ఆరోగ్య రంగం అభివృద్ధి చేయటం, వ్యవసాయం, రైతు బాగుండడం"/>
    <x v="0"/>
    <x v="0"/>
    <x v="0"/>
    <x v="0"/>
    <x v="2"/>
    <x v="5"/>
    <s v="Deepika"/>
    <s v="Correctly Done"/>
    <n v="0"/>
    <x v="0"/>
    <n v="1.1461625511156397"/>
    <n v="1.8055837563451775"/>
    <n v="1.2999324650914248"/>
    <n v="0.85034013605442171"/>
    <n v="1.147984664167413"/>
    <n v="0.71995135120329123"/>
    <n v="0.54319084681293095"/>
    <n v="-1"/>
    <n v="-1"/>
    <n v="1"/>
    <n v="1"/>
    <n v="1"/>
    <n v="1"/>
    <n v="1.5"/>
    <n v="2"/>
    <n v="3"/>
    <n v="4"/>
    <n v="2"/>
    <s v="YSRCP Sympathiser"/>
  </r>
  <r>
    <s v="d04a67c4-85a0-4d9f-9b60-26c1212f4ad5"/>
    <x v="4"/>
    <s v="23/01/2026, 14:31:31"/>
    <s v="16.333581, 81.737266"/>
    <s v="Antarvedi devastanam road 2, Antervedi Pallipalem, Andhra Pradesh, India"/>
    <x v="4"/>
    <s v="Naeem"/>
    <s v="http://164.52.221.216/localmedia/media/surveys/samples/recording_2026-01-23_14-24-43_samples_pIo5msrU6u.mp4"/>
    <x v="10"/>
    <x v="3"/>
    <x v="9"/>
    <x v="0"/>
    <s v="హిందూ"/>
    <x v="2"/>
    <s v="Bollapragada satyanarayana"/>
    <n v="8179838071"/>
    <x v="0"/>
    <x v="2"/>
    <x v="1"/>
    <x v="1"/>
    <x v="1"/>
    <x v="1"/>
    <s v="రోడ్లు వేయటం, విద్య రంగం అభివృద్ధి చేయటం, సంక్షేమ పథకాలు (నగదు)"/>
    <x v="1"/>
    <x v="0"/>
    <x v="1"/>
    <x v="1"/>
    <x v="1"/>
    <x v="1"/>
    <s v="Ashish"/>
    <s v="Correctly Done"/>
    <n v="0"/>
    <x v="0"/>
    <n v="1.016226256869897"/>
    <n v="1.0795332136445241"/>
    <n v="0.54852499843435276"/>
    <n v="0.85034013605442171"/>
    <n v="1.147984664167413"/>
    <n v="0.50811312843494849"/>
    <n v="0.18301228231933422"/>
    <n v="-1"/>
    <n v="-1"/>
    <n v="-1"/>
    <n v="-1"/>
    <n v="-1"/>
    <n v="-1"/>
    <n v="-5.5"/>
    <n v="-6"/>
    <n v="-5"/>
    <n v="-4"/>
    <n v="-3"/>
    <s v="TDP HardCore"/>
  </r>
  <r>
    <s v="230e80eb-8c22-483d-8526-2d2b562a1634"/>
    <x v="4"/>
    <s v="23/01/2026, 14:31:31"/>
    <s v="16.333581, 81.737266"/>
    <s v="Antarvedi devastanam road 2, Antervedi Pallipalem, Andhra Pradesh, India"/>
    <x v="4"/>
    <s v="Naeem"/>
    <s v="http://164.52.221.216/localmedia/media/surveys/samples/recording_2026-01-23_14-24-43_samples_X3oqSzXK8F.mp4"/>
    <x v="10"/>
    <x v="3"/>
    <x v="9"/>
    <x v="0"/>
    <s v="హిందూ"/>
    <x v="2"/>
    <s v="Bollapragada satyanarayana"/>
    <n v="8179838071"/>
    <x v="0"/>
    <x v="2"/>
    <x v="1"/>
    <x v="1"/>
    <x v="1"/>
    <x v="1"/>
    <s v="రోడ్లు వేయటం, విద్య రంగం అభివృద్ధి చేయటం, సంక్షేమ పథకాలు (నగదు)"/>
    <x v="1"/>
    <x v="0"/>
    <x v="1"/>
    <x v="1"/>
    <x v="1"/>
    <x v="1"/>
    <n v="0"/>
    <s v="Correctly Done"/>
    <n v="0"/>
    <x v="0"/>
    <n v="1.016226256869897"/>
    <n v="1.0795332136445241"/>
    <n v="0.54852499843435276"/>
    <n v="0.85034013605442171"/>
    <n v="1.147984664167413"/>
    <n v="0.50811312843494849"/>
    <n v="0.18301228231933422"/>
    <n v="-1"/>
    <n v="-1"/>
    <n v="-1"/>
    <n v="-1"/>
    <n v="-1"/>
    <n v="-1"/>
    <n v="-5.5"/>
    <n v="-6"/>
    <n v="-5"/>
    <n v="-4"/>
    <n v="-3"/>
    <s v="TDP HardCore"/>
  </r>
  <r>
    <s v="93ba2d8a-92fc-4255-8f97-1abfe001328d"/>
    <x v="4"/>
    <s v="23/01/2026, 14:32:02"/>
    <s v="16.358128, 81.794881"/>
    <s v="9Q4V+WXF, Kesavadasupalem, Andhra Pradesh, India"/>
    <x v="1"/>
    <s v="Naeem"/>
    <s v="http://164.52.221.216/localmedia/media/surveys/samples/recording_2026-01-23_14-30-21_samples_ID0dBXFGeT.mp4"/>
    <x v="6"/>
    <x v="3"/>
    <x v="12"/>
    <x v="1"/>
    <s v="హిందూ"/>
    <x v="1"/>
    <s v="srinu"/>
    <n v="9999999999"/>
    <x v="0"/>
    <x v="1"/>
    <x v="1"/>
    <x v="1"/>
    <x v="1"/>
    <x v="1"/>
    <s v="రోడ్లు వేయటం, ఆరోగ్య రంగం అభివృద్ధి చేయటం, వ్యవసాయం, రైతు బాగుండడం"/>
    <x v="1"/>
    <x v="0"/>
    <x v="1"/>
    <x v="1"/>
    <x v="1"/>
    <x v="1"/>
    <s v="Ashish"/>
    <s v="Not Doing It Properly"/>
    <s v="wrong caste entered"/>
    <x v="0"/>
    <n v="1.2612194085121222"/>
    <n v="1.0795332136445241"/>
    <n v="0.92029223709519836"/>
    <n v="0.85034013605442171"/>
    <n v="1.147984664167413"/>
    <n v="0.85249089649430487"/>
    <n v="0.41451794778650441"/>
    <n v="-1"/>
    <n v="-1"/>
    <n v="-1"/>
    <n v="-1"/>
    <n v="-1"/>
    <n v="-1"/>
    <n v="-5.5"/>
    <n v="-6"/>
    <n v="-5"/>
    <n v="-4"/>
    <n v="-3"/>
    <s v="TDP HardCore"/>
  </r>
  <r>
    <s v="fb17253b-8ef8-4e34-aee8-e8b53b1977b4"/>
    <x v="4"/>
    <s v="23/01/2026, 14:42:31"/>
    <s v="16.332558, 81.734916"/>
    <s v="8PJP+X2V, Antervedi Pallipalem, Andhra Pradesh, India"/>
    <x v="4"/>
    <s v="Naeem"/>
    <s v="http://164.52.221.216/localmedia/media/surveys/samples/recording_2026-01-23_14-40-48_samples_4dSBR2OXjE.mp4"/>
    <x v="6"/>
    <x v="0"/>
    <x v="11"/>
    <x v="0"/>
    <s v="హిందూ"/>
    <x v="0"/>
    <s v="Bommidi Krishna"/>
    <n v="9550693746"/>
    <x v="0"/>
    <x v="3"/>
    <x v="0"/>
    <x v="0"/>
    <x v="0"/>
    <x v="0"/>
    <s v="రోడ్లు వేయటం, ఆరోగ్య రంగం అభివృద్ధి చేయటం, వ్యవసాయం, రైతు బాగుండడం"/>
    <x v="0"/>
    <x v="0"/>
    <x v="0"/>
    <x v="0"/>
    <x v="0"/>
    <x v="0"/>
    <s v="Bhagya"/>
    <s v="Not Doing It Properly"/>
    <s v="Entered on his own while travelling"/>
    <x v="0"/>
    <n v="1.2612194085121222"/>
    <n v="1.8055837563451775"/>
    <n v="1.5392437151422549"/>
    <n v="0.85034013605442171"/>
    <n v="1.9264642089343564"/>
    <n v="0.85249089649430487"/>
    <n v="1.7847621356853685"/>
    <n v="1"/>
    <n v="1"/>
    <n v="1"/>
    <n v="1"/>
    <n v="1"/>
    <n v="1"/>
    <n v="5.5"/>
    <n v="6"/>
    <n v="5"/>
    <n v="4"/>
    <n v="3"/>
    <s v="YSRCP HardCore"/>
  </r>
  <r>
    <s v="0f1d374e-ebfb-45fa-ad54-cd2e45294725"/>
    <x v="4"/>
    <s v="23/01/2026, 14:46:45"/>
    <s v="16.400863, 81.803134"/>
    <s v="CR23+78F, Mori Podu, Malikipuram, Andhra Pradesh, India"/>
    <x v="5"/>
    <s v="Naeem"/>
    <s v="http://164.52.221.216/localmedia/media/surveys/samples/recording_2026-01-23_14-39-11_samples_9vRSvvbVQc.mp4"/>
    <x v="2"/>
    <x v="3"/>
    <x v="13"/>
    <x v="1"/>
    <s v="హిందూ"/>
    <x v="1"/>
    <s v="surya"/>
    <n v="8919266044"/>
    <x v="0"/>
    <x v="4"/>
    <x v="0"/>
    <x v="1"/>
    <x v="1"/>
    <x v="0"/>
    <s v="విద్య రంగం అభివృద్ధి చేయటం, ఆరోగ్య రంగం అభివృద్ధి చేయటం, వ్యవసాయం, రైతు బాగుండడం"/>
    <x v="0"/>
    <x v="0"/>
    <x v="0"/>
    <x v="0"/>
    <x v="0"/>
    <x v="3"/>
    <s v="Deepika"/>
    <s v="Not Doing It Properly"/>
    <s v="Respondent voice no clarity very low voice"/>
    <x v="0"/>
    <n v="1.1461625511156397"/>
    <n v="1.8055837563451775"/>
    <n v="1.2999324650914248"/>
    <n v="0.85034013605442171"/>
    <n v="1.147984664167413"/>
    <n v="0.71995135120329123"/>
    <n v="0.54319084681293095"/>
    <n v="-1"/>
    <n v="-1"/>
    <n v="1"/>
    <n v="1"/>
    <n v="1"/>
    <n v="1"/>
    <n v="1.5"/>
    <n v="2"/>
    <n v="3"/>
    <n v="4"/>
    <n v="2"/>
    <s v="YSRCP Sympathiser"/>
  </r>
  <r>
    <s v="7d0ba9e8-a85f-41e1-be19-20d1c00c1b78"/>
    <x v="4"/>
    <s v="23/01/2026, 14:52:20"/>
    <s v="16.511313, 81.908386"/>
    <s v="DOR NO 3, Pedapatnam, Andhra Pradesh, India"/>
    <x v="3"/>
    <s v="Naeem"/>
    <s v="http://164.52.221.216/localmedia/media/surveys/samples/recording_2026-01-23_14-49-22_samples_0ECNAbscGF.mp4"/>
    <x v="8"/>
    <x v="2"/>
    <x v="2"/>
    <x v="0"/>
    <s v="హిందూ"/>
    <x v="2"/>
    <s v="ram murtjy"/>
    <n v="9989036844"/>
    <x v="0"/>
    <x v="3"/>
    <x v="1"/>
    <x v="1"/>
    <x v="1"/>
    <x v="1"/>
    <s v="రోడ్లు వేయటం, ఉద్యొగ్య అవకాశాలు కల్పించటం, శాంతి భద్రతలను కాపాడటం"/>
    <x v="1"/>
    <x v="0"/>
    <x v="1"/>
    <x v="1"/>
    <x v="1"/>
    <x v="1"/>
    <s v="Deepika"/>
    <s v="Correctly Done"/>
    <n v="0"/>
    <x v="0"/>
    <n v="0.80207032429970992"/>
    <n v="1.0795332136445241"/>
    <n v="0.65595572330316032"/>
    <n v="0.85034013605442171"/>
    <n v="0.75433779645928134"/>
    <n v="0.60762903356038633"/>
    <n v="0.22537440548651508"/>
    <n v="-1"/>
    <n v="-1"/>
    <n v="-1"/>
    <n v="-1"/>
    <n v="-1"/>
    <n v="-1"/>
    <n v="-5.5"/>
    <n v="-6"/>
    <n v="-5"/>
    <n v="-4"/>
    <n v="-3"/>
    <s v="TDP HardCore"/>
  </r>
  <r>
    <s v="530e1f66-4110-4942-b010-7dee185c2132"/>
    <x v="4"/>
    <s v="23/01/2026, 14:54:51"/>
    <s v="16.399865, 81.803388"/>
    <s v="Main Road Vuyyurivari Meraka Sakhinetipalli Mandal, Antarvedipalem, Andhra Pradesh, India"/>
    <x v="5"/>
    <s v="Naeem"/>
    <s v="http://164.52.221.216/localmedia/media/surveys/samples/recording_2026-01-23_14-52-05_samples_HEOCiZQfnE.mp4"/>
    <x v="4"/>
    <x v="0"/>
    <x v="11"/>
    <x v="0"/>
    <s v="హిందూ"/>
    <x v="1"/>
    <s v="sreenivas"/>
    <n v="9492712418"/>
    <x v="0"/>
    <x v="2"/>
    <x v="0"/>
    <x v="0"/>
    <x v="0"/>
    <x v="0"/>
    <s v="రోడ్లు వేయటం, విద్య రంగం అభివృద్ధి చేయటం, సంక్షేమ పథకాలు (నగదు)"/>
    <x v="0"/>
    <x v="0"/>
    <x v="0"/>
    <x v="0"/>
    <x v="3"/>
    <x v="3"/>
    <s v="Deepika"/>
    <s v="Not Doing It Properly"/>
    <n v="0"/>
    <x v="0"/>
    <n v="2.1852575402829908"/>
    <n v="1.8055837563451775"/>
    <n v="2.8496473186752898"/>
    <n v="0.85034013605442171"/>
    <n v="1.9264642089343564"/>
    <n v="1.5782415568710491"/>
    <n v="0.88111541781135172"/>
    <n v="1"/>
    <n v="1"/>
    <n v="1"/>
    <n v="1"/>
    <n v="1"/>
    <n v="1"/>
    <n v="5.5"/>
    <n v="6"/>
    <n v="5"/>
    <n v="4"/>
    <n v="3"/>
    <s v="YSRCP HardCore"/>
  </r>
  <r>
    <s v="9df83f20-b542-477e-8281-9cd39a883ab3"/>
    <x v="4"/>
    <s v="23/01/2026, 14:56:04"/>
    <s v="16.366637, 81.793726"/>
    <s v="No address"/>
    <x v="1"/>
    <s v="Naeem"/>
    <s v="http://164.52.221.216/localmedia/media/surveys/samples/recording_2026-01-23_14-55-07_samples_cVy3jKP697.mp4"/>
    <x v="6"/>
    <x v="3"/>
    <x v="12"/>
    <x v="0"/>
    <s v="హిందూ"/>
    <x v="1"/>
    <s v="narashiharaju"/>
    <n v="9999999999"/>
    <x v="0"/>
    <x v="1"/>
    <x v="1"/>
    <x v="1"/>
    <x v="1"/>
    <x v="1"/>
    <s v="రోడ్లు వేయటం, ఆరోగ్య రంగం అభివృద్ధి చేయటం"/>
    <x v="1"/>
    <x v="0"/>
    <x v="1"/>
    <x v="1"/>
    <x v="1"/>
    <x v="1"/>
    <s v="Deepika"/>
    <s v="Correctly Done"/>
    <n v="0"/>
    <x v="0"/>
    <n v="1.2612194085121222"/>
    <n v="1.0795332136445241"/>
    <n v="0.92029223709519836"/>
    <n v="0.85034013605442171"/>
    <n v="1.147984664167413"/>
    <n v="0.85249089649430487"/>
    <n v="0.41451794778650441"/>
    <n v="-1"/>
    <n v="-1"/>
    <n v="-1"/>
    <n v="-1"/>
    <n v="-1"/>
    <n v="-1"/>
    <n v="-5.5"/>
    <n v="-6"/>
    <n v="-5"/>
    <n v="-4"/>
    <n v="-3"/>
    <s v="TDP HardCore"/>
  </r>
  <r>
    <s v="1f3cebd5-512a-481e-93c6-d372b0969414"/>
    <x v="4"/>
    <s v="23/01/2026, 15:00:22"/>
    <s v="16.398277, 81.803961"/>
    <s v="9RX3+CHF, Mori Podu, Malikipuram, Andhra Pradesh, India"/>
    <x v="5"/>
    <s v="Naeem"/>
    <s v="http://164.52.221.216/localmedia/media/surveys/samples/recording_2026-01-23_14-56-33_samples_NxXwQQFHP7.mp4"/>
    <x v="6"/>
    <x v="3"/>
    <x v="13"/>
    <x v="0"/>
    <s v="హిందూ"/>
    <x v="1"/>
    <s v="k krisna"/>
    <n v="7093213418"/>
    <x v="0"/>
    <x v="2"/>
    <x v="0"/>
    <x v="1"/>
    <x v="0"/>
    <x v="0"/>
    <s v="ఉద్యొగ్య అవకాశాలు కల్పించటం, విద్య రంగం అభివృద్ధి చేయటం, ఆరోగ్య రంగం అభివృద్ధి చేయటం, వ్యవసాయం, రైతు బాగుండడం"/>
    <x v="0"/>
    <x v="0"/>
    <x v="0"/>
    <x v="1"/>
    <x v="1"/>
    <x v="1"/>
    <s v="Deepika"/>
    <s v="Fake Audio/Empty Audio"/>
    <n v="0"/>
    <x v="1"/>
    <n v="1.2612194085121222"/>
    <n v="1.0795332136445241"/>
    <n v="0.92029223709519836"/>
    <n v="0.85034013605442171"/>
    <n v="1.147984664167413"/>
    <n v="0.85249089649430487"/>
    <n v="0.41451794778650441"/>
    <n v="-1"/>
    <n v="1"/>
    <n v="1"/>
    <n v="1"/>
    <n v="-1"/>
    <n v="1"/>
    <n v="2.5"/>
    <n v="2"/>
    <n v="1"/>
    <n v="2"/>
    <s v="ND"/>
    <s v="ND"/>
  </r>
  <r>
    <s v="23dd774e-f977-4dc2-bacd-f3882b2a0523"/>
    <x v="4"/>
    <s v="23/01/2026, 15:01:07"/>
    <s v="16.513360, 81.908006"/>
    <s v="Nagaram - Pedapatnam Rd, Pedapatnam, Andhra Pradesh, India"/>
    <x v="3"/>
    <s v="Naeem"/>
    <s v="http://164.52.221.216/localmedia/media/surveys/samples/recording_2026-01-23_14-56-41_samples_BKrJhD1hPN.mp4"/>
    <x v="0"/>
    <x v="2"/>
    <x v="2"/>
    <x v="0"/>
    <s v="హిందూ"/>
    <x v="1"/>
    <s v="akil"/>
    <n v="9704068260"/>
    <x v="0"/>
    <x v="3"/>
    <x v="1"/>
    <x v="1"/>
    <x v="0"/>
    <x v="0"/>
    <s v="రోడ్లు వేయటం, ఉద్యొగ్య అవకాశాలు కల్పించ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0"/>
    <x v="0"/>
    <x v="0"/>
    <x v="1"/>
    <x v="1"/>
    <x v="1"/>
    <s v="Deepika"/>
    <s v="Correctly Done"/>
    <n v="0"/>
    <x v="0"/>
    <n v="1.3836274505214585"/>
    <n v="1.0795332136445241"/>
    <n v="1.1648410586678206"/>
    <n v="0.85034013605442171"/>
    <n v="0.75433779645928134"/>
    <n v="1.0790228998469584"/>
    <n v="0.52423486800867025"/>
    <n v="-1"/>
    <n v="1"/>
    <n v="1"/>
    <n v="1"/>
    <n v="-1"/>
    <n v="1"/>
    <n v="2.5"/>
    <n v="2"/>
    <n v="1"/>
    <n v="2"/>
    <s v="ND"/>
    <s v="ND"/>
  </r>
  <r>
    <s v="0e0fd3fa-27b9-4305-b43c-bba218b5fae0"/>
    <x v="4"/>
    <s v="23/01/2026, 15:01:09"/>
    <s v="16.513360, 81.908006"/>
    <s v="Nagaram - Pedapatnam Rd, Pedapatnam, Andhra Pradesh, India"/>
    <x v="3"/>
    <s v="Naeem"/>
    <s v="http://164.52.221.216/localmedia/media/surveys/samples/recording_2026-01-23_14-56-41_samples_0uifIIXxuu.mp4"/>
    <x v="0"/>
    <x v="2"/>
    <x v="2"/>
    <x v="0"/>
    <s v="హిందూ"/>
    <x v="1"/>
    <s v="akil"/>
    <n v="9704068260"/>
    <x v="0"/>
    <x v="3"/>
    <x v="1"/>
    <x v="1"/>
    <x v="0"/>
    <x v="0"/>
    <s v="రోడ్లు వేయటం, ఉద్యొగ్య అవకాశాలు కల్పించ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0"/>
    <x v="0"/>
    <x v="0"/>
    <x v="1"/>
    <x v="1"/>
    <x v="1"/>
    <n v="0"/>
    <s v="Correctly Done"/>
    <n v="0"/>
    <x v="0"/>
    <n v="1.3836274505214585"/>
    <n v="1.0795332136445241"/>
    <n v="1.1648410586678206"/>
    <n v="0.85034013605442171"/>
    <n v="0.75433779645928134"/>
    <n v="1.0790228998469584"/>
    <n v="0.52423486800867025"/>
    <n v="-1"/>
    <n v="1"/>
    <n v="1"/>
    <n v="1"/>
    <n v="-1"/>
    <n v="1"/>
    <n v="2.5"/>
    <n v="2"/>
    <n v="1"/>
    <n v="2"/>
    <s v="ND"/>
    <s v="ND"/>
  </r>
  <r>
    <s v="99a3f8fb-a4fd-4de3-9a00-00bd8068e3cb"/>
    <x v="4"/>
    <s v="23/01/2026, 15:02:26"/>
    <s v="16.332030, 81.734661"/>
    <s v="SHOP NO. 4-2, Antervedi Pallipalem, Andhra Pradesh, India"/>
    <x v="4"/>
    <s v="Naeem"/>
    <s v="http://164.52.221.216/localmedia/media/surveys/samples/recording_2026-01-23_14-58-28_samples_rBMhNczPcu.mp4"/>
    <x v="2"/>
    <x v="3"/>
    <x v="9"/>
    <x v="3"/>
    <s v="హిందూ"/>
    <x v="2"/>
    <s v="p. p. rao"/>
    <n v="9866344368"/>
    <x v="0"/>
    <x v="2"/>
    <x v="2"/>
    <x v="1"/>
    <x v="1"/>
    <x v="1"/>
    <s v="రోడ్లు వేయటం, ఆరోగ్య రంగం అభివృద్ధి చేయటం, వ్యవసాయం, రైతు బాగుండడం"/>
    <x v="1"/>
    <x v="0"/>
    <x v="1"/>
    <x v="1"/>
    <x v="1"/>
    <x v="1"/>
    <s v="Deepika"/>
    <s v="Not Doing It Properly"/>
    <s v="Q7,9 kept his own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d261a336-8850-4612-941f-9beae3d17088"/>
    <x v="4"/>
    <s v="23/01/2026, 15:09:30"/>
    <s v="16.512964, 81.906102"/>
    <s v="Nagaram - Pedapatnam Rd, Dr. B. R. Ambedkar Konseema, Andhra Pradesh, India"/>
    <x v="3"/>
    <s v="Naeem"/>
    <s v="http://164.52.221.216/localmedia/media/surveys/samples/recording_2026-01-23_15-05-58_samples_M2gIEcU5jJ.mp4"/>
    <x v="8"/>
    <x v="2"/>
    <x v="2"/>
    <x v="4"/>
    <s v="హిందూ"/>
    <x v="2"/>
    <s v="venkateo"/>
    <n v="999999999"/>
    <x v="0"/>
    <x v="5"/>
    <x v="2"/>
    <x v="1"/>
    <x v="1"/>
    <x v="1"/>
    <s v="రోడ్లు వేయటం, ఆరోగ్య రంగం అభివృద్ధి చేయటం, వ్యవసాయం, రైతు బాగుండడం"/>
    <x v="0"/>
    <x v="0"/>
    <x v="0"/>
    <x v="0"/>
    <x v="0"/>
    <x v="0"/>
    <s v="Deepika"/>
    <s v="Not Doing It Properly"/>
    <s v="Q5 kept his own , not asking caste"/>
    <x v="0"/>
    <n v="0.80207032429970992"/>
    <n v="1.8055837563451775"/>
    <n v="1.0971251128803523"/>
    <n v="0.85034013605442171"/>
    <n v="0.75433779645928134"/>
    <n v="0.60762903356038633"/>
    <n v="0.22537440548651508"/>
    <n v="-1"/>
    <n v="-1"/>
    <n v="-1"/>
    <n v="1"/>
    <n v="1"/>
    <n v="1"/>
    <n v="-0.5"/>
    <n v="0"/>
    <n v="1"/>
    <n v="2"/>
    <n v="2"/>
    <s v="Neutral YSRCP"/>
  </r>
  <r>
    <s v="b1881fbe-b2fa-424d-8cb8-bab5be624587"/>
    <x v="4"/>
    <s v="23/01/2026, 15:14:12"/>
    <s v="16.331277, 81.735107"/>
    <s v="SHOP NO.1, SAKHINETIPALLI, Andhra Pradesh, India"/>
    <x v="4"/>
    <s v="Naeem"/>
    <s v="http://164.52.221.216/localmedia/media/surveys/samples/recording_2026-01-23_15-11-42_samples_cYNhXl4jNx.mp4"/>
    <x v="6"/>
    <x v="3"/>
    <x v="9"/>
    <x v="1"/>
    <s v="హిందూ"/>
    <x v="1"/>
    <s v="nagaraju"/>
    <n v="8555854550"/>
    <x v="0"/>
    <x v="2"/>
    <x v="1"/>
    <x v="1"/>
    <x v="1"/>
    <x v="1"/>
    <s v="రోడ్లు వేయటం, విద్య రంగం అభివృద్ధి చేయటం, ఆరోగ్య రంగం అభివృద్ధి చేయటం"/>
    <x v="0"/>
    <x v="0"/>
    <x v="1"/>
    <x v="1"/>
    <x v="1"/>
    <x v="1"/>
    <s v="Deepika"/>
    <s v="Fake Audio/Empty Audio"/>
    <n v="0"/>
    <x v="1"/>
    <n v="1.2612194085121222"/>
    <n v="1.0795332136445241"/>
    <n v="0.92029223709519836"/>
    <n v="0.85034013605442171"/>
    <n v="1.147984664167413"/>
    <n v="0.85249089649430487"/>
    <n v="0.41451794778650441"/>
    <n v="-1"/>
    <n v="-1"/>
    <n v="-1"/>
    <n v="1"/>
    <n v="-1"/>
    <n v="-1"/>
    <n v="-3.5"/>
    <n v="-4"/>
    <n v="-3"/>
    <n v="-2"/>
    <n v="-3"/>
    <s v="Neutral TDP"/>
  </r>
  <r>
    <s v="28404552-d5bb-4b2e-b97e-15f04cbce890"/>
    <x v="4"/>
    <s v="23/01/2026, 15:14:30"/>
    <s v="16.513458, 81.907243"/>
    <s v="Nagaram - Pedapatnam Rd, Dr. B. R. Ambedkar Konseema, Andhra Pradesh, India"/>
    <x v="3"/>
    <s v="Naeem"/>
    <s v="http://164.52.221.216/localmedia/media/surveys/samples/recording_2026-01-23_15-12-17_samples_ssqxlioJAi.mp4"/>
    <x v="0"/>
    <x v="2"/>
    <x v="2"/>
    <x v="0"/>
    <s v="హిందూ"/>
    <x v="1"/>
    <s v="suresh kumar"/>
    <n v="9704011024"/>
    <x v="0"/>
    <x v="3"/>
    <x v="0"/>
    <x v="1"/>
    <x v="0"/>
    <x v="0"/>
    <s v="విద్య రంగం అభివృద్ధి చేయటం, ఆరోగ్య రంగం అభివృద్ధి చేయటం, వ్యవసాయం, రైతు బాగుండడం"/>
    <x v="0"/>
    <x v="0"/>
    <x v="2"/>
    <x v="2"/>
    <x v="1"/>
    <x v="1"/>
    <s v="Deepika"/>
    <s v="Correctly Done"/>
    <n v="0"/>
    <x v="0"/>
    <n v="1.3836274505214585"/>
    <n v="0.66153846153846207"/>
    <n v="0.71381514912952693"/>
    <n v="0.85034013605442171"/>
    <n v="0.75433779645928134"/>
    <n v="1.0790228998469584"/>
    <n v="0.52423486800867025"/>
    <n v="-1"/>
    <n v="1"/>
    <n v="1"/>
    <n v="1"/>
    <n v="-1"/>
    <n v="-1"/>
    <n v="0.5"/>
    <n v="0"/>
    <n v="-1"/>
    <n v="0"/>
    <n v="-3"/>
    <s v="Neutral TDP"/>
  </r>
  <r>
    <s v="f441a89b-c325-418e-b750-32965cc8576c"/>
    <x v="4"/>
    <s v="23/01/2026, 15:20:15"/>
    <s v="16.426298, 81.716937"/>
    <s v="CPG8+FHW, SakhinetiPalli, Andhra Pradesh, India"/>
    <x v="1"/>
    <s v="Naeem"/>
    <s v="http://164.52.221.216/localmedia/media/surveys/samples/recording_2026-01-23_15-18-25_samples_DeV99kUWpi.mp4"/>
    <x v="0"/>
    <x v="3"/>
    <x v="6"/>
    <x v="1"/>
    <s v="క్రిస్టియన్"/>
    <x v="2"/>
    <s v="chittibabau"/>
    <n v="6281059399"/>
    <x v="0"/>
    <x v="1"/>
    <x v="2"/>
    <x v="0"/>
    <x v="0"/>
    <x v="0"/>
    <s v="రోడ్లు వేయటం, ఆరోగ్య రంగం అభివృద్ధి చేయటం, సంక్షేమ పథకాలు (నగదు)"/>
    <x v="0"/>
    <x v="0"/>
    <x v="0"/>
    <x v="0"/>
    <x v="0"/>
    <x v="0"/>
    <s v="Deepika"/>
    <s v="Correctly Done"/>
    <n v="0"/>
    <x v="0"/>
    <n v="1.3836274505214585"/>
    <n v="1.8055837563451775"/>
    <n v="1.9482662206881376"/>
    <n v="0.85034013605442171"/>
    <n v="1.147984664167413"/>
    <n v="1.0790228998469584"/>
    <n v="1.1572915102003449"/>
    <n v="1"/>
    <n v="1"/>
    <n v="1"/>
    <n v="1"/>
    <n v="1"/>
    <n v="1"/>
    <n v="5.5"/>
    <n v="6"/>
    <n v="5"/>
    <n v="4"/>
    <n v="3"/>
    <s v="YSRCP HardCore"/>
  </r>
  <r>
    <s v="ea836cf9-78b1-4af3-908a-db5bcb8938e5"/>
    <x v="4"/>
    <s v="23/01/2026, 15:20:20"/>
    <s v="16.397048, 81.804508"/>
    <s v="9RW3+QQ2, Mori Podu, Mori, Andhra Pradesh, India"/>
    <x v="5"/>
    <s v="Naeem"/>
    <s v="http://164.52.221.216/localmedia/media/surveys/samples/recording_2026-01-23_15-15-35_samples_5QwF8uOkne.mp4"/>
    <x v="4"/>
    <x v="3"/>
    <x v="13"/>
    <x v="0"/>
    <s v="హిందూ"/>
    <x v="1"/>
    <s v="venkataramana"/>
    <n v="9010827635"/>
    <x v="0"/>
    <x v="2"/>
    <x v="0"/>
    <x v="0"/>
    <x v="0"/>
    <x v="0"/>
    <s v="రోడ్లు వేయటం, విద్య రంగం అభివృద్ధి చేయటం, ఆరోగ్య రంగం అభివృద్ధి చేయటం, వ్యవసాయం, రైతు బాగుండడం"/>
    <x v="0"/>
    <x v="0"/>
    <x v="0"/>
    <x v="0"/>
    <x v="3"/>
    <x v="3"/>
    <s v="Deepika"/>
    <s v="Not Asking Some of the Questions"/>
    <s v="Q7 to 15 not asking"/>
    <x v="1"/>
    <n v="2.1852575402829908"/>
    <n v="1.8055837563451775"/>
    <n v="2.8496473186752898"/>
    <n v="0.85034013605442171"/>
    <n v="1.147984664167413"/>
    <n v="1.5782415568710491"/>
    <n v="4.092849657122005"/>
    <n v="1"/>
    <n v="1"/>
    <n v="1"/>
    <n v="1"/>
    <n v="1"/>
    <n v="1"/>
    <n v="5.5"/>
    <n v="6"/>
    <n v="5"/>
    <n v="4"/>
    <n v="3"/>
    <s v="YSRCP HardCore"/>
  </r>
  <r>
    <s v="3499a967-0ec0-464d-9366-924eb01d4c5d"/>
    <x v="4"/>
    <s v="23/01/2026, 15:21:06"/>
    <s v="16.513968, 81.907762"/>
    <s v="Pedapattanam-Mamidikuduru Road, Pedapatnam, Andhra Pradesh, India"/>
    <x v="3"/>
    <s v="Naeem"/>
    <s v="http://164.52.221.216/localmedia/media/surveys/samples/recording_2026-01-23_15-18-57_samples_u8s20zNOGd.mp4"/>
    <x v="0"/>
    <x v="2"/>
    <x v="2"/>
    <x v="1"/>
    <s v="హిందూ"/>
    <x v="0"/>
    <s v="srinivas"/>
    <n v="8636361252"/>
    <x v="0"/>
    <x v="3"/>
    <x v="2"/>
    <x v="0"/>
    <x v="0"/>
    <x v="0"/>
    <s v="రోడ్లు వేయటం, విద్య రంగం అభివృద్ధి చేయటం, ఆరోగ్య రంగం అభివృద్ధి చేయటం"/>
    <x v="0"/>
    <x v="0"/>
    <x v="0"/>
    <x v="0"/>
    <x v="0"/>
    <x v="0"/>
    <s v="Deepika"/>
    <s v="Correctly Done"/>
    <n v="0"/>
    <x v="0"/>
    <n v="1.3836274505214585"/>
    <n v="1.8055837563451775"/>
    <n v="1.9482662206881376"/>
    <n v="0.85034013605442171"/>
    <n v="0.75433779645928134"/>
    <n v="1.0790228998469584"/>
    <n v="0.52423486800867025"/>
    <n v="1"/>
    <n v="1"/>
    <n v="1"/>
    <n v="1"/>
    <n v="1"/>
    <n v="1"/>
    <n v="5.5"/>
    <n v="6"/>
    <n v="5"/>
    <n v="4"/>
    <n v="3"/>
    <s v="YSRCP HardCore"/>
  </r>
  <r>
    <s v="cc0f7f66-891d-4ca5-9d27-05ebae8c9ffd"/>
    <x v="4"/>
    <s v="23/01/2026, 15:22:43"/>
    <s v="16.426671, 81.716456"/>
    <s v="CPG8+JF3, SakhinetiPalli, Andhra Pradesh, India"/>
    <x v="1"/>
    <s v="Naeem"/>
    <s v="http://164.52.221.216/localmedia/media/surveys/samples/recording_2026-01-23_15-21-25_samples_7SvvgMrGR7.mp4"/>
    <x v="8"/>
    <x v="3"/>
    <x v="6"/>
    <x v="2"/>
    <s v="క్రిస్టియన్"/>
    <x v="1"/>
    <s v="sursh"/>
    <n v="9999999999"/>
    <x v="1"/>
    <x v="1"/>
    <x v="1"/>
    <x v="1"/>
    <x v="1"/>
    <x v="1"/>
    <s v="రోడ్లు వేయటం, ఉద్యొగ్య అవకాశాలు కల్పించటం, విద్య రంగం అభివృద్ధి చేయటం, ఆరోగ్య రంగం అభివృద్ధి చేయటం"/>
    <x v="1"/>
    <x v="0"/>
    <x v="1"/>
    <x v="1"/>
    <x v="1"/>
    <x v="1"/>
    <s v="Deepika"/>
    <s v="Not Doing It Properly"/>
    <s v="Q1 kept his own and respondent male but mentioned female"/>
    <x v="0"/>
    <n v="0.80207032429970992"/>
    <n v="1.0795332136445241"/>
    <n v="1.2733258158237817"/>
    <n v="2.1645021645021645"/>
    <n v="1.147984664167413"/>
    <n v="1.1795151827936912"/>
    <n v="1.9259322700153538"/>
    <n v="-1"/>
    <n v="-1"/>
    <n v="-1"/>
    <n v="-1"/>
    <n v="-1"/>
    <n v="-1"/>
    <n v="-5.5"/>
    <n v="-6"/>
    <n v="-5"/>
    <n v="-4"/>
    <n v="-3"/>
    <s v="TDP HardCore"/>
  </r>
  <r>
    <s v="50bdae98-915f-44f9-8fbc-76512497871e"/>
    <x v="4"/>
    <s v="23/01/2026, 15:25:04"/>
    <s v="16.426025, 81.715992"/>
    <s v="7-54/1, SakhinetiPalli, Andhra Pradesh, India"/>
    <x v="1"/>
    <s v="Naeem"/>
    <s v="http://164.52.221.216/localmedia/media/surveys/samples/recording_2026-01-23_15-23-58_samples_5T57gYzW04.mp4"/>
    <x v="0"/>
    <x v="3"/>
    <x v="6"/>
    <x v="2"/>
    <s v="క్రిస్టియన్"/>
    <x v="3"/>
    <s v="parabakar"/>
    <n v="9999999999"/>
    <x v="1"/>
    <x v="1"/>
    <x v="1"/>
    <x v="1"/>
    <x v="1"/>
    <x v="1"/>
    <s v="రోడ్లు వేయటం, ఉద్యొగ్య అవకాశాలు కల్పించటం, వ్యవసాయం, రైతు బాగుండడం"/>
    <x v="1"/>
    <x v="0"/>
    <x v="1"/>
    <x v="1"/>
    <x v="1"/>
    <x v="1"/>
    <s v="Deepika"/>
    <s v="Not Doing It Properly"/>
    <s v="Q7 kept his own and respondent male but mentioned female"/>
    <x v="0"/>
    <n v="1.3836274505214585"/>
    <n v="1.0795332136445241"/>
    <n v="2.0811826914865059"/>
    <n v="2.1645021645021645"/>
    <n v="1.147984664167413"/>
    <n v="1.9278542477265657"/>
    <n v="3.2048072590163397"/>
    <n v="-1"/>
    <n v="-1"/>
    <n v="-1"/>
    <n v="-1"/>
    <n v="-1"/>
    <n v="-1"/>
    <n v="-5.5"/>
    <n v="-6"/>
    <n v="-5"/>
    <n v="-4"/>
    <n v="-3"/>
    <s v="TDP HardCore"/>
  </r>
  <r>
    <s v="c0a1dfbb-289f-4c5d-b90c-4849a88e86a7"/>
    <x v="4"/>
    <s v="23/01/2026, 15:28:57"/>
    <s v="16.395870, 81.804993"/>
    <s v="9RW3+8X3, Mori Podu, Mori, Andhra Pradesh, India"/>
    <x v="5"/>
    <s v="Naeem"/>
    <s v="http://164.52.221.216/localmedia/media/surveys/samples/recording_2026-01-23_15-22-59_samples_s9d1H6aYT1.mp4"/>
    <x v="5"/>
    <x v="3"/>
    <x v="13"/>
    <x v="1"/>
    <s v="హిందూ"/>
    <x v="1"/>
    <s v="baburao"/>
    <n v="9949435033"/>
    <x v="0"/>
    <x v="3"/>
    <x v="1"/>
    <x v="1"/>
    <x v="0"/>
    <x v="0"/>
    <s v="రోడ్లు వేయటం, విద్య రంగం అభివృద్ధి చేయటం, ఆరోగ్య రంగం అభివృద్ధి చేయటం"/>
    <x v="0"/>
    <x v="1"/>
    <x v="1"/>
    <x v="1"/>
    <x v="1"/>
    <x v="1"/>
    <s v="Ashish"/>
    <s v="Not Doing It Properly"/>
    <s v="Q9 kept on his own"/>
    <x v="0"/>
    <n v="1.0478809952686368"/>
    <n v="1.0795332136445241"/>
    <n v="0.8266624780172348"/>
    <n v="0.85034013605442171"/>
    <n v="1.147984664167413"/>
    <n v="0.7657591888501577"/>
    <n v="0.71710935112881979"/>
    <n v="-1"/>
    <n v="1"/>
    <n v="1"/>
    <n v="1"/>
    <n v="-1"/>
    <n v="-1"/>
    <n v="0.5"/>
    <n v="0"/>
    <n v="-1"/>
    <n v="0"/>
    <n v="-3"/>
    <s v="Neutral TDP"/>
  </r>
  <r>
    <s v="2c2877e7-7f79-46a5-8e10-f9c1722f5f07"/>
    <x v="4"/>
    <s v="23/01/2026, 15:31:48"/>
    <s v="16.425495, 81.715512"/>
    <s v="CPG8+65R, chintavariperta, Andhra Pradesh, India"/>
    <x v="1"/>
    <s v="Naeem"/>
    <s v="http://164.52.221.216/localmedia/media/surveys/samples/recording_2026-01-23_15-30-13_samples_fexRZ0huuS.mp4"/>
    <x v="2"/>
    <x v="3"/>
    <x v="6"/>
    <x v="1"/>
    <s v="హిందూ"/>
    <x v="2"/>
    <s v="saibaba"/>
    <n v="9618845077"/>
    <x v="0"/>
    <x v="4"/>
    <x v="2"/>
    <x v="1"/>
    <x v="0"/>
    <x v="0"/>
    <s v="రోడ్లు వేయటం, ఆరోగ్య రంగం అభివృద్ధి చేయటం, వ్యవసాయం, రైతు బాగుండడం"/>
    <x v="1"/>
    <x v="0"/>
    <x v="1"/>
    <x v="1"/>
    <x v="1"/>
    <x v="1"/>
    <s v="Ashish"/>
    <s v="Correctly Done"/>
    <n v="0"/>
    <x v="0"/>
    <n v="1.1461625511156397"/>
    <n v="1.0795332136445241"/>
    <n v="0.77721139583220644"/>
    <n v="0.85034013605442171"/>
    <n v="1.147984664167413"/>
    <n v="0.71995135120329123"/>
    <n v="0.54319084681293095"/>
    <n v="-1"/>
    <n v="1"/>
    <n v="1"/>
    <n v="-1"/>
    <n v="-1"/>
    <n v="-1"/>
    <n v="-1.5"/>
    <n v="-2"/>
    <n v="-3"/>
    <n v="-2"/>
    <n v="-3"/>
    <s v="Neutral TDP"/>
  </r>
  <r>
    <s v="95a6ce46-c2fa-4c47-a276-cab6a52b007b"/>
    <x v="4"/>
    <s v="23/01/2026, 15:33:54"/>
    <s v="16.426162, 81.715268"/>
    <s v="CPG8+65R, chintavariperta, Andhra Pradesh, India"/>
    <x v="1"/>
    <s v="Naeem"/>
    <s v="http://164.52.221.216/localmedia/media/surveys/samples/recording_2026-01-23_15-32-38_samples_EnLreWx70t.mp4"/>
    <x v="1"/>
    <x v="3"/>
    <x v="6"/>
    <x v="2"/>
    <s v="హిందూ"/>
    <x v="1"/>
    <s v="nages"/>
    <n v="9999999999"/>
    <x v="0"/>
    <x v="3"/>
    <x v="1"/>
    <x v="1"/>
    <x v="1"/>
    <x v="1"/>
    <s v="రోడ్లు వేయటం, ఆరోగ్య రంగం అభివృద్ధి చేయటం"/>
    <x v="1"/>
    <x v="0"/>
    <x v="1"/>
    <x v="1"/>
    <x v="1"/>
    <x v="1"/>
    <s v="Ashish"/>
    <s v="Not Doing It Properly"/>
    <s v="Q6 kept on his own"/>
    <x v="0"/>
    <n v="1.1705128247062893"/>
    <n v="1.0795332136445241"/>
    <n v="0.86308903171383233"/>
    <n v="0.85034013605442171"/>
    <n v="1.147984664167413"/>
    <n v="0.79950206330384943"/>
    <n v="0.92148737207359532"/>
    <n v="-1"/>
    <n v="-1"/>
    <n v="-1"/>
    <n v="-1"/>
    <n v="-1"/>
    <n v="-1"/>
    <n v="-5.5"/>
    <n v="-6"/>
    <n v="-5"/>
    <n v="-4"/>
    <n v="-3"/>
    <s v="TDP HardCore"/>
  </r>
  <r>
    <s v="25f804bf-9247-45e2-be1a-bccc27eff8b2"/>
    <x v="4"/>
    <s v="23/01/2026, 15:35:40"/>
    <s v="16.394764, 81.804890"/>
    <s v="9RV3+XXH, Mori Podu, Mori, Andhra Pradesh, India"/>
    <x v="5"/>
    <s v="Naeem"/>
    <s v="http://164.52.221.216/localmedia/media/surveys/samples/recording_2026-01-23_15-32-01_samples_CSEx9KiCGD.mp4"/>
    <x v="1"/>
    <x v="3"/>
    <x v="13"/>
    <x v="1"/>
    <s v="హిందూ"/>
    <x v="0"/>
    <s v="kamala"/>
    <n v="9849975051"/>
    <x v="1"/>
    <x v="2"/>
    <x v="0"/>
    <x v="1"/>
    <x v="1"/>
    <x v="1"/>
    <s v="రోడ్లు వేయటం, ఉద్యొగ్య అవకాశాలు కల్పించటం, విద్య రంగం అభివృద్ధి చేయటం, ఆరోగ్య రంగం అభివృద్ధి చేయటం"/>
    <x v="1"/>
    <x v="0"/>
    <x v="1"/>
    <x v="1"/>
    <x v="1"/>
    <x v="1"/>
    <s v="Ashish"/>
    <s v="Fake Audio/Empty Audio"/>
    <s v="Kept all options on his own"/>
    <x v="1"/>
    <n v="1.1705128247062893"/>
    <n v="1.0795332136445241"/>
    <n v="2.3577066232182737"/>
    <n v="2.1645021645021645"/>
    <n v="1.147984664167413"/>
    <n v="2.1840056363422229"/>
    <n v="25.80164641806067"/>
    <n v="-1"/>
    <n v="-1"/>
    <n v="-1"/>
    <n v="-1"/>
    <n v="-1"/>
    <n v="-1"/>
    <n v="-5.5"/>
    <n v="-6"/>
    <n v="-5"/>
    <n v="-4"/>
    <n v="-3"/>
    <s v="TDP HardCore"/>
  </r>
  <r>
    <s v="ca2f2a67-f735-4f9a-aec0-e3b53b00be12"/>
    <x v="4"/>
    <s v="23/01/2026, 15:37:49"/>
    <s v="16.343578, 81.764606"/>
    <s v="MDR58, Antervedi Pallipalem, Andhra Pradesh, India"/>
    <x v="4"/>
    <s v="Naeem"/>
    <s v="http://164.52.221.216/localmedia/media/surveys/samples/recording_2026-01-23_15-34-13_samples_58Z1QrK08a.mp4"/>
    <x v="2"/>
    <x v="3"/>
    <x v="9"/>
    <x v="3"/>
    <s v="హిందూ"/>
    <x v="0"/>
    <s v="muksteswararao"/>
    <n v="9391178121"/>
    <x v="0"/>
    <x v="4"/>
    <x v="1"/>
    <x v="1"/>
    <x v="1"/>
    <x v="0"/>
    <s v="రోడ్లు వేయటం, ఉద్యొగ్య అవకాశాలు కల్పించటం, ఆరోగ్య రంగం అభివృద్ధి చేయటం"/>
    <x v="0"/>
    <x v="0"/>
    <x v="1"/>
    <x v="0"/>
    <x v="0"/>
    <x v="0"/>
    <s v="Ashish"/>
    <s v="Correctly Done"/>
    <n v="0"/>
    <x v="0"/>
    <n v="1.1461625511156397"/>
    <n v="1.8055837563451775"/>
    <n v="1.2999324650914248"/>
    <n v="0.85034013605442171"/>
    <n v="1.147984664167413"/>
    <n v="0.71995135120329123"/>
    <n v="0.54319084681293095"/>
    <n v="-1"/>
    <n v="-1"/>
    <n v="1"/>
    <n v="1"/>
    <n v="1"/>
    <n v="-1"/>
    <n v="-0.5"/>
    <n v="0"/>
    <n v="1"/>
    <n v="2"/>
    <n v="-2"/>
    <s v="Neutral TDP"/>
  </r>
  <r>
    <s v="dc13a809-d6b3-4422-8a61-4894a9dc57fb"/>
    <x v="4"/>
    <s v="23/01/2026, 15:45:30"/>
    <s v="16.343278, 81.763927"/>
    <s v="8QV7+8GQ, Kesavadasupalem, Andhra Pradesh, India"/>
    <x v="4"/>
    <s v="Naeem"/>
    <s v="http://164.52.221.216/localmedia/media/surveys/samples/recording_2026-01-23_15-38-26_samples_BMpcHuxgUQ.mp4"/>
    <x v="2"/>
    <x v="3"/>
    <x v="9"/>
    <x v="3"/>
    <s v="హిందూ"/>
    <x v="2"/>
    <s v="poturaju nageswararao"/>
    <n v="9999999999"/>
    <x v="0"/>
    <x v="5"/>
    <x v="1"/>
    <x v="1"/>
    <x v="1"/>
    <x v="1"/>
    <s v="రోడ్లు వేయటం, విద్య రంగం అభివృద్ధి చేయటం, వ్యవసాయం, రైతు బాగుండడం"/>
    <x v="1"/>
    <x v="0"/>
    <x v="1"/>
    <x v="1"/>
    <x v="1"/>
    <x v="1"/>
    <s v="Ashish"/>
    <s v="Correctly Done"/>
    <n v="0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bf244295-c421-41fb-8d0c-898292f15b68"/>
    <x v="4"/>
    <s v="23/01/2026, 15:57:03"/>
    <s v="16.537087, 81.935622"/>
    <s v="GWPP+V3, Appannapalle, Andhra Pradesh, India"/>
    <x v="3"/>
    <s v="Naeem"/>
    <s v="http://164.52.221.216/localmedia/media/surveys/samples/recording_2026-01-23_15-52-26_samples_uzTk4IIpZw.mp4"/>
    <x v="2"/>
    <x v="2"/>
    <x v="3"/>
    <x v="0"/>
    <s v="హిందూ"/>
    <x v="2"/>
    <s v="veranna"/>
    <n v="9949607685"/>
    <x v="0"/>
    <x v="4"/>
    <x v="1"/>
    <x v="1"/>
    <x v="0"/>
    <x v="0"/>
    <s v="ఉద్యొగ్య అవకాశాలు కల్పించటం, విద్య రంగం అభివృద్ధి చేయటం, ఆరోగ్య రంగం అభివృద్ధి చేయటం"/>
    <x v="1"/>
    <x v="1"/>
    <x v="2"/>
    <x v="1"/>
    <x v="1"/>
    <x v="1"/>
    <s v="Ashish"/>
    <s v="Correctly Done"/>
    <n v="0"/>
    <x v="0"/>
    <n v="1.1461625511156397"/>
    <n v="1.0795332136445241"/>
    <n v="0.77721139583220644"/>
    <n v="0.85034013605442171"/>
    <n v="0.75433779645928134"/>
    <n v="0.71995135120329123"/>
    <n v="0.55527787174877274"/>
    <n v="-1"/>
    <n v="1"/>
    <n v="1"/>
    <n v="-1"/>
    <n v="-1"/>
    <n v="-1"/>
    <n v="-1.5"/>
    <n v="-2"/>
    <n v="-3"/>
    <n v="-2"/>
    <n v="-3"/>
    <s v="Neutral TDP"/>
  </r>
  <r>
    <s v="6580e064-d0f5-4bcf-9f90-0f1388c9e795"/>
    <x v="4"/>
    <s v="23/01/2026, 15:53:54"/>
    <s v="16.426954, 81.715523"/>
    <s v="SHOP NO.2-381 SUNKA REVU NEAR DURGAMMA TEMPLE SAKHINETIPALLI LANKA SAKHINETIPALLI MANDAL, SakhinetiPalli, Andhra Pradesh, India"/>
    <x v="1"/>
    <s v="Naeem"/>
    <s v="http://164.52.221.216/localmedia/media/surveys/samples/recording_2026-01-23_15-52-22_samples_YLrbmYw0FB.mp4"/>
    <x v="2"/>
    <x v="3"/>
    <x v="6"/>
    <x v="1"/>
    <s v="హిందూ"/>
    <x v="0"/>
    <s v="satyanarayana"/>
    <n v="9999999999"/>
    <x v="1"/>
    <x v="1"/>
    <x v="1"/>
    <x v="1"/>
    <x v="1"/>
    <x v="1"/>
    <s v="రోడ్లు వేయటం, ఉద్యొగ్య అవకాశాలు కల్పించటం"/>
    <x v="1"/>
    <x v="0"/>
    <x v="1"/>
    <x v="1"/>
    <x v="1"/>
    <x v="1"/>
    <s v="Ashish"/>
    <s v="Not Doing It Properly"/>
    <s v="Q6 kept on his own"/>
    <x v="0"/>
    <n v="1.1461625511156397"/>
    <n v="1.0795332136445241"/>
    <n v="3.0326483876590018"/>
    <n v="2.1645021645021645"/>
    <n v="1.147984664167413"/>
    <n v="2.8092219390089208"/>
    <n v="2.2934724643212636"/>
    <n v="-1"/>
    <n v="-1"/>
    <n v="-1"/>
    <n v="-1"/>
    <n v="-1"/>
    <n v="-1"/>
    <n v="-5.5"/>
    <n v="-6"/>
    <n v="-5"/>
    <n v="-4"/>
    <n v="-3"/>
    <s v="TDP HardCore"/>
  </r>
  <r>
    <s v="d746c38a-eb98-4315-9e6f-0142899d829d"/>
    <x v="4"/>
    <s v="23/01/2026, 15:55:28"/>
    <s v="16.395657, 81.805050"/>
    <s v="9RW4+729, Mori Podu, Mori, Andhra Pradesh, India"/>
    <x v="5"/>
    <s v="Naeem"/>
    <s v="http://164.52.221.216/localmedia/media/surveys/samples/recording_2026-01-23_15-48-49_samples_CDPm4oFQRk.mp4"/>
    <x v="2"/>
    <x v="3"/>
    <x v="13"/>
    <x v="1"/>
    <s v="హిందూ"/>
    <x v="0"/>
    <s v="banu semmarju"/>
    <n v="9542734596"/>
    <x v="0"/>
    <x v="3"/>
    <x v="1"/>
    <x v="1"/>
    <x v="1"/>
    <x v="1"/>
    <s v="రోడ్లు వేయటం, ఉద్యొగ్య అవకాశాలు కల్పించటం, విద్య రంగం అభివృద్ధి చేయటం, ఆరోగ్య రంగం అభివృద్ధి చేయటం"/>
    <x v="1"/>
    <x v="0"/>
    <x v="1"/>
    <x v="1"/>
    <x v="1"/>
    <x v="1"/>
    <s v="Ashish"/>
    <s v="Not Asking Some of the Questions"/>
    <s v="Q8,9,10,13 kept on his own"/>
    <x v="1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2a93feee-08c1-47ab-84c2-0ef228fcdff8"/>
    <x v="4"/>
    <s v="23/01/2026, 15:57:07"/>
    <s v="16.537087, 81.935622"/>
    <s v="GWPP+V3, Appannapalle, Andhra Pradesh, India"/>
    <x v="3"/>
    <s v="Naeem"/>
    <s v="http://164.52.221.216/localmedia/media/surveys/samples/recording_2026-01-23_15-52-26_samples_Joi2MBlSTu.mp4"/>
    <x v="2"/>
    <x v="2"/>
    <x v="3"/>
    <x v="0"/>
    <s v="హిందూ"/>
    <x v="2"/>
    <s v="veranna"/>
    <n v="9949607685"/>
    <x v="0"/>
    <x v="4"/>
    <x v="1"/>
    <x v="1"/>
    <x v="0"/>
    <x v="0"/>
    <s v="ఉద్యొగ్య అవకాశాలు కల్పించటం, విద్య రంగం అభివృద్ధి చేయటం, ఆరోగ్య రంగం అభివృద్ధి చేయటం"/>
    <x v="1"/>
    <x v="1"/>
    <x v="2"/>
    <x v="1"/>
    <x v="1"/>
    <x v="1"/>
    <n v="0"/>
    <s v="Correctly Done"/>
    <n v="0"/>
    <x v="0"/>
    <n v="1.1461625511156397"/>
    <n v="1.0795332136445241"/>
    <n v="0.77721139583220644"/>
    <n v="0.85034013605442171"/>
    <n v="0.75433779645928134"/>
    <n v="0.71995135120329123"/>
    <n v="0.55527787174877274"/>
    <n v="-1"/>
    <n v="1"/>
    <n v="1"/>
    <n v="-1"/>
    <n v="-1"/>
    <n v="-1"/>
    <n v="-1.5"/>
    <n v="-2"/>
    <n v="-3"/>
    <n v="-2"/>
    <n v="-3"/>
    <s v="Neutral TDP"/>
  </r>
  <r>
    <s v="9e2c1233-ff42-49cb-bc3c-73584ec88ca5"/>
    <x v="4"/>
    <s v="23/01/2026, 15:59:32"/>
    <s v="16.426572, 81.715834"/>
    <s v="7-54/1, SakhinetiPalli, Andhra Pradesh, India"/>
    <x v="1"/>
    <s v="Naeem"/>
    <s v="http://164.52.221.216/localmedia/media/surveys/samples/recording_2026-01-23_15-57-19_samples_om5Ir9h38P.mp4"/>
    <x v="2"/>
    <x v="3"/>
    <x v="6"/>
    <x v="1"/>
    <s v="హిందూ"/>
    <x v="1"/>
    <s v="madu"/>
    <n v="9999999999"/>
    <x v="0"/>
    <x v="1"/>
    <x v="1"/>
    <x v="0"/>
    <x v="0"/>
    <x v="0"/>
    <s v="విద్య రంగం అభివృద్ధి చేయటం, ఆరోగ్య రంగం అభివృద్ధి చేయటం, వ్యవసాయం, రైతు బాగుండడం"/>
    <x v="0"/>
    <x v="0"/>
    <x v="0"/>
    <x v="0"/>
    <x v="0"/>
    <x v="0"/>
    <s v="Bhagya"/>
    <s v="Correctly Done"/>
    <s v="Respondent said 2 names, Rajeswari &amp; Suryarao"/>
    <x v="0"/>
    <n v="1.1461625511156397"/>
    <n v="1.8055837563451775"/>
    <n v="1.2999324650914248"/>
    <n v="0.85034013605442171"/>
    <n v="1.147984664167413"/>
    <n v="0.71995135120329123"/>
    <n v="0.54319084681293095"/>
    <n v="1"/>
    <n v="1"/>
    <n v="1"/>
    <n v="1"/>
    <n v="1"/>
    <n v="1"/>
    <n v="5.5"/>
    <n v="6"/>
    <n v="5"/>
    <n v="4"/>
    <n v="3"/>
    <s v="YSRCP HardCore"/>
  </r>
  <r>
    <s v="ca7a4019-cfb7-44be-af32-f9003c9be8c2"/>
    <x v="4"/>
    <s v="23/01/2026, 15:58:33"/>
    <s v="16.342478, 81.762785"/>
    <s v="8QR6+VX8, Antervedi Pallipalem, Andhra Pradesh, India"/>
    <x v="4"/>
    <s v="Naeem"/>
    <s v="http://164.52.221.216/localmedia/media/surveys/samples/recording_2026-01-23_15-54-49_samples_fTrU4DquoP.mp4"/>
    <x v="2"/>
    <x v="3"/>
    <x v="9"/>
    <x v="3"/>
    <s v="హిందూ"/>
    <x v="1"/>
    <s v="Srinivas"/>
    <n v="6305867374"/>
    <x v="0"/>
    <x v="4"/>
    <x v="0"/>
    <x v="0"/>
    <x v="0"/>
    <x v="0"/>
    <s v="విద్య రంగం అభివృద్ధి చేయటం, ఆరోగ్య రంగం అభివృద్ధి చేయటం, వ్యవసాయం, రైతు బాగుండడం"/>
    <x v="0"/>
    <x v="0"/>
    <x v="1"/>
    <x v="0"/>
    <x v="2"/>
    <x v="2"/>
    <s v="Bhagya"/>
    <s v="Not Asking Some of the Questions"/>
    <s v="Q11,Q12 kept on his own"/>
    <x v="1"/>
    <n v="1.1461625511156397"/>
    <n v="1.8055837563451775"/>
    <n v="1.2999324650914248"/>
    <n v="0.85034013605442171"/>
    <n v="1.147984664167413"/>
    <n v="0.71995135120329123"/>
    <n v="0.54319084681293095"/>
    <n v="1"/>
    <n v="1"/>
    <n v="1"/>
    <n v="1"/>
    <n v="1"/>
    <n v="-1"/>
    <n v="3.5"/>
    <n v="4"/>
    <n v="3"/>
    <n v="2"/>
    <s v="ND"/>
    <s v="ND"/>
  </r>
  <r>
    <s v="11f53fb7-f37d-4c16-8435-45e977bc1253"/>
    <x v="4"/>
    <s v="23/01/2026, 16:09:17"/>
    <s v="16.427191, 81.717222"/>
    <s v="CPG8+QRC, Gudimula Kandrika, Andhra Pradesh, India"/>
    <x v="1"/>
    <s v="Naeem"/>
    <s v="http://164.52.221.216/localmedia/media/surveys/samples/recording_2026-01-23_16-07-48_samples_a3BJ4AqlGQ.mp4"/>
    <x v="1"/>
    <x v="3"/>
    <x v="6"/>
    <x v="2"/>
    <s v="హిందూ"/>
    <x v="3"/>
    <s v="sunny"/>
    <n v="8179295871"/>
    <x v="0"/>
    <x v="1"/>
    <x v="2"/>
    <x v="1"/>
    <x v="1"/>
    <x v="1"/>
    <s v="రోడ్లు వేయటం, విద్య రంగం అభివృద్ధి చేయటం, ఆరోగ్య రంగం అభివృద్ధి చేయటం"/>
    <x v="1"/>
    <x v="0"/>
    <x v="1"/>
    <x v="1"/>
    <x v="1"/>
    <x v="1"/>
    <s v="Bhagya"/>
    <s v="Correctly Done"/>
    <s v="Q1- No Issues, Q6 -Kept on his own"/>
    <x v="0"/>
    <n v="1.1705128247062893"/>
    <n v="1.0795332136445241"/>
    <n v="0.86308903171383233"/>
    <n v="0.85034013605442171"/>
    <n v="1.147984664167413"/>
    <n v="0.79950206330384943"/>
    <n v="0.92148737207359532"/>
    <n v="-1"/>
    <n v="-1"/>
    <n v="-1"/>
    <n v="-1"/>
    <n v="-1"/>
    <n v="-1"/>
    <n v="-5.5"/>
    <n v="-6"/>
    <n v="-5"/>
    <n v="-4"/>
    <n v="-3"/>
    <s v="TDP HardCore"/>
  </r>
  <r>
    <s v="0eb39829-89fc-42e2-b4ff-0dc47020cc1f"/>
    <x v="4"/>
    <s v="23/01/2026, 16:03:34"/>
    <s v="16.425760, 81.715835"/>
    <s v="CPG8+65R, chintavariperta, Andhra Pradesh, India"/>
    <x v="1"/>
    <s v="Naeem"/>
    <s v="http://164.52.221.216/localmedia/media/surveys/samples/recording_2026-01-23_16-02-11_samples_tDS9wqXYtI.mp4"/>
    <x v="0"/>
    <x v="3"/>
    <x v="6"/>
    <x v="1"/>
    <s v="క్రిస్టియన్"/>
    <x v="0"/>
    <s v="aamel"/>
    <n v="9999999999"/>
    <x v="1"/>
    <x v="1"/>
    <x v="2"/>
    <x v="0"/>
    <x v="0"/>
    <x v="0"/>
    <s v="రోడ్లు వేయటం, విద్య రంగం అభివృద్ధి చేయటం, వ్యవసాయం, రైతు బాగుండడం"/>
    <x v="0"/>
    <x v="0"/>
    <x v="0"/>
    <x v="0"/>
    <x v="0"/>
    <x v="0"/>
    <s v="Bhagya"/>
    <s v="Correctly Done"/>
    <s v="Caste wrong, Q6,Q12 Kept on his own"/>
    <x v="0"/>
    <n v="1.3836274505214585"/>
    <n v="1.8055837563451775"/>
    <n v="3.4809023142961388"/>
    <n v="2.1645021645021645"/>
    <n v="1.147984664167413"/>
    <n v="1.9278542477265657"/>
    <n v="3.2048072590163397"/>
    <n v="1"/>
    <n v="1"/>
    <n v="1"/>
    <n v="1"/>
    <n v="1"/>
    <n v="1"/>
    <n v="5.5"/>
    <n v="6"/>
    <n v="5"/>
    <n v="4"/>
    <n v="3"/>
    <s v="YSRCP HardCore"/>
  </r>
  <r>
    <s v="7c2e0f68-b38c-404e-8124-f56ab91931c3"/>
    <x v="4"/>
    <s v="23/01/2026, 16:06:37"/>
    <s v="16.426606, 81.716570"/>
    <s v="CPG8+JF3, SakhinetiPalli, Andhra Pradesh, India"/>
    <x v="1"/>
    <s v="Naeem"/>
    <s v="http://164.52.221.216/localmedia/media/surveys/samples/recording_2026-01-23_16-05-07_samples_VbUcQI4xz5.mp4"/>
    <x v="2"/>
    <x v="3"/>
    <x v="6"/>
    <x v="2"/>
    <s v="హిందూ"/>
    <x v="0"/>
    <s v="ramavekatamalleswarao"/>
    <n v="9999999999"/>
    <x v="0"/>
    <x v="2"/>
    <x v="1"/>
    <x v="1"/>
    <x v="0"/>
    <x v="1"/>
    <s v="రోడ్లు వేయటం, ఉద్యొగ్య అవకాశాలు కల్పించటం, విద్య రంగం అభివృద్ధి చేయటం, ఆరోగ్య రంగం అభివృద్ధి చేయటం"/>
    <x v="1"/>
    <x v="0"/>
    <x v="1"/>
    <x v="1"/>
    <x v="1"/>
    <x v="1"/>
    <s v="Bhagya"/>
    <s v="Not Doing It Properly"/>
    <s v="Q5,Q10 Kept on his own"/>
    <x v="0"/>
    <n v="1.1461625511156397"/>
    <n v="1.0795332136445241"/>
    <n v="0.77721139583220644"/>
    <n v="0.85034013605442171"/>
    <n v="1.147984664167413"/>
    <n v="0.71995135120329123"/>
    <n v="0.54319084681293095"/>
    <n v="-1"/>
    <n v="1"/>
    <n v="-1"/>
    <n v="-1"/>
    <n v="-1"/>
    <n v="-1"/>
    <n v="-3.5"/>
    <n v="-4"/>
    <n v="-5"/>
    <n v="-4"/>
    <n v="-3"/>
    <s v="TDP Sympathiser"/>
  </r>
  <r>
    <s v="a8355915-7949-4dec-92b1-263e059cda0b"/>
    <x v="4"/>
    <s v="23/01/2026, 16:08:02"/>
    <s v="16.396414, 81.804759"/>
    <s v="9RW4+C2C, Mori Podu, Mori, Andhra Pradesh, India"/>
    <x v="5"/>
    <s v="Naeem"/>
    <s v="http://164.52.221.216/localmedia/media/surveys/samples/recording_2026-01-23_16-05-22_samples_5TZjmUTEWp.mp4"/>
    <x v="1"/>
    <x v="3"/>
    <x v="13"/>
    <x v="6"/>
    <s v="హిందూ"/>
    <x v="1"/>
    <s v="rukmini"/>
    <n v="9010262725"/>
    <x v="1"/>
    <x v="2"/>
    <x v="1"/>
    <x v="1"/>
    <x v="1"/>
    <x v="1"/>
    <s v="రోడ్లు వేయటం, ఉద్యొగ్య అవకాశాలు కల్పించటం, విద్య రంగం అభివృద్ధి చేయటం"/>
    <x v="1"/>
    <x v="0"/>
    <x v="1"/>
    <x v="1"/>
    <x v="1"/>
    <x v="1"/>
    <s v="Bhagya"/>
    <s v="Fake Audio/Empty Audio"/>
    <n v="0"/>
    <x v="1"/>
    <n v="1.1705128247062893"/>
    <n v="1.0795332136445241"/>
    <n v="2.3577066232182737"/>
    <n v="2.1645021645021645"/>
    <n v="1.147984664167413"/>
    <n v="2.1840056363422229"/>
    <n v="25.80164641806067"/>
    <n v="-1"/>
    <n v="-1"/>
    <n v="-1"/>
    <n v="-1"/>
    <n v="-1"/>
    <n v="-1"/>
    <n v="-5.5"/>
    <n v="-6"/>
    <n v="-5"/>
    <n v="-4"/>
    <n v="-3"/>
    <s v="TDP HardCore"/>
  </r>
  <r>
    <s v="d0812715-1025-465e-b720-6db95cdedeab"/>
    <x v="4"/>
    <s v="23/01/2026, 16:18:14"/>
    <s v="16.393880, 81.804843"/>
    <s v="9RV3+GW5, Mori Podu, Mori, Andhra Pradesh, India"/>
    <x v="5"/>
    <s v="Naeem"/>
    <s v="http://164.52.221.216/localmedia/media/surveys/samples/recording_2026-01-23_16-14-38_samples_GC2Bfxu17X.mp4"/>
    <x v="2"/>
    <x v="3"/>
    <x v="13"/>
    <x v="3"/>
    <s v="హిందూ"/>
    <x v="1"/>
    <s v="ramesh kukunuri"/>
    <n v="9989648108"/>
    <x v="0"/>
    <x v="2"/>
    <x v="1"/>
    <x v="1"/>
    <x v="1"/>
    <x v="0"/>
    <s v="శాంతి భద్రతలను కాపాడటం, విద్య రంగం అభివృద్ధి చేయటం, ఆరోగ్య రంగం అభివృద్ధి చేయటం"/>
    <x v="0"/>
    <x v="0"/>
    <x v="1"/>
    <x v="1"/>
    <x v="1"/>
    <x v="1"/>
    <s v="Bhagya"/>
    <s v="Correctly Done"/>
    <s v="Q7-Kept on his own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1"/>
    <n v="1"/>
    <n v="-1"/>
    <n v="-1"/>
    <n v="-1.5"/>
    <n v="-2"/>
    <n v="-1"/>
    <n v="0"/>
    <n v="-3"/>
    <s v="Neutral TDP"/>
  </r>
  <r>
    <s v="eea0b012-b712-4212-9075-461b0ee68f9b"/>
    <x v="4"/>
    <s v="23/01/2026, 16:10:53"/>
    <s v="16.330043, 81.739011"/>
    <s v="MDR58, Antervedi Pallipalem, Andhra Pradesh, India"/>
    <x v="4"/>
    <s v="Naeem"/>
    <s v="http://164.52.221.216/localmedia/media/surveys/samples/recording_2026-01-23_16-09-23_samples_P2KxO96sMM.mp4"/>
    <x v="2"/>
    <x v="0"/>
    <x v="11"/>
    <x v="0"/>
    <s v="హిందూ"/>
    <x v="2"/>
    <s v="subbarao"/>
    <n v="7375084693"/>
    <x v="0"/>
    <x v="4"/>
    <x v="1"/>
    <x v="1"/>
    <x v="1"/>
    <x v="1"/>
    <s v="రోడ్లు వేయటం, ఆరోగ్య రంగం అభివృద్ధి చేయటం, వ్యవసాయం, రైతు బాగుండడం"/>
    <x v="1"/>
    <x v="0"/>
    <x v="1"/>
    <x v="0"/>
    <x v="0"/>
    <x v="0"/>
    <s v="Bhagya"/>
    <s v="Not Doing It Properly"/>
    <n v="0"/>
    <x v="0"/>
    <n v="1.1461625511156397"/>
    <n v="1.8055837563451775"/>
    <n v="1.2999324650914248"/>
    <n v="0.85034013605442171"/>
    <n v="1.9264642089343564"/>
    <n v="0.71995135120329123"/>
    <n v="0.70534647283248642"/>
    <n v="-1"/>
    <n v="-1"/>
    <n v="-1"/>
    <n v="-1"/>
    <n v="1"/>
    <n v="-1"/>
    <n v="-4.5"/>
    <n v="-4"/>
    <n v="-3"/>
    <n v="-2"/>
    <n v="-2"/>
    <s v="Neutral TDP"/>
  </r>
  <r>
    <s v="336b176b-f7fc-4d4b-8c33-da4b6f368c59"/>
    <x v="4"/>
    <s v="23/01/2026, 16:11:30"/>
    <s v="16.396774, 81.804160"/>
    <s v="9RW3+MH6, Mori Podu, Mori, Andhra Pradesh, India"/>
    <x v="5"/>
    <s v="Naeem"/>
    <s v="http://164.52.221.216/localmedia/media/surveys/samples/recording_2026-01-23_16-09-30_samples_IzSCMuuk53.mp4"/>
    <x v="2"/>
    <x v="3"/>
    <x v="13"/>
    <x v="3"/>
    <s v="హిందూ"/>
    <x v="0"/>
    <s v="jala"/>
    <n v="9645025436"/>
    <x v="1"/>
    <x v="3"/>
    <x v="1"/>
    <x v="1"/>
    <x v="1"/>
    <x v="1"/>
    <s v="ఉద్యొగ్య అవకాశాలు కల్పించటం, విద్య రంగం అభివృద్ధి చేయటం, ఆరోగ్య రంగం అభివృద్ధి చేయటం"/>
    <x v="1"/>
    <x v="0"/>
    <x v="1"/>
    <x v="1"/>
    <x v="1"/>
    <x v="1"/>
    <s v="Bhagya"/>
    <s v="Fake Audio/Empty Audio"/>
    <n v="0"/>
    <x v="1"/>
    <n v="1.1461625511156397"/>
    <n v="1.0795332136445241"/>
    <n v="3.0326483876590018"/>
    <n v="2.1645021645021645"/>
    <n v="1.147984664167413"/>
    <n v="2.8092219390089208"/>
    <n v="2.2934724643212636"/>
    <n v="-1"/>
    <n v="-1"/>
    <n v="-1"/>
    <n v="-1"/>
    <n v="-1"/>
    <n v="-1"/>
    <n v="-5.5"/>
    <n v="-6"/>
    <n v="-5"/>
    <n v="-4"/>
    <n v="-3"/>
    <s v="TDP HardCore"/>
  </r>
  <r>
    <s v="56a5a8e7-935d-42c6-a429-8f7c46c5f22c"/>
    <x v="4"/>
    <s v="23/01/2026, 16:12:20"/>
    <s v="16.427962, 81.717775"/>
    <s v="3-87, SakhinetiPalli, Andhra Pradesh, India"/>
    <x v="1"/>
    <s v="Naeem"/>
    <s v="http://164.52.221.216/localmedia/media/surveys/samples/recording_2026-01-23_16-10-25_samples_zAzUf2XE5m.mp4"/>
    <x v="1"/>
    <x v="3"/>
    <x v="6"/>
    <x v="1"/>
    <s v="హిందూ"/>
    <x v="3"/>
    <s v="huseen"/>
    <n v="9999999999"/>
    <x v="0"/>
    <x v="1"/>
    <x v="2"/>
    <x v="0"/>
    <x v="1"/>
    <x v="0"/>
    <s v="రోడ్లు వేయటం, ఆరోగ్య రంగం అభివృద్ధి చేయటం, సంక్షేమ పథకాలు (నగదు)"/>
    <x v="0"/>
    <x v="0"/>
    <x v="0"/>
    <x v="0"/>
    <x v="0"/>
    <x v="0"/>
    <s v="Bhagya"/>
    <s v="Not Asking Some of the Questions"/>
    <s v="Didn't asked Q11,Q12 questions, Caste- Muslim"/>
    <x v="1"/>
    <n v="1.1705128247062893"/>
    <n v="1.8055837563451775"/>
    <n v="1.4435679386658844"/>
    <n v="0.85034013605442171"/>
    <n v="1.147984664167413"/>
    <n v="0.79950206330384943"/>
    <n v="0.92148737207359532"/>
    <n v="1"/>
    <n v="-1"/>
    <n v="1"/>
    <n v="1"/>
    <n v="1"/>
    <n v="1"/>
    <n v="3.5"/>
    <n v="4"/>
    <n v="5"/>
    <n v="4"/>
    <n v="3"/>
    <s v="YSRCP Sympathiser"/>
  </r>
  <r>
    <s v="6e6ab21d-59dc-4cc3-8cd3-409967b09fd2"/>
    <x v="4"/>
    <s v="23/01/2026, 16:14:20"/>
    <s v="16.532838, 81.941176"/>
    <s v="GWJQ+XX5, Botlakurru Doddavaram, Andhra Pradesh, India"/>
    <x v="3"/>
    <s v="Naeem"/>
    <s v="http://164.52.221.216/localmedia/media/surveys/samples/recording_2026-01-23_16-09-15_samples_5bRbZTIXXT.mp4"/>
    <x v="1"/>
    <x v="2"/>
    <x v="3"/>
    <x v="0"/>
    <s v="హిందూ"/>
    <x v="2"/>
    <s v="satyanarayana "/>
    <n v="939093954"/>
    <x v="0"/>
    <x v="5"/>
    <x v="1"/>
    <x v="1"/>
    <x v="0"/>
    <x v="1"/>
    <s v="రోడ్లు వేయటం, ఉద్యొగ్య అవకాశాలు కల్పించటం, ఆరోగ్య రంగం అభివృద్ధి చేయటం, వ్యవసాయం, రైతు బాగుండడం"/>
    <x v="1"/>
    <x v="0"/>
    <x v="2"/>
    <x v="1"/>
    <x v="1"/>
    <x v="1"/>
    <s v="Bhagya"/>
    <s v="Not Doing It Properly"/>
    <s v="Q9,Q10 not asking proeprly"/>
    <x v="0"/>
    <n v="1.1705128247062893"/>
    <n v="1.0795332136445241"/>
    <n v="0.86308903171383233"/>
    <n v="0.85034013605442171"/>
    <n v="0.75433779645928134"/>
    <n v="0.79950206330384943"/>
    <n v="0.40257772387792479"/>
    <n v="-1"/>
    <n v="1"/>
    <n v="-1"/>
    <n v="-1"/>
    <n v="-1"/>
    <n v="-1"/>
    <n v="-3.5"/>
    <n v="-4"/>
    <n v="-5"/>
    <n v="-4"/>
    <n v="-3"/>
    <s v="TDP Sympathiser"/>
  </r>
  <r>
    <s v="19992e6d-fdd4-4122-84db-9d7ff7eaf189"/>
    <x v="4"/>
    <s v="23/01/2026, 16:16:04"/>
    <s v="16.427435, 81.718445"/>
    <s v="CPH9+29G, SakhinetiPalli, Andhra Pradesh, India"/>
    <x v="1"/>
    <s v="Naeem"/>
    <s v="http://164.52.221.216/localmedia/media/surveys/samples/recording_2026-01-23_16-14-45_samples_dQo6QNsSUG.mp4"/>
    <x v="1"/>
    <x v="3"/>
    <x v="6"/>
    <x v="2"/>
    <s v="హిందూ"/>
    <x v="3"/>
    <s v="ravi"/>
    <n v="9999999999"/>
    <x v="0"/>
    <x v="1"/>
    <x v="1"/>
    <x v="1"/>
    <x v="1"/>
    <x v="1"/>
    <s v="రోడ్లు వేయటం, ఆరోగ్య రంగం అభివృద్ధి చేయటం, సంక్షేమ పథకాలు (నగదు)"/>
    <x v="1"/>
    <x v="0"/>
    <x v="1"/>
    <x v="1"/>
    <x v="1"/>
    <x v="1"/>
    <s v="Bhagya"/>
    <s v="Not Doing It Properly"/>
    <s v="Didn't asked caste"/>
    <x v="0"/>
    <n v="1.1705128247062893"/>
    <n v="1.0795332136445241"/>
    <n v="0.86308903171383233"/>
    <n v="0.85034013605442171"/>
    <n v="1.147984664167413"/>
    <n v="0.79950206330384943"/>
    <n v="0.92148737207359532"/>
    <n v="-1"/>
    <n v="-1"/>
    <n v="-1"/>
    <n v="-1"/>
    <n v="-1"/>
    <n v="-1"/>
    <n v="-5.5"/>
    <n v="-6"/>
    <n v="-5"/>
    <n v="-4"/>
    <n v="-3"/>
    <s v="TDP HardCore"/>
  </r>
  <r>
    <s v="f9855556-5494-4ee0-b920-9bb7d02d9bd3"/>
    <x v="4"/>
    <s v="23/01/2026, 16:24:14"/>
    <s v="16.426419, 81.716752"/>
    <s v="CPG8+FHW, SakhinetiPalli, Andhra Pradesh, India"/>
    <x v="1"/>
    <s v="Naeem"/>
    <s v="http://164.52.221.216/localmedia/media/surveys/samples/recording_2026-01-23_16-22-51_samples_1o77hTlJkX.mp4"/>
    <x v="1"/>
    <x v="3"/>
    <x v="6"/>
    <x v="0"/>
    <s v="హిందూ"/>
    <x v="0"/>
    <s v="rajesh"/>
    <n v="9701884418"/>
    <x v="0"/>
    <x v="1"/>
    <x v="1"/>
    <x v="1"/>
    <x v="1"/>
    <x v="1"/>
    <s v="రోడ్లు వేయటం, విద్య రంగం అభివృద్ధి చేయటం, వ్యవసాయం, రైతు బాగుండడం"/>
    <x v="1"/>
    <x v="0"/>
    <x v="1"/>
    <x v="1"/>
    <x v="1"/>
    <x v="1"/>
    <s v="Ashish"/>
    <s v="Correctly Done"/>
    <s v="Q5 and caste kept on his own"/>
    <x v="0"/>
    <n v="1.1705128247062893"/>
    <n v="1.0795332136445241"/>
    <n v="0.86308903171383233"/>
    <n v="0.85034013605442171"/>
    <n v="1.147984664167413"/>
    <n v="0.79950206330384943"/>
    <n v="0.92148737207359532"/>
    <n v="-1"/>
    <n v="-1"/>
    <n v="-1"/>
    <n v="-1"/>
    <n v="-1"/>
    <n v="-1"/>
    <n v="-5.5"/>
    <n v="-6"/>
    <n v="-5"/>
    <n v="-4"/>
    <n v="-3"/>
    <s v="TDP HardCore"/>
  </r>
  <r>
    <s v="46f331b0-08d2-4e74-8517-cfa7e5b43d8e"/>
    <x v="4"/>
    <s v="23/01/2026, 16:20:02"/>
    <s v="16.533388, 81.942332"/>
    <s v="GWMR+CR4, Botlakurru Doddavaram, Andhra Pradesh, India"/>
    <x v="3"/>
    <s v="Naeem"/>
    <s v="http://164.52.221.216/localmedia/media/surveys/samples/recording_2026-01-23_16-16-00_samples_ASBnsYAfSW.mp4"/>
    <x v="2"/>
    <x v="2"/>
    <x v="3"/>
    <x v="6"/>
    <s v="హిందూ"/>
    <x v="0"/>
    <s v="a. mani"/>
    <n v="9999999999"/>
    <x v="1"/>
    <x v="5"/>
    <x v="2"/>
    <x v="0"/>
    <x v="1"/>
    <x v="0"/>
    <s v="రోడ్లు వేయటం, ఆరోగ్య రంగం అభివృద్ధి చేయటం, వ్యవసాయం, రైతు బాగుండడం"/>
    <x v="0"/>
    <x v="0"/>
    <x v="2"/>
    <x v="2"/>
    <x v="1"/>
    <x v="1"/>
    <s v="Bhagya"/>
    <s v="Not Doing It Properly"/>
    <n v="0"/>
    <x v="0"/>
    <n v="1.1461625511156397"/>
    <n v="0.66153846153846207"/>
    <n v="1.8584083596520569"/>
    <n v="2.1645021645021645"/>
    <n v="0.75433779645928134"/>
    <n v="2.8092219390089208"/>
    <n v="5.3676860935714705"/>
    <n v="1"/>
    <n v="-1"/>
    <n v="1"/>
    <n v="1"/>
    <n v="-1"/>
    <n v="-1"/>
    <n v="0.5"/>
    <n v="0"/>
    <n v="1"/>
    <n v="0"/>
    <n v="-2"/>
    <s v="Neutral TDP"/>
  </r>
  <r>
    <s v="73480121-a92d-4a5d-a390-67e5a96f960b"/>
    <x v="4"/>
    <s v="23/01/2026, 16:21:56"/>
    <s v="16.427211, 81.717047"/>
    <s v="CPG8+QRC, Gudimula Kandrika, Andhra Pradesh, India"/>
    <x v="1"/>
    <s v="Naeem"/>
    <s v="http://164.52.221.216/localmedia/media/surveys/samples/recording_2026-01-23_16-20-28_samples_Urlfr3Nx53.mp4"/>
    <x v="1"/>
    <x v="3"/>
    <x v="6"/>
    <x v="0"/>
    <s v="హిందూ"/>
    <x v="3"/>
    <s v="pavankumar"/>
    <n v="8340096689"/>
    <x v="0"/>
    <x v="1"/>
    <x v="1"/>
    <x v="1"/>
    <x v="1"/>
    <x v="1"/>
    <s v="రోడ్లు వేయటం, ఆరోగ్య రంగం అభివృద్ధి చేయటం, సంక్షేమ పథకాలు (నగదు)"/>
    <x v="1"/>
    <x v="0"/>
    <x v="1"/>
    <x v="1"/>
    <x v="1"/>
    <x v="1"/>
    <s v="Ashish"/>
    <s v="Not Doing It Properly"/>
    <s v="Q4,7 and caste kept on his own"/>
    <x v="0"/>
    <n v="1.1705128247062893"/>
    <n v="1.0795332136445241"/>
    <n v="0.86308903171383233"/>
    <n v="0.85034013605442171"/>
    <n v="1.147984664167413"/>
    <n v="0.79950206330384943"/>
    <n v="0.92148737207359532"/>
    <n v="-1"/>
    <n v="-1"/>
    <n v="-1"/>
    <n v="-1"/>
    <n v="-1"/>
    <n v="-1"/>
    <n v="-5.5"/>
    <n v="-6"/>
    <n v="-5"/>
    <n v="-4"/>
    <n v="-3"/>
    <s v="TDP HardCore"/>
  </r>
  <r>
    <s v="df7c0e9d-6ed2-425d-9141-dec50cd48e95"/>
    <x v="4"/>
    <s v="23/01/2026, 16:26:43"/>
    <s v="16.333776, 81.733187"/>
    <s v="8PMM+G78, Antervedi Pallipalem, Andhra Pradesh, India"/>
    <x v="4"/>
    <s v="Naeem"/>
    <s v="http://164.52.221.216/localmedia/media/surveys/samples/recording_2026-01-23_16-22-45_samples_8LYJTGPhAP.mp4"/>
    <x v="6"/>
    <x v="3"/>
    <x v="9"/>
    <x v="4"/>
    <s v="హిందూ"/>
    <x v="1"/>
    <s v="PPLN Raju"/>
    <n v="9550232370"/>
    <x v="0"/>
    <x v="3"/>
    <x v="1"/>
    <x v="1"/>
    <x v="0"/>
    <x v="0"/>
    <s v="ఉద్యొగ్య అవకాశాలు కల్పించటం, విద్య రంగం అభివృద్ధి చేయటం, ఆరోగ్య రంగం అభివృద్ధి చేయటం"/>
    <x v="1"/>
    <x v="1"/>
    <x v="1"/>
    <x v="1"/>
    <x v="1"/>
    <x v="1"/>
    <s v="Ashish"/>
    <s v="Correctly Done"/>
    <n v="0"/>
    <x v="0"/>
    <n v="1.2612194085121222"/>
    <n v="1.0795332136445241"/>
    <n v="0.92029223709519836"/>
    <n v="0.85034013605442171"/>
    <n v="1.147984664167413"/>
    <n v="0.85249089649430487"/>
    <n v="0.41451794778650441"/>
    <n v="-1"/>
    <n v="1"/>
    <n v="1"/>
    <n v="-1"/>
    <n v="-1"/>
    <n v="-1"/>
    <n v="-1.5"/>
    <n v="-2"/>
    <n v="-3"/>
    <n v="-2"/>
    <n v="-3"/>
    <s v="Neutral TDP"/>
  </r>
  <r>
    <s v="d34536f7-f9c8-4c23-80f9-6d3ddc3256af"/>
    <x v="4"/>
    <s v="23/01/2026, 16:28:27"/>
    <s v="16.426178, 81.716036"/>
    <s v="7-54/1, SakhinetiPalli, Andhra Pradesh, India"/>
    <x v="1"/>
    <s v="Naeem"/>
    <s v="http://164.52.221.216/localmedia/media/surveys/samples/recording_2026-01-23_16-26-13_samples_jGmDfFTOLP.mp4"/>
    <x v="0"/>
    <x v="3"/>
    <x v="6"/>
    <x v="2"/>
    <s v="హిందూ"/>
    <x v="2"/>
    <s v="nataraj"/>
    <n v="9999999999"/>
    <x v="0"/>
    <x v="1"/>
    <x v="1"/>
    <x v="1"/>
    <x v="0"/>
    <x v="0"/>
    <s v="రోడ్లు వేయటం, ఆరోగ్య రంగం అభివృద్ధి చేయటం, సంక్షేమ పథకాలు (నగదు)"/>
    <x v="0"/>
    <x v="1"/>
    <x v="0"/>
    <x v="1"/>
    <x v="1"/>
    <x v="1"/>
    <s v="Ashish"/>
    <s v="Correctly Done"/>
    <n v="0"/>
    <x v="0"/>
    <n v="1.3836274505214585"/>
    <n v="1.0795332136445241"/>
    <n v="1.1648410586678206"/>
    <n v="0.85034013605442171"/>
    <n v="1.147984664167413"/>
    <n v="1.0790228998469584"/>
    <n v="1.1572915102003449"/>
    <n v="-1"/>
    <n v="1"/>
    <n v="1"/>
    <n v="1"/>
    <n v="-1"/>
    <n v="1"/>
    <n v="2.5"/>
    <n v="2"/>
    <n v="1"/>
    <n v="2"/>
    <s v="ND"/>
    <s v="ND"/>
  </r>
  <r>
    <s v="3d8e9281-d010-49ac-85c6-2fd363e036a0"/>
    <x v="4"/>
    <s v="23/01/2026, 16:28:50"/>
    <s v="16.394597, 81.804502"/>
    <s v="9RV3+MWX, Mori Podu, Mori, Andhra Pradesh, India"/>
    <x v="5"/>
    <s v="Naeem"/>
    <s v="http://164.52.221.216/localmedia/media/surveys/samples/recording_2026-01-23_16-19-13_samples_cWSa0kKgZe.mp4"/>
    <x v="4"/>
    <x v="3"/>
    <x v="13"/>
    <x v="6"/>
    <s v="హిందూ"/>
    <x v="1"/>
    <s v="varalaksmi konda"/>
    <n v="9666802837"/>
    <x v="1"/>
    <x v="3"/>
    <x v="0"/>
    <x v="0"/>
    <x v="1"/>
    <x v="0"/>
    <s v="రోడ్లు వేయటం, విద్య రంగం అభివృద్ధి చేయటం, ఆరోగ్య రంగం అభివృద్ధి చేయటం"/>
    <x v="0"/>
    <x v="0"/>
    <x v="0"/>
    <x v="0"/>
    <x v="3"/>
    <x v="3"/>
    <s v="Ashish"/>
    <s v="Not Asking Some of the Questions"/>
    <s v="Q4,5,6,7,8,9,10,11,12 kept on his own"/>
    <x v="1"/>
    <n v="2.1852575402829908"/>
    <n v="1.8055837563451775"/>
    <n v="6.4117064670194024"/>
    <n v="2.1645021645021645"/>
    <n v="1.147984664167413"/>
    <n v="3.5510435029598604"/>
    <n v="0"/>
    <n v="1"/>
    <n v="-1"/>
    <n v="1"/>
    <n v="1"/>
    <n v="1"/>
    <n v="1"/>
    <n v="3.5"/>
    <n v="4"/>
    <n v="5"/>
    <n v="4"/>
    <n v="3"/>
    <s v="YSRCP Sympathiser"/>
  </r>
  <r>
    <s v="0556dc82-10dd-4671-9829-41059f9fa6b1"/>
    <x v="4"/>
    <s v="23/01/2026, 16:39:43"/>
    <s v="16.333380, 81.733422"/>
    <s v="14-21, Mandal, Andhra Pradesh, India"/>
    <x v="4"/>
    <s v="Naeem"/>
    <s v="http://164.52.221.216/localmedia/media/surveys/samples/recording_2026-01-23_16-37-57_samples_pJrjTLEFe8.mp4"/>
    <x v="2"/>
    <x v="3"/>
    <x v="9"/>
    <x v="0"/>
    <s v="హిందూ"/>
    <x v="0"/>
    <s v="sattibabu"/>
    <n v="9885068876"/>
    <x v="0"/>
    <x v="3"/>
    <x v="1"/>
    <x v="1"/>
    <x v="1"/>
    <x v="1"/>
    <s v="రోడ్లు వేయటం, విద్య రంగం అభివృద్ధి చేయటం, ఆరోగ్య రంగం అభివృద్ధి చేయటం"/>
    <x v="1"/>
    <x v="0"/>
    <x v="0"/>
    <x v="1"/>
    <x v="1"/>
    <x v="1"/>
    <s v="Ashish"/>
    <s v="Fake Audio/Empty Audio"/>
    <s v="All options kept on his own"/>
    <x v="1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1"/>
    <n v="-3.5"/>
    <n v="-4"/>
    <n v="-3"/>
    <n v="-2"/>
    <s v="ND"/>
    <s v="ND"/>
  </r>
  <r>
    <s v="79e242f3-086a-44ba-a28f-af1c07d571c1"/>
    <x v="4"/>
    <s v="23/01/2026, 16:45:41"/>
    <s v="16.332816, 81.732012"/>
    <s v="8PMJ+2RJ, Antervedi Pallipalem, Andhra Pradesh, India"/>
    <x v="4"/>
    <s v="Naeem"/>
    <s v="http://164.52.221.216/localmedia/media/surveys/samples/recording_2026-01-23_16-43-07_samples_rCFFWoJLIC.mp4"/>
    <x v="3"/>
    <x v="3"/>
    <x v="9"/>
    <x v="6"/>
    <s v="హిందూ"/>
    <x v="1"/>
    <s v="vijaya"/>
    <n v="9701867979"/>
    <x v="1"/>
    <x v="4"/>
    <x v="1"/>
    <x v="1"/>
    <x v="1"/>
    <x v="0"/>
    <s v="ఉద్యొగ్య అవకాశాలు కల్పించటం, విద్య రంగం అభివృద్ధి చేయటం, ఆరోగ్య రంగం అభివృద్ధి చేయటం"/>
    <x v="0"/>
    <x v="0"/>
    <x v="1"/>
    <x v="1"/>
    <x v="1"/>
    <x v="1"/>
    <s v="Ashish"/>
    <s v="Fake Audio/Empty Audio"/>
    <s v="All options kept on his own"/>
    <x v="1"/>
    <n v="1.8452248965186235"/>
    <n v="1.0795332136445241"/>
    <n v="2.738974648348997"/>
    <n v="2.1645021645021645"/>
    <n v="1.147984664167413"/>
    <n v="2.5371842327131073"/>
    <n v="2.9242991836792998"/>
    <n v="-1"/>
    <n v="-1"/>
    <n v="1"/>
    <n v="1"/>
    <n v="-1"/>
    <n v="-1"/>
    <n v="-1.5"/>
    <n v="-2"/>
    <n v="-1"/>
    <n v="0"/>
    <n v="-3"/>
    <s v="Neutral TDP"/>
  </r>
  <r>
    <s v="e7b4451d-284d-455c-ab09-6079d236ed18"/>
    <x v="4"/>
    <s v="23/01/2026, 16:46:08"/>
    <s v="16.397510, 81.802128"/>
    <s v="9RX2+CRW, Devangula, Antarvedipalem, Andhra Pradesh, India"/>
    <x v="5"/>
    <s v="Naeem"/>
    <s v="http://164.52.221.216/localmedia/media/surveys/samples/recording_2026-01-23_16-36-22_samples_Udi2erZ2AK.mp4"/>
    <x v="1"/>
    <x v="3"/>
    <x v="13"/>
    <x v="1"/>
    <s v="హిందూ"/>
    <x v="0"/>
    <s v="ramalakshmi"/>
    <n v="9548378952"/>
    <x v="1"/>
    <x v="3"/>
    <x v="1"/>
    <x v="1"/>
    <x v="1"/>
    <x v="1"/>
    <s v="రోడ్లు వేయటం, విద్య రంగం అభివృద్ధి చేయటం, ఆరోగ్య రంగం అభివృద్ధి చేయటం"/>
    <x v="1"/>
    <x v="0"/>
    <x v="1"/>
    <x v="1"/>
    <x v="1"/>
    <x v="1"/>
    <s v="Deepika"/>
    <s v="Not Asking Some of the Questions"/>
    <s v="Q3 to 10 not asking , not asking properly"/>
    <x v="1"/>
    <n v="1.1705128247062893"/>
    <n v="1.0795332136445241"/>
    <n v="2.3577066232182737"/>
    <n v="2.1645021645021645"/>
    <n v="1.147984664167413"/>
    <n v="2.1840056363422229"/>
    <n v="25.80164641806067"/>
    <n v="-1"/>
    <n v="-1"/>
    <n v="-1"/>
    <n v="-1"/>
    <n v="-1"/>
    <n v="-1"/>
    <n v="-5.5"/>
    <n v="-6"/>
    <n v="-5"/>
    <n v="-4"/>
    <n v="-3"/>
    <s v="TDP HardCore"/>
  </r>
  <r>
    <s v="e6c238da-af3a-43d0-9f21-143ff19c71a6"/>
    <x v="4"/>
    <s v="23/01/2026, 16:53:08"/>
    <s v="16.429815, 81.719856"/>
    <s v="CPJ9+6X9, SakhinetiPalli, Andhra Pradesh, India"/>
    <x v="1"/>
    <s v="Naeem"/>
    <s v="http://164.52.221.216/localmedia/media/surveys/samples/recording_2026-01-23_16-51-15_samples_n90oBgBUm9.mp4"/>
    <x v="1"/>
    <x v="3"/>
    <x v="6"/>
    <x v="3"/>
    <s v="హిందూ"/>
    <x v="2"/>
    <s v="kadhar"/>
    <n v="999999999"/>
    <x v="0"/>
    <x v="3"/>
    <x v="1"/>
    <x v="1"/>
    <x v="1"/>
    <x v="0"/>
    <s v="రోడ్లు వేయటం, సంక్షేమ పథకాలు (నగదు)"/>
    <x v="0"/>
    <x v="1"/>
    <x v="0"/>
    <x v="1"/>
    <x v="0"/>
    <x v="1"/>
    <s v="Deepika"/>
    <s v="Correctly Done"/>
    <n v="0"/>
    <x v="0"/>
    <n v="1.1705128247062893"/>
    <n v="1.0795332136445241"/>
    <n v="0.86308903171383233"/>
    <n v="0.85034013605442171"/>
    <n v="1.147984664167413"/>
    <n v="0.79950206330384943"/>
    <n v="0.92148737207359532"/>
    <n v="-1"/>
    <n v="-1"/>
    <n v="1"/>
    <n v="1"/>
    <n v="-1"/>
    <n v="1"/>
    <n v="0.5"/>
    <n v="0"/>
    <n v="1"/>
    <n v="2"/>
    <s v="ND"/>
    <s v="ND"/>
  </r>
  <r>
    <s v="1efec9ed-13a6-4b46-b8ec-5872e5bb440c"/>
    <x v="4"/>
    <s v="23/01/2026, 16:57:04"/>
    <s v="16.355466, 81.728740"/>
    <s v="Sakhinetipalli - Antervedi Rd, Antervedi Pallipalem, Andhra Pradesh, India"/>
    <x v="4"/>
    <s v="Naeem"/>
    <s v="http://164.52.221.216/localmedia/media/surveys/samples/recording_2026-01-23_16-54-29_samples_nKlFq7jeMC.mp4"/>
    <x v="2"/>
    <x v="3"/>
    <x v="7"/>
    <x v="0"/>
    <s v="హిందూ"/>
    <x v="1"/>
    <s v="Raju"/>
    <n v="8121959983"/>
    <x v="0"/>
    <x v="4"/>
    <x v="1"/>
    <x v="1"/>
    <x v="1"/>
    <x v="1"/>
    <s v="రోడ్లు వేయటం, విద్య రంగం అభివృద్ధి చేయటం, ఆరోగ్య రంగం అభివృద్ధి చేయటం"/>
    <x v="1"/>
    <x v="0"/>
    <x v="1"/>
    <x v="1"/>
    <x v="1"/>
    <x v="1"/>
    <s v="Deepika"/>
    <s v="Correctly Done"/>
    <n v="0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5c3e0bc0-f303-41d7-8dd9-cf2dd932ba19"/>
    <x v="4"/>
    <s v="23/01/2026, 16:57:37"/>
    <s v="16.431205, 81.720430"/>
    <s v="CPJ9+6X9, SakhinetiPalli, Andhra Pradesh, India"/>
    <x v="1"/>
    <s v="Naeem"/>
    <s v="http://164.52.221.216/localmedia/media/surveys/samples/recording_2026-01-23_16-56-11_samples_EKoiFCik0D.mp4"/>
    <x v="1"/>
    <x v="3"/>
    <x v="6"/>
    <x v="2"/>
    <s v="హిందూ"/>
    <x v="3"/>
    <s v="pani"/>
    <n v="9999999999"/>
    <x v="0"/>
    <x v="1"/>
    <x v="1"/>
    <x v="1"/>
    <x v="0"/>
    <x v="0"/>
    <s v="రోడ్లు వేయటం, విద్య రంగం అభివృద్ధి చేయటం"/>
    <x v="0"/>
    <x v="0"/>
    <x v="0"/>
    <x v="0"/>
    <x v="0"/>
    <x v="0"/>
    <s v="Deepika"/>
    <s v="Not Doing It Properly"/>
    <s v="Q11,12 kept his own"/>
    <x v="0"/>
    <n v="1.1705128247062893"/>
    <n v="1.8055837563451775"/>
    <n v="1.4435679386658844"/>
    <n v="0.85034013605442171"/>
    <n v="1.147984664167413"/>
    <n v="0.79950206330384943"/>
    <n v="0.92148737207359532"/>
    <n v="-1"/>
    <n v="1"/>
    <n v="1"/>
    <n v="1"/>
    <n v="1"/>
    <n v="1"/>
    <n v="3.5"/>
    <n v="4"/>
    <n v="3"/>
    <n v="4"/>
    <n v="2"/>
    <s v="YSRCP Sympathiser"/>
  </r>
  <r>
    <s v="d9be4c14-cff9-40ca-82f1-302556ec695a"/>
    <x v="4"/>
    <s v="23/01/2026, 17:00:37"/>
    <s v="16.431761, 81.721279"/>
    <s v="CPJC+JHV, SakhinetiPalli, Andhra Pradesh, India"/>
    <x v="1"/>
    <s v="Naeem"/>
    <s v="http://164.52.221.216/localmedia/media/surveys/samples/recording_2026-01-23_16-59-44_samples_stMWm3tfxT.mp4"/>
    <x v="1"/>
    <x v="3"/>
    <x v="6"/>
    <x v="0"/>
    <s v="హిందూ"/>
    <x v="1"/>
    <s v="srinu"/>
    <n v="9999999999"/>
    <x v="0"/>
    <x v="1"/>
    <x v="1"/>
    <x v="1"/>
    <x v="1"/>
    <x v="1"/>
    <s v="రోడ్లు వేయటం, ఉద్యొగ్య అవకాశాలు కల్పించటం, సంక్షేమ పథకాలు (నగదు)"/>
    <x v="1"/>
    <x v="0"/>
    <x v="1"/>
    <x v="1"/>
    <x v="1"/>
    <x v="1"/>
    <s v="Deepika"/>
    <s v="Correctly Done"/>
    <n v="0"/>
    <x v="0"/>
    <n v="1.1705128247062893"/>
    <n v="1.0795332136445241"/>
    <n v="0.86308903171383233"/>
    <n v="0.85034013605442171"/>
    <n v="1.147984664167413"/>
    <n v="0.79950206330384943"/>
    <n v="0.92148737207359532"/>
    <n v="-1"/>
    <n v="-1"/>
    <n v="-1"/>
    <n v="-1"/>
    <n v="-1"/>
    <n v="-1"/>
    <n v="-5.5"/>
    <n v="-6"/>
    <n v="-5"/>
    <n v="-4"/>
    <n v="-3"/>
    <s v="TDP HardCore"/>
  </r>
  <r>
    <s v="089e28bb-fa7c-47c6-8dce-a54d0a2912ef"/>
    <x v="4"/>
    <s v="23/01/2026, 17:02:33"/>
    <s v="16.431186, 81.720641"/>
    <s v="CPJC+MC9, SakhinetiPalli, Andhra Pradesh, India"/>
    <x v="1"/>
    <s v="Naeem"/>
    <s v="http://164.52.221.216/localmedia/media/surveys/samples/recording_2026-01-23_17-01-18_samples_v9MaDljikg.mp4"/>
    <x v="7"/>
    <x v="0"/>
    <x v="11"/>
    <x v="1"/>
    <s v="హిందూ"/>
    <x v="1"/>
    <s v="kavitha"/>
    <n v="9999999999"/>
    <x v="1"/>
    <x v="1"/>
    <x v="1"/>
    <x v="0"/>
    <x v="0"/>
    <x v="0"/>
    <s v="రోడ్లు వేయటం, ఆరోగ్య రంగం అభివృద్ధి చేయటం, సంక్షేమ పథకాలు (నగదు)"/>
    <x v="0"/>
    <x v="1"/>
    <x v="0"/>
    <x v="0"/>
    <x v="2"/>
    <x v="2"/>
    <s v="Deepika"/>
    <s v="Not Doing It Properly"/>
    <s v="surveyor asking questions but respindent not there"/>
    <x v="0"/>
    <n v="1.0786696182614144"/>
    <n v="1.8055837563451775"/>
    <n v="1.9476283411958633"/>
    <n v="2.1645021645021645"/>
    <n v="1.9264642089343564"/>
    <n v="1.0786696182614144"/>
    <n v="2.0073657868087529"/>
    <n v="1"/>
    <n v="1"/>
    <n v="1"/>
    <n v="1"/>
    <n v="1"/>
    <n v="1"/>
    <n v="5.5"/>
    <n v="6"/>
    <n v="5"/>
    <n v="4"/>
    <n v="3"/>
    <s v="YSRCP HardCore"/>
  </r>
  <r>
    <s v="eff00960-68f1-4aa5-bec1-343a262d3f87"/>
    <x v="4"/>
    <s v="23/01/2026, 17:05:43"/>
    <s v="16.401231, 81.798686"/>
    <s v="V.V, Antarvedipalem, Andhra Pradesh, India"/>
    <x v="5"/>
    <s v="Naeem"/>
    <s v="http://164.52.221.216/localmedia/media/surveys/samples/recording_2026-01-23_17-02-25_samples_I7fsVe8071.mp4"/>
    <x v="1"/>
    <x v="3"/>
    <x v="13"/>
    <x v="0"/>
    <s v="హిందూ"/>
    <x v="0"/>
    <s v="lalitha"/>
    <n v="9985438474"/>
    <x v="1"/>
    <x v="3"/>
    <x v="1"/>
    <x v="1"/>
    <x v="1"/>
    <x v="1"/>
    <s v="రోడ్లు వేయటం, శాంతి భద్రతలను కాపాడటం, విద్య రంగం అభివృద్ధి చేయటం, ఆరోగ్య రంగం అభివృద్ధి చేయటం"/>
    <x v="1"/>
    <x v="0"/>
    <x v="1"/>
    <x v="1"/>
    <x v="1"/>
    <x v="1"/>
    <s v="Bhagya"/>
    <s v="Fake Audio/Empty Audio"/>
    <n v="0"/>
    <x v="1"/>
    <n v="1.1705128247062893"/>
    <n v="1.0795332136445241"/>
    <n v="2.3577066232182737"/>
    <n v="2.1645021645021645"/>
    <n v="1.147984664167413"/>
    <n v="2.1840056363422229"/>
    <n v="25.80164641806067"/>
    <n v="-1"/>
    <n v="-1"/>
    <n v="-1"/>
    <n v="-1"/>
    <n v="-1"/>
    <n v="-1"/>
    <n v="-5.5"/>
    <n v="-6"/>
    <n v="-5"/>
    <n v="-4"/>
    <n v="-3"/>
    <s v="TDP HardCore"/>
  </r>
  <r>
    <s v="ca4bdcb9-01a2-4987-8067-fd269f0aa895"/>
    <x v="4"/>
    <s v="23/01/2026, 17:06:21"/>
    <s v="16.430358, 81.719624"/>
    <s v="CPJ9+6X9, SakhinetiPalli, Andhra Pradesh, India"/>
    <x v="1"/>
    <s v="Naeem"/>
    <s v="http://164.52.221.216/localmedia/media/surveys/samples/recording_2026-01-23_17-04-02_samples_e5OTmtd3GV.mp4"/>
    <x v="6"/>
    <x v="3"/>
    <x v="6"/>
    <x v="0"/>
    <s v="హిందూ"/>
    <x v="1"/>
    <s v="jevajalam"/>
    <n v="9999999999"/>
    <x v="0"/>
    <x v="1"/>
    <x v="1"/>
    <x v="1"/>
    <x v="0"/>
    <x v="1"/>
    <s v="రోడ్లు వేయటం, ఉద్యొగ్య అవకాశాలు కల్పించటం, ఆరోగ్య రంగం అభివృద్ధి చేయటం"/>
    <x v="1"/>
    <x v="0"/>
    <x v="1"/>
    <x v="1"/>
    <x v="1"/>
    <x v="1"/>
    <s v="Bhagya"/>
    <s v="Not Doing It Properly"/>
    <s v="Not letting respondent to finish speaking"/>
    <x v="0"/>
    <n v="1.2612194085121222"/>
    <n v="1.0795332136445241"/>
    <n v="0.92029223709519836"/>
    <n v="0.85034013605442171"/>
    <n v="1.147984664167413"/>
    <n v="0.85249089649430487"/>
    <n v="0.41451794778650441"/>
    <n v="-1"/>
    <n v="1"/>
    <n v="-1"/>
    <n v="-1"/>
    <n v="-1"/>
    <n v="-1"/>
    <n v="-3.5"/>
    <n v="-4"/>
    <n v="-5"/>
    <n v="-4"/>
    <n v="-3"/>
    <s v="TDP Sympathiser"/>
  </r>
  <r>
    <s v="13a6120c-da47-4991-b91d-c247315c7831"/>
    <x v="4"/>
    <s v="23/01/2026, 17:08:36"/>
    <s v="16.429562, 81.719768"/>
    <s v="CPH9+PHX, SakhinetiPalli, Andhra Pradesh, India"/>
    <x v="1"/>
    <s v="Naeem"/>
    <s v="http://164.52.221.216/localmedia/media/surveys/samples/recording_2026-01-23_17-07-43_samples_CdLXwuUd1w.mp4"/>
    <x v="8"/>
    <x v="3"/>
    <x v="6"/>
    <x v="1"/>
    <s v="క్రిస్టియన్"/>
    <x v="1"/>
    <s v="ravali"/>
    <n v="9999999999"/>
    <x v="1"/>
    <x v="2"/>
    <x v="2"/>
    <x v="0"/>
    <x v="1"/>
    <x v="0"/>
    <s v="రోడ్లు వేయటం, శాంతి భద్రతలను కాపాడటం, వ్యవసాయం, రైతు బాగుండడం"/>
    <x v="1"/>
    <x v="1"/>
    <x v="0"/>
    <x v="1"/>
    <x v="1"/>
    <x v="1"/>
    <s v="Bhagya"/>
    <s v="Fake Audio/Empty Audio"/>
    <s v="Just saying out questions out loud and entering on his own"/>
    <x v="1"/>
    <n v="0.80207032429970992"/>
    <n v="1.0795332136445241"/>
    <n v="1.2733258158237817"/>
    <n v="2.1645021645021645"/>
    <n v="1.147984664167413"/>
    <n v="1.1795151827936912"/>
    <n v="1.9259322700153538"/>
    <n v="1"/>
    <n v="-1"/>
    <n v="1"/>
    <n v="-1"/>
    <n v="-1"/>
    <n v="1"/>
    <n v="0.5"/>
    <n v="0"/>
    <n v="1"/>
    <n v="0"/>
    <n v="2"/>
    <s v="Neutral YSRCP"/>
  </r>
  <r>
    <s v="715792c1-57dd-4fc9-8673-ffa10b1bf418"/>
    <x v="4"/>
    <s v="23/01/2026, 17:12:25"/>
    <s v="16.356032, 81.728876"/>
    <s v="Sakhinetipalli - Antervedi Rd, Antervedi Pallipalem, Andhra Pradesh, India"/>
    <x v="4"/>
    <s v="Naeem"/>
    <s v="http://164.52.221.216/localmedia/media/surveys/samples/recording_2026-01-23_17-10-18_samples_OCpgvctyEC.mp4"/>
    <x v="6"/>
    <x v="3"/>
    <x v="7"/>
    <x v="5"/>
    <s v="హిందూ"/>
    <x v="3"/>
    <s v="v mounika"/>
    <n v="9948597790"/>
    <x v="1"/>
    <x v="5"/>
    <x v="0"/>
    <x v="1"/>
    <x v="1"/>
    <x v="1"/>
    <s v="ఉద్యొగ్య అవకాశాలు కల్పించటం, ఆరోగ్య రంగం అభివృద్ధి చేయటం, వ్యవసాయం, రైతు బాగుండడం"/>
    <x v="1"/>
    <x v="0"/>
    <x v="1"/>
    <x v="3"/>
    <x v="1"/>
    <x v="1"/>
    <s v="Bhagya"/>
    <s v="Not Asking Some of the Questions"/>
    <s v="Q3,5,7,8,9 entered on his own"/>
    <x v="1"/>
    <n v="1.2612194085121222"/>
    <n v="0.66153846153846207"/>
    <n v="1.6028209406152043"/>
    <n v="2.1645021645021645"/>
    <n v="1.147984664167413"/>
    <n v="2.4228688637206557"/>
    <n v="2.2107623881946901"/>
    <n v="-1"/>
    <n v="-1"/>
    <n v="-1"/>
    <n v="-1"/>
    <n v="-1"/>
    <n v="-1"/>
    <n v="-5.5"/>
    <n v="-6"/>
    <n v="-5"/>
    <n v="-4"/>
    <n v="-3"/>
    <s v="TDP HardCore"/>
  </r>
  <r>
    <s v="515b1e1e-109f-4d7a-9bff-07189a40d31a"/>
    <x v="4"/>
    <s v="23/01/2026, 17:20:11"/>
    <s v="16.357473, 81.728763"/>
    <s v="Sakhinetipalli - Antervedi Rd, Antervedi Pallipalem, Andhra Pradesh, India"/>
    <x v="4"/>
    <s v="Naeem"/>
    <s v="http://164.52.221.216/localmedia/media/surveys/samples/recording_2026-01-23_17-18-18_samples_dxbR7phJbF.mp4"/>
    <x v="6"/>
    <x v="3"/>
    <x v="7"/>
    <x v="0"/>
    <s v="హిందూ"/>
    <x v="1"/>
    <s v="sravani"/>
    <n v="9618053268"/>
    <x v="1"/>
    <x v="4"/>
    <x v="0"/>
    <x v="1"/>
    <x v="1"/>
    <x v="0"/>
    <s v="ఉద్యొగ్య అవకాశాలు కల్పించటం, ఆరోగ్య రంగం అభివృద్ధి చేయటం, వ్యవసాయం, రైతు బాగుండడం"/>
    <x v="1"/>
    <x v="0"/>
    <x v="1"/>
    <x v="1"/>
    <x v="1"/>
    <x v="1"/>
    <s v="Bhagya"/>
    <s v="Fake Audio/Empty Audio"/>
    <n v="0"/>
    <x v="1"/>
    <n v="1.2612194085121222"/>
    <n v="1.0795332136445241"/>
    <n v="2.6155674106916162"/>
    <n v="2.1645021645021645"/>
    <n v="1.147984664167413"/>
    <n v="2.4228688637206557"/>
    <n v="2.2107623881946901"/>
    <n v="-1"/>
    <n v="-1"/>
    <n v="1"/>
    <n v="-1"/>
    <n v="-1"/>
    <n v="-1"/>
    <n v="-3.5"/>
    <n v="-4"/>
    <n v="-3"/>
    <n v="-2"/>
    <n v="-3"/>
    <s v="Neutral TDP"/>
  </r>
  <r>
    <s v="7cad93ac-6a8d-4455-82b3-ccdc621a5ff7"/>
    <x v="4"/>
    <s v="23/01/2026, 17:22:48"/>
    <s v="16.404264, 81.800388"/>
    <s v="CQ3X+RX8, Antarvedipalem, Andhra Pradesh, India"/>
    <x v="5"/>
    <s v="Naeem"/>
    <s v="http://164.52.221.216/localmedia/media/surveys/samples/recording_2026-01-23_17-19-21_samples_JhUtSAcGhW.mp4"/>
    <x v="1"/>
    <x v="3"/>
    <x v="13"/>
    <x v="6"/>
    <s v="హిందూ"/>
    <x v="1"/>
    <s v="jaysree"/>
    <n v="7749527345"/>
    <x v="1"/>
    <x v="3"/>
    <x v="1"/>
    <x v="1"/>
    <x v="1"/>
    <x v="1"/>
    <s v="రోడ్లు వేయటం"/>
    <x v="1"/>
    <x v="0"/>
    <x v="1"/>
    <x v="1"/>
    <x v="1"/>
    <x v="1"/>
    <s v="Bhagya"/>
    <s v="Fake Audio/Empty Audio"/>
    <n v="0"/>
    <x v="1"/>
    <n v="1.1705128247062893"/>
    <n v="1.0795332136445241"/>
    <n v="2.3577066232182737"/>
    <n v="2.1645021645021645"/>
    <n v="1.147984664167413"/>
    <n v="2.1840056363422229"/>
    <n v="25.80164641806067"/>
    <n v="-1"/>
    <n v="-1"/>
    <n v="-1"/>
    <n v="-1"/>
    <n v="-1"/>
    <n v="-1"/>
    <n v="-5.5"/>
    <n v="-6"/>
    <n v="-5"/>
    <n v="-4"/>
    <n v="-3"/>
    <s v="TDP HardCore"/>
  </r>
  <r>
    <s v="ae911852-a863-4681-9c1a-987588495af6"/>
    <x v="4"/>
    <s v="23/01/2026, 17:27:04"/>
    <s v="16.357997, 81.728681"/>
    <s v="9P5H+Q7H, Gondi, Andhra Pradesh, India"/>
    <x v="4"/>
    <s v="Naeem"/>
    <s v="http://164.52.221.216/localmedia/media/surveys/samples/recording_2026-01-23_17-24-34_samples_71a06QOHbS.mp4"/>
    <x v="6"/>
    <x v="3"/>
    <x v="7"/>
    <x v="3"/>
    <s v="హిందూ"/>
    <x v="2"/>
    <s v="venkateswararao"/>
    <n v="8008355795"/>
    <x v="0"/>
    <x v="4"/>
    <x v="1"/>
    <x v="1"/>
    <x v="1"/>
    <x v="1"/>
    <s v="రోడ్లు వేయటం, ఆరోగ్య రంగం అభివృద్ధి చేయటం, వ్యవసాయం, రైతు బాగుండడం"/>
    <x v="1"/>
    <x v="0"/>
    <x v="1"/>
    <x v="1"/>
    <x v="1"/>
    <x v="1"/>
    <s v="Bhagya"/>
    <s v="Correctly Done"/>
    <s v="Skipped Q8,9 questions"/>
    <x v="0"/>
    <n v="1.2612194085121222"/>
    <n v="1.0795332136445241"/>
    <n v="0.92029223709519836"/>
    <n v="0.85034013605442171"/>
    <n v="1.147984664167413"/>
    <n v="0.85249089649430487"/>
    <n v="0.41451794778650441"/>
    <n v="-1"/>
    <n v="-1"/>
    <n v="-1"/>
    <n v="-1"/>
    <n v="-1"/>
    <n v="-1"/>
    <n v="-5.5"/>
    <n v="-6"/>
    <n v="-5"/>
    <n v="-4"/>
    <n v="-3"/>
    <s v="TDP HardCore"/>
  </r>
  <r>
    <s v="d2345a80-c08c-491c-b36b-c18bd67953bf"/>
    <x v="4"/>
    <s v="23/01/2026, 17:28:27"/>
    <s v="16.404589, 81.804426"/>
    <s v="CR33+WV8, Antarvedipalem, Andhra Pradesh, India"/>
    <x v="5"/>
    <s v="Naeem"/>
    <s v="http://164.52.221.216/localmedia/media/surveys/samples/recording_2026-01-23_17-26-35_samples_lqBVatarID.mp4"/>
    <x v="1"/>
    <x v="3"/>
    <x v="13"/>
    <x v="1"/>
    <s v="హిందూ"/>
    <x v="0"/>
    <s v="pullamma"/>
    <n v="9618715671"/>
    <x v="1"/>
    <x v="3"/>
    <x v="1"/>
    <x v="1"/>
    <x v="1"/>
    <x v="1"/>
    <s v="రోడ్లు వేయటం, విద్య రంగం అభివృద్ధి చేయటం, ఆరోగ్య రంగం అభివృద్ధి చేయటం"/>
    <x v="1"/>
    <x v="0"/>
    <x v="1"/>
    <x v="1"/>
    <x v="1"/>
    <x v="1"/>
    <s v="Bhagya"/>
    <s v="Fake Audio/Empty Audio"/>
    <n v="0"/>
    <x v="1"/>
    <n v="1.1705128247062893"/>
    <n v="1.0795332136445241"/>
    <n v="2.3577066232182737"/>
    <n v="2.1645021645021645"/>
    <n v="1.147984664167413"/>
    <n v="2.1840056363422229"/>
    <n v="25.80164641806067"/>
    <n v="-1"/>
    <n v="-1"/>
    <n v="-1"/>
    <n v="-1"/>
    <n v="-1"/>
    <n v="-1"/>
    <n v="-5.5"/>
    <n v="-6"/>
    <n v="-5"/>
    <n v="-4"/>
    <n v="-3"/>
    <s v="TDP HardCore"/>
  </r>
  <r>
    <s v="021fd4cf-4114-43c5-966a-ef38c1e8ec43"/>
    <x v="4"/>
    <s v="23/01/2026, 17:31:01"/>
    <s v="16.358544, 81.728548"/>
    <s v="9P5H+Q7H, Gondi, Andhra Pradesh, India"/>
    <x v="4"/>
    <s v="Naeem"/>
    <s v="http://164.52.221.216/localmedia/media/surveys/samples/recording_2026-01-23_17-29-14_samples_g3ZpkBwN36.mp4"/>
    <x v="6"/>
    <x v="3"/>
    <x v="7"/>
    <x v="0"/>
    <s v="హిందూ"/>
    <x v="0"/>
    <s v="narayayana"/>
    <n v="6308549660"/>
    <x v="0"/>
    <x v="4"/>
    <x v="1"/>
    <x v="1"/>
    <x v="1"/>
    <x v="1"/>
    <s v="ఉద్యొగ్య అవకాశాలు కల్పించటం, విద్య రంగం అభివృద్ధి చేయటం, ఆరోగ్య రంగం అభివృద్ధి చేయటం"/>
    <x v="1"/>
    <x v="0"/>
    <x v="1"/>
    <x v="1"/>
    <x v="1"/>
    <x v="1"/>
    <s v="Bhagya"/>
    <s v="Fake Audio/Empty Audio"/>
    <n v="0"/>
    <x v="1"/>
    <n v="1.2612194085121222"/>
    <n v="1.0795332136445241"/>
    <n v="0.92029223709519836"/>
    <n v="0.85034013605442171"/>
    <n v="1.147984664167413"/>
    <n v="0.85249089649430487"/>
    <n v="0.41451794778650441"/>
    <n v="-1"/>
    <n v="-1"/>
    <n v="-1"/>
    <n v="-1"/>
    <n v="-1"/>
    <n v="-1"/>
    <n v="-5.5"/>
    <n v="-6"/>
    <n v="-5"/>
    <n v="-4"/>
    <n v="-3"/>
    <s v="TDP HardCore"/>
  </r>
  <r>
    <s v="a6b1bbc1-2055-4916-b022-1cfefc4cbde0"/>
    <x v="4"/>
    <s v="23/01/2026, 17:33:17"/>
    <s v="16.405337, 81.805807"/>
    <s v="SHOP NO. 5, SAKHINETIPALLI MANDAL, Andhra Pradesh, India"/>
    <x v="5"/>
    <s v="Naeem"/>
    <s v="http://164.52.221.216/localmedia/media/surveys/samples/recording_2026-01-23_17-30-27_samples_TxgPacjcFl.mp4"/>
    <x v="7"/>
    <x v="3"/>
    <x v="13"/>
    <x v="0"/>
    <s v="No response"/>
    <x v="4"/>
    <s v="No response"/>
    <s v="No response"/>
    <x v="2"/>
    <x v="3"/>
    <x v="1"/>
    <x v="1"/>
    <x v="1"/>
    <x v="1"/>
    <s v="రోడ్లు వేయటం, విద్య రంగం అభివృద్ధి చేయటం, ఆరోగ్య రంగం అభివృద్ధి చేయటం"/>
    <x v="1"/>
    <x v="0"/>
    <x v="1"/>
    <x v="1"/>
    <x v="1"/>
    <x v="1"/>
    <s v="Ashish"/>
    <s v="Not Asking Some of the Questions"/>
    <s v="Q2,3,5 kept on his own"/>
    <x v="1"/>
    <n v="1.0786696182614144"/>
    <n v="1.0795332136445241"/>
    <e v="#N/A"/>
    <e v="#N/A"/>
    <n v="1.147984664167413"/>
    <e v="#N/A"/>
    <e v="#N/A"/>
    <n v="-1"/>
    <n v="-1"/>
    <n v="-1"/>
    <n v="-1"/>
    <n v="-1"/>
    <n v="-1"/>
    <n v="-5.5"/>
    <n v="-6"/>
    <n v="-5"/>
    <n v="-4"/>
    <n v="-3"/>
    <s v="TDP HardCore"/>
  </r>
  <r>
    <s v="d3d5ac08-5ef2-49b8-b3a8-63484e28bf5f"/>
    <x v="4"/>
    <s v="23/01/2026, 17:45:39"/>
    <s v="16.359934, 81.729336"/>
    <s v="9P5H+PCR, Antervedi Pallipalem, Andhra Pradesh, India"/>
    <x v="4"/>
    <s v="Naeem"/>
    <s v="http://164.52.221.216/localmedia/media/surveys/samples/recording_2026-01-23_17-43-23_samples_oAueKiKU06.mp4"/>
    <x v="2"/>
    <x v="3"/>
    <x v="7"/>
    <x v="0"/>
    <s v="హిందూ"/>
    <x v="1"/>
    <s v="baburao"/>
    <n v="8008569320"/>
    <x v="0"/>
    <x v="4"/>
    <x v="1"/>
    <x v="1"/>
    <x v="1"/>
    <x v="0"/>
    <s v="రోడ్లు వేయటం, ఉద్యొగ్య అవకాశాలు కల్పించటం, ఆరోగ్య రంగం అభివృద్ధి చేయటం"/>
    <x v="1"/>
    <x v="0"/>
    <x v="1"/>
    <x v="1"/>
    <x v="1"/>
    <x v="1"/>
    <s v="Deepika"/>
    <s v="Fake Audio/Empty Audio"/>
    <n v="0"/>
    <x v="1"/>
    <n v="1.1461625511156397"/>
    <n v="1.0795332136445241"/>
    <n v="0.77721139583220644"/>
    <n v="0.85034013605442171"/>
    <n v="1.147984664167413"/>
    <n v="0.71995135120329123"/>
    <n v="0.54319084681293095"/>
    <n v="-1"/>
    <n v="-1"/>
    <n v="1"/>
    <n v="-1"/>
    <n v="-1"/>
    <n v="-1"/>
    <n v="-3.5"/>
    <n v="-4"/>
    <n v="-3"/>
    <n v="-2"/>
    <n v="-3"/>
    <s v="Neutral TDP"/>
  </r>
  <r>
    <s v="4a006dee-5c3c-4e78-9fb9-71079590ac99"/>
    <x v="4"/>
    <s v="23/01/2026, 17:46:06"/>
    <s v="16.404419, 81.802812"/>
    <s v="CR33+Q5H, Antarvedipalem, Andhra Pradesh, India"/>
    <x v="5"/>
    <s v="Naeem"/>
    <s v="http://164.52.221.216/localmedia/media/surveys/samples/recording_2026-01-23_17-43-20_samples_y7xLkgKSuj.mp4"/>
    <x v="2"/>
    <x v="3"/>
    <x v="13"/>
    <x v="0"/>
    <s v="హిందూ"/>
    <x v="1"/>
    <s v="prasad"/>
    <n v="7995101925"/>
    <x v="0"/>
    <x v="3"/>
    <x v="1"/>
    <x v="1"/>
    <x v="1"/>
    <x v="1"/>
    <s v="రోడ్లు వేయటం, ఉద్యొగ్య అవకాశాలు కల్పించటం, విద్య రంగం అభివృద్ధి చేయటం, ఆరోగ్య రంగం అభివృద్ధి చేయటం"/>
    <x v="1"/>
    <x v="0"/>
    <x v="1"/>
    <x v="1"/>
    <x v="1"/>
    <x v="1"/>
    <s v="Deepika"/>
    <s v="Correctly Done"/>
    <n v="0"/>
    <x v="0"/>
    <n v="1.1461625511156397"/>
    <n v="1.0795332136445241"/>
    <n v="0.77721139583220644"/>
    <n v="0.85034013605442171"/>
    <n v="1.147984664167413"/>
    <n v="0.71995135120329123"/>
    <n v="0.54319084681293095"/>
    <n v="-1"/>
    <n v="-1"/>
    <n v="-1"/>
    <n v="-1"/>
    <n v="-1"/>
    <n v="-1"/>
    <n v="-5.5"/>
    <n v="-6"/>
    <n v="-5"/>
    <n v="-4"/>
    <n v="-3"/>
    <s v="TDP HardCore"/>
  </r>
  <r>
    <s v="dcb09a97-7126-4ba1-93c5-3f2000abae48"/>
    <x v="4"/>
    <s v="23/01/2026, 17:55:13"/>
    <s v="16.360678, 81.729056"/>
    <s v="9P6H+GC9, Gondi, Andhra Pradesh, India"/>
    <x v="4"/>
    <s v="Naeem"/>
    <s v="http://164.52.221.216/localmedia/media/surveys/samples/recording_2026-01-23_17-52-32_samples_xpLj8qvz4c.mp4"/>
    <x v="6"/>
    <x v="3"/>
    <x v="7"/>
    <x v="0"/>
    <s v="హిందూ"/>
    <x v="1"/>
    <s v="tirumala narayanamurthy"/>
    <n v="7093916493"/>
    <x v="0"/>
    <x v="2"/>
    <x v="1"/>
    <x v="1"/>
    <x v="1"/>
    <x v="1"/>
    <s v="రోడ్లు వేయటం, విద్య రంగం అభివృద్ధి చేయటం, వ్యవసాయం, రైతు బాగుండడం"/>
    <x v="1"/>
    <x v="0"/>
    <x v="1"/>
    <x v="1"/>
    <x v="1"/>
    <x v="1"/>
    <s v="Deepika"/>
    <s v="Correctly Done"/>
    <n v="0"/>
    <x v="0"/>
    <n v="1.2612194085121222"/>
    <n v="1.0795332136445241"/>
    <n v="0.92029223709519836"/>
    <n v="0.85034013605442171"/>
    <n v="1.147984664167413"/>
    <n v="0.85249089649430487"/>
    <n v="0.41451794778650441"/>
    <n v="-1"/>
    <n v="-1"/>
    <n v="-1"/>
    <n v="-1"/>
    <n v="-1"/>
    <n v="-1"/>
    <n v="-5.5"/>
    <n v="-6"/>
    <n v="-5"/>
    <n v="-4"/>
    <n v="-3"/>
    <s v="TDP HardCore"/>
  </r>
  <r>
    <s v="5201ecb5-6982-4d69-97e9-bf5aeb8cd258"/>
    <x v="4"/>
    <s v="23/01/2026, 18:05:46"/>
    <s v="16.359726, 81.728962"/>
    <s v="9P5H+PCR, Antervedi Pallipalem, Andhra Pradesh, India"/>
    <x v="4"/>
    <s v="Naeem"/>
    <s v="http://164.52.221.216/localmedia/media/surveys/samples/recording_2026-01-23_18-03-13_samples_xDjzo0o6uR.mp4"/>
    <x v="6"/>
    <x v="3"/>
    <x v="7"/>
    <x v="3"/>
    <s v="హిందూ"/>
    <x v="0"/>
    <s v="nagaraju"/>
    <n v="9908407212"/>
    <x v="0"/>
    <x v="4"/>
    <x v="1"/>
    <x v="1"/>
    <x v="1"/>
    <x v="1"/>
    <s v="రోడ్లు వేయటం, విద్య రంగం అభివృద్ధి చేయటం, సంక్షేమ పథకాలు (నగదు)"/>
    <x v="1"/>
    <x v="0"/>
    <x v="1"/>
    <x v="1"/>
    <x v="1"/>
    <x v="1"/>
    <s v="Deepika"/>
    <s v="Not Doing It Properly"/>
    <s v="Q7,8 kept his own"/>
    <x v="0"/>
    <n v="1.2612194085121222"/>
    <n v="1.0795332136445241"/>
    <n v="0.92029223709519836"/>
    <n v="0.85034013605442171"/>
    <n v="1.147984664167413"/>
    <n v="0.85249089649430487"/>
    <n v="0.41451794778650441"/>
    <n v="-1"/>
    <n v="-1"/>
    <n v="-1"/>
    <n v="-1"/>
    <n v="-1"/>
    <n v="-1"/>
    <n v="-5.5"/>
    <n v="-6"/>
    <n v="-5"/>
    <n v="-4"/>
    <n v="-3"/>
    <s v="TDP HardCore"/>
  </r>
  <r>
    <s v="6c857e08-767e-458f-a3b3-33638a152b2b"/>
    <x v="4"/>
    <s v="23/01/2026, 18:11:04"/>
    <s v="16.359447, 81.728486"/>
    <s v="9P5H+PCR, Antervedi Pallipalem, Andhra Pradesh, India"/>
    <x v="4"/>
    <s v="Naeem"/>
    <s v="http://164.52.221.216/localmedia/media/surveys/samples/recording_2026-01-23_18-09-07_samples_j6R6RCVQWE.mp4"/>
    <x v="0"/>
    <x v="3"/>
    <x v="7"/>
    <x v="0"/>
    <s v="క్రిస్టియన్"/>
    <x v="0"/>
    <s v="veeramma"/>
    <n v="8096782311"/>
    <x v="1"/>
    <x v="4"/>
    <x v="1"/>
    <x v="1"/>
    <x v="1"/>
    <x v="1"/>
    <s v="రోడ్లు వేయటం, విద్య రంగం అభివృద్ధి చేయటం, ఆరోగ్య రంగం అభివృద్ధి చేయటం"/>
    <x v="1"/>
    <x v="0"/>
    <x v="1"/>
    <x v="1"/>
    <x v="1"/>
    <x v="1"/>
    <s v="Deepika"/>
    <s v="Fake Audio/Empty Audio"/>
    <n v="0"/>
    <x v="1"/>
    <n v="1.3836274505214585"/>
    <n v="1.0795332136445241"/>
    <n v="2.0811826914865059"/>
    <n v="2.1645021645021645"/>
    <n v="1.147984664167413"/>
    <n v="1.9278542477265657"/>
    <n v="3.2048072590163397"/>
    <n v="-1"/>
    <n v="-1"/>
    <n v="-1"/>
    <n v="-1"/>
    <n v="-1"/>
    <n v="-1"/>
    <n v="-5.5"/>
    <n v="-6"/>
    <n v="-5"/>
    <n v="-4"/>
    <n v="-3"/>
    <s v="TDP HardCore"/>
  </r>
  <r>
    <s v="09bdf8d5-296a-463b-b25b-5e868339fcd0"/>
    <x v="4"/>
    <s v="23/01/2026, 18:22:04"/>
    <s v="16.356616, 81.728846"/>
    <s v="Sakhinetipalli - Antervedi Rd, Antervedi Pallipalem, Andhra Pradesh, India"/>
    <x v="4"/>
    <s v="Naeem"/>
    <s v="http://164.52.221.216/localmedia/media/surveys/samples/recording_2026-01-23_18-20-04_samples_LDRPPygCS9.mp4"/>
    <x v="3"/>
    <x v="3"/>
    <x v="7"/>
    <x v="1"/>
    <s v="హిందూ"/>
    <x v="0"/>
    <s v="veeraraju"/>
    <n v="8688521393"/>
    <x v="0"/>
    <x v="4"/>
    <x v="1"/>
    <x v="1"/>
    <x v="1"/>
    <x v="1"/>
    <s v="రోడ్లు వేయటం, విద్య రంగం అభివృద్ధి చేయటం, ఆరోగ్య రంగం అభివృద్ధి చేయటం"/>
    <x v="1"/>
    <x v="0"/>
    <x v="1"/>
    <x v="1"/>
    <x v="1"/>
    <x v="1"/>
    <s v="Deepika"/>
    <s v="Fake Audio/Empty Audio"/>
    <n v="0"/>
    <x v="1"/>
    <n v="1.8452248965186235"/>
    <n v="1.0795332136445241"/>
    <n v="1.5651283704851411"/>
    <n v="0.85034013605442171"/>
    <n v="1.147984664167413"/>
    <n v="1.4498195615503471"/>
    <n v="2.9242991836792998"/>
    <n v="-1"/>
    <n v="-1"/>
    <n v="-1"/>
    <n v="-1"/>
    <n v="-1"/>
    <n v="-1"/>
    <n v="-5.5"/>
    <n v="-6"/>
    <n v="-5"/>
    <n v="-4"/>
    <n v="-3"/>
    <s v="TDP HardCore"/>
  </r>
  <r>
    <s v="f501881a-e53f-443e-811a-427157577aa7"/>
    <x v="5"/>
    <s v="1/24/2026, 1:01:56 PM"/>
    <s v="16.423581, 81.859396"/>
    <s v="CVF6+R5, Gudapalli, Andhra Pradesh, India"/>
    <x v="4"/>
    <s v="Naeem"/>
    <s v="http://164.52.221.216/localmedia/media/surveys/samples/recording_2026-01-24_13-00-05_samples_hWfAMaTjaE.mp4"/>
    <x v="2"/>
    <x v="0"/>
    <x v="14"/>
    <x v="0"/>
    <s v="హిందూ"/>
    <x v="1"/>
    <s v="ramesh"/>
    <n v="6301318500"/>
    <x v="0"/>
    <x v="5"/>
    <x v="1"/>
    <x v="1"/>
    <x v="0"/>
    <x v="0"/>
    <s v="రోడ్లు వేయటం, విద్య రంగం అభివృద్ధి చేయటం, ఆరోగ్య రంగం అభివృద్ధి చేయటం"/>
    <x v="1"/>
    <x v="0"/>
    <x v="1"/>
    <x v="1"/>
    <x v="1"/>
    <x v="1"/>
    <s v="Ashish"/>
    <s v="Correctly Done"/>
    <s v="Didn't ask caste"/>
    <x v="0"/>
    <n v="1.1461625511156397"/>
    <n v="1.0795332136445241"/>
    <n v="0.77721139583220644"/>
    <n v="0.85034013605442171"/>
    <n v="1.9264642089343564"/>
    <n v="0.71995135120329123"/>
    <n v="0.70534647283248642"/>
    <n v="-1"/>
    <n v="1"/>
    <n v="1"/>
    <n v="-1"/>
    <n v="-1"/>
    <n v="-1"/>
    <n v="-1.5"/>
    <n v="-2"/>
    <n v="-3"/>
    <n v="-2"/>
    <n v="-3"/>
    <s v="Neutral TDP"/>
  </r>
  <r>
    <s v="991af40d-50de-4637-ab0e-b49241109cfc"/>
    <x v="5"/>
    <s v="1/24/2026, 1:03:19 PM"/>
    <s v="16.466897, 81.880008"/>
    <s v="FV8H+QW, Aravapalem, Andhra Pradesh, India"/>
    <x v="0"/>
    <s v="Naeem"/>
    <s v="http://164.52.221.216/localmedia/media/surveys/samples/recording_2026-01-24_12-56-37_samples_5YuqqUgHSg.mp4"/>
    <x v="0"/>
    <x v="1"/>
    <x v="15"/>
    <x v="0"/>
    <s v="క్రిస్టియన్"/>
    <x v="0"/>
    <s v="s.raamesh"/>
    <n v="8179445385"/>
    <x v="0"/>
    <x v="2"/>
    <x v="2"/>
    <x v="1"/>
    <x v="0"/>
    <x v="0"/>
    <s v="రోడ్లు వేయటం, ఉద్యొగ్య అవకాశాలు కల్పించ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0"/>
    <x v="0"/>
    <x v="0"/>
    <x v="0"/>
    <x v="0"/>
    <x v="0"/>
    <s v="Bhagya"/>
    <s v="Correctly Done"/>
    <n v="0"/>
    <x v="0"/>
    <n v="1.3836274505214585"/>
    <n v="1.8055837563451775"/>
    <n v="1.9482662206881376"/>
    <n v="0.85034013605442171"/>
    <n v="1.1213131007097483"/>
    <n v="1.0790228998469584"/>
    <n v="0.90933567693352424"/>
    <n v="-1"/>
    <n v="1"/>
    <n v="1"/>
    <n v="1"/>
    <n v="1"/>
    <n v="1"/>
    <n v="3.5"/>
    <n v="4"/>
    <n v="3"/>
    <n v="4"/>
    <n v="2"/>
    <s v="YSRCP Sympathiser"/>
  </r>
  <r>
    <s v="31ed4e98-e261-4183-b935-86d32cdef316"/>
    <x v="5"/>
    <s v="1/24/2026, 1:05:06 PM"/>
    <s v="16.422172, 81.837587"/>
    <s v="No address"/>
    <x v="5"/>
    <s v="Naeem"/>
    <s v="http://164.52.221.216/localmedia/media/surveys/samples/recording_2026-01-24_13-00-29_samples_uT7h9uG4dw.mp4"/>
    <x v="1"/>
    <x v="0"/>
    <x v="0"/>
    <x v="3"/>
    <s v="హిందూ"/>
    <x v="0"/>
    <s v="challabayan suryaprakash rao"/>
    <n v="9000000000"/>
    <x v="0"/>
    <x v="2"/>
    <x v="2"/>
    <x v="1"/>
    <x v="1"/>
    <x v="1"/>
    <s v="రోడ్లు వేయటం, విద్య రంగం అభివృద్ధి చేయటం, వ్యవసాయం, రైతు బాగుండడం"/>
    <x v="1"/>
    <x v="0"/>
    <x v="1"/>
    <x v="1"/>
    <x v="1"/>
    <x v="1"/>
    <s v="Ashish"/>
    <s v="Correctly Done"/>
    <n v="0"/>
    <x v="0"/>
    <n v="1.1705128247062893"/>
    <n v="1.0795332136445241"/>
    <n v="0.86308903171383233"/>
    <n v="0.85034013605442171"/>
    <n v="1.9264642089343564"/>
    <n v="0.79950206330384943"/>
    <n v="1.1572126985895925"/>
    <n v="-1"/>
    <n v="-1"/>
    <n v="-1"/>
    <n v="-1"/>
    <n v="-1"/>
    <n v="-1"/>
    <n v="-5.5"/>
    <n v="-6"/>
    <n v="-5"/>
    <n v="-4"/>
    <n v="-3"/>
    <s v="TDP HardCore"/>
  </r>
  <r>
    <s v="ba3d9678-d6bf-4fc1-a27c-3f07b5781020"/>
    <x v="5"/>
    <s v="1/24/2026, 1:12:42 PM"/>
    <s v="16.422164, 81.836989"/>
    <s v="Alluri Vari St, Lakkavaram, Andhra Pradesh, India"/>
    <x v="5"/>
    <s v="Naeem"/>
    <s v="http://164.52.221.216/localmedia/media/surveys/samples/recording_2026-01-24_13-06-18_samples_AwN4B8KWDv.mp4"/>
    <x v="1"/>
    <x v="0"/>
    <x v="0"/>
    <x v="2"/>
    <s v="హిందూ"/>
    <x v="1"/>
    <s v="arjuna"/>
    <n v="7093526248"/>
    <x v="0"/>
    <x v="3"/>
    <x v="2"/>
    <x v="0"/>
    <x v="0"/>
    <x v="0"/>
    <s v="రోడ్లు వేయటం, ఉద్యొగ్య అవకాశాలు కల్పించటం, విద్య రంగం అభివృద్ధి చేయటం, ఆరోగ్య రంగం అభివృద్ధి చేయటం, వ్యవసాయం, రైతు బాగుండడం"/>
    <x v="0"/>
    <x v="0"/>
    <x v="0"/>
    <x v="0"/>
    <x v="0"/>
    <x v="0"/>
    <s v="Ashish"/>
    <s v="Correctly Done"/>
    <n v="0"/>
    <x v="0"/>
    <n v="1.1705128247062893"/>
    <n v="1.8055837563451775"/>
    <n v="1.4435679386658844"/>
    <n v="0.85034013605442171"/>
    <n v="1.9264642089343564"/>
    <n v="0.79950206330384943"/>
    <n v="1.1572126985895925"/>
    <n v="1"/>
    <n v="1"/>
    <n v="1"/>
    <n v="1"/>
    <n v="1"/>
    <n v="1"/>
    <n v="5.5"/>
    <n v="6"/>
    <n v="5"/>
    <n v="4"/>
    <n v="3"/>
    <s v="YSRCP HardCore"/>
  </r>
  <r>
    <s v="37383ecd-c407-40d5-8f27-35e1330ba040"/>
    <x v="5"/>
    <s v="1/24/2026, 1:17:45 PM"/>
    <s v="16.467589, 81.875818"/>
    <s v="Razole - Ponnamanda Rd, B. Savaram, Andhra Pradesh, India"/>
    <x v="0"/>
    <s v="Naeem"/>
    <s v="http://164.52.221.216/localmedia/media/surveys/samples/recording_2026-01-24_13-09-44_samples_Cu4F8nQX6X.mp4"/>
    <x v="0"/>
    <x v="1"/>
    <x v="15"/>
    <x v="8"/>
    <s v="క్రిస్టియన్"/>
    <x v="2"/>
    <s v="nagarathanam"/>
    <n v="0"/>
    <x v="1"/>
    <x v="3"/>
    <x v="1"/>
    <x v="0"/>
    <x v="0"/>
    <x v="0"/>
    <s v="రోడ్లు వేయటం, ఉద్యొగ్య అవకాశాలు కల్పించ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0"/>
    <x v="0"/>
    <x v="0"/>
    <x v="0"/>
    <x v="3"/>
    <x v="2"/>
    <s v="Ashish"/>
    <s v="Correctly Done"/>
    <n v="0"/>
    <x v="0"/>
    <n v="1.3836274505214585"/>
    <n v="1.8055837563451775"/>
    <n v="3.4809023142961388"/>
    <n v="2.1645021645021645"/>
    <n v="1.1213131007097483"/>
    <n v="1.9278542477265657"/>
    <n v="1.2302776805571209"/>
    <n v="1"/>
    <n v="1"/>
    <n v="1"/>
    <n v="1"/>
    <n v="1"/>
    <n v="1"/>
    <n v="5.5"/>
    <n v="6"/>
    <n v="5"/>
    <n v="4"/>
    <n v="3"/>
    <s v="YSRCP HardCore"/>
  </r>
  <r>
    <s v="678e3705-a263-4f0e-a46c-e145b3ea419b"/>
    <x v="5"/>
    <s v="1/24/2026, 1:20:38 PM"/>
    <s v="16.422624, 81.863256"/>
    <s v="CVC7+X75, Gudapalli, Andhra Pradesh, India"/>
    <x v="4"/>
    <s v="Naeem"/>
    <s v="http://164.52.221.216/localmedia/media/surveys/samples/recording_2026-01-24_13-13-12_samples_3hbXY1Mxu8.mp4"/>
    <x v="1"/>
    <x v="0"/>
    <x v="14"/>
    <x v="3"/>
    <s v="హిందూ"/>
    <x v="1"/>
    <s v="kamanramu gudapalli"/>
    <n v="9704658158"/>
    <x v="0"/>
    <x v="4"/>
    <x v="2"/>
    <x v="1"/>
    <x v="0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"/>
    <x v="1"/>
    <x v="0"/>
    <x v="1"/>
    <x v="1"/>
    <x v="1"/>
    <x v="1"/>
    <s v="Ashish"/>
    <s v="Correctly Done"/>
    <s v="Wrong caste - Gouda"/>
    <x v="0"/>
    <n v="1.1705128247062893"/>
    <n v="1.0795332136445241"/>
    <n v="0.86308903171383233"/>
    <n v="0.85034013605442171"/>
    <n v="1.9264642089343564"/>
    <n v="0.79950206330384943"/>
    <n v="1.1572126985895925"/>
    <n v="-1"/>
    <n v="1"/>
    <n v="-1"/>
    <n v="-1"/>
    <n v="-1"/>
    <n v="-1"/>
    <n v="-3.5"/>
    <n v="-4"/>
    <n v="-5"/>
    <n v="-4"/>
    <n v="-3"/>
    <s v="TDP Sympathiser"/>
  </r>
  <r>
    <s v="e4086260-1ac2-4f70-b0d0-1eb5df85bb8f"/>
    <x v="5"/>
    <s v="1/24/2026, 1:25:36 PM"/>
    <s v="16.422536, 81.839893"/>
    <s v="CRFR+22R, Lakkavaram, Andhra Pradesh, India"/>
    <x v="5"/>
    <s v="Naeem"/>
    <s v="http://164.52.221.216/localmedia/media/surveys/samples/recording_2026-01-24_13-21-53_samples_wzZNHPfywy.mp4"/>
    <x v="0"/>
    <x v="0"/>
    <x v="0"/>
    <x v="6"/>
    <s v="క్రిస్టియన్"/>
    <x v="1"/>
    <s v="y kalyani"/>
    <n v="6304734474"/>
    <x v="1"/>
    <x v="5"/>
    <x v="1"/>
    <x v="1"/>
    <x v="1"/>
    <x v="1"/>
    <s v="రోడ్లు వేయటం, విద్య రంగం అభివృద్ధి చేయటం, వ్యవసాయం, రైతు బాగుండడం"/>
    <x v="1"/>
    <x v="0"/>
    <x v="1"/>
    <x v="1"/>
    <x v="1"/>
    <x v="1"/>
    <s v="Ashish"/>
    <s v="Correctly Done"/>
    <n v="0"/>
    <x v="0"/>
    <n v="1.3836274505214585"/>
    <n v="1.0795332136445241"/>
    <n v="2.0811826914865059"/>
    <n v="2.1645021645021645"/>
    <n v="1.9264642089343564"/>
    <n v="1.9278542477265657"/>
    <n v="4.0768956513699193"/>
    <n v="-1"/>
    <n v="-1"/>
    <n v="-1"/>
    <n v="-1"/>
    <n v="-1"/>
    <n v="-1"/>
    <n v="-5.5"/>
    <n v="-6"/>
    <n v="-5"/>
    <n v="-4"/>
    <n v="-3"/>
    <s v="TDP HardCore"/>
  </r>
  <r>
    <s v="5931488f-98bb-4438-81d1-9a9b78e27b01"/>
    <x v="5"/>
    <s v="1/24/2026, 1:33:10 PM"/>
    <s v="16.422436, 81.862533"/>
    <s v="CVF6+3R4, Gudapalli, Andhra Pradesh, India"/>
    <x v="4"/>
    <s v="Naeem"/>
    <s v="http://164.52.221.216/localmedia/media/surveys/samples/recording_2026-01-24_13-29-45_samples_21gz0D57lD.mp4"/>
    <x v="2"/>
    <x v="0"/>
    <x v="14"/>
    <x v="0"/>
    <s v="హిందూ"/>
    <x v="1"/>
    <s v="Durgarao"/>
    <n v="9"/>
    <x v="0"/>
    <x v="3"/>
    <x v="2"/>
    <x v="1"/>
    <x v="0"/>
    <x v="0"/>
    <s v="రోడ్లు వేయటం, ఆరోగ్య రంగం అభివృద్ధి చేయటం, వ్యవసాయం, రైతు బాగుండడం"/>
    <x v="1"/>
    <x v="0"/>
    <x v="1"/>
    <x v="1"/>
    <x v="1"/>
    <x v="1"/>
    <s v="Ashish"/>
    <s v="Correctly Done"/>
    <n v="0"/>
    <x v="0"/>
    <n v="1.1461625511156397"/>
    <n v="1.0795332136445241"/>
    <n v="0.77721139583220644"/>
    <n v="0.85034013605442171"/>
    <n v="1.9264642089343564"/>
    <n v="0.71995135120329123"/>
    <n v="0.70534647283248642"/>
    <n v="-1"/>
    <n v="1"/>
    <n v="1"/>
    <n v="-1"/>
    <n v="-1"/>
    <n v="-1"/>
    <n v="-1.5"/>
    <n v="-2"/>
    <n v="-3"/>
    <n v="-2"/>
    <n v="-3"/>
    <s v="Neutral TDP"/>
  </r>
  <r>
    <s v="665b8af0-3955-4e97-8a6e-3752e11409f5"/>
    <x v="5"/>
    <s v="1/24/2026, 1:33:54 PM"/>
    <s v="16.467705, 81.877547"/>
    <s v="No address"/>
    <x v="0"/>
    <s v="Naeem"/>
    <s v="http://164.52.221.216/localmedia/media/surveys/samples/recording_2026-01-24_13-21-52_samples_wif3yZ5cmk.mp4"/>
    <x v="0"/>
    <x v="1"/>
    <x v="15"/>
    <x v="3"/>
    <s v="హిందూ"/>
    <x v="2"/>
    <s v="raamarao.medidi"/>
    <n v="0"/>
    <x v="0"/>
    <x v="5"/>
    <x v="1"/>
    <x v="0"/>
    <x v="1"/>
    <x v="1"/>
    <s v="రోడ్లు వేయటం, ఉద్యొగ్య అవకాశాలు కల్పించటం, విద్య రంగం అభివృద్ధి చేయటం, ఆరోగ్య రంగం అభివృద్ధి చేయటం, వ్యవసాయం, రైతు బాగుండడం"/>
    <x v="1"/>
    <x v="0"/>
    <x v="1"/>
    <x v="0"/>
    <x v="0"/>
    <x v="0"/>
    <s v="Ashish"/>
    <s v="Correctly Done"/>
    <n v="0"/>
    <x v="0"/>
    <n v="1.3836274505214585"/>
    <n v="1.8055837563451775"/>
    <n v="1.9482662206881376"/>
    <n v="0.85034013605442171"/>
    <n v="1.1213131007097483"/>
    <n v="1.0790228998469584"/>
    <n v="0.90933567693352424"/>
    <n v="1"/>
    <n v="-1"/>
    <n v="-1"/>
    <n v="-1"/>
    <n v="1"/>
    <n v="-1"/>
    <n v="-2.5"/>
    <n v="-2"/>
    <n v="-1"/>
    <n v="-2"/>
    <s v="ND"/>
    <s v="ND"/>
  </r>
  <r>
    <s v="8cb092e8-bc84-4e6c-958c-cc1fdda0ce02"/>
    <x v="5"/>
    <s v="1/24/2026, 1:34:09 PM"/>
    <s v="16.422563, 81.840420"/>
    <s v="CRCR+X3W, Lakkavaram, Andhra Pradesh, India"/>
    <x v="5"/>
    <s v="Naeem"/>
    <s v="http://164.52.221.216/localmedia/media/surveys/samples/recording_2026-01-24_13-28-46_samples_jcWKaoRrCh.mp4"/>
    <x v="6"/>
    <x v="0"/>
    <x v="0"/>
    <x v="3"/>
    <s v="హిందూ"/>
    <x v="0"/>
    <s v="karri mangadevi"/>
    <n v="9000000000"/>
    <x v="1"/>
    <x v="3"/>
    <x v="1"/>
    <x v="1"/>
    <x v="1"/>
    <x v="1"/>
    <s v="రోడ్లు వేయటం, విద్య రంగం అభివృద్ధి చేయటం, ఆరోగ్య రంగం అభివృద్ధి చేయటం"/>
    <x v="1"/>
    <x v="0"/>
    <x v="1"/>
    <x v="1"/>
    <x v="1"/>
    <x v="1"/>
    <s v="Ashish"/>
    <s v="Correctly Done"/>
    <n v="0"/>
    <x v="0"/>
    <n v="1.2612194085121222"/>
    <n v="1.0795332136445241"/>
    <n v="2.6155674106916162"/>
    <n v="2.1645021645021645"/>
    <n v="1.9264642089343564"/>
    <n v="2.4228688637206557"/>
    <n v="3.5695242713707369"/>
    <n v="-1"/>
    <n v="-1"/>
    <n v="-1"/>
    <n v="-1"/>
    <n v="-1"/>
    <n v="-1"/>
    <n v="-5.5"/>
    <n v="-6"/>
    <n v="-5"/>
    <n v="-4"/>
    <n v="-3"/>
    <s v="TDP HardCore"/>
  </r>
  <r>
    <s v="c444f7b8-469f-4956-96ac-d959655b6e44"/>
    <x v="5"/>
    <s v="1/24/2026, 9:47:49 AM"/>
    <s v="16.412945, 81.808010"/>
    <s v="CR75+533, Malikipuram, Andhra Pradesh, India"/>
    <x v="1"/>
    <s v="Naeem"/>
    <s v="http://164.52.221.216/localmedia/media/surveys/samples/recording_2026-01-24_09-45-38_samples_fxrwmBIvot.mp4"/>
    <x v="2"/>
    <x v="0"/>
    <x v="16"/>
    <x v="2"/>
    <s v="హిందూ"/>
    <x v="0"/>
    <s v="ramakrishna"/>
    <n v="999999999999"/>
    <x v="0"/>
    <x v="3"/>
    <x v="1"/>
    <x v="1"/>
    <x v="1"/>
    <x v="1"/>
    <s v="రోడ్లు వేయటం, ఉద్యొగ్య అవకాశాలు కల్పించటం, ఆరోగ్య రంగం అభివృద్ధి చేయటం, వ్యవసాయం, రైతు బాగుండడం"/>
    <x v="1"/>
    <x v="0"/>
    <x v="1"/>
    <x v="2"/>
    <x v="1"/>
    <x v="1"/>
    <s v="Ashish"/>
    <s v="Not Doing It Properly"/>
    <s v="Q1,10 entered on his own"/>
    <x v="0"/>
    <n v="1.1461625511156397"/>
    <n v="0.66153846153846207"/>
    <n v="0.47627550925756229"/>
    <n v="0.85034013605442171"/>
    <n v="1.9264642089343564"/>
    <n v="0.71995135120329123"/>
    <n v="0.70534647283248642"/>
    <n v="-1"/>
    <n v="-1"/>
    <n v="-1"/>
    <n v="-1"/>
    <n v="-1"/>
    <n v="-1"/>
    <n v="-5.5"/>
    <n v="-6"/>
    <n v="-5"/>
    <n v="-4"/>
    <n v="-3"/>
    <s v="TDP HardCore"/>
  </r>
  <r>
    <s v="e1ad3eed-5b36-46d5-b5df-da69c5e113e3"/>
    <x v="5"/>
    <s v="1/24/2026, 1:34:11 PM"/>
    <s v="16.422563, 81.840420"/>
    <s v="CRCR+X3W, Lakkavaram, Andhra Pradesh, India"/>
    <x v="5"/>
    <s v="Naeem"/>
    <s v="http://164.52.221.216/localmedia/media/surveys/samples/recording_2026-01-24_13-28-46_samples_unDXARzWVB.mp4"/>
    <x v="6"/>
    <x v="0"/>
    <x v="0"/>
    <x v="3"/>
    <s v="హిందూ"/>
    <x v="0"/>
    <s v="karri mangadevi"/>
    <n v="9000000000"/>
    <x v="1"/>
    <x v="3"/>
    <x v="1"/>
    <x v="1"/>
    <x v="1"/>
    <x v="1"/>
    <s v="రోడ్లు వేయటం, విద్య రంగం అభివృద్ధి చేయటం, ఆరోగ్య రంగం అభివృద్ధి చేయటం"/>
    <x v="1"/>
    <x v="0"/>
    <x v="1"/>
    <x v="1"/>
    <x v="1"/>
    <x v="1"/>
    <n v="0"/>
    <s v="Correctly Done"/>
    <n v="0"/>
    <x v="0"/>
    <n v="1.2612194085121222"/>
    <n v="1.0795332136445241"/>
    <n v="2.6155674106916162"/>
    <n v="2.1645021645021645"/>
    <n v="1.9264642089343564"/>
    <n v="2.4228688637206557"/>
    <n v="3.5695242713707369"/>
    <n v="-1"/>
    <n v="-1"/>
    <n v="-1"/>
    <n v="-1"/>
    <n v="-1"/>
    <n v="-1"/>
    <n v="-5.5"/>
    <n v="-6"/>
    <n v="-5"/>
    <n v="-4"/>
    <n v="-3"/>
    <s v="TDP HardCore"/>
  </r>
  <r>
    <s v="8868c5e7-faee-4b36-8c8f-6ec5f6f9d15d"/>
    <x v="5"/>
    <s v="1/24/2026, 11:20:01 AM"/>
    <s v="16.412812, 81.804387"/>
    <s v="SHOP NO.8, Malikipuram, Andhra Pradesh, India"/>
    <x v="1"/>
    <s v="Naeem"/>
    <s v="http://164.52.221.216/localmedia/media/surveys/samples/recording_2026-01-24_11-18-29_samples_sDBSJnXQFk.mp4"/>
    <x v="0"/>
    <x v="0"/>
    <x v="16"/>
    <x v="2"/>
    <s v="క్రిస్టియన్"/>
    <x v="1"/>
    <s v="naveen"/>
    <n v="9999999999"/>
    <x v="0"/>
    <x v="3"/>
    <x v="1"/>
    <x v="1"/>
    <x v="1"/>
    <x v="1"/>
    <s v="రోడ్లు వేయటం, ఉద్యొగ్య అవకాశాలు కల్పించటం, ఆరోగ్య రంగం అభివృద్ధి చేయటం"/>
    <x v="1"/>
    <x v="0"/>
    <x v="1"/>
    <x v="0"/>
    <x v="2"/>
    <x v="0"/>
    <s v="Ashish"/>
    <s v="Not Doing It Properly"/>
    <s v="from Q11 to Q16 entered options on his own"/>
    <x v="0"/>
    <n v="1.3836274505214585"/>
    <n v="1.8055837563451775"/>
    <n v="1.9482662206881376"/>
    <n v="0.85034013605442171"/>
    <n v="1.9264642089343564"/>
    <n v="1.0790228998469584"/>
    <n v="2.1355167697651956"/>
    <n v="-1"/>
    <n v="-1"/>
    <n v="-1"/>
    <n v="-1"/>
    <n v="1"/>
    <n v="-1"/>
    <n v="-4.5"/>
    <n v="-4"/>
    <n v="-3"/>
    <n v="-2"/>
    <n v="-2"/>
    <s v="Neutral TDP"/>
  </r>
  <r>
    <s v="b9e12a55-c504-4c6b-b561-9669956411aa"/>
    <x v="5"/>
    <s v="1/24/2026, 1:35:24 PM"/>
    <s v="16.422563, 81.840420"/>
    <s v="CRCR+X3W, Lakkavaram, Andhra Pradesh, India"/>
    <x v="5"/>
    <s v="Naeem"/>
    <s v="http://164.52.221.216/localmedia/media/surveys/samples/recording_2026-01-24_13-28-46_samples_nNKYnGkvQy.mp4"/>
    <x v="6"/>
    <x v="0"/>
    <x v="0"/>
    <x v="3"/>
    <s v="హిందూ"/>
    <x v="0"/>
    <s v="karri mangadevi"/>
    <n v="9000000000"/>
    <x v="1"/>
    <x v="3"/>
    <x v="1"/>
    <x v="1"/>
    <x v="1"/>
    <x v="1"/>
    <s v="రోడ్లు వేయటం, విద్య రంగం అభివృద్ధి చేయటం, ఆరోగ్య రంగం అభివృద్ధి చేయటం"/>
    <x v="1"/>
    <x v="0"/>
    <x v="1"/>
    <x v="1"/>
    <x v="1"/>
    <x v="1"/>
    <n v="0"/>
    <s v="Correctly Done"/>
    <n v="0"/>
    <x v="0"/>
    <n v="1.2612194085121222"/>
    <n v="1.0795332136445241"/>
    <n v="2.6155674106916162"/>
    <n v="2.1645021645021645"/>
    <n v="1.9264642089343564"/>
    <n v="2.4228688637206557"/>
    <n v="3.5695242713707369"/>
    <n v="-1"/>
    <n v="-1"/>
    <n v="-1"/>
    <n v="-1"/>
    <n v="-1"/>
    <n v="-1"/>
    <n v="-5.5"/>
    <n v="-6"/>
    <n v="-5"/>
    <n v="-4"/>
    <n v="-3"/>
    <s v="TDP HardCore"/>
  </r>
  <r>
    <s v="b3a2a85b-2f3f-4181-a284-854d764ae035"/>
    <x v="5"/>
    <s v="1/24/2026, 1:50:13 PM"/>
    <s v="16.422527, 81.861452"/>
    <s v="3-90, Gudapalli, Andhra Pradesh, India"/>
    <x v="4"/>
    <s v="Naeem"/>
    <s v="http://164.52.221.216/localmedia/media/surveys/samples/recording_2026-01-24_13-45-25_samples_DGoWgrzuzr.mp4"/>
    <x v="2"/>
    <x v="0"/>
    <x v="14"/>
    <x v="0"/>
    <s v="హిందూ"/>
    <x v="2"/>
    <s v="krishna"/>
    <n v="7337274638"/>
    <x v="0"/>
    <x v="3"/>
    <x v="2"/>
    <x v="0"/>
    <x v="0"/>
    <x v="0"/>
    <s v="రోడ్లు వేయటం, ఆరోగ్య రంగం అభివృద్ధి చేయటం, వ్యవసాయం, రైతు బాగుండడం"/>
    <x v="0"/>
    <x v="0"/>
    <x v="1"/>
    <x v="1"/>
    <x v="1"/>
    <x v="1"/>
    <n v="0"/>
    <s v="Correctly Done"/>
    <n v="0"/>
    <x v="0"/>
    <n v="1.1461625511156397"/>
    <n v="1.0795332136445241"/>
    <n v="0.77721139583220644"/>
    <n v="0.85034013605442171"/>
    <n v="1.9264642089343564"/>
    <n v="0.71995135120329123"/>
    <n v="0.70534647283248642"/>
    <n v="1"/>
    <n v="1"/>
    <n v="1"/>
    <n v="1"/>
    <n v="-1"/>
    <n v="-1"/>
    <n v="2.5"/>
    <n v="2"/>
    <n v="1"/>
    <n v="0"/>
    <n v="-2"/>
    <s v="Neutral TDP"/>
  </r>
  <r>
    <s v="15a6f19a-7c93-48cc-97e3-fcb174ed2e75"/>
    <x v="5"/>
    <s v="1/24/2026, 1:50:15 PM"/>
    <s v="16.422527, 81.861452"/>
    <s v="3-90, Gudapalli, Andhra Pradesh, India"/>
    <x v="4"/>
    <s v="Naeem"/>
    <s v="http://164.52.221.216/localmedia/media/surveys/samples/recording_2026-01-24_13-45-25_samples_PwS5Y5lqG1.mp4"/>
    <x v="2"/>
    <x v="0"/>
    <x v="14"/>
    <x v="0"/>
    <s v="హిందూ"/>
    <x v="2"/>
    <s v="krishna"/>
    <n v="7337274638"/>
    <x v="0"/>
    <x v="3"/>
    <x v="2"/>
    <x v="0"/>
    <x v="0"/>
    <x v="0"/>
    <s v="రోడ్లు వేయటం, ఆరోగ్య రంగం అభివృద్ధి చేయటం, వ్యవసాయం, రైతు బాగుండడం"/>
    <x v="0"/>
    <x v="0"/>
    <x v="1"/>
    <x v="1"/>
    <x v="1"/>
    <x v="1"/>
    <n v="0"/>
    <s v="Correctly Done"/>
    <n v="0"/>
    <x v="0"/>
    <n v="1.1461625511156397"/>
    <n v="1.0795332136445241"/>
    <n v="0.77721139583220644"/>
    <n v="0.85034013605442171"/>
    <n v="1.9264642089343564"/>
    <n v="0.71995135120329123"/>
    <n v="0.70534647283248642"/>
    <n v="1"/>
    <n v="1"/>
    <n v="1"/>
    <n v="1"/>
    <n v="-1"/>
    <n v="-1"/>
    <n v="2.5"/>
    <n v="2"/>
    <n v="1"/>
    <n v="0"/>
    <n v="-2"/>
    <s v="Neutral TDP"/>
  </r>
  <r>
    <s v="f506a8d6-98d8-4d92-a806-09cf9b5702b3"/>
    <x v="5"/>
    <s v="1/24/2026, 9:24:17 AM"/>
    <s v="16.414857, 81.808155"/>
    <s v="CR75+W77, Malikipuram, Andhra Pradesh, India"/>
    <x v="1"/>
    <s v="Naeem"/>
    <s v="http://164.52.221.216/localmedia/media/surveys/samples/recording_2026-01-24_09-22-24_samples_BwnMcfTTF1.mp4"/>
    <x v="2"/>
    <x v="0"/>
    <x v="16"/>
    <x v="3"/>
    <s v="హిందూ"/>
    <x v="1"/>
    <s v="durgarao"/>
    <n v="9948218387"/>
    <x v="0"/>
    <x v="3"/>
    <x v="2"/>
    <x v="1"/>
    <x v="1"/>
    <x v="1"/>
    <s v="రోడ్లు వేయటం, విద్య రంగం అభివృద్ధి చేయటం, ఆరోగ్య రంగం అభివృద్ధి చేయటం"/>
    <x v="1"/>
    <x v="0"/>
    <x v="1"/>
    <x v="1"/>
    <x v="1"/>
    <x v="1"/>
    <s v="Ashish"/>
    <s v="Correctly Done"/>
    <s v="Didn't ask caste"/>
    <x v="0"/>
    <n v="1.1461625511156397"/>
    <n v="1.0795332136445241"/>
    <n v="0.77721139583220644"/>
    <n v="0.85034013605442171"/>
    <n v="1.9264642089343564"/>
    <n v="0.71995135120329123"/>
    <n v="0.70534647283248642"/>
    <n v="-1"/>
    <n v="-1"/>
    <n v="-1"/>
    <n v="-1"/>
    <n v="-1"/>
    <n v="-1"/>
    <n v="-5.5"/>
    <n v="-6"/>
    <n v="-5"/>
    <n v="-4"/>
    <n v="-3"/>
    <s v="TDP HardCore"/>
  </r>
  <r>
    <s v="2f42cda5-ba4f-4c71-8abf-ab22f9d1ee4a"/>
    <x v="5"/>
    <s v="1/24/2026, 10:24:25 AM"/>
    <s v="16.423971, 81.867400"/>
    <s v="CVF8+PR6, Gudapalli, Andhra Pradesh, India"/>
    <x v="4"/>
    <s v="Naeem"/>
    <s v="http://164.52.221.216/localmedia/media/surveys/samples/recording_2026-01-24_10-21-15_samples_bZbb49Aug7.mp4"/>
    <x v="0"/>
    <x v="0"/>
    <x v="14"/>
    <x v="0"/>
    <s v="క్రిస్టియన్"/>
    <x v="3"/>
    <s v="Moka Akhil"/>
    <n v="9390374522"/>
    <x v="0"/>
    <x v="3"/>
    <x v="1"/>
    <x v="1"/>
    <x v="1"/>
    <x v="0"/>
    <s v="రోడ్లు వేయటం, విద్య రంగం అభివృద్ధి చేయటం, ఆరోగ్య రంగం అభివృద్ధి చేయటం"/>
    <x v="0"/>
    <x v="0"/>
    <x v="2"/>
    <x v="3"/>
    <x v="1"/>
    <x v="1"/>
    <s v="Deepika"/>
    <s v="Not Doing It Properly"/>
    <s v="Q4,5,7 respondent not telling properly surveyor kept his own options"/>
    <x v="0"/>
    <n v="1.3836274505214585"/>
    <n v="0.66153846153846207"/>
    <n v="0.71381514912952693"/>
    <n v="0.85034013605442171"/>
    <n v="1.9264642089343564"/>
    <n v="1.0790228998469584"/>
    <n v="2.1355167697651956"/>
    <n v="-1"/>
    <n v="-1"/>
    <n v="1"/>
    <n v="1"/>
    <n v="-1"/>
    <n v="-1"/>
    <n v="-1.5"/>
    <n v="-2"/>
    <n v="-1"/>
    <n v="0"/>
    <n v="-3"/>
    <s v="Neutral TDP"/>
  </r>
  <r>
    <s v="af032c75-9c8c-4e3d-aaa1-57dba2d4fadb"/>
    <x v="5"/>
    <s v="1/24/2026, 1:50:29 PM"/>
    <s v="16.422527, 81.861452"/>
    <s v="3-90, Gudapalli, Andhra Pradesh, India"/>
    <x v="4"/>
    <s v="Naeem"/>
    <s v="http://164.52.221.216/localmedia/media/surveys/samples/recording_2026-01-24_13-45-25_samples_RKzv0nnvCL.mp4"/>
    <x v="2"/>
    <x v="0"/>
    <x v="14"/>
    <x v="0"/>
    <s v="హిందూ"/>
    <x v="2"/>
    <s v="krishna"/>
    <n v="7337274638"/>
    <x v="0"/>
    <x v="3"/>
    <x v="2"/>
    <x v="0"/>
    <x v="0"/>
    <x v="0"/>
    <s v="రోడ్లు వేయటం, ఆరోగ్య రంగం అభివృద్ధి చేయటం, వ్యవసాయం, రైతు బాగుండడం"/>
    <x v="0"/>
    <x v="0"/>
    <x v="1"/>
    <x v="1"/>
    <x v="1"/>
    <x v="1"/>
    <n v="0"/>
    <s v="Correctly Done"/>
    <n v="0"/>
    <x v="0"/>
    <n v="1.1461625511156397"/>
    <n v="1.0795332136445241"/>
    <n v="0.77721139583220644"/>
    <n v="0.85034013605442171"/>
    <n v="1.9264642089343564"/>
    <n v="0.71995135120329123"/>
    <n v="0.70534647283248642"/>
    <n v="1"/>
    <n v="1"/>
    <n v="1"/>
    <n v="1"/>
    <n v="-1"/>
    <n v="-1"/>
    <n v="2.5"/>
    <n v="2"/>
    <n v="1"/>
    <n v="0"/>
    <n v="-2"/>
    <s v="Neutral TDP"/>
  </r>
  <r>
    <s v="96eea5b6-f81c-446f-bba6-8ba844ad1b1b"/>
    <x v="5"/>
    <s v="1/24/2026, 1:52:33 PM"/>
    <s v="16.424041, 81.838767"/>
    <s v="No address"/>
    <x v="5"/>
    <s v="Naeem"/>
    <s v="http://164.52.221.216/localmedia/media/surveys/samples/recording_2026-01-24_13-47-54_samples_gxUMb24g6F.mp4"/>
    <x v="2"/>
    <x v="0"/>
    <x v="0"/>
    <x v="0"/>
    <s v="హిందూ"/>
    <x v="1"/>
    <s v="nagarjuna varanasi"/>
    <n v="9515075152"/>
    <x v="0"/>
    <x v="5"/>
    <x v="1"/>
    <x v="1"/>
    <x v="1"/>
    <x v="1"/>
    <s v="రోడ్లు వేయటం, విద్య రంగం అభివృద్ధి చేయటం, ఆరోగ్య రంగం అభివృద్ధి చేయటం"/>
    <x v="1"/>
    <x v="0"/>
    <x v="1"/>
    <x v="1"/>
    <x v="1"/>
    <x v="1"/>
    <s v="Deepika"/>
    <s v="Correctly Done"/>
    <n v="0"/>
    <x v="0"/>
    <n v="1.1461625511156397"/>
    <n v="1.0795332136445241"/>
    <n v="0.77721139583220644"/>
    <n v="0.85034013605442171"/>
    <n v="1.9264642089343564"/>
    <n v="0.71995135120329123"/>
    <n v="0.70534647283248642"/>
    <n v="-1"/>
    <n v="-1"/>
    <n v="-1"/>
    <n v="-1"/>
    <n v="-1"/>
    <n v="-1"/>
    <n v="-5.5"/>
    <n v="-6"/>
    <n v="-5"/>
    <n v="-4"/>
    <n v="-3"/>
    <s v="TDP HardCore"/>
  </r>
  <r>
    <s v="91d5b226-b9ea-4da9-9b23-efc22696e3ee"/>
    <x v="5"/>
    <s v="1/24/2026, 1:52:51 PM"/>
    <s v="16.466275, 81.886505"/>
    <s v="Kadali center, Kadali, Andhra Pradesh, India"/>
    <x v="0"/>
    <s v="Naeem"/>
    <s v="http://164.52.221.216/localmedia/media/surveys/samples/recording_2026-01-24_13-46-33_samples_YWVsSrzOWI.mp4"/>
    <x v="1"/>
    <x v="1"/>
    <x v="15"/>
    <x v="0"/>
    <s v="హిందూ"/>
    <x v="2"/>
    <s v="kodeti.ajunarao"/>
    <n v="0"/>
    <x v="0"/>
    <x v="5"/>
    <x v="1"/>
    <x v="1"/>
    <x v="0"/>
    <x v="1"/>
    <s v="రోడ్లు వేయటం, ఉద్యొగ్య అవకాశాలు కల్పించ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0"/>
    <x v="1"/>
    <x v="1"/>
    <x v="1"/>
    <x v="1"/>
    <s v="Deepika"/>
    <s v="Correctly Done"/>
    <n v="0"/>
    <x v="0"/>
    <n v="1.1705128247062893"/>
    <n v="1.0795332136445241"/>
    <n v="0.86308903171383233"/>
    <n v="0.85034013605442171"/>
    <n v="1.1213131007097483"/>
    <n v="0.79950206330384943"/>
    <n v="0.7401439088249181"/>
    <n v="-1"/>
    <n v="1"/>
    <n v="-1"/>
    <n v="-1"/>
    <n v="-1"/>
    <n v="-1"/>
    <n v="-3.5"/>
    <n v="-4"/>
    <n v="-5"/>
    <n v="-4"/>
    <n v="-3"/>
    <s v="TDP Sympathiser"/>
  </r>
  <r>
    <s v="c03ca336-cfa6-44fd-a2c2-53599b6f5c41"/>
    <x v="5"/>
    <s v="1/24/2026, 1:55:07 PM"/>
    <s v="16.422182, 81.860244"/>
    <s v="CVF6+2F8, Gudapalli, Andhra Pradesh, India"/>
    <x v="4"/>
    <s v="Naeem"/>
    <s v="http://164.52.221.216/localmedia/media/surveys/samples/recording_2026-01-24_13-51-58_samples_jOcSHDaBnl.mp4"/>
    <x v="2"/>
    <x v="0"/>
    <x v="14"/>
    <x v="1"/>
    <s v="హిందూ"/>
    <x v="0"/>
    <s v="srinivas"/>
    <n v="90000000"/>
    <x v="0"/>
    <x v="3"/>
    <x v="2"/>
    <x v="1"/>
    <x v="1"/>
    <x v="0"/>
    <s v="రోడ్లు వేయటం, విద్య రంగం అభివృద్ధి చేయటం, ఆరోగ్య రంగం అభివృద్ధి చేయటం"/>
    <x v="1"/>
    <x v="0"/>
    <x v="1"/>
    <x v="1"/>
    <x v="1"/>
    <x v="1"/>
    <n v="0"/>
    <s v="Correctly Done"/>
    <n v="0"/>
    <x v="0"/>
    <n v="1.1461625511156397"/>
    <n v="1.0795332136445241"/>
    <n v="0.77721139583220644"/>
    <n v="0.85034013605442171"/>
    <n v="1.9264642089343564"/>
    <n v="0.71995135120329123"/>
    <n v="0.70534647283248642"/>
    <n v="-1"/>
    <n v="-1"/>
    <n v="1"/>
    <n v="-1"/>
    <n v="-1"/>
    <n v="-1"/>
    <n v="-3.5"/>
    <n v="-4"/>
    <n v="-3"/>
    <n v="-2"/>
    <n v="-3"/>
    <s v="Neutral TDP"/>
  </r>
  <r>
    <s v="68d04dd0-733c-4971-a715-abfdb4e5c8be"/>
    <x v="5"/>
    <s v="1/24/2026, 1:58:47 PM"/>
    <s v="16.422534, 81.861408"/>
    <s v="2-128 Gudapalli, Malikipuram, Andhra Pradesh, India"/>
    <x v="4"/>
    <s v="Naeem"/>
    <s v="http://164.52.221.216/localmedia/media/surveys/samples/recording_2026-01-24_13-56-22_samples_kqenRNchVj.mp4"/>
    <x v="2"/>
    <x v="0"/>
    <x v="14"/>
    <x v="5"/>
    <s v="హిందూ"/>
    <x v="3"/>
    <s v="manikanta"/>
    <n v="9110394828"/>
    <x v="0"/>
    <x v="3"/>
    <x v="1"/>
    <x v="1"/>
    <x v="1"/>
    <x v="0"/>
    <s v="రోడ్లు వేయటం, ఆరోగ్య రంగం అభివృద్ధి చేయటం, సంక్షేమ పథకాలు (నగదు)"/>
    <x v="1"/>
    <x v="0"/>
    <x v="1"/>
    <x v="1"/>
    <x v="1"/>
    <x v="1"/>
    <n v="0"/>
    <s v="Correctly Done"/>
    <n v="0"/>
    <x v="0"/>
    <n v="1.1461625511156397"/>
    <n v="1.0795332136445241"/>
    <n v="0.77721139583220644"/>
    <n v="0.85034013605442171"/>
    <n v="1.9264642089343564"/>
    <n v="0.71995135120329123"/>
    <n v="0.70534647283248642"/>
    <n v="-1"/>
    <n v="-1"/>
    <n v="1"/>
    <n v="-1"/>
    <n v="-1"/>
    <n v="-1"/>
    <n v="-3.5"/>
    <n v="-4"/>
    <n v="-3"/>
    <n v="-2"/>
    <n v="-3"/>
    <s v="Neutral TDP"/>
  </r>
  <r>
    <s v="9b6bdf83-f760-4891-bff2-d88144905fd5"/>
    <x v="5"/>
    <s v="1/24/2026, 1:58:47 PM"/>
    <s v="16.422534, 81.861408"/>
    <s v="2-128 Gudapalli, Malikipuram, Andhra Pradesh, India"/>
    <x v="4"/>
    <s v="Naeem"/>
    <s v="http://164.52.221.216/localmedia/media/surveys/samples/recording_2026-01-24_13-56-22_samples_AwzTr5XJR6.mp4"/>
    <x v="2"/>
    <x v="0"/>
    <x v="14"/>
    <x v="5"/>
    <s v="హిందూ"/>
    <x v="3"/>
    <s v="manikanta"/>
    <n v="9110394828"/>
    <x v="0"/>
    <x v="3"/>
    <x v="1"/>
    <x v="1"/>
    <x v="1"/>
    <x v="0"/>
    <s v="రోడ్లు వేయటం, ఆరోగ్య రంగం అభివృద్ధి చేయటం, సంక్షేమ పథకాలు (నగదు)"/>
    <x v="1"/>
    <x v="0"/>
    <x v="1"/>
    <x v="1"/>
    <x v="1"/>
    <x v="1"/>
    <n v="0"/>
    <s v="Correctly Done"/>
    <n v="0"/>
    <x v="0"/>
    <n v="1.1461625511156397"/>
    <n v="1.0795332136445241"/>
    <n v="0.77721139583220644"/>
    <n v="0.85034013605442171"/>
    <n v="1.9264642089343564"/>
    <n v="0.71995135120329123"/>
    <n v="0.70534647283248642"/>
    <n v="-1"/>
    <n v="-1"/>
    <n v="1"/>
    <n v="-1"/>
    <n v="-1"/>
    <n v="-1"/>
    <n v="-3.5"/>
    <n v="-4"/>
    <n v="-3"/>
    <n v="-2"/>
    <n v="-3"/>
    <s v="Neutral TDP"/>
  </r>
  <r>
    <s v="2910a55b-80f4-4495-8527-658f602208c6"/>
    <x v="5"/>
    <s v="1/24/2026, 11:56:22 AM"/>
    <s v="16.410546, 81.806334"/>
    <s v="CR64+3C4, Malikipuram, Andhra Pradesh, India"/>
    <x v="1"/>
    <s v="Naeem"/>
    <s v="http://164.52.221.216/localmedia/media/surveys/samples/recording_2026-01-24_11-54-56_samples_xTz3FdDYek.mp4"/>
    <x v="1"/>
    <x v="0"/>
    <x v="16"/>
    <x v="1"/>
    <s v="హిందూ"/>
    <x v="2"/>
    <s v="satyanarayana"/>
    <n v="9912687474"/>
    <x v="0"/>
    <x v="5"/>
    <x v="1"/>
    <x v="1"/>
    <x v="1"/>
    <x v="1"/>
    <s v="రోడ్లు వేయటం"/>
    <x v="1"/>
    <x v="0"/>
    <x v="1"/>
    <x v="1"/>
    <x v="1"/>
    <x v="1"/>
    <s v="Bhagya"/>
    <s v="Not Doing It Properly"/>
    <s v="Didn't asked caste"/>
    <x v="0"/>
    <n v="1.1705128247062893"/>
    <n v="1.0795332136445241"/>
    <n v="0.86308903171383233"/>
    <n v="0.85034013605442171"/>
    <n v="1.9264642089343564"/>
    <n v="0.79950206330384943"/>
    <n v="1.1572126985895925"/>
    <n v="-1"/>
    <n v="-1"/>
    <n v="-1"/>
    <n v="-1"/>
    <n v="-1"/>
    <n v="-1"/>
    <n v="-5.5"/>
    <n v="-6"/>
    <n v="-5"/>
    <n v="-4"/>
    <n v="-3"/>
    <s v="TDP HardCore"/>
  </r>
  <r>
    <s v="98c367b9-5be7-4b2a-a157-49c27c3de97b"/>
    <x v="5"/>
    <s v="1/24/2026, 1:58:47 PM"/>
    <s v="16.422534, 81.861408"/>
    <s v="2-128 Gudapalli, Malikipuram, Andhra Pradesh, India"/>
    <x v="4"/>
    <s v="Naeem"/>
    <s v="http://164.52.221.216/localmedia/media/surveys/samples/recording_2026-01-24_13-56-22_samples_QnffHWHc42.mp4"/>
    <x v="2"/>
    <x v="0"/>
    <x v="14"/>
    <x v="5"/>
    <s v="హిందూ"/>
    <x v="3"/>
    <s v="manikanta"/>
    <n v="9110394828"/>
    <x v="0"/>
    <x v="3"/>
    <x v="1"/>
    <x v="1"/>
    <x v="1"/>
    <x v="0"/>
    <s v="రోడ్లు వేయటం, ఆరోగ్య రంగం అభివృద్ధి చేయటం, సంక్షేమ పథకాలు (నగదు)"/>
    <x v="1"/>
    <x v="0"/>
    <x v="1"/>
    <x v="1"/>
    <x v="1"/>
    <x v="1"/>
    <n v="0"/>
    <s v="Correctly Done"/>
    <n v="0"/>
    <x v="0"/>
    <n v="1.1461625511156397"/>
    <n v="1.0795332136445241"/>
    <n v="0.77721139583220644"/>
    <n v="0.85034013605442171"/>
    <n v="1.9264642089343564"/>
    <n v="0.71995135120329123"/>
    <n v="0.70534647283248642"/>
    <n v="-1"/>
    <n v="-1"/>
    <n v="1"/>
    <n v="-1"/>
    <n v="-1"/>
    <n v="-1"/>
    <n v="-3.5"/>
    <n v="-4"/>
    <n v="-3"/>
    <n v="-2"/>
    <n v="-3"/>
    <s v="Neutral TDP"/>
  </r>
  <r>
    <s v="7ba9454e-21ca-4dfb-a1f2-7e7ca9d98e02"/>
    <x v="5"/>
    <s v="1/24/2026, 12:09:53 PM"/>
    <s v="16.423099, 81.863076"/>
    <s v="CVF7+59W, Gudapalli, Andhra Pradesh, India"/>
    <x v="4"/>
    <s v="Naeem"/>
    <s v="http://164.52.221.216/localmedia/media/surveys/samples/recording_2026-01-24_12-06-53_samples_wT8Y8MdYQh.mp4"/>
    <x v="2"/>
    <x v="0"/>
    <x v="14"/>
    <x v="6"/>
    <s v="హిందూ"/>
    <x v="1"/>
    <s v="rukmini"/>
    <n v="9999999999"/>
    <x v="1"/>
    <x v="4"/>
    <x v="2"/>
    <x v="1"/>
    <x v="0"/>
    <x v="1"/>
    <s v="ఉద్యొగ్య అవకాశాలు కల్పించటం, విద్య రంగం అభివృద్ధి చేయటం, ఆరోగ్య రంగం అభివృద్ధి చేయటం"/>
    <x v="1"/>
    <x v="0"/>
    <x v="1"/>
    <x v="1"/>
    <x v="1"/>
    <x v="1"/>
    <n v="0"/>
    <s v="Correctly Done"/>
    <n v="0"/>
    <x v="0"/>
    <n v="1.1461625511156397"/>
    <n v="1.0795332136445241"/>
    <n v="3.0326483876590018"/>
    <n v="2.1645021645021645"/>
    <n v="1.9264642089343564"/>
    <n v="2.8092219390089208"/>
    <n v="6.3481182554923778"/>
    <n v="-1"/>
    <n v="1"/>
    <n v="-1"/>
    <n v="-1"/>
    <n v="-1"/>
    <n v="-1"/>
    <n v="-3.5"/>
    <n v="-4"/>
    <n v="-5"/>
    <n v="-4"/>
    <n v="-3"/>
    <s v="TDP Sympathiser"/>
  </r>
  <r>
    <s v="a208ed74-07eb-4c1e-bfcb-b6504c476c4a"/>
    <x v="5"/>
    <s v="1/24/2026, 1:59:07 PM"/>
    <s v="16.422534, 81.861408"/>
    <s v="2-128 Gudapalli, Malikipuram, Andhra Pradesh, India"/>
    <x v="4"/>
    <s v="Naeem"/>
    <s v="http://164.52.221.216/localmedia/media/surveys/samples/recording_2026-01-24_13-56-22_samples_zN2Ou2LOxl.mp4"/>
    <x v="2"/>
    <x v="0"/>
    <x v="14"/>
    <x v="5"/>
    <s v="హిందూ"/>
    <x v="3"/>
    <s v="manikanta"/>
    <n v="9110394828"/>
    <x v="0"/>
    <x v="3"/>
    <x v="1"/>
    <x v="1"/>
    <x v="1"/>
    <x v="0"/>
    <s v="రోడ్లు వేయటం, ఆరోగ్య రంగం అభివృద్ధి చేయటం, సంక్షేమ పథకాలు (నగదు)"/>
    <x v="1"/>
    <x v="0"/>
    <x v="1"/>
    <x v="1"/>
    <x v="1"/>
    <x v="1"/>
    <n v="0"/>
    <s v="Correctly Done"/>
    <n v="0"/>
    <x v="0"/>
    <n v="1.1461625511156397"/>
    <n v="1.0795332136445241"/>
    <n v="0.77721139583220644"/>
    <n v="0.85034013605442171"/>
    <n v="1.9264642089343564"/>
    <n v="0.71995135120329123"/>
    <n v="0.70534647283248642"/>
    <n v="-1"/>
    <n v="-1"/>
    <n v="1"/>
    <n v="-1"/>
    <n v="-1"/>
    <n v="-1"/>
    <n v="-3.5"/>
    <n v="-4"/>
    <n v="-3"/>
    <n v="-2"/>
    <n v="-3"/>
    <s v="Neutral TDP"/>
  </r>
  <r>
    <s v="2b87c46f-eeab-42d4-96ad-485de1d1b797"/>
    <x v="5"/>
    <s v="1/24/2026, 3:18:33 PM"/>
    <s v="16.437286, 81.911956"/>
    <s v="CWQ6+HHG, Katrenipadu, Andhra Pradesh, India"/>
    <x v="3"/>
    <s v="Naeem"/>
    <s v="http://164.52.221.216/localmedia/media/surveys/samples/recording_2026-01-24_15-14-58_samples_Vbvze4HTTc.mp4"/>
    <x v="5"/>
    <x v="1"/>
    <x v="1"/>
    <x v="5"/>
    <s v="హిందూ"/>
    <x v="3"/>
    <s v="chandrika"/>
    <n v="7660841388"/>
    <x v="1"/>
    <x v="5"/>
    <x v="1"/>
    <x v="1"/>
    <x v="1"/>
    <x v="1"/>
    <s v="రోడ్లు వేయటం, ఉద్యొగ్య అవకాశాలు కల్పించటం, ఆరోగ్య రంగం అభివృద్ధి చేయటం"/>
    <x v="1"/>
    <x v="1"/>
    <x v="1"/>
    <x v="0"/>
    <x v="3"/>
    <x v="0"/>
    <s v="Ashish"/>
    <s v="Not Doing It Properly"/>
    <s v="respondent age is less than 18"/>
    <x v="0"/>
    <n v="1.0478809952686368"/>
    <n v="1.8055837563451775"/>
    <n v="2.9957250974297915"/>
    <n v="2.1645021645021645"/>
    <n v="1.1213131007097483"/>
    <n v="1.6591449091753416"/>
    <n v="1.4399657941188679"/>
    <n v="-1"/>
    <n v="-1"/>
    <n v="-1"/>
    <n v="-1"/>
    <n v="1"/>
    <n v="-1"/>
    <n v="-4.5"/>
    <n v="-4"/>
    <n v="-3"/>
    <n v="-2"/>
    <n v="-2"/>
    <s v="Neutral TDP"/>
  </r>
  <r>
    <s v="e298adef-31c8-4712-b2c5-f3133ba95aae"/>
    <x v="5"/>
    <s v="1/24/2026, 10:00:07 AM"/>
    <s v="16.423200, 81.846574"/>
    <s v="CRFW+66C, Lakkavaram, Andhra Pradesh, India"/>
    <x v="5"/>
    <s v="Naeem"/>
    <s v="http://164.52.221.216/localmedia/media/surveys/samples/recording_2026-01-24_09-54-48_samples_r0hCWuRUOO.mp4"/>
    <x v="0"/>
    <x v="0"/>
    <x v="0"/>
    <x v="0"/>
    <s v=""/>
    <x v="0"/>
    <s v="beera nageswara rao"/>
    <n v="9000000000"/>
    <x v="0"/>
    <x v="0"/>
    <x v="2"/>
    <x v="1"/>
    <x v="0"/>
    <x v="0"/>
    <s v="రోడ్లు వేయటం, విద్య రంగం అభివృద్ధి చేయటం, ఆరోగ్య రంగం అభివృద్ధి చేయటం, వ్యవసాయం, రైతు బాగుండడం"/>
    <x v="0"/>
    <x v="0"/>
    <x v="0"/>
    <x v="0"/>
    <x v="0"/>
    <x v="3"/>
    <s v="Deepika"/>
    <s v="Correctly Done"/>
    <n v="0"/>
    <x v="0"/>
    <n v="1.3836274505214585"/>
    <n v="1.8055837563451775"/>
    <n v="1.9482662206881376"/>
    <n v="0.85034013605442171"/>
    <n v="1.9264642089343564"/>
    <n v="1.0790228998469584"/>
    <n v="2.1355167697651956"/>
    <n v="-1"/>
    <n v="1"/>
    <n v="1"/>
    <n v="1"/>
    <n v="1"/>
    <n v="1"/>
    <n v="3.5"/>
    <n v="4"/>
    <n v="3"/>
    <n v="4"/>
    <n v="2"/>
    <s v="YSRCP Sympathiser"/>
  </r>
  <r>
    <s v="006df53a-5037-4b4b-81f4-2c236e3d7713"/>
    <x v="5"/>
    <s v="1/24/2026, 10:08:09 AM"/>
    <s v="16.532226, 81.938970"/>
    <s v="GWJQ+VWJ, Botlakurru Doddavaram, Andhra Pradesh, India"/>
    <x v="3"/>
    <s v="Naeem"/>
    <s v="http://164.52.221.216/localmedia/media/surveys/samples/recording_2026-01-24_10-04-40_samples_Pf4DMBBxVY.mp4"/>
    <x v="1"/>
    <x v="2"/>
    <x v="3"/>
    <x v="3"/>
    <s v="హిందూ"/>
    <x v="2"/>
    <s v="ramohanrao"/>
    <n v="9948509750"/>
    <x v="0"/>
    <x v="5"/>
    <x v="1"/>
    <x v="1"/>
    <x v="0"/>
    <x v="0"/>
    <s v="ఉద్యొగ్య అవకాశాలు కల్పించటం, విద్య రంగం అభివృద్ధి చేయటం, ఆరోగ్య రంగం అభివృద్ధి చేయటం"/>
    <x v="1"/>
    <x v="0"/>
    <x v="0"/>
    <x v="0"/>
    <x v="0"/>
    <x v="0"/>
    <s v="Deepika"/>
    <s v="Correctly Done"/>
    <n v="0"/>
    <x v="0"/>
    <n v="1.1705128247062893"/>
    <n v="1.8055837563451775"/>
    <n v="1.4435679386658844"/>
    <n v="0.85034013605442171"/>
    <n v="0.75433779645928134"/>
    <n v="0.79950206330384943"/>
    <n v="0.40257772387792479"/>
    <n v="-1"/>
    <n v="1"/>
    <n v="1"/>
    <n v="-1"/>
    <n v="1"/>
    <n v="1"/>
    <n v="1.5"/>
    <n v="2"/>
    <n v="1"/>
    <n v="2"/>
    <n v="2"/>
    <s v="Neutral YSRCP"/>
  </r>
  <r>
    <s v="afc4ec70-3910-4443-97fa-ebbbd3a138b5"/>
    <x v="5"/>
    <s v="1/24/2026, 10:13:50 AM"/>
    <s v="16.423544, 81.867944"/>
    <s v="CVC9+W2R, Gudapalli, Andhra Pradesh, India"/>
    <x v="4"/>
    <s v="Naeem"/>
    <s v="http://164.52.221.216/localmedia/media/surveys/samples/recording_2026-01-24_10-11-19_samples_kd9XWnYOz1.mp4"/>
    <x v="2"/>
    <x v="0"/>
    <x v="14"/>
    <x v="2"/>
    <s v="హిందూ"/>
    <x v="0"/>
    <s v="R venkateswararao"/>
    <n v="9959578866"/>
    <x v="0"/>
    <x v="2"/>
    <x v="2"/>
    <x v="1"/>
    <x v="1"/>
    <x v="1"/>
    <s v="రోడ్లు వేయటం, విద్య రంగం అభివృద్ధి చేయటం, ఆరోగ్య రంగం అభివృద్ధి చేయటం, వ్యవసాయం, రైతు బాగుండడం"/>
    <x v="1"/>
    <x v="0"/>
    <x v="1"/>
    <x v="1"/>
    <x v="1"/>
    <x v="1"/>
    <s v="Deepika"/>
    <s v="Correctly Done"/>
    <n v="0"/>
    <x v="0"/>
    <n v="1.1461625511156397"/>
    <n v="1.0795332136445241"/>
    <n v="0.77721139583220644"/>
    <n v="0.85034013605442171"/>
    <n v="1.9264642089343564"/>
    <n v="0.71995135120329123"/>
    <n v="0.70534647283248642"/>
    <n v="-1"/>
    <n v="-1"/>
    <n v="-1"/>
    <n v="-1"/>
    <n v="-1"/>
    <n v="-1"/>
    <n v="-5.5"/>
    <n v="-6"/>
    <n v="-5"/>
    <n v="-4"/>
    <n v="-3"/>
    <s v="TDP HardCore"/>
  </r>
  <r>
    <s v="8b4c543b-7595-4c22-9962-e26f1f0d66a8"/>
    <x v="5"/>
    <s v="1/24/2026, 10:14:30 AM"/>
    <s v="16.423101, 81.847928"/>
    <s v="CRFX+768, Lakkavaram, Andhra Pradesh, India"/>
    <x v="5"/>
    <s v="Naeem"/>
    <s v="http://164.52.221.216/localmedia/media/surveys/samples/recording_2026-01-24_10-01-41_samples_fp1s6A31jJ.mp4"/>
    <x v="0"/>
    <x v="0"/>
    <x v="0"/>
    <x v="4"/>
    <s v="క్రిస్టియన్"/>
    <x v="0"/>
    <s v="injeti raju"/>
    <n v="6301888030"/>
    <x v="0"/>
    <x v="2"/>
    <x v="2"/>
    <x v="0"/>
    <x v="0"/>
    <x v="0"/>
    <s v="రోడ్లు వేయటం, విద్య రంగం అభివృద్ధి చేయటం, ఆరోగ్య రంగం అభివృద్ధి చేయటం"/>
    <x v="0"/>
    <x v="1"/>
    <x v="2"/>
    <x v="1"/>
    <x v="1"/>
    <x v="1"/>
    <s v="Deepika"/>
    <s v="Correctly Done"/>
    <n v="0"/>
    <x v="0"/>
    <n v="1.3836274505214585"/>
    <n v="1.0795332136445241"/>
    <n v="1.1648410586678206"/>
    <n v="0.85034013605442171"/>
    <n v="1.9264642089343564"/>
    <n v="1.0790228998469584"/>
    <n v="2.1355167697651956"/>
    <n v="1"/>
    <n v="1"/>
    <n v="1"/>
    <n v="1"/>
    <n v="-1"/>
    <n v="-1"/>
    <n v="2.5"/>
    <n v="2"/>
    <n v="1"/>
    <n v="0"/>
    <n v="-2"/>
    <s v="Neutral TDP"/>
  </r>
  <r>
    <s v="7d0f0a12-1938-4927-8937-e1e35e8be7d7"/>
    <x v="5"/>
    <s v="1/24/2026, 10:14:36 AM"/>
    <s v="16.533035, 81.938980"/>
    <s v="GWMQ+7JP, Botlakurru Doddavaram, Andhra Pradesh, India"/>
    <x v="3"/>
    <s v="Naeem"/>
    <s v="http://164.52.221.216/localmedia/media/surveys/samples/recording_2026-01-24_10-11-43_samples_tqgnE9R2MF.mp4"/>
    <x v="1"/>
    <x v="2"/>
    <x v="3"/>
    <x v="6"/>
    <s v="హిందూ"/>
    <x v="0"/>
    <s v="dhana lakshmi"/>
    <n v="9398146159"/>
    <x v="1"/>
    <x v="5"/>
    <x v="1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0"/>
    <x v="1"/>
    <x v="1"/>
    <x v="1"/>
    <x v="1"/>
    <s v="Deepika"/>
    <s v="Correctly Done"/>
    <n v="0"/>
    <x v="0"/>
    <n v="1.1705128247062893"/>
    <n v="1.0795332136445241"/>
    <n v="2.3577066232182737"/>
    <n v="2.1645021645021645"/>
    <n v="0.75433779645928134"/>
    <n v="2.1840056363422229"/>
    <n v="1.1182714552164577"/>
    <n v="-1"/>
    <n v="-1"/>
    <n v="-1"/>
    <n v="-1"/>
    <n v="-1"/>
    <n v="-1"/>
    <n v="-5.5"/>
    <n v="-6"/>
    <n v="-5"/>
    <n v="-4"/>
    <n v="-3"/>
    <s v="TDP HardCore"/>
  </r>
  <r>
    <s v="bf41d8b3-370d-422e-8339-f2dcae633168"/>
    <x v="5"/>
    <s v="1/24/2026, 6:25:29 PM"/>
    <s v="16.445874, 81.905930"/>
    <s v="7-139/1, Ponnamanda, Andhra Pradesh, India"/>
    <x v="0"/>
    <s v="Naeem"/>
    <s v="http://164.52.221.216/localmedia/media/surveys/samples/recording_2026-01-24_18-23-20_samples_4zkPBjuf7g.mp4"/>
    <x v="1"/>
    <x v="1"/>
    <x v="17"/>
    <x v="6"/>
    <s v="హిందూ"/>
    <x v="1"/>
    <s v="kuthanavevi.r"/>
    <n v="0"/>
    <x v="1"/>
    <x v="4"/>
    <x v="1"/>
    <x v="1"/>
    <x v="1"/>
    <x v="1"/>
    <s v="రోడ్లు వేయటం, ఆరోగ్య రంగం అభివృద్ధి చేయటం, వ్యవసాయం, రైతు బాగుండడం"/>
    <x v="1"/>
    <x v="2"/>
    <x v="1"/>
    <x v="1"/>
    <x v="1"/>
    <x v="1"/>
    <s v="Ashish"/>
    <s v="Fake Audio/Empty Audio"/>
    <s v="All options entered on his own"/>
    <x v="1"/>
    <n v="1.1705128247062893"/>
    <n v="1.0795332136445241"/>
    <n v="2.3577066232182737"/>
    <n v="2.1645021645021645"/>
    <n v="1.1213131007097483"/>
    <n v="2.1840056363422229"/>
    <n v="0.95944580773600496"/>
    <n v="-1"/>
    <n v="-1"/>
    <n v="-1"/>
    <n v="-1"/>
    <n v="-1"/>
    <n v="-1"/>
    <n v="-5.5"/>
    <n v="-6"/>
    <n v="-5"/>
    <n v="-4"/>
    <n v="-3"/>
    <s v="TDP HardCore"/>
  </r>
  <r>
    <s v="804ac2c2-08ff-4b97-a8d1-3a0078569d76"/>
    <x v="5"/>
    <s v="1/24/2026, 6:32:14 PM"/>
    <s v="16.444772, 81.908713"/>
    <s v="1-42, Ponnamanda, Andhra Pradesh, India"/>
    <x v="0"/>
    <s v="Naeem"/>
    <s v="http://164.52.221.216/localmedia/media/surveys/samples/recording_2026-01-24_18-29-11_samples_niZ6yk9XBQ.mp4"/>
    <x v="1"/>
    <x v="1"/>
    <x v="17"/>
    <x v="2"/>
    <s v="హిందూ"/>
    <x v="3"/>
    <s v="vaviteja.b"/>
    <n v="0"/>
    <x v="0"/>
    <x v="5"/>
    <x v="2"/>
    <x v="1"/>
    <x v="1"/>
    <x v="1"/>
    <s v="రోడ్లు వేయటం, ఉద్యొగ్య అవకాశాలు కల్పించటం, విద్య రంగం అభివృద్ధి చేయటం, సంక్షేమ పథకాలు (నగదు)"/>
    <x v="1"/>
    <x v="0"/>
    <x v="1"/>
    <x v="1"/>
    <x v="1"/>
    <x v="1"/>
    <s v="Ashish"/>
    <s v="Fake Audio/Empty Audio"/>
    <s v="All options entered on his own"/>
    <x v="1"/>
    <n v="1.1705128247062893"/>
    <n v="1.0795332136445241"/>
    <n v="0.86308903171383233"/>
    <n v="0.85034013605442171"/>
    <n v="1.1213131007097483"/>
    <n v="0.79950206330384943"/>
    <n v="0.7401439088249181"/>
    <n v="-1"/>
    <n v="-1"/>
    <n v="-1"/>
    <n v="-1"/>
    <n v="-1"/>
    <n v="-1"/>
    <n v="-5.5"/>
    <n v="-6"/>
    <n v="-5"/>
    <n v="-4"/>
    <n v="-3"/>
    <s v="TDP HardCore"/>
  </r>
  <r>
    <s v="ec6e7e91-d1ee-4abd-b613-6140ac0b818b"/>
    <x v="5"/>
    <s v="1/24/2026, 12:42:40 PM"/>
    <s v="16.421541, 81.840025"/>
    <s v="Kandikatla vari Group, Lakkavaram, Andhra Pradesh, India"/>
    <x v="5"/>
    <s v="Naeem"/>
    <s v="http://164.52.221.216/localmedia/media/surveys/samples/recording_2026-01-24_12-36-10_samples_8ngxvWOozM.mp4"/>
    <x v="0"/>
    <x v="0"/>
    <x v="0"/>
    <x v="6"/>
    <s v="క్రిస్టియన్"/>
    <x v="3"/>
    <s v="salini"/>
    <n v="9000000000"/>
    <x v="1"/>
    <x v="3"/>
    <x v="0"/>
    <x v="1"/>
    <x v="1"/>
    <x v="0"/>
    <s v="రోడ్లు వేయటం, విద్య రంగం అభివృద్ధి చేయటం, ఆరోగ్య రంగం అభివృద్ధి చేయటం"/>
    <x v="0"/>
    <x v="0"/>
    <x v="0"/>
    <x v="0"/>
    <x v="0"/>
    <x v="3"/>
    <s v="Deepika"/>
    <s v="Not Doing It Properly"/>
    <s v="Q4,12 kept his own"/>
    <x v="0"/>
    <n v="1.3836274505214585"/>
    <n v="1.8055837563451775"/>
    <n v="3.4809023142961388"/>
    <n v="2.1645021645021645"/>
    <n v="1.9264642089343564"/>
    <n v="1.9278542477265657"/>
    <n v="4.0768956513699193"/>
    <n v="-1"/>
    <n v="-1"/>
    <n v="1"/>
    <n v="1"/>
    <n v="1"/>
    <n v="1"/>
    <n v="1.5"/>
    <n v="2"/>
    <n v="3"/>
    <n v="4"/>
    <n v="2"/>
    <s v="YSRCP Sympathiser"/>
  </r>
  <r>
    <s v="3a75df6b-d378-4f2c-874a-01f2f76b2014"/>
    <x v="5"/>
    <s v="1/24/2026, 2:04:07 PM"/>
    <s v="16.423071, 81.863142"/>
    <s v="CVF7+59W, Gudapalli, Andhra Pradesh, India"/>
    <x v="4"/>
    <s v="Naeem"/>
    <s v="http://164.52.221.216/localmedia/media/surveys/samples/recording_2026-01-24_14-01-28_samples_b8qx7gQpro.mp4"/>
    <x v="1"/>
    <x v="0"/>
    <x v="14"/>
    <x v="0"/>
    <s v="హిందూ"/>
    <x v="2"/>
    <s v="chelluboyena balayya"/>
    <n v="9652017143"/>
    <x v="0"/>
    <x v="2"/>
    <x v="2"/>
    <x v="1"/>
    <x v="0"/>
    <x v="1"/>
    <s v="రోడ్లు వేయటం, విద్య రంగం అభివృద్ధి చేయటం, వ్యవసాయం, రైతు బాగుండడం"/>
    <x v="0"/>
    <x v="0"/>
    <x v="1"/>
    <x v="1"/>
    <x v="1"/>
    <x v="1"/>
    <s v="Deepika"/>
    <s v="Correctly Done"/>
    <s v="Q1 to 5,7,8 not asking"/>
    <x v="0"/>
    <n v="1.1705128247062893"/>
    <n v="1.0795332136445241"/>
    <n v="0.86308903171383233"/>
    <n v="0.85034013605442171"/>
    <n v="1.9264642089343564"/>
    <n v="0.79950206330384943"/>
    <n v="1.1572126985895925"/>
    <n v="-1"/>
    <n v="1"/>
    <n v="-1"/>
    <n v="1"/>
    <n v="-1"/>
    <n v="-1"/>
    <n v="-1.5"/>
    <n v="-2"/>
    <n v="-3"/>
    <n v="-2"/>
    <n v="-3"/>
    <s v="Neutral TDP"/>
  </r>
  <r>
    <s v="42fcdafc-40c3-4f61-a4f3-35eba223858e"/>
    <x v="5"/>
    <s v="1/24/2026, 10:19:55 AM"/>
    <s v="16.533711, 81.938391"/>
    <s v="GWMQ+7JP, Botlakurru Doddavaram, Andhra Pradesh, India"/>
    <x v="3"/>
    <s v="Naeem"/>
    <s v="http://164.52.221.216/localmedia/media/surveys/samples/recording_2026-01-24_10-17-16_samples_gpBhh5eYCJ.mp4"/>
    <x v="1"/>
    <x v="2"/>
    <x v="3"/>
    <x v="0"/>
    <s v="హిందూ"/>
    <x v="1"/>
    <s v="lakshmi devi"/>
    <n v="9398544611"/>
    <x v="1"/>
    <x v="4"/>
    <x v="1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"/>
    <x v="1"/>
    <x v="0"/>
    <x v="1"/>
    <x v="1"/>
    <x v="1"/>
    <x v="1"/>
    <s v="Deepika"/>
    <s v="Correctly Done"/>
    <n v="0"/>
    <x v="0"/>
    <n v="1.1705128247062893"/>
    <n v="1.0795332136445241"/>
    <n v="2.3577066232182737"/>
    <n v="2.1645021645021645"/>
    <n v="0.75433779645928134"/>
    <n v="2.1840056363422229"/>
    <n v="1.1182714552164577"/>
    <n v="-1"/>
    <n v="-1"/>
    <n v="-1"/>
    <n v="-1"/>
    <n v="-1"/>
    <n v="-1"/>
    <n v="-5.5"/>
    <n v="-6"/>
    <n v="-5"/>
    <n v="-4"/>
    <n v="-3"/>
    <s v="TDP HardCore"/>
  </r>
  <r>
    <s v="3facd237-40b8-45a0-bd17-ac7ea2529107"/>
    <x v="5"/>
    <s v="1/24/2026, 10:25:27 AM"/>
    <s v="16.534519, 81.938565"/>
    <s v="B DODDAVARAM, MANDAL, Andhra Pradesh, India"/>
    <x v="3"/>
    <s v="Naeem"/>
    <s v="http://164.52.221.216/localmedia/media/surveys/samples/recording_2026-01-24_10-22-36_samples_2mQoxWU4Iu.mp4"/>
    <x v="1"/>
    <x v="2"/>
    <x v="3"/>
    <x v="3"/>
    <s v="హిందూ"/>
    <x v="0"/>
    <s v="janshi"/>
    <n v="8341794634"/>
    <x v="1"/>
    <x v="4"/>
    <x v="1"/>
    <x v="1"/>
    <x v="1"/>
    <x v="1"/>
    <s v="ఉద్యొగ్య అవకాశాలు కల్పించటం, విద్య రంగం అభివృద్ధి చేయటం, ఆరోగ్య రంగం అభివృద్ధి చేయటం"/>
    <x v="1"/>
    <x v="0"/>
    <x v="1"/>
    <x v="1"/>
    <x v="1"/>
    <x v="1"/>
    <s v="Deepika"/>
    <s v="Correctly Done"/>
    <n v="0"/>
    <x v="0"/>
    <n v="1.1705128247062893"/>
    <n v="1.0795332136445241"/>
    <n v="2.3577066232182737"/>
    <n v="2.1645021645021645"/>
    <n v="0.75433779645928134"/>
    <n v="2.1840056363422229"/>
    <n v="1.1182714552164577"/>
    <n v="-1"/>
    <n v="-1"/>
    <n v="-1"/>
    <n v="-1"/>
    <n v="-1"/>
    <n v="-1"/>
    <n v="-5.5"/>
    <n v="-6"/>
    <n v="-5"/>
    <n v="-4"/>
    <n v="-3"/>
    <s v="TDP HardCore"/>
  </r>
  <r>
    <s v="42a731bf-ec61-409e-97e1-ee7aeb092fd8"/>
    <x v="5"/>
    <s v="1/24/2026, 10:29:41 AM"/>
    <s v="16.423912, 81.868575"/>
    <s v="CVC9+W2R, Gudapalli, Andhra Pradesh, India"/>
    <x v="4"/>
    <s v="Naeem"/>
    <s v="http://164.52.221.216/localmedia/media/surveys/samples/recording_2026-01-24_10-25-57_samples_G97LDrzFPr.mp4"/>
    <x v="2"/>
    <x v="0"/>
    <x v="14"/>
    <x v="1"/>
    <s v="హిందూ"/>
    <x v="0"/>
    <s v="P Srinivasarao"/>
    <n v="9849177306"/>
    <x v="0"/>
    <x v="3"/>
    <x v="1"/>
    <x v="1"/>
    <x v="0"/>
    <x v="0"/>
    <s v="రోడ్లు వేయటం, ఉద్యొగ్య అవకాశాలు కల్పించటం, విద్య రంగం అభివృద్ధి చేయటం, ఆరోగ్య రంగం అభివృద్ధి చేయటం"/>
    <x v="1"/>
    <x v="0"/>
    <x v="1"/>
    <x v="1"/>
    <x v="1"/>
    <x v="1"/>
    <s v="Deepika"/>
    <s v="Correctly Done"/>
    <n v="0"/>
    <x v="0"/>
    <n v="1.1461625511156397"/>
    <n v="1.0795332136445241"/>
    <n v="0.77721139583220644"/>
    <n v="0.85034013605442171"/>
    <n v="1.9264642089343564"/>
    <n v="0.71995135120329123"/>
    <n v="0.70534647283248642"/>
    <n v="-1"/>
    <n v="1"/>
    <n v="1"/>
    <n v="-1"/>
    <n v="-1"/>
    <n v="-1"/>
    <n v="-1.5"/>
    <n v="-2"/>
    <n v="-3"/>
    <n v="-2"/>
    <n v="-3"/>
    <s v="Neutral TDP"/>
  </r>
  <r>
    <s v="5017dbba-d67d-4cf4-a4e5-a857da5d7f50"/>
    <x v="5"/>
    <s v="1/24/2026, 10:29:49 AM"/>
    <s v="16.414338, 81.806591"/>
    <s v="opp. PADMAJA THEATOR, Malikipuram, Andhra Pradesh, India"/>
    <x v="1"/>
    <s v="Naeem"/>
    <s v="http://164.52.221.216/localmedia/media/surveys/samples/recording_2026-01-24_10-28-07_samples_yl5DirVjEc.mp4"/>
    <x v="0"/>
    <x v="0"/>
    <x v="16"/>
    <x v="2"/>
    <s v="హిందూ"/>
    <x v="1"/>
    <s v="ramana"/>
    <n v="9999999999"/>
    <x v="0"/>
    <x v="3"/>
    <x v="2"/>
    <x v="0"/>
    <x v="1"/>
    <x v="0"/>
    <s v="ఉద్యొగ్య అవకాశాలు కల్పించటం, శాంతి భద్రతలను కాపాడటం, ఆరోగ్య రంగం అభివృద్ధి చేయటం, వ్యవసాయం, రైతు బాగుండడం"/>
    <x v="1"/>
    <x v="0"/>
    <x v="1"/>
    <x v="0"/>
    <x v="0"/>
    <x v="0"/>
    <s v="Deepika"/>
    <s v="Correctly Done"/>
    <s v="not asking phone number"/>
    <x v="0"/>
    <n v="1.3836274505214585"/>
    <n v="1.8055837563451775"/>
    <n v="1.9482662206881376"/>
    <n v="0.85034013605442171"/>
    <n v="1.9264642089343564"/>
    <n v="1.0790228998469584"/>
    <n v="2.1355167697651956"/>
    <n v="1"/>
    <n v="-1"/>
    <n v="1"/>
    <n v="-1"/>
    <n v="1"/>
    <n v="-1"/>
    <n v="-0.5"/>
    <n v="0"/>
    <n v="1"/>
    <n v="0"/>
    <s v="ND"/>
    <s v="ND"/>
  </r>
  <r>
    <s v="1d6bf6a8-3661-400f-9115-a20704017619"/>
    <x v="5"/>
    <s v="1/24/2026, 11:38:33 AM"/>
    <s v="16.411138, 81.804939"/>
    <s v="157, Malikipuram, Andhra Pradesh, India"/>
    <x v="1"/>
    <s v="Naeem"/>
    <s v="http://164.52.221.216/localmedia/media/surveys/samples/recording_2026-01-24_11-36-46_samples_2i4gZclLya.mp4"/>
    <x v="1"/>
    <x v="0"/>
    <x v="16"/>
    <x v="1"/>
    <s v="హిందూ"/>
    <x v="2"/>
    <s v="satyanarayana"/>
    <n v="9618103897"/>
    <x v="0"/>
    <x v="5"/>
    <x v="1"/>
    <x v="1"/>
    <x v="1"/>
    <x v="1"/>
    <s v="రోడ్లు వేయటం, ఆరోగ్య రంగం అభివృద్ధి చేయటం, సంక్షేమ పథకాలు (నగదు)"/>
    <x v="1"/>
    <x v="0"/>
    <x v="1"/>
    <x v="1"/>
    <x v="1"/>
    <x v="1"/>
    <s v="Ashish"/>
    <s v="Not Doing It Properly"/>
    <s v="Didn't ask Caste and Q6 entered on his own"/>
    <x v="0"/>
    <n v="1.1705128247062893"/>
    <n v="1.0795332136445241"/>
    <n v="0.86308903171383233"/>
    <n v="0.85034013605442171"/>
    <n v="1.9264642089343564"/>
    <n v="0.79950206330384943"/>
    <n v="1.1572126985895925"/>
    <n v="-1"/>
    <n v="-1"/>
    <n v="-1"/>
    <n v="-1"/>
    <n v="-1"/>
    <n v="-1"/>
    <n v="-5.5"/>
    <n v="-6"/>
    <n v="-5"/>
    <n v="-4"/>
    <n v="-3"/>
    <s v="TDP HardCore"/>
  </r>
  <r>
    <s v="20f3f47b-2b22-4fca-ad71-c4cf6313849c"/>
    <x v="5"/>
    <s v="1/24/2026, 10:31:11 AM"/>
    <s v="16.533877, 81.939138"/>
    <s v="GWMQ+7JP, Botlakurru Doddavaram, Andhra Pradesh, India"/>
    <x v="3"/>
    <s v="Naeem"/>
    <s v="http://164.52.221.216/localmedia/media/surveys/samples/recording_2026-01-24_10-27-20_samples_vu9tj6Kx2l.mp4"/>
    <x v="1"/>
    <x v="2"/>
    <x v="3"/>
    <x v="4"/>
    <s v="హిందూ"/>
    <x v="2"/>
    <s v="surya narayana "/>
    <n v="9491314584"/>
    <x v="0"/>
    <x v="3"/>
    <x v="1"/>
    <x v="1"/>
    <x v="1"/>
    <x v="1"/>
    <s v="రోడ్లు వేయటం, ఉద్యొగ్య అవకాశాలు కల్పించటం, ఆరోగ్య రంగం అభివృద్ధి చేయటం"/>
    <x v="1"/>
    <x v="0"/>
    <x v="1"/>
    <x v="1"/>
    <x v="1"/>
    <x v="1"/>
    <s v="Deepika"/>
    <s v="Correctly Done"/>
    <n v="0"/>
    <x v="0"/>
    <n v="1.1705128247062893"/>
    <n v="1.0795332136445241"/>
    <n v="0.86308903171383233"/>
    <n v="0.85034013605442171"/>
    <n v="0.75433779645928134"/>
    <n v="0.79950206330384943"/>
    <n v="0.40257772387792479"/>
    <n v="-1"/>
    <n v="-1"/>
    <n v="-1"/>
    <n v="-1"/>
    <n v="-1"/>
    <n v="-1"/>
    <n v="-5.5"/>
    <n v="-6"/>
    <n v="-5"/>
    <n v="-4"/>
    <n v="-3"/>
    <s v="TDP HardCore"/>
  </r>
  <r>
    <s v="2bbe5c40-a18b-41a1-956d-f71babd411ae"/>
    <x v="5"/>
    <s v="1/24/2026, 10:37:26 AM"/>
    <s v="16.535412, 81.938235"/>
    <s v="B DODDAVARAM, MANDAL, Andhra Pradesh, India"/>
    <x v="3"/>
    <s v="Naeem"/>
    <s v="http://164.52.221.216/localmedia/media/surveys/samples/recording_2026-01-24_10-34-48_samples_akyDAYZO86.mp4"/>
    <x v="1"/>
    <x v="2"/>
    <x v="3"/>
    <x v="4"/>
    <s v="హిందూ"/>
    <x v="3"/>
    <s v="pawan"/>
    <n v="6309849763"/>
    <x v="0"/>
    <x v="3"/>
    <x v="1"/>
    <x v="1"/>
    <x v="1"/>
    <x v="1"/>
    <s v="ఉద్యొగ్య అవకాశాలు కల్పించటం, విద్య రంగం అభివృద్ధి చేయటం, ఆరోగ్య రంగం అభివృద్ధి చేయటం"/>
    <x v="1"/>
    <x v="0"/>
    <x v="1"/>
    <x v="1"/>
    <x v="1"/>
    <x v="1"/>
    <s v="Deepika"/>
    <s v="Correctly Done"/>
    <n v="0"/>
    <x v="0"/>
    <n v="1.1705128247062893"/>
    <n v="1.0795332136445241"/>
    <n v="0.86308903171383233"/>
    <n v="0.85034013605442171"/>
    <n v="0.75433779645928134"/>
    <n v="0.79950206330384943"/>
    <n v="0.40257772387792479"/>
    <n v="-1"/>
    <n v="-1"/>
    <n v="-1"/>
    <n v="-1"/>
    <n v="-1"/>
    <n v="-1"/>
    <n v="-5.5"/>
    <n v="-6"/>
    <n v="-5"/>
    <n v="-4"/>
    <n v="-3"/>
    <s v="TDP HardCore"/>
  </r>
  <r>
    <s v="c3a12eab-d117-44ad-ba52-e1ab00601204"/>
    <x v="5"/>
    <s v="1/24/2026, 12:19:13 PM"/>
    <s v="16.536887, 81.934024"/>
    <s v="No address"/>
    <x v="3"/>
    <s v="Naeem"/>
    <s v="http://164.52.221.216/localmedia/media/surveys/samples/recording_2026-01-24_12-16-42_samples_pt6hKRdMIb.mp4"/>
    <x v="6"/>
    <x v="2"/>
    <x v="3"/>
    <x v="0"/>
    <s v="హిందూ"/>
    <x v="0"/>
    <s v="malleswarao"/>
    <n v="9640124426"/>
    <x v="0"/>
    <x v="5"/>
    <x v="0"/>
    <x v="0"/>
    <x v="0"/>
    <x v="0"/>
    <s v="రోడ్లు వేయటం, విద్య రంగం అభివృద్ధి చేయటం"/>
    <x v="0"/>
    <x v="0"/>
    <x v="2"/>
    <x v="2"/>
    <x v="1"/>
    <x v="1"/>
    <s v="Deepika"/>
    <s v="Not Doing It Properly"/>
    <s v="caste wrong , Q6,10 kept his own"/>
    <x v="0"/>
    <n v="1.2612194085121222"/>
    <n v="0.66153846153846207"/>
    <n v="0.5639555161423867"/>
    <n v="0.85034013605442171"/>
    <n v="0.75433779645928134"/>
    <n v="0.85249089649430487"/>
    <n v="1.2935274689263982"/>
    <n v="1"/>
    <n v="1"/>
    <n v="1"/>
    <n v="1"/>
    <n v="-1"/>
    <n v="-1"/>
    <n v="2.5"/>
    <n v="2"/>
    <n v="1"/>
    <n v="0"/>
    <n v="-2"/>
    <s v="Neutral TDP"/>
  </r>
  <r>
    <s v="0261d636-3507-442e-84db-bffaaab60907"/>
    <x v="5"/>
    <s v="1/24/2026, 10:37:44 AM"/>
    <s v="16.424125, 81.867202"/>
    <s v="CVF8+PR6, Gudapalli, Andhra Pradesh, India"/>
    <x v="4"/>
    <s v="Naeem"/>
    <s v="http://164.52.221.216/localmedia/media/surveys/samples/recording_2026-01-24_10-34-42_samples_3ztQplFIXb.mp4"/>
    <x v="8"/>
    <x v="0"/>
    <x v="14"/>
    <x v="4"/>
    <s v="హిందూ"/>
    <x v="1"/>
    <s v="YVD Prasad"/>
    <n v="9390804112"/>
    <x v="0"/>
    <x v="2"/>
    <x v="0"/>
    <x v="1"/>
    <x v="1"/>
    <x v="1"/>
    <s v="ఉద్యొగ్య అవకాశాలు కల్పించటం, విద్య రంగం అభివృద్ధి చేయటం, ఆరోగ్య రంగం అభివృద్ధి చేయటం"/>
    <x v="1"/>
    <x v="0"/>
    <x v="2"/>
    <x v="1"/>
    <x v="1"/>
    <x v="1"/>
    <s v="Deepika"/>
    <s v="Correctly Done"/>
    <n v="0"/>
    <x v="0"/>
    <n v="0.80207032429970992"/>
    <n v="1.0795332136445241"/>
    <n v="0.65595572330316032"/>
    <n v="0.85034013605442171"/>
    <n v="1.9264642089343564"/>
    <n v="0.60762903356038633"/>
    <n v="2.0730893618557826"/>
    <n v="-1"/>
    <n v="-1"/>
    <n v="-1"/>
    <n v="-1"/>
    <n v="-1"/>
    <n v="-1"/>
    <n v="-5.5"/>
    <n v="-6"/>
    <n v="-5"/>
    <n v="-4"/>
    <n v="-3"/>
    <s v="TDP HardCore"/>
  </r>
  <r>
    <s v="7c48710c-b25f-40ea-b09c-1d82ff51496d"/>
    <x v="5"/>
    <s v="1/24/2026, 2:14:34 PM"/>
    <s v="16.423250, 81.863551"/>
    <s v="CVF7+59W, Gudapalli, Andhra Pradesh, India"/>
    <x v="4"/>
    <s v="Naeem"/>
    <s v="http://164.52.221.216/localmedia/media/surveys/samples/recording_2026-01-24_14-12-10_samples_yIFSPR08YX.mp4"/>
    <x v="2"/>
    <x v="0"/>
    <x v="14"/>
    <x v="6"/>
    <s v="హిందూ"/>
    <x v="1"/>
    <s v="mounika"/>
    <n v="9908739109"/>
    <x v="1"/>
    <x v="3"/>
    <x v="1"/>
    <x v="1"/>
    <x v="0"/>
    <x v="1"/>
    <s v="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"/>
    <x v="0"/>
    <x v="0"/>
    <x v="1"/>
    <x v="1"/>
    <x v="1"/>
    <x v="1"/>
    <s v="Deepika"/>
    <s v="Correctly Done"/>
    <s v="surveyor asking questions but respondent not there fake audio"/>
    <x v="0"/>
    <n v="1.1461625511156397"/>
    <n v="1.0795332136445241"/>
    <n v="3.0326483876590018"/>
    <n v="2.1645021645021645"/>
    <n v="1.9264642089343564"/>
    <n v="2.8092219390089208"/>
    <n v="6.3481182554923778"/>
    <n v="-1"/>
    <n v="1"/>
    <n v="-1"/>
    <n v="1"/>
    <n v="-1"/>
    <n v="-1"/>
    <n v="-1.5"/>
    <n v="-2"/>
    <n v="-3"/>
    <n v="-2"/>
    <n v="-3"/>
    <s v="Neutral TDP"/>
  </r>
  <r>
    <s v="349f414e-4990-42f0-bbfe-bf52595ba526"/>
    <x v="5"/>
    <s v="1/24/2026, 11:43:42 AM"/>
    <s v="16.409713, 81.804066"/>
    <s v="CR53+WH9, Arthamuru, Andhra Pradesh, India"/>
    <x v="1"/>
    <s v="Naeem"/>
    <s v="http://164.52.221.216/localmedia/media/surveys/samples/recording_2026-01-24_11-42-24_samples_9qj7ANbkah.mp4"/>
    <x v="2"/>
    <x v="0"/>
    <x v="16"/>
    <x v="1"/>
    <s v="హిందూ"/>
    <x v="0"/>
    <s v="srinuvas"/>
    <n v="9999999999"/>
    <x v="0"/>
    <x v="3"/>
    <x v="1"/>
    <x v="1"/>
    <x v="0"/>
    <x v="1"/>
    <s v="రోడ్లు వేయటం, విద్య రంగం అభివృద్ధి చేయటం, ఆరోగ్య రంగం అభివృద్ధి చేయటం"/>
    <x v="1"/>
    <x v="0"/>
    <x v="1"/>
    <x v="1"/>
    <x v="1"/>
    <x v="1"/>
    <s v="Bhagya"/>
    <s v="Not Doing It Properly"/>
    <s v="Q6 Kept on his own"/>
    <x v="0"/>
    <n v="1.1461625511156397"/>
    <n v="1.0795332136445241"/>
    <n v="0.77721139583220644"/>
    <n v="0.85034013605442171"/>
    <n v="1.9264642089343564"/>
    <n v="0.71995135120329123"/>
    <n v="0.70534647283248642"/>
    <n v="-1"/>
    <n v="1"/>
    <n v="-1"/>
    <n v="-1"/>
    <n v="-1"/>
    <n v="-1"/>
    <n v="-3.5"/>
    <n v="-4"/>
    <n v="-5"/>
    <n v="-4"/>
    <n v="-3"/>
    <s v="TDP Sympathiser"/>
  </r>
  <r>
    <s v="aa470628-587b-4e33-9809-5889330cf284"/>
    <x v="5"/>
    <s v="1/24/2026, 10:48:42 AM"/>
    <s v="16.538360, 81.939528"/>
    <s v="B DODDAVARAM, Botlakurru Doddavaram, Andhra Pradesh, India"/>
    <x v="3"/>
    <s v="Naeem"/>
    <s v="http://164.52.221.216/localmedia/media/surveys/samples/recording_2026-01-24_10-45-30_samples_zf0sDs2s44.mp4"/>
    <x v="1"/>
    <x v="2"/>
    <x v="3"/>
    <x v="4"/>
    <s v="హిందూ"/>
    <x v="2"/>
    <s v="satya namdam"/>
    <n v="7095227390"/>
    <x v="0"/>
    <x v="5"/>
    <x v="1"/>
    <x v="1"/>
    <x v="1"/>
    <x v="1"/>
    <s v="ఉద్యొగ్య అవకాశాలు కల్పించటం, విద్య రంగం అభివృద్ధి చేయటం, ఆరోగ్య రంగం అభివృద్ధి చేయటం"/>
    <x v="1"/>
    <x v="0"/>
    <x v="1"/>
    <x v="1"/>
    <x v="1"/>
    <x v="1"/>
    <s v="Deepika"/>
    <s v="Correctly Done"/>
    <n v="0"/>
    <x v="0"/>
    <n v="1.1705128247062893"/>
    <n v="1.0795332136445241"/>
    <n v="0.86308903171383233"/>
    <n v="0.85034013605442171"/>
    <n v="0.75433779645928134"/>
    <n v="0.79950206330384943"/>
    <n v="0.40257772387792479"/>
    <n v="-1"/>
    <n v="-1"/>
    <n v="-1"/>
    <n v="-1"/>
    <n v="-1"/>
    <n v="-1"/>
    <n v="-5.5"/>
    <n v="-6"/>
    <n v="-5"/>
    <n v="-4"/>
    <n v="-3"/>
    <s v="TDP HardCore"/>
  </r>
  <r>
    <s v="22f7f996-6530-4211-ae14-5792419e2f2c"/>
    <x v="5"/>
    <s v="1/24/2026, 10:49:02 AM"/>
    <s v="16.538360, 81.939528"/>
    <s v="B DODDAVARAM, Botlakurru Doddavaram, Andhra Pradesh, India"/>
    <x v="3"/>
    <s v="Naeem"/>
    <s v="http://164.52.221.216/localmedia/media/surveys/samples/recording_2026-01-24_10-45-30_samples_418XqdSnZP.mp4"/>
    <x v="1"/>
    <x v="2"/>
    <x v="3"/>
    <x v="4"/>
    <s v="హిందూ"/>
    <x v="2"/>
    <s v="satya namdam"/>
    <n v="7095227390"/>
    <x v="0"/>
    <x v="5"/>
    <x v="1"/>
    <x v="1"/>
    <x v="1"/>
    <x v="1"/>
    <s v="ఉద్యొగ్య అవకాశాలు కల్పించటం, విద్య రంగం అభివృద్ధి చేయటం, ఆరోగ్య రంగం అభివృద్ధి చేయటం"/>
    <x v="1"/>
    <x v="0"/>
    <x v="1"/>
    <x v="1"/>
    <x v="1"/>
    <x v="1"/>
    <n v="0"/>
    <s v="Correctly Done"/>
    <n v="0"/>
    <x v="0"/>
    <n v="1.1705128247062893"/>
    <n v="1.0795332136445241"/>
    <n v="0.86308903171383233"/>
    <n v="0.85034013605442171"/>
    <n v="0.75433779645928134"/>
    <n v="0.79950206330384943"/>
    <n v="0.40257772387792479"/>
    <n v="-1"/>
    <n v="-1"/>
    <n v="-1"/>
    <n v="-1"/>
    <n v="-1"/>
    <n v="-1"/>
    <n v="-5.5"/>
    <n v="-6"/>
    <n v="-5"/>
    <n v="-4"/>
    <n v="-3"/>
    <s v="TDP HardCore"/>
  </r>
  <r>
    <s v="bbeaaa7f-2b83-4032-a1c1-24237765cd94"/>
    <x v="5"/>
    <s v="1/24/2026, 10:50:06 AM"/>
    <s v="16.413831, 81.805198"/>
    <s v="Malkipuram, Malikipuram, Andhra Pradesh, India"/>
    <x v="1"/>
    <s v="Naeem"/>
    <s v="http://164.52.221.216/localmedia/media/surveys/samples/recording_2026-01-24_10-48-06_samples_vCIi6DqNgX.mp4"/>
    <x v="2"/>
    <x v="0"/>
    <x v="16"/>
    <x v="1"/>
    <s v="హిందూ"/>
    <x v="0"/>
    <s v="kumar"/>
    <n v="9999999999"/>
    <x v="0"/>
    <x v="1"/>
    <x v="2"/>
    <x v="0"/>
    <x v="1"/>
    <x v="0"/>
    <s v="రోడ్లు వేయటం, ఉద్యొగ్య అవకాశాలు కల్పించటం, ఆరోగ్య రంగం అభివృద్ధి చేయటం"/>
    <x v="1"/>
    <x v="0"/>
    <x v="1"/>
    <x v="1"/>
    <x v="1"/>
    <x v="1"/>
    <s v="Bhagya"/>
    <s v="Correctly Done"/>
    <s v="Q6 only mentioning the options he selected to the respondent"/>
    <x v="0"/>
    <n v="1.1461625511156397"/>
    <n v="1.0795332136445241"/>
    <n v="0.77721139583220644"/>
    <n v="0.85034013605442171"/>
    <n v="1.9264642089343564"/>
    <n v="0.71995135120329123"/>
    <n v="0.70534647283248642"/>
    <n v="1"/>
    <n v="-1"/>
    <n v="1"/>
    <n v="-1"/>
    <n v="-1"/>
    <n v="-1"/>
    <n v="-1.5"/>
    <n v="-2"/>
    <n v="-1"/>
    <n v="-2"/>
    <n v="-2"/>
    <s v="Neutral TDP"/>
  </r>
  <r>
    <s v="c65e2f0a-3fe3-4bcd-bb45-203612755842"/>
    <x v="5"/>
    <s v="1/24/2026, 9:31:38 AM"/>
    <s v="16.424766, 81.864835"/>
    <s v="CVF7+WW4, Gudapalli, Andhra Pradesh, India"/>
    <x v="4"/>
    <s v="Naeem"/>
    <s v="http://164.52.221.216/localmedia/media/surveys/samples/recording_2026-01-24_09-26-13_samples_Ah8pNiWLLL.mp4"/>
    <x v="4"/>
    <x v="0"/>
    <x v="14"/>
    <x v="1"/>
    <s v="హిందూ"/>
    <x v="1"/>
    <s v="Ramakrishna"/>
    <n v="9948284811"/>
    <x v="0"/>
    <x v="2"/>
    <x v="2"/>
    <x v="1"/>
    <x v="1"/>
    <x v="0"/>
    <s v="రోడ్లు వేయటం, ఉద్యొగ్య అవకాశాలు కల్పించటం, విద్య రంగం అభివృద్ధి చేయటం, ఆరోగ్య రంగం అభివృద్ధి చేయటం"/>
    <x v="1"/>
    <x v="0"/>
    <x v="2"/>
    <x v="1"/>
    <x v="1"/>
    <x v="1"/>
    <s v="Ashish"/>
    <s v="Not Doing It Properly"/>
    <s v="Q9,10 kept on his own and wrong caste entered - Yadava"/>
    <x v="0"/>
    <n v="2.1852575402829908"/>
    <n v="1.0795332136445241"/>
    <n v="1.7037641797963405"/>
    <n v="0.85034013605442171"/>
    <n v="1.9264642089343564"/>
    <n v="1.5782415568710491"/>
    <n v="0.88111541781135172"/>
    <n v="-1"/>
    <n v="-1"/>
    <n v="1"/>
    <n v="-1"/>
    <n v="-1"/>
    <n v="-1"/>
    <n v="-3.5"/>
    <n v="-4"/>
    <n v="-3"/>
    <n v="-2"/>
    <n v="-3"/>
    <s v="Neutral TDP"/>
  </r>
  <r>
    <s v="f9f7f6b2-0b79-47ad-9e33-2915181a847a"/>
    <x v="5"/>
    <s v="1/24/2026, 11:04:24 AM"/>
    <s v="16.412359, 81.807927"/>
    <s v="CR65+V24, Malikipuram, Andhra Pradesh, India"/>
    <x v="1"/>
    <s v="Naeem"/>
    <s v="http://164.52.221.216/localmedia/media/surveys/samples/recording_2026-01-24_11-02-17_samples_wdn7Q4m3fH.mp4"/>
    <x v="2"/>
    <x v="0"/>
    <x v="16"/>
    <x v="1"/>
    <s v="హిందూ"/>
    <x v="2"/>
    <s v="narasiharao"/>
    <n v="9999999999"/>
    <x v="0"/>
    <x v="3"/>
    <x v="2"/>
    <x v="1"/>
    <x v="1"/>
    <x v="1"/>
    <s v="రోడ్లు వేయటం, ఉద్యొగ్య అవకాశాలు కల్పించటం, ఆరోగ్య రంగం అభివృద్ధి చేయటం"/>
    <x v="1"/>
    <x v="0"/>
    <x v="1"/>
    <x v="1"/>
    <x v="1"/>
    <x v="1"/>
    <s v="Bhagya"/>
    <s v="Correctly Done"/>
    <s v="Caste didn't asked"/>
    <x v="0"/>
    <n v="1.1461625511156397"/>
    <n v="1.0795332136445241"/>
    <n v="0.77721139583220644"/>
    <n v="0.85034013605442171"/>
    <n v="1.9264642089343564"/>
    <n v="0.71995135120329123"/>
    <n v="0.70534647283248642"/>
    <n v="-1"/>
    <n v="-1"/>
    <n v="-1"/>
    <n v="-1"/>
    <n v="-1"/>
    <n v="-1"/>
    <n v="-5.5"/>
    <n v="-6"/>
    <n v="-5"/>
    <n v="-4"/>
    <n v="-3"/>
    <s v="TDP HardCore"/>
  </r>
  <r>
    <s v="78f01e5d-50e7-476b-9812-e1a1248158bc"/>
    <x v="5"/>
    <s v="1/24/2026, 12:55:47 PM"/>
    <s v="16.422306, 81.838702"/>
    <s v="6-244, Malkipuram Mandal, Lakkavaram, Andhra Pradesh, India"/>
    <x v="5"/>
    <s v="Naeem"/>
    <s v="http://164.52.221.216/localmedia/media/surveys/samples/recording_2026-01-24_12-46-30_samples_pm9NM3zmI2.mp4"/>
    <x v="1"/>
    <x v="0"/>
    <x v="0"/>
    <x v="3"/>
    <s v="హిందూ"/>
    <x v="1"/>
    <s v="latha"/>
    <n v="9866256852"/>
    <x v="1"/>
    <x v="2"/>
    <x v="1"/>
    <x v="1"/>
    <x v="0"/>
    <x v="1"/>
    <s v="రోడ్లు వేయటం, ఉద్యొగ్య అవకాశాలు కల్పించటం, వ్యవసాయం, రైతు బాగుండడం"/>
    <x v="1"/>
    <x v="0"/>
    <x v="1"/>
    <x v="0"/>
    <x v="3"/>
    <x v="3"/>
    <s v="Deepika"/>
    <s v="Not Doing It Properly"/>
    <s v="Q5,7,12 kept his own"/>
    <x v="0"/>
    <n v="1.1705128247062893"/>
    <n v="1.8055837563451775"/>
    <n v="3.9434051007458306"/>
    <n v="2.1645021645021645"/>
    <n v="1.9264642089343564"/>
    <n v="2.1840056363422229"/>
    <n v="6.9432761915375547"/>
    <n v="-1"/>
    <n v="1"/>
    <n v="-1"/>
    <n v="-1"/>
    <n v="1"/>
    <n v="-1"/>
    <n v="-2.5"/>
    <n v="-2"/>
    <n v="-3"/>
    <n v="-2"/>
    <n v="-2"/>
    <s v="Neutral TDP"/>
  </r>
  <r>
    <s v="c8add588-7667-455d-9413-da9c7ab7acef"/>
    <x v="5"/>
    <s v="1/24/2026, 10:48:32 AM"/>
    <s v="16.423030, 81.843046"/>
    <s v="CRFV+53W, Lakkavaram, Andhra Pradesh, India"/>
    <x v="5"/>
    <s v="Naeem"/>
    <s v="http://164.52.221.216/localmedia/media/surveys/samples/recording_2026-01-24_10-43-37_samples_fUvHyL7Ea7.mp4"/>
    <x v="1"/>
    <x v="0"/>
    <x v="0"/>
    <x v="6"/>
    <s v="హిందూ"/>
    <x v="3"/>
    <s v="lakshmi prasanna"/>
    <n v="7893770670"/>
    <x v="1"/>
    <x v="3"/>
    <x v="1"/>
    <x v="1"/>
    <x v="1"/>
    <x v="0"/>
    <s v="రోడ్లు వేయటం, విద్య రంగం అభివృద్ధి చేయటం, ఆరోగ్య రంగం అభివృద్ధి చేయటం"/>
    <x v="1"/>
    <x v="2"/>
    <x v="2"/>
    <x v="3"/>
    <x v="1"/>
    <x v="1"/>
    <s v="Deepika"/>
    <s v="Not Doing It Properly"/>
    <s v="Q3,5,7 kept his own, not asking caste"/>
    <x v="0"/>
    <n v="1.1705128247062893"/>
    <n v="0.66153846153846207"/>
    <n v="1.444803728657164"/>
    <n v="2.1645021645021645"/>
    <n v="1.9264642089343564"/>
    <n v="2.1840056363422229"/>
    <n v="6.9432761915375547"/>
    <n v="-1"/>
    <n v="-1"/>
    <n v="1"/>
    <n v="-1"/>
    <n v="-1"/>
    <n v="-1"/>
    <n v="-3.5"/>
    <n v="-4"/>
    <n v="-3"/>
    <n v="-2"/>
    <n v="-3"/>
    <s v="Neutral TDP"/>
  </r>
  <r>
    <s v="7848a7a5-5e07-4ead-83cc-1a69cec1f50d"/>
    <x v="5"/>
    <s v="1/24/2026, 11:05:25 AM"/>
    <s v="16.535973, 81.937308"/>
    <s v="GWPP+VQG, Peddapatnamlanka, Andhra Pradesh, India"/>
    <x v="3"/>
    <s v="Naeem"/>
    <s v="http://164.52.221.216/localmedia/media/surveys/samples/recording_2026-01-24_11-01-59_samples_BQObYvIbza.mp4"/>
    <x v="8"/>
    <x v="2"/>
    <x v="3"/>
    <x v="6"/>
    <s v="క్రిస్టియన్"/>
    <x v="3"/>
    <s v="divenakumari"/>
    <n v="9999999999"/>
    <x v="1"/>
    <x v="1"/>
    <x v="1"/>
    <x v="0"/>
    <x v="0"/>
    <x v="0"/>
    <s v="ఉద్యొగ్య అవకాశాలు కల్పించటం, విద్య రంగం అభివృద్ధి చేయటం, ఆరోగ్య రంగం అభివృద్ధి చేయటం"/>
    <x v="0"/>
    <x v="1"/>
    <x v="0"/>
    <x v="0"/>
    <x v="0"/>
    <x v="0"/>
    <s v="Bhagya"/>
    <s v="Correctly Done"/>
    <n v="0"/>
    <x v="0"/>
    <n v="0.80207032429970992"/>
    <n v="1.8055837563451775"/>
    <n v="2.1297134544148015"/>
    <n v="2.1645021645021645"/>
    <n v="0.75433779645928134"/>
    <n v="1.1795151827936912"/>
    <n v="0.37562400914419181"/>
    <n v="1"/>
    <n v="1"/>
    <n v="1"/>
    <n v="1"/>
    <n v="1"/>
    <n v="1"/>
    <n v="5.5"/>
    <n v="6"/>
    <n v="5"/>
    <n v="4"/>
    <n v="3"/>
    <s v="YSRCP HardCore"/>
  </r>
  <r>
    <s v="a87274ac-0bc0-4c6c-bfa5-9a8c289ebd7f"/>
    <x v="5"/>
    <s v="1/24/2026, 11:10:36 AM"/>
    <s v="16.411721, 81.808906"/>
    <s v="CR65+MMH, Malikipuram, Andhra Pradesh, India"/>
    <x v="1"/>
    <s v="Naeem"/>
    <s v="http://164.52.221.216/localmedia/media/surveys/samples/recording_2026-01-24_11-08-47_samples_EQoxvZIQWD.mp4"/>
    <x v="1"/>
    <x v="0"/>
    <x v="16"/>
    <x v="2"/>
    <s v="హిందూ"/>
    <x v="1"/>
    <s v="srinubabu"/>
    <n v="9999999999"/>
    <x v="0"/>
    <x v="1"/>
    <x v="1"/>
    <x v="1"/>
    <x v="1"/>
    <x v="0"/>
    <s v="రోడ్లు వేయటం, ఉద్యొగ్య అవకాశాలు కల్పించటం, వ్యవసాయం, రైతు బాగుండడం"/>
    <x v="1"/>
    <x v="0"/>
    <x v="1"/>
    <x v="1"/>
    <x v="1"/>
    <x v="1"/>
    <s v="Bhagya"/>
    <s v="Correctly Done"/>
    <n v="0"/>
    <x v="0"/>
    <n v="1.1705128247062893"/>
    <n v="1.0795332136445241"/>
    <n v="0.86308903171383233"/>
    <n v="0.85034013605442171"/>
    <n v="1.9264642089343564"/>
    <n v="0.79950206330384943"/>
    <n v="1.1572126985895925"/>
    <n v="-1"/>
    <n v="-1"/>
    <n v="1"/>
    <n v="-1"/>
    <n v="-1"/>
    <n v="-1"/>
    <n v="-3.5"/>
    <n v="-4"/>
    <n v="-3"/>
    <n v="-2"/>
    <n v="-3"/>
    <s v="Neutral TDP"/>
  </r>
  <r>
    <s v="0a4c31d3-c49a-477a-b3c0-5b23e94b3f7c"/>
    <x v="5"/>
    <s v="1/24/2026, 11:15:23 AM"/>
    <s v="16.536277, 81.937958"/>
    <s v="B DODDAVARAM, MANDAL, Andhra Pradesh, India"/>
    <x v="3"/>
    <s v="Naeem"/>
    <s v="http://164.52.221.216/localmedia/media/surveys/samples/recording_2026-01-24_11-10-34_samples_JKkKhBoblR.mp4"/>
    <x v="8"/>
    <x v="0"/>
    <x v="0"/>
    <x v="6"/>
    <s v="క్రిస్టియన్"/>
    <x v="0"/>
    <s v="satyavathi"/>
    <n v="9542699865"/>
    <x v="1"/>
    <x v="5"/>
    <x v="0"/>
    <x v="0"/>
    <x v="0"/>
    <x v="0"/>
    <s v="ఉద్యొగ్య అవకాశాలు కల్పించటం, శాంతి భద్రతలను కాపాడటం, విద్య రంగం అభివృద్ధి చేయటం"/>
    <x v="0"/>
    <x v="2"/>
    <x v="0"/>
    <x v="0"/>
    <x v="3"/>
    <x v="5"/>
    <s v="Bhagya"/>
    <s v="Correctly Done"/>
    <s v="Q12 kept on his own as repondent isn't responding properly"/>
    <x v="0"/>
    <n v="0.80207032429970992"/>
    <n v="1.8055837563451775"/>
    <n v="2.1297134544148015"/>
    <n v="2.1645021645021645"/>
    <n v="1.9264642089343564"/>
    <n v="1.1795151827936912"/>
    <n v="2.0730893618557826"/>
    <n v="1"/>
    <n v="1"/>
    <n v="1"/>
    <n v="1"/>
    <n v="1"/>
    <n v="1"/>
    <n v="5.5"/>
    <n v="6"/>
    <n v="5"/>
    <n v="4"/>
    <n v="3"/>
    <s v="YSRCP HardCore"/>
  </r>
  <r>
    <s v="a5901ac5-1d2b-4690-9c6e-6de2e7fe55f4"/>
    <x v="5"/>
    <s v="1/24/2026, 11:15:38 AM"/>
    <s v="16.422261, 81.842430"/>
    <s v="SHOP NO.1, MALIKIPURAM, Andhra Pradesh, India"/>
    <x v="5"/>
    <s v="Naeem"/>
    <s v="http://164.52.221.216/localmedia/media/surveys/samples/recording_2026-01-24_11-06-18_samples_DctLhFDQov.mp4"/>
    <x v="1"/>
    <x v="0"/>
    <x v="0"/>
    <x v="1"/>
    <s v="హిందూ"/>
    <x v="2"/>
    <s v="venkatarao"/>
    <n v="9494955521"/>
    <x v="0"/>
    <x v="3"/>
    <x v="2"/>
    <x v="0"/>
    <x v="0"/>
    <x v="0"/>
    <s v="రోడ్లు వేయటం, ఉద్యొగ్య అవకాశాలు కల్పించటం, విద్య రంగం అభివృద్ధి చేయటం, ఆరోగ్య రంగం అభివృద్ధి చేయటం"/>
    <x v="0"/>
    <x v="0"/>
    <x v="0"/>
    <x v="0"/>
    <x v="0"/>
    <x v="0"/>
    <s v="Bhagya"/>
    <s v="Correctly Done"/>
    <n v="0"/>
    <x v="0"/>
    <n v="1.1705128247062893"/>
    <n v="1.8055837563451775"/>
    <n v="1.4435679386658844"/>
    <n v="0.85034013605442171"/>
    <n v="1.9264642089343564"/>
    <n v="0.79950206330384943"/>
    <n v="1.1572126985895925"/>
    <n v="1"/>
    <n v="1"/>
    <n v="1"/>
    <n v="1"/>
    <n v="1"/>
    <n v="1"/>
    <n v="5.5"/>
    <n v="6"/>
    <n v="5"/>
    <n v="4"/>
    <n v="3"/>
    <s v="YSRCP HardCore"/>
  </r>
  <r>
    <s v="c9666003-83e6-4653-a687-3c09185b88b2"/>
    <x v="5"/>
    <s v="1/24/2026, 11:15:44 AM"/>
    <s v="16.424760, 81.867186"/>
    <s v="CVF8+PR6, Gudapalli, Andhra Pradesh, India"/>
    <x v="4"/>
    <s v="Naeem"/>
    <s v="http://164.52.221.216/localmedia/media/surveys/samples/recording_2026-01-24_11-12-22_samples_3OyFjUAdH0.mp4"/>
    <x v="5"/>
    <x v="0"/>
    <x v="14"/>
    <x v="0"/>
    <s v="హిందూ"/>
    <x v="0"/>
    <s v="nagaraju"/>
    <n v="9999999999"/>
    <x v="0"/>
    <x v="5"/>
    <x v="1"/>
    <x v="1"/>
    <x v="1"/>
    <x v="0"/>
    <s v="రోడ్లు వేయటం, ఉద్యొగ్య అవకాశాలు కల్పించటం, వ్యవసాయం, రైతు బాగుండడం"/>
    <x v="1"/>
    <x v="0"/>
    <x v="1"/>
    <x v="1"/>
    <x v="1"/>
    <x v="1"/>
    <n v="0"/>
    <s v="Correctly Done"/>
    <n v="0"/>
    <x v="0"/>
    <n v="1.0478809952686368"/>
    <n v="1.0795332136445241"/>
    <n v="0.8266624780172348"/>
    <n v="0.85034013605442171"/>
    <n v="1.9264642089343564"/>
    <n v="0.7657591888501577"/>
    <n v="1.0292032177577444"/>
    <n v="-1"/>
    <n v="-1"/>
    <n v="1"/>
    <n v="-1"/>
    <n v="-1"/>
    <n v="-1"/>
    <n v="-3.5"/>
    <n v="-4"/>
    <n v="-3"/>
    <n v="-2"/>
    <n v="-3"/>
    <s v="Neutral TDP"/>
  </r>
  <r>
    <s v="91ecb6ae-6f8f-4a1a-9039-49a34ff175dd"/>
    <x v="5"/>
    <s v="1/24/2026, 12:37:45 PM"/>
    <s v="16.467814, 81.881469"/>
    <s v="FV9J+7H, Palagummi, Andhra Pradesh, India"/>
    <x v="0"/>
    <s v="Naeem"/>
    <s v="http://164.52.221.216/localmedia/media/surveys/samples/recording_2026-01-24_12-32-45_samples_E3JcOTYvy3.mp4"/>
    <x v="0"/>
    <x v="1"/>
    <x v="15"/>
    <x v="3"/>
    <s v="హిందూ"/>
    <x v="0"/>
    <s v="v.s.raju"/>
    <n v="0"/>
    <x v="0"/>
    <x v="4"/>
    <x v="1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సంక్షేమ పథకాలు (నగదు)"/>
    <x v="1"/>
    <x v="0"/>
    <x v="1"/>
    <x v="1"/>
    <x v="1"/>
    <x v="1"/>
    <s v="Deepika"/>
    <s v="Not Doing It Properly"/>
    <s v="Q5,9 kept his own"/>
    <x v="0"/>
    <n v="1.3836274505214585"/>
    <n v="1.0795332136445241"/>
    <n v="1.1648410586678206"/>
    <n v="0.85034013605442171"/>
    <n v="1.1213131007097483"/>
    <n v="1.0790228998469584"/>
    <n v="0.90933567693352424"/>
    <n v="-1"/>
    <n v="-1"/>
    <n v="-1"/>
    <n v="-1"/>
    <n v="-1"/>
    <n v="-1"/>
    <n v="-5.5"/>
    <n v="-6"/>
    <n v="-5"/>
    <n v="-4"/>
    <n v="-3"/>
    <s v="TDP HardCore"/>
  </r>
  <r>
    <s v="49d7067a-f443-4e95-97c1-94641eda30b6"/>
    <x v="5"/>
    <s v="1/24/2026, 11:16:01 AM"/>
    <s v="16.424760, 81.867186"/>
    <s v="CVF8+PR6, Gudapalli, Andhra Pradesh, India"/>
    <x v="4"/>
    <s v="Naeem"/>
    <s v="http://164.52.221.216/localmedia/media/surveys/samples/recording_2026-01-24_11-12-22_samples_57cfQUVQgU.mp4"/>
    <x v="5"/>
    <x v="0"/>
    <x v="14"/>
    <x v="0"/>
    <s v="హిందూ"/>
    <x v="0"/>
    <s v="nagaraju"/>
    <n v="9999999999"/>
    <x v="0"/>
    <x v="5"/>
    <x v="1"/>
    <x v="1"/>
    <x v="1"/>
    <x v="0"/>
    <s v="రోడ్లు వేయటం, ఉద్యొగ్య అవకాశాలు కల్పించటం, వ్యవసాయం, రైతు బాగుండడం"/>
    <x v="1"/>
    <x v="0"/>
    <x v="1"/>
    <x v="1"/>
    <x v="1"/>
    <x v="1"/>
    <n v="0"/>
    <s v="Correctly Done"/>
    <n v="0"/>
    <x v="0"/>
    <n v="1.0478809952686368"/>
    <n v="1.0795332136445241"/>
    <n v="0.8266624780172348"/>
    <n v="0.85034013605442171"/>
    <n v="1.9264642089343564"/>
    <n v="0.7657591888501577"/>
    <n v="1.0292032177577444"/>
    <n v="-1"/>
    <n v="-1"/>
    <n v="1"/>
    <n v="-1"/>
    <n v="-1"/>
    <n v="-1"/>
    <n v="-3.5"/>
    <n v="-4"/>
    <n v="-3"/>
    <n v="-2"/>
    <n v="-3"/>
    <s v="Neutral TDP"/>
  </r>
  <r>
    <s v="b3553c28-2bfa-4e68-aa59-65a2054ee548"/>
    <x v="5"/>
    <s v="1/24/2026, 11:21:24 AM"/>
    <s v="16.423999, 81.867215"/>
    <s v="CVF8+PR6, Gudapalli, Andhra Pradesh, India"/>
    <x v="4"/>
    <s v="Naeem"/>
    <s v="http://164.52.221.216/localmedia/media/surveys/samples/recording_2026-01-24_11-17-04_samples_9qYi1EHeZq.mp4"/>
    <x v="4"/>
    <x v="0"/>
    <x v="14"/>
    <x v="0"/>
    <s v="హిందూ"/>
    <x v="2"/>
    <s v="chikka padmaraju"/>
    <n v="9494753674"/>
    <x v="0"/>
    <x v="2"/>
    <x v="1"/>
    <x v="1"/>
    <x v="1"/>
    <x v="1"/>
    <s v="రోడ్లు వేయటం, ఉద్యొగ్య అవకాశాలు కల్పించటం, విద్య రంగం అభివృద్ధి చేయటం, వ్యవసాయం, రైతు బాగుండడం"/>
    <x v="0"/>
    <x v="0"/>
    <x v="1"/>
    <x v="1"/>
    <x v="1"/>
    <x v="1"/>
    <s v="Ashish"/>
    <s v="Correctly Done"/>
    <n v="0"/>
    <x v="0"/>
    <n v="2.1852575402829908"/>
    <n v="1.0795332136445241"/>
    <n v="1.7037641797963405"/>
    <n v="0.85034013605442171"/>
    <n v="1.9264642089343564"/>
    <n v="1.5782415568710491"/>
    <n v="0.88111541781135172"/>
    <n v="-1"/>
    <n v="-1"/>
    <n v="-1"/>
    <n v="1"/>
    <n v="-1"/>
    <n v="-1"/>
    <n v="-3.5"/>
    <n v="-4"/>
    <n v="-3"/>
    <n v="-2"/>
    <n v="-3"/>
    <s v="Neutral TDP"/>
  </r>
  <r>
    <s v="24b7d668-c780-4733-86e5-50af73c1b83b"/>
    <x v="5"/>
    <s v="1/24/2026, 11:22:13 AM"/>
    <s v="16.411156, 81.809249"/>
    <s v="CR65+MMH, Malikipuram, Andhra Pradesh, India"/>
    <x v="1"/>
    <s v="Naeem"/>
    <s v="http://164.52.221.216/localmedia/media/surveys/samples/recording_2026-01-24_11-20-54_samples_X4DVcK2Zp0.mp4"/>
    <x v="2"/>
    <x v="0"/>
    <x v="16"/>
    <x v="0"/>
    <s v="హిందూ"/>
    <x v="3"/>
    <s v="vijay"/>
    <n v="9542696179"/>
    <x v="0"/>
    <x v="5"/>
    <x v="1"/>
    <x v="1"/>
    <x v="1"/>
    <x v="1"/>
    <s v="రోడ్లు వేయటం, ఉద్యొగ్య అవకాశాలు కల్పించటం, శాంతి భద్రతలను కాపాడటం"/>
    <x v="1"/>
    <x v="0"/>
    <x v="1"/>
    <x v="1"/>
    <x v="1"/>
    <x v="1"/>
    <s v="Ashish"/>
    <s v="Correctly Done"/>
    <n v="0"/>
    <x v="0"/>
    <n v="1.1461625511156397"/>
    <n v="1.0795332136445241"/>
    <n v="0.77721139583220644"/>
    <n v="0.85034013605442171"/>
    <n v="1.9264642089343564"/>
    <n v="0.71995135120329123"/>
    <n v="0.70534647283248642"/>
    <n v="-1"/>
    <n v="-1"/>
    <n v="-1"/>
    <n v="-1"/>
    <n v="-1"/>
    <n v="-1"/>
    <n v="-5.5"/>
    <n v="-6"/>
    <n v="-5"/>
    <n v="-4"/>
    <n v="-3"/>
    <s v="TDP HardCore"/>
  </r>
  <r>
    <s v="14823da4-d770-427a-a4d6-8e99f2f595e4"/>
    <x v="5"/>
    <s v="1/24/2026, 3:27:19 PM"/>
    <s v="16.418592, 81.837546"/>
    <s v="Shop No.4 Main Road Near MG Garden Lakkavaram, Malikipuram, Andhra Pradesh, India"/>
    <x v="5"/>
    <s v="Naeem"/>
    <s v="http://164.52.221.216/localmedia/media/surveys/samples/recording_2026-01-24_15-22-50_samples_FkE4qvFXIC.mp4"/>
    <x v="2"/>
    <x v="0"/>
    <x v="0"/>
    <x v="1"/>
    <s v="హిందూ"/>
    <x v="1"/>
    <s v="naresh"/>
    <n v="9491384443"/>
    <x v="0"/>
    <x v="3"/>
    <x v="1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"/>
    <x v="1"/>
    <x v="0"/>
    <x v="2"/>
    <x v="2"/>
    <x v="1"/>
    <x v="1"/>
    <s v="Ashish"/>
    <s v="Not Doing It Properly"/>
    <s v="Q9,10 entered on his own"/>
    <x v="0"/>
    <n v="1.1461625511156397"/>
    <n v="0.66153846153846207"/>
    <n v="0.47627550925756229"/>
    <n v="0.85034013605442171"/>
    <n v="1.9264642089343564"/>
    <n v="0.71995135120329123"/>
    <n v="0.70534647283248642"/>
    <n v="-1"/>
    <n v="-1"/>
    <n v="-1"/>
    <n v="-1"/>
    <n v="-1"/>
    <n v="-1"/>
    <n v="-5.5"/>
    <n v="-6"/>
    <n v="-5"/>
    <n v="-4"/>
    <n v="-3"/>
    <s v="TDP HardCore"/>
  </r>
  <r>
    <s v="268a8c73-1486-44d9-bcfd-606eaf38004c"/>
    <x v="5"/>
    <s v="1/24/2026, 11:27:57 AM"/>
    <s v="16.411153, 81.804276"/>
    <s v="near Ambica Restaurant, Malikipuram, Andhra Pradesh, India"/>
    <x v="1"/>
    <s v="Naeem"/>
    <s v="http://164.52.221.216/localmedia/media/surveys/samples/recording_2026-01-24_11-26-32_samples_W9SOpCTVja.mp4"/>
    <x v="2"/>
    <x v="0"/>
    <x v="16"/>
    <x v="1"/>
    <s v="హిందూ"/>
    <x v="0"/>
    <s v="gagachalam"/>
    <n v="9951280292"/>
    <x v="0"/>
    <x v="3"/>
    <x v="1"/>
    <x v="1"/>
    <x v="1"/>
    <x v="1"/>
    <s v="రోడ్లు వేయటం, ఉద్యొగ్య అవకాశాలు కల్పించటం, విద్య రంగం అభివృద్ధి చేయటం"/>
    <x v="1"/>
    <x v="0"/>
    <x v="1"/>
    <x v="1"/>
    <x v="1"/>
    <x v="1"/>
    <s v="Bhagya"/>
    <s v="Correctly Done"/>
    <n v="0"/>
    <x v="0"/>
    <n v="1.1461625511156397"/>
    <n v="1.0795332136445241"/>
    <n v="0.77721139583220644"/>
    <n v="0.85034013605442171"/>
    <n v="1.9264642089343564"/>
    <n v="0.71995135120329123"/>
    <n v="0.70534647283248642"/>
    <n v="-1"/>
    <n v="-1"/>
    <n v="-1"/>
    <n v="-1"/>
    <n v="-1"/>
    <n v="-1"/>
    <n v="-5.5"/>
    <n v="-6"/>
    <n v="-5"/>
    <n v="-4"/>
    <n v="-3"/>
    <s v="TDP HardCore"/>
  </r>
  <r>
    <s v="4e3305a0-14c3-4b01-8ad0-a42adb2e9b2a"/>
    <x v="5"/>
    <s v="1/24/2026, 11:27:59 AM"/>
    <s v="16.420880, 81.841690"/>
    <s v="CRCR+6HR NTR gardens, Lakkavaram, Andhra Pradesh, India"/>
    <x v="5"/>
    <s v="Naeem"/>
    <s v="http://164.52.221.216/localmedia/media/surveys/samples/recording_2026-01-24_11-22-00_samples_XrtoXtV8bT.mp4"/>
    <x v="2"/>
    <x v="0"/>
    <x v="0"/>
    <x v="0"/>
    <s v="హిందూ"/>
    <x v="2"/>
    <s v="kottu anjineyulu"/>
    <n v="9000000000"/>
    <x v="0"/>
    <x v="4"/>
    <x v="2"/>
    <x v="1"/>
    <x v="1"/>
    <x v="1"/>
    <s v="రోడ్లు వేయటం, విద్య రంగం అభివృద్ధి చేయటం, వ్యవసాయం, రైతు బాగుండడం"/>
    <x v="1"/>
    <x v="0"/>
    <x v="1"/>
    <x v="1"/>
    <x v="1"/>
    <x v="1"/>
    <s v="Bhagya"/>
    <s v="Correctly Done"/>
    <n v="0"/>
    <x v="0"/>
    <n v="1.1461625511156397"/>
    <n v="1.0795332136445241"/>
    <n v="0.77721139583220644"/>
    <n v="0.85034013605442171"/>
    <n v="1.9264642089343564"/>
    <n v="0.71995135120329123"/>
    <n v="0.70534647283248642"/>
    <n v="-1"/>
    <n v="-1"/>
    <n v="-1"/>
    <n v="-1"/>
    <n v="-1"/>
    <n v="-1"/>
    <n v="-5.5"/>
    <n v="-6"/>
    <n v="-5"/>
    <n v="-4"/>
    <n v="-3"/>
    <s v="TDP HardCore"/>
  </r>
  <r>
    <s v="5469acae-bd72-4d7c-8c55-c923ea3264f2"/>
    <x v="5"/>
    <s v="1/24/2026, 11:34:54 AM"/>
    <s v="16.410493, 81.804250"/>
    <s v="Shop No, Mandal, Malikipuram, Andhra Pradesh, India"/>
    <x v="1"/>
    <s v="Naeem"/>
    <s v="http://164.52.221.216/localmedia/media/surveys/samples/recording_2026-01-24_11-33-09_samples_jYWIWMT4zO.mp4"/>
    <x v="2"/>
    <x v="0"/>
    <x v="16"/>
    <x v="1"/>
    <s v="హిందూ"/>
    <x v="0"/>
    <s v="suresh"/>
    <n v="9963753850"/>
    <x v="0"/>
    <x v="5"/>
    <x v="1"/>
    <x v="1"/>
    <x v="1"/>
    <x v="1"/>
    <s v="రోడ్లు వేయటం, ఉద్యొగ్య అవకాశాలు కల్పించటం, సంక్షేమ పథకాలు (నగదు)"/>
    <x v="1"/>
    <x v="0"/>
    <x v="1"/>
    <x v="1"/>
    <x v="1"/>
    <x v="1"/>
    <s v="Ashish"/>
    <s v="Correctly Done"/>
    <s v="wrong caste - Vysya"/>
    <x v="0"/>
    <n v="1.1461625511156397"/>
    <n v="1.0795332136445241"/>
    <n v="0.77721139583220644"/>
    <n v="0.85034013605442171"/>
    <n v="1.9264642089343564"/>
    <n v="0.71995135120329123"/>
    <n v="0.70534647283248642"/>
    <n v="-1"/>
    <n v="-1"/>
    <n v="-1"/>
    <n v="-1"/>
    <n v="-1"/>
    <n v="-1"/>
    <n v="-5.5"/>
    <n v="-6"/>
    <n v="-5"/>
    <n v="-4"/>
    <n v="-3"/>
    <s v="TDP HardCore"/>
  </r>
  <r>
    <s v="2b4689ce-8718-4dbf-82e9-6a09ae51705c"/>
    <x v="5"/>
    <s v="1/24/2026, 11:41:45 AM"/>
    <s v="16.419190, 81.840836"/>
    <s v="CR9R+J53, Lakkavaram, Andhra Pradesh, India"/>
    <x v="5"/>
    <s v="Naeem"/>
    <s v="http://164.52.221.216/localmedia/media/surveys/samples/recording_2026-01-24_11-32-18_samples_fJSzrD52cQ.mp4"/>
    <x v="3"/>
    <x v="0"/>
    <x v="0"/>
    <x v="3"/>
    <s v="హిందూ"/>
    <x v="2"/>
    <s v="champati sitha ramaraju"/>
    <n v="7901492566"/>
    <x v="0"/>
    <x v="3"/>
    <x v="2"/>
    <x v="1"/>
    <x v="1"/>
    <x v="1"/>
    <s v="రోడ్లు వేయటం, విద్య రంగం అభివృద్ధి చేయటం, వ్యవసాయం, రైతు బాగుండడం"/>
    <x v="1"/>
    <x v="0"/>
    <x v="1"/>
    <x v="1"/>
    <x v="1"/>
    <x v="1"/>
    <s v="Bhagya"/>
    <s v="Correctly Done"/>
    <s v="Caste-Kshatriya/Rajulu"/>
    <x v="0"/>
    <n v="1.8452248965186235"/>
    <n v="1.0795332136445241"/>
    <n v="1.5651283704851411"/>
    <n v="0.85034013605442171"/>
    <n v="1.9264642089343564"/>
    <n v="1.4498195615503471"/>
    <n v="1.57386986628579"/>
    <n v="-1"/>
    <n v="-1"/>
    <n v="-1"/>
    <n v="-1"/>
    <n v="-1"/>
    <n v="-1"/>
    <n v="-5.5"/>
    <n v="-6"/>
    <n v="-5"/>
    <n v="-4"/>
    <n v="-3"/>
    <s v="TDP HardCore"/>
  </r>
  <r>
    <s v="00998510-6b6a-4154-8162-b85530948568"/>
    <x v="5"/>
    <s v="1/24/2026, 11:42:53 AM"/>
    <s v="16.423589, 81.863725"/>
    <s v="CVF7+CFR, Gudapalli, Andhra Pradesh, India"/>
    <x v="4"/>
    <s v="Naeem"/>
    <s v="http://164.52.221.216/localmedia/media/surveys/samples/recording_2026-01-24_11-37-23_samples_VPnaBVoo9G.mp4"/>
    <x v="2"/>
    <x v="0"/>
    <x v="14"/>
    <x v="3"/>
    <s v="హిందూ"/>
    <x v="0"/>
    <s v="S. V Suryanarayana "/>
    <n v="9949695565"/>
    <x v="0"/>
    <x v="2"/>
    <x v="2"/>
    <x v="1"/>
    <x v="1"/>
    <x v="1"/>
    <s v="రోడ్లు వేయటం, ఉద్యొగ్య అవకాశాలు కల్పించటం, విద్య రంగం అభివృద్ధి చేయటం, వ్యవసాయం, రైతు బాగుండడం"/>
    <x v="1"/>
    <x v="0"/>
    <x v="1"/>
    <x v="1"/>
    <x v="1"/>
    <x v="1"/>
    <s v="Bhagya"/>
    <s v="Correctly Done"/>
    <n v="0"/>
    <x v="0"/>
    <n v="1.1461625511156397"/>
    <n v="1.0795332136445241"/>
    <n v="0.77721139583220644"/>
    <n v="0.85034013605442171"/>
    <n v="1.9264642089343564"/>
    <n v="0.71995135120329123"/>
    <n v="0.70534647283248642"/>
    <n v="-1"/>
    <n v="-1"/>
    <n v="-1"/>
    <n v="-1"/>
    <n v="-1"/>
    <n v="-1"/>
    <n v="-5.5"/>
    <n v="-6"/>
    <n v="-5"/>
    <n v="-4"/>
    <n v="-3"/>
    <s v="TDP HardCore"/>
  </r>
  <r>
    <s v="e934ab80-91cb-4a3c-ac22-ad7980d7f6bb"/>
    <x v="5"/>
    <s v="1/24/2026, 12:03:28 PM"/>
    <s v="16.423555, 81.863375"/>
    <s v="CVF7+CFR, Gudapalli, Andhra Pradesh, India"/>
    <x v="4"/>
    <s v="Naeem"/>
    <s v="http://164.52.221.216/localmedia/media/surveys/samples/recording_2026-01-24_12-01-51_samples_DiciG4C2G7.mp4"/>
    <x v="2"/>
    <x v="0"/>
    <x v="14"/>
    <x v="6"/>
    <s v="హిందూ"/>
    <x v="1"/>
    <s v="mangamma"/>
    <n v="9581436934"/>
    <x v="1"/>
    <x v="3"/>
    <x v="1"/>
    <x v="1"/>
    <x v="1"/>
    <x v="1"/>
    <s v="రోడ్లు వేయటం, ఉద్యొగ్య అవకాశాలు కల్పించటం, ఆరోగ్య రంగం అభివృద్ధి చేయటం"/>
    <x v="1"/>
    <x v="0"/>
    <x v="1"/>
    <x v="1"/>
    <x v="1"/>
    <x v="1"/>
    <s v="Deepika"/>
    <s v="Correctly Done"/>
    <n v="0"/>
    <x v="0"/>
    <n v="1.1461625511156397"/>
    <n v="1.0795332136445241"/>
    <n v="3.0326483876590018"/>
    <n v="2.1645021645021645"/>
    <n v="1.9264642089343564"/>
    <n v="2.8092219390089208"/>
    <n v="6.3481182554923778"/>
    <n v="-1"/>
    <n v="-1"/>
    <n v="-1"/>
    <n v="-1"/>
    <n v="-1"/>
    <n v="-1"/>
    <n v="-5.5"/>
    <n v="-6"/>
    <n v="-5"/>
    <n v="-4"/>
    <n v="-3"/>
    <s v="TDP HardCore"/>
  </r>
  <r>
    <s v="f2852494-e5b0-44a1-b8dc-9c63717b2ba3"/>
    <x v="5"/>
    <s v="1/24/2026, 11:50:56 AM"/>
    <s v="16.409693, 81.803724"/>
    <s v="6-144-1, Malikipuram, Andhra Pradesh, India"/>
    <x v="1"/>
    <s v="Naeem"/>
    <s v="http://164.52.221.216/localmedia/media/surveys/samples/recording_2026-01-24_11-49-13_samples_y7JuEeoihB.mp4"/>
    <x v="2"/>
    <x v="0"/>
    <x v="16"/>
    <x v="1"/>
    <s v="హిందూ"/>
    <x v="1"/>
    <s v="nageswarao"/>
    <n v="9999999999"/>
    <x v="0"/>
    <x v="3"/>
    <x v="2"/>
    <x v="1"/>
    <x v="0"/>
    <x v="0"/>
    <s v="రోడ్లు వేయటం, ఆరోగ్య రంగం అభివృద్ధి చేయటం"/>
    <x v="1"/>
    <x v="0"/>
    <x v="1"/>
    <x v="1"/>
    <x v="1"/>
    <x v="1"/>
    <s v="Bhagya"/>
    <s v="Correctly Done"/>
    <n v="0"/>
    <x v="0"/>
    <n v="1.1461625511156397"/>
    <n v="1.0795332136445241"/>
    <n v="0.77721139583220644"/>
    <n v="0.85034013605442171"/>
    <n v="1.9264642089343564"/>
    <n v="0.71995135120329123"/>
    <n v="0.70534647283248642"/>
    <n v="-1"/>
    <n v="1"/>
    <n v="1"/>
    <n v="-1"/>
    <n v="-1"/>
    <n v="-1"/>
    <n v="-1.5"/>
    <n v="-2"/>
    <n v="-3"/>
    <n v="-2"/>
    <n v="-3"/>
    <s v="Neutral TDP"/>
  </r>
  <r>
    <s v="d4ea8f2f-33d8-43a3-a0c3-c8a069fbd83d"/>
    <x v="5"/>
    <s v="1/24/2026, 11:54:25 AM"/>
    <s v="16.535717, 81.936694"/>
    <s v="GWPP+VQG, Peddapatnamlanka, Andhra Pradesh, India"/>
    <x v="3"/>
    <s v="Naeem"/>
    <s v="http://164.52.221.216/localmedia/media/surveys/samples/recording_2026-01-24_11-52-13_samples_O2vw1pNMIv.mp4"/>
    <x v="5"/>
    <x v="2"/>
    <x v="3"/>
    <x v="0"/>
    <s v="హిందూ"/>
    <x v="0"/>
    <s v="p. yedu kondalu"/>
    <n v="9949695165"/>
    <x v="0"/>
    <x v="4"/>
    <x v="2"/>
    <x v="1"/>
    <x v="0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0"/>
    <x v="1"/>
    <x v="1"/>
    <x v="1"/>
    <x v="1"/>
    <s v="Bhagya"/>
    <s v="Correctly Done"/>
    <n v="0"/>
    <x v="0"/>
    <n v="1.0478809952686368"/>
    <n v="1.0795332136445241"/>
    <n v="0.8266624780172348"/>
    <n v="0.85034013605442171"/>
    <n v="0.75433779645928134"/>
    <n v="0.7657591888501577"/>
    <n v="0.22377816180516033"/>
    <n v="-1"/>
    <n v="1"/>
    <n v="-1"/>
    <n v="-1"/>
    <n v="-1"/>
    <n v="-1"/>
    <n v="-3.5"/>
    <n v="-4"/>
    <n v="-5"/>
    <n v="-4"/>
    <n v="-3"/>
    <s v="TDP Sympathiser"/>
  </r>
  <r>
    <s v="eb2d9457-6e70-47d0-b1f6-fe7e64b379db"/>
    <x v="5"/>
    <s v="1/24/2026, 11:59:21 AM"/>
    <s v="16.423158, 81.864001"/>
    <s v="CVF7+59W, Gudapalli, Andhra Pradesh, India"/>
    <x v="4"/>
    <s v="Naeem"/>
    <s v="http://164.52.221.216/localmedia/media/surveys/samples/recording_2026-01-24_11-57-29_samples_GHN28GXv9M.mp4"/>
    <x v="2"/>
    <x v="0"/>
    <x v="14"/>
    <x v="4"/>
    <s v="హిందూ"/>
    <x v="3"/>
    <s v="Balaram"/>
    <n v="9492858437"/>
    <x v="0"/>
    <x v="4"/>
    <x v="1"/>
    <x v="1"/>
    <x v="1"/>
    <x v="1"/>
    <s v="రోడ్లు వేయటం, ఉద్యొగ్య అవకాశాలు కల్పించటం, విద్య రంగం అభివృద్ధి చేయటం"/>
    <x v="1"/>
    <x v="0"/>
    <x v="1"/>
    <x v="1"/>
    <x v="1"/>
    <x v="1"/>
    <s v="Bhagya"/>
    <s v="Correctly Done"/>
    <n v="0"/>
    <x v="0"/>
    <n v="1.1461625511156397"/>
    <n v="1.0795332136445241"/>
    <n v="0.77721139583220644"/>
    <n v="0.85034013605442171"/>
    <n v="1.9264642089343564"/>
    <n v="0.71995135120329123"/>
    <n v="0.70534647283248642"/>
    <n v="-1"/>
    <n v="-1"/>
    <n v="-1"/>
    <n v="-1"/>
    <n v="-1"/>
    <n v="-1"/>
    <n v="-5.5"/>
    <n v="-6"/>
    <n v="-5"/>
    <n v="-4"/>
    <n v="-3"/>
    <s v="TDP HardCore"/>
  </r>
  <r>
    <s v="dcfdaa85-2882-4f6e-b9ba-924f65ffeecb"/>
    <x v="5"/>
    <s v="1/24/2026, 12:00:19 PM"/>
    <s v="16.409602, 81.802930"/>
    <s v="food court, మలికిపురం, ఆంధ్ర ప్రదేశ్, India"/>
    <x v="1"/>
    <s v="Naeem"/>
    <s v="http://164.52.221.216/localmedia/media/surveys/samples/recording_2026-01-24_11-58-49_samples_9dprnlRFPW.mp4"/>
    <x v="2"/>
    <x v="0"/>
    <x v="16"/>
    <x v="5"/>
    <s v="హిందూ"/>
    <x v="3"/>
    <s v="namdu"/>
    <n v="9999999999"/>
    <x v="0"/>
    <x v="3"/>
    <x v="1"/>
    <x v="1"/>
    <x v="1"/>
    <x v="1"/>
    <s v="రోడ్లు వేయటం, ఉద్యొగ్య అవకాశాలు కల్పించటం"/>
    <x v="1"/>
    <x v="0"/>
    <x v="1"/>
    <x v="1"/>
    <x v="1"/>
    <x v="1"/>
    <s v="Bhagya"/>
    <s v="Correctly Done"/>
    <n v="0"/>
    <x v="0"/>
    <n v="1.1461625511156397"/>
    <n v="1.0795332136445241"/>
    <n v="0.77721139583220644"/>
    <n v="0.85034013605442171"/>
    <n v="1.9264642089343564"/>
    <n v="0.71995135120329123"/>
    <n v="0.70534647283248642"/>
    <n v="-1"/>
    <n v="-1"/>
    <n v="-1"/>
    <n v="-1"/>
    <n v="-1"/>
    <n v="-1"/>
    <n v="-5.5"/>
    <n v="-6"/>
    <n v="-5"/>
    <n v="-4"/>
    <n v="-3"/>
    <s v="TDP HardCore"/>
  </r>
  <r>
    <s v="f843d8d4-b016-4534-930c-5b16654cad5d"/>
    <x v="5"/>
    <s v="1/24/2026, 12:48:40 PM"/>
    <s v="16.468723, 81.881292"/>
    <s v="FV9J+7H, Palagummi, Andhra Pradesh, India"/>
    <x v="0"/>
    <s v="Naeem"/>
    <s v="http://164.52.221.216/localmedia/media/surveys/samples/recording_2026-01-24_12-41-38_samples_7CNnXTUJXd.mp4"/>
    <x v="0"/>
    <x v="1"/>
    <x v="15"/>
    <x v="0"/>
    <s v="హిందూ"/>
    <x v="1"/>
    <s v="g.pesadhu"/>
    <n v="9614333777"/>
    <x v="0"/>
    <x v="3"/>
    <x v="0"/>
    <x v="0"/>
    <x v="0"/>
    <x v="0"/>
    <s v="రోడ్లు వేయటం, ఉద్యొగ్య అవకాశాలు కల్పించటం, విద్య రంగం అభివృద్ధి చేయటం, ఆరోగ్య రంగం అభివృద్ధి చేయటం, సంక్షేమ పథకాలు (నగదు)"/>
    <x v="0"/>
    <x v="0"/>
    <x v="0"/>
    <x v="0"/>
    <x v="0"/>
    <x v="0"/>
    <n v="0"/>
    <s v="Not Doing It Properly"/>
    <s v="Q3,7,8,9 kept his own"/>
    <x v="0"/>
    <n v="1.3836274505214585"/>
    <n v="1.8055837563451775"/>
    <n v="1.9482662206881376"/>
    <n v="0.85034013605442171"/>
    <n v="1.1213131007097483"/>
    <n v="1.0790228998469584"/>
    <n v="0.90933567693352424"/>
    <n v="1"/>
    <n v="1"/>
    <n v="1"/>
    <n v="1"/>
    <n v="1"/>
    <n v="1"/>
    <n v="5.5"/>
    <n v="6"/>
    <n v="5"/>
    <n v="4"/>
    <n v="3"/>
    <s v="YSRCP HardCore"/>
  </r>
  <r>
    <s v="d5617ed0-7939-4b08-a30e-72b5dc97c45e"/>
    <x v="5"/>
    <s v="1/24/2026, 11:47:23 AM"/>
    <s v="16.410617, 81.805100"/>
    <s v="Shop No.5-6/3 Arudra Complex Main Road, Malikipuram, Andhra Pradesh, India"/>
    <x v="1"/>
    <s v="Naeem"/>
    <s v="http://164.52.221.216/localmedia/media/surveys/samples/recording_2026-01-24_11-44-32_samples_uWr0I2TdOU.mp4"/>
    <x v="2"/>
    <x v="0"/>
    <x v="16"/>
    <x v="1"/>
    <s v="హిందూ"/>
    <x v="0"/>
    <s v="maheshbabau"/>
    <n v="9347655351"/>
    <x v="0"/>
    <x v="2"/>
    <x v="1"/>
    <x v="0"/>
    <x v="0"/>
    <x v="0"/>
    <s v="రోడ్లు వేయటం, విద్య రంగం అభివృద్ధి చేయటం, ఆరోగ్య రంగం అభివృద్ధి చేయటం"/>
    <x v="0"/>
    <x v="0"/>
    <x v="0"/>
    <x v="0"/>
    <x v="0"/>
    <x v="5"/>
    <s v="Bhagya"/>
    <s v="Correctly Done"/>
    <s v="q9,10 Skipped"/>
    <x v="0"/>
    <n v="1.1461625511156397"/>
    <n v="1.8055837563451775"/>
    <n v="1.2999324650914248"/>
    <n v="0.85034013605442171"/>
    <n v="1.9264642089343564"/>
    <n v="0.71995135120329123"/>
    <n v="0.70534647283248642"/>
    <n v="1"/>
    <n v="1"/>
    <n v="1"/>
    <n v="1"/>
    <n v="1"/>
    <n v="1"/>
    <n v="5.5"/>
    <n v="6"/>
    <n v="5"/>
    <n v="4"/>
    <n v="3"/>
    <s v="YSRCP HardCore"/>
  </r>
  <r>
    <s v="e511eb07-23c3-4ec7-b85a-1b761a90df4c"/>
    <x v="5"/>
    <s v="1/24/2026, 9:42:42 AM"/>
    <s v="16.423469, 81.865758"/>
    <s v="2-242, Gudapalli, Andhra Pradesh, India"/>
    <x v="4"/>
    <s v="Naeem"/>
    <s v="http://164.52.221.216/localmedia/media/surveys/samples/recording_2026-01-24_09-38-05_samples_xAW2dswJEv.mp4"/>
    <x v="1"/>
    <x v="0"/>
    <x v="14"/>
    <x v="0"/>
    <s v="హిందూ"/>
    <x v="1"/>
    <s v="venu"/>
    <n v="9999999999"/>
    <x v="0"/>
    <x v="5"/>
    <x v="2"/>
    <x v="0"/>
    <x v="0"/>
    <x v="0"/>
    <s v="రోడ్లు వేయటం, విద్య రంగం అభివృద్ధి చేయటం, ఆరోగ్య రంగం అభివృద్ధి చేయటం"/>
    <x v="0"/>
    <x v="0"/>
    <x v="0"/>
    <x v="0"/>
    <x v="0"/>
    <x v="0"/>
    <s v="Ashish"/>
    <s v="Correctly Done"/>
    <s v="Didn't ask questions from Q7 to Q12"/>
    <x v="0"/>
    <n v="1.1705128247062893"/>
    <n v="1.8055837563451775"/>
    <n v="1.4435679386658844"/>
    <n v="0.85034013605442171"/>
    <n v="1.9264642089343564"/>
    <n v="0.79950206330384943"/>
    <n v="1.1572126985895925"/>
    <n v="1"/>
    <n v="1"/>
    <n v="1"/>
    <n v="1"/>
    <n v="1"/>
    <n v="1"/>
    <n v="5.5"/>
    <n v="6"/>
    <n v="5"/>
    <n v="4"/>
    <n v="3"/>
    <s v="YSRCP HardCore"/>
  </r>
  <r>
    <s v="8a8570d2-d79f-4b68-b4f7-de0f903cdb45"/>
    <x v="5"/>
    <s v="1/24/2026, 12:00:19 PM"/>
    <s v="16.409602, 81.802930"/>
    <s v="food court, మలికిపురం, ఆంధ్ర ప్రదేశ్, India"/>
    <x v="1"/>
    <s v="Naeem"/>
    <s v="http://164.52.221.216/localmedia/media/surveys/samples/recording_2026-01-24_11-58-49_samples_t53B6qw1AV.mp4"/>
    <x v="2"/>
    <x v="0"/>
    <x v="16"/>
    <x v="5"/>
    <s v="హిందూ"/>
    <x v="3"/>
    <s v="namdu"/>
    <n v="9999999999"/>
    <x v="0"/>
    <x v="3"/>
    <x v="1"/>
    <x v="1"/>
    <x v="1"/>
    <x v="1"/>
    <s v="రోడ్లు వేయటం, ఉద్యొగ్య అవకాశాలు కల్పించటం"/>
    <x v="1"/>
    <x v="0"/>
    <x v="1"/>
    <x v="1"/>
    <x v="1"/>
    <x v="1"/>
    <n v="0"/>
    <s v="Correctly Done"/>
    <n v="0"/>
    <x v="0"/>
    <n v="1.1461625511156397"/>
    <n v="1.0795332136445241"/>
    <n v="0.77721139583220644"/>
    <n v="0.85034013605442171"/>
    <n v="1.9264642089343564"/>
    <n v="0.71995135120329123"/>
    <n v="0.70534647283248642"/>
    <n v="-1"/>
    <n v="-1"/>
    <n v="-1"/>
    <n v="-1"/>
    <n v="-1"/>
    <n v="-1"/>
    <n v="-5.5"/>
    <n v="-6"/>
    <n v="-5"/>
    <n v="-4"/>
    <n v="-3"/>
    <s v="TDP HardCore"/>
  </r>
  <r>
    <s v="981a1a21-4cec-4db3-981f-b0f38e07928d"/>
    <x v="5"/>
    <s v="1/24/2026, 12:00:19 PM"/>
    <s v="16.409602, 81.802930"/>
    <s v="food court, మలికిపురం, ఆంధ్ర ప్రదేశ్, India"/>
    <x v="1"/>
    <s v="Naeem"/>
    <s v="http://164.52.221.216/localmedia/media/surveys/samples/recording_2026-01-24_11-58-49_samples_G6v5a3L1bD.mp4"/>
    <x v="2"/>
    <x v="0"/>
    <x v="16"/>
    <x v="5"/>
    <s v="హిందూ"/>
    <x v="3"/>
    <s v="namdu"/>
    <n v="9999999999"/>
    <x v="0"/>
    <x v="3"/>
    <x v="1"/>
    <x v="1"/>
    <x v="1"/>
    <x v="1"/>
    <s v="రోడ్లు వేయటం, ఉద్యొగ్య అవకాశాలు కల్పించటం"/>
    <x v="1"/>
    <x v="0"/>
    <x v="1"/>
    <x v="1"/>
    <x v="1"/>
    <x v="1"/>
    <n v="0"/>
    <s v="Correctly Done"/>
    <n v="0"/>
    <x v="0"/>
    <n v="1.1461625511156397"/>
    <n v="1.0795332136445241"/>
    <n v="0.77721139583220644"/>
    <n v="0.85034013605442171"/>
    <n v="1.9264642089343564"/>
    <n v="0.71995135120329123"/>
    <n v="0.70534647283248642"/>
    <n v="-1"/>
    <n v="-1"/>
    <n v="-1"/>
    <n v="-1"/>
    <n v="-1"/>
    <n v="-1"/>
    <n v="-5.5"/>
    <n v="-6"/>
    <n v="-5"/>
    <n v="-4"/>
    <n v="-3"/>
    <s v="TDP HardCore"/>
  </r>
  <r>
    <s v="446dbf0b-7c2a-4a49-8ef3-8d3de3d41ba3"/>
    <x v="5"/>
    <s v="1/24/2026, 12:00:54 PM"/>
    <s v="16.535258, 81.936592"/>
    <s v="B DODDAVARAM, MANDAL, Andhra Pradesh, India"/>
    <x v="3"/>
    <s v="Naeem"/>
    <s v="http://164.52.221.216/localmedia/media/surveys/samples/recording_2026-01-24_11-57-34_samples_7UoRCeHJrp.mp4"/>
    <x v="5"/>
    <x v="2"/>
    <x v="3"/>
    <x v="0"/>
    <s v="హిందూ"/>
    <x v="2"/>
    <s v="bushanam"/>
    <n v="9999999999"/>
    <x v="0"/>
    <x v="5"/>
    <x v="1"/>
    <x v="1"/>
    <x v="1"/>
    <x v="1"/>
    <s v="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"/>
    <x v="1"/>
    <x v="0"/>
    <x v="1"/>
    <x v="1"/>
    <x v="1"/>
    <x v="1"/>
    <s v="Deepika"/>
    <s v="Correctly Done"/>
    <n v="0"/>
    <x v="0"/>
    <n v="1.0478809952686368"/>
    <n v="1.0795332136445241"/>
    <n v="0.8266624780172348"/>
    <n v="0.85034013605442171"/>
    <n v="0.75433779645928134"/>
    <n v="0.7657591888501577"/>
    <n v="0.22377816180516033"/>
    <n v="-1"/>
    <n v="-1"/>
    <n v="-1"/>
    <n v="-1"/>
    <n v="-1"/>
    <n v="-1"/>
    <n v="-5.5"/>
    <n v="-6"/>
    <n v="-5"/>
    <n v="-4"/>
    <n v="-3"/>
    <s v="TDP HardCore"/>
  </r>
  <r>
    <s v="24166c03-4e01-476a-aa8b-2eac030bb8a6"/>
    <x v="5"/>
    <s v="1/24/2026, 1:58:47 PM"/>
    <s v="16.422534, 81.861408"/>
    <s v="2-128 Gudapalli, Malikipuram, Andhra Pradesh, India"/>
    <x v="4"/>
    <s v="Naeem"/>
    <s v="http://164.52.221.216/localmedia/media/surveys/samples/recording_2026-01-24_13-56-22_samples_dV0gZyjLfp.mp4"/>
    <x v="2"/>
    <x v="0"/>
    <x v="14"/>
    <x v="5"/>
    <s v="హిందూ"/>
    <x v="3"/>
    <s v="manikanta"/>
    <n v="9110394828"/>
    <x v="0"/>
    <x v="3"/>
    <x v="1"/>
    <x v="1"/>
    <x v="1"/>
    <x v="0"/>
    <s v="రోడ్లు వేయటం, ఆరోగ్య రంగం అభివృద్ధి చేయటం, సంక్షేమ పథకాలు (నగదు)"/>
    <x v="1"/>
    <x v="0"/>
    <x v="1"/>
    <x v="1"/>
    <x v="1"/>
    <x v="1"/>
    <s v="Deepika"/>
    <s v="Not Doing It Properly"/>
    <s v="Q5 kept his own,not asking caste"/>
    <x v="0"/>
    <n v="1.1461625511156397"/>
    <n v="1.0795332136445241"/>
    <n v="0.77721139583220644"/>
    <n v="0.85034013605442171"/>
    <n v="1.9264642089343564"/>
    <n v="0.71995135120329123"/>
    <n v="0.70534647283248642"/>
    <n v="-1"/>
    <n v="-1"/>
    <n v="1"/>
    <n v="-1"/>
    <n v="-1"/>
    <n v="-1"/>
    <n v="-3.5"/>
    <n v="-4"/>
    <n v="-3"/>
    <n v="-2"/>
    <n v="-3"/>
    <s v="Neutral TDP"/>
  </r>
  <r>
    <s v="9928d06e-4747-4120-8086-736f52f2c2a5"/>
    <x v="5"/>
    <s v="1/24/2026, 12:03:09 PM"/>
    <s v="16.409531, 81.802461"/>
    <s v="No. 4/231 &amp; 4/232, Malikipuram, Andhra Pradesh, India"/>
    <x v="1"/>
    <s v="Naeem"/>
    <s v="http://164.52.221.216/localmedia/media/surveys/samples/recording_2026-01-24_12-02-04_samples_hEBQwaHlEi.mp4"/>
    <x v="2"/>
    <x v="0"/>
    <x v="16"/>
    <x v="2"/>
    <s v="హిందూ"/>
    <x v="1"/>
    <s v="ramu"/>
    <n v="9963258717"/>
    <x v="0"/>
    <x v="5"/>
    <x v="1"/>
    <x v="1"/>
    <x v="1"/>
    <x v="1"/>
    <s v="రోడ్లు వేయటం, ఉద్యొగ్య అవకాశాలు కల్పించటం, ఆరోగ్య రంగం అభివృద్ధి చేయటం"/>
    <x v="1"/>
    <x v="0"/>
    <x v="1"/>
    <x v="1"/>
    <x v="1"/>
    <x v="1"/>
    <s v="Deepika"/>
    <s v="Correctly Done"/>
    <n v="0"/>
    <x v="0"/>
    <n v="1.1461625511156397"/>
    <n v="1.0795332136445241"/>
    <n v="0.77721139583220644"/>
    <n v="0.85034013605442171"/>
    <n v="1.9264642089343564"/>
    <n v="0.71995135120329123"/>
    <n v="0.70534647283248642"/>
    <n v="-1"/>
    <n v="-1"/>
    <n v="-1"/>
    <n v="-1"/>
    <n v="-1"/>
    <n v="-1"/>
    <n v="-5.5"/>
    <n v="-6"/>
    <n v="-5"/>
    <n v="-4"/>
    <n v="-3"/>
    <s v="TDP HardCore"/>
  </r>
  <r>
    <s v="03027f11-9adc-4931-bbe4-24345aeda4ca"/>
    <x v="5"/>
    <s v="1/24/2026, 12:05:23 PM"/>
    <s v="16.409151, 81.802741"/>
    <s v="CR53+J49, Malikipuram, Andhra Pradesh, India"/>
    <x v="1"/>
    <s v="Naeem"/>
    <s v="http://164.52.221.216/localmedia/media/surveys/samples/recording_2026-01-24_12-04-08_samples_TdpkkksAqE.mp4"/>
    <x v="2"/>
    <x v="0"/>
    <x v="16"/>
    <x v="2"/>
    <s v="హిందూ"/>
    <x v="1"/>
    <s v="prasad"/>
    <n v="9989586457"/>
    <x v="0"/>
    <x v="5"/>
    <x v="1"/>
    <x v="1"/>
    <x v="1"/>
    <x v="1"/>
    <s v="రోడ్లు వేయటం, ఉద్యొగ్య అవకాశాలు కల్పించటం, శాంతి భద్రతలను కాపాడటం"/>
    <x v="1"/>
    <x v="0"/>
    <x v="1"/>
    <x v="1"/>
    <x v="1"/>
    <x v="1"/>
    <s v="Deepika"/>
    <s v="Correctly Done"/>
    <n v="0"/>
    <x v="0"/>
    <n v="1.1461625511156397"/>
    <n v="1.0795332136445241"/>
    <n v="0.77721139583220644"/>
    <n v="0.85034013605442171"/>
    <n v="1.9264642089343564"/>
    <n v="0.71995135120329123"/>
    <n v="0.70534647283248642"/>
    <n v="-1"/>
    <n v="-1"/>
    <n v="-1"/>
    <n v="-1"/>
    <n v="-1"/>
    <n v="-1"/>
    <n v="-5.5"/>
    <n v="-6"/>
    <n v="-5"/>
    <n v="-4"/>
    <n v="-3"/>
    <s v="TDP HardCore"/>
  </r>
  <r>
    <s v="327574f9-0016-4636-9ee2-7b941ddddf2b"/>
    <x v="5"/>
    <s v="1/24/2026, 12:06:43 PM"/>
    <s v="16.534810, 81.936819"/>
    <s v="B DODDAVARAM, MANDAL, Andhra Pradesh, India"/>
    <x v="3"/>
    <s v="Naeem"/>
    <s v="http://164.52.221.216/localmedia/media/surveys/samples/recording_2026-01-24_12-02-10_samples_LRQaxYKtR1.mp4"/>
    <x v="5"/>
    <x v="2"/>
    <x v="3"/>
    <x v="0"/>
    <s v="హిందూ"/>
    <x v="2"/>
    <s v="p ganapathi"/>
    <n v="9553888272"/>
    <x v="0"/>
    <x v="2"/>
    <x v="2"/>
    <x v="1"/>
    <x v="0"/>
    <x v="1"/>
    <s v="రోడ్లు వేయటం, విద్య రంగం అభివృద్ధి చేయటం, ఆరోగ్య రంగం అభివృద్ధి చేయటం"/>
    <x v="1"/>
    <x v="0"/>
    <x v="1"/>
    <x v="1"/>
    <x v="1"/>
    <x v="1"/>
    <n v="0"/>
    <s v="Correctly Done"/>
    <n v="0"/>
    <x v="0"/>
    <n v="1.0478809952686368"/>
    <n v="1.0795332136445241"/>
    <n v="0.8266624780172348"/>
    <n v="0.85034013605442171"/>
    <n v="0.75433779645928134"/>
    <n v="0.7657591888501577"/>
    <n v="0.22377816180516033"/>
    <n v="-1"/>
    <n v="1"/>
    <n v="-1"/>
    <n v="-1"/>
    <n v="-1"/>
    <n v="-1"/>
    <n v="-3.5"/>
    <n v="-4"/>
    <n v="-5"/>
    <n v="-4"/>
    <n v="-3"/>
    <s v="TDP Sympathiser"/>
  </r>
  <r>
    <s v="f0a132ab-db8e-4b8a-a5b7-3dec9354ec22"/>
    <x v="5"/>
    <s v="1/24/2026, 12:06:56 PM"/>
    <s v="16.409181, 81.801788"/>
    <s v="106, Malikipuram, Andhra Pradesh, India"/>
    <x v="1"/>
    <s v="Naeem"/>
    <s v="http://164.52.221.216/localmedia/media/surveys/samples/recording_2026-01-24_12-06-02_samples_TXFUglAFZg.mp4"/>
    <x v="2"/>
    <x v="0"/>
    <x v="16"/>
    <x v="2"/>
    <s v="హిందూ"/>
    <x v="1"/>
    <s v="ramesh"/>
    <n v="9959191490"/>
    <x v="0"/>
    <x v="1"/>
    <x v="1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"/>
    <x v="1"/>
    <x v="0"/>
    <x v="1"/>
    <x v="1"/>
    <x v="1"/>
    <x v="1"/>
    <s v="Deepika"/>
    <s v="Correctly Done"/>
    <n v="0"/>
    <x v="0"/>
    <n v="1.1461625511156397"/>
    <n v="1.0795332136445241"/>
    <n v="0.77721139583220644"/>
    <n v="0.85034013605442171"/>
    <n v="1.9264642089343564"/>
    <n v="0.71995135120329123"/>
    <n v="0.70534647283248642"/>
    <n v="-1"/>
    <n v="-1"/>
    <n v="-1"/>
    <n v="-1"/>
    <n v="-1"/>
    <n v="-1"/>
    <n v="-5.5"/>
    <n v="-6"/>
    <n v="-5"/>
    <n v="-4"/>
    <n v="-3"/>
    <s v="TDP HardCore"/>
  </r>
  <r>
    <s v="5bf8ebac-1050-4b5d-9fee-5b3bc116ab2e"/>
    <x v="5"/>
    <s v="1/24/2026, 3:30:26 PM"/>
    <s v="16.437513, 81.911417"/>
    <s v="CWQ6+HHG, Katrenipadu, Andhra Pradesh, India"/>
    <x v="3"/>
    <s v="Naeem"/>
    <s v="http://164.52.221.216/localmedia/media/surveys/samples/recording_2026-01-24_15-23-01_samples_ULT4mulX8q.mp4"/>
    <x v="6"/>
    <x v="1"/>
    <x v="18"/>
    <x v="0"/>
    <s v="హిందూ"/>
    <x v="1"/>
    <s v="rohini"/>
    <n v="9010834834"/>
    <x v="1"/>
    <x v="5"/>
    <x v="1"/>
    <x v="1"/>
    <x v="0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0"/>
    <x v="1"/>
    <x v="1"/>
    <x v="1"/>
    <x v="1"/>
    <s v="Ashish"/>
    <s v="Not Doing It Properly"/>
    <s v="wrong caste entered"/>
    <x v="0"/>
    <n v="1.2612194085121222"/>
    <n v="1.0795332136445241"/>
    <n v="2.6155674106916162"/>
    <n v="2.1645021645021645"/>
    <n v="1.1213131007097483"/>
    <n v="2.4228688637206557"/>
    <n v="1.6647158900419725"/>
    <n v="-1"/>
    <n v="1"/>
    <n v="-1"/>
    <n v="-1"/>
    <n v="-1"/>
    <n v="-1"/>
    <n v="-3.5"/>
    <n v="-4"/>
    <n v="-5"/>
    <n v="-4"/>
    <n v="-3"/>
    <s v="TDP Sympathiser"/>
  </r>
  <r>
    <s v="aae92188-5471-4fe8-922a-1ea829209469"/>
    <x v="5"/>
    <s v="1/24/2026, 12:08:52 PM"/>
    <s v="16.408901, 81.800990"/>
    <s v="CR52+C89, Malikipuram, Andhra Pradesh, India"/>
    <x v="1"/>
    <s v="Naeem"/>
    <s v="http://164.52.221.216/localmedia/media/surveys/samples/recording_2026-01-24_12-07-37_samples_Zg9eddvoQf.mp4"/>
    <x v="2"/>
    <x v="0"/>
    <x v="16"/>
    <x v="2"/>
    <s v="హిందూ"/>
    <x v="3"/>
    <s v="chandu"/>
    <n v="9032179213"/>
    <x v="0"/>
    <x v="3"/>
    <x v="1"/>
    <x v="1"/>
    <x v="1"/>
    <x v="1"/>
    <s v="రోడ్లు వేయటం, ఉద్యొగ్య అవకాశాలు కల్పించటం"/>
    <x v="1"/>
    <x v="0"/>
    <x v="1"/>
    <x v="1"/>
    <x v="1"/>
    <x v="1"/>
    <s v="Deepika"/>
    <s v="Correctly Done"/>
    <n v="0"/>
    <x v="0"/>
    <n v="1.1461625511156397"/>
    <n v="1.0795332136445241"/>
    <n v="0.77721139583220644"/>
    <n v="0.85034013605442171"/>
    <n v="1.9264642089343564"/>
    <n v="0.71995135120329123"/>
    <n v="0.70534647283248642"/>
    <n v="-1"/>
    <n v="-1"/>
    <n v="-1"/>
    <n v="-1"/>
    <n v="-1"/>
    <n v="-1"/>
    <n v="-5.5"/>
    <n v="-6"/>
    <n v="-5"/>
    <n v="-4"/>
    <n v="-3"/>
    <s v="TDP HardCore"/>
  </r>
  <r>
    <s v="f230d673-9d66-4d40-a968-ce28bb713030"/>
    <x v="5"/>
    <s v="1/24/2026, 12:11:23 PM"/>
    <s v="16.409175, 81.802291"/>
    <s v="3-54, Malikipuram, Andhra Pradesh, India"/>
    <x v="1"/>
    <s v="Naeem"/>
    <s v="http://164.52.221.216/localmedia/media/surveys/samples/recording_2026-01-24_12-09-58_samples_bWDD8Cu4Yz.mp4"/>
    <x v="2"/>
    <x v="0"/>
    <x v="16"/>
    <x v="2"/>
    <s v="హిందూ"/>
    <x v="1"/>
    <s v="rajaesh"/>
    <n v="8897537444"/>
    <x v="0"/>
    <x v="1"/>
    <x v="2"/>
    <x v="1"/>
    <x v="1"/>
    <x v="1"/>
    <s v="రోడ్లు వేయటం, ఉద్యొగ్య అవకాశాలు కల్పించటం, ఆరోగ్య రంగం అభివృద్ధి చేయటం"/>
    <x v="1"/>
    <x v="0"/>
    <x v="1"/>
    <x v="1"/>
    <x v="1"/>
    <x v="1"/>
    <s v="Deepika"/>
    <s v="Correctly Done"/>
    <n v="0"/>
    <x v="0"/>
    <n v="1.1461625511156397"/>
    <n v="1.0795332136445241"/>
    <n v="0.77721139583220644"/>
    <n v="0.85034013605442171"/>
    <n v="1.9264642089343564"/>
    <n v="0.71995135120329123"/>
    <n v="0.70534647283248642"/>
    <n v="-1"/>
    <n v="-1"/>
    <n v="-1"/>
    <n v="-1"/>
    <n v="-1"/>
    <n v="-1"/>
    <n v="-5.5"/>
    <n v="-6"/>
    <n v="-5"/>
    <n v="-4"/>
    <n v="-3"/>
    <s v="TDP HardCore"/>
  </r>
  <r>
    <s v="60c09237-c32a-499e-af79-4ce8e520282d"/>
    <x v="5"/>
    <s v="1/24/2026, 10:59:14 AM"/>
    <s v="16.424683, 81.866040"/>
    <s v="CVF8+PR6, Gudapalli, Andhra Pradesh, India"/>
    <x v="4"/>
    <s v="Naeem"/>
    <s v="http://164.52.221.216/localmedia/media/surveys/samples/recording_2026-01-24_10-56-20_samples_tEb22WDfUa.mp4"/>
    <x v="8"/>
    <x v="0"/>
    <x v="14"/>
    <x v="0"/>
    <s v="హిందూ"/>
    <x v="1"/>
    <s v="rathamma"/>
    <n v="99999999999"/>
    <x v="1"/>
    <x v="4"/>
    <x v="1"/>
    <x v="1"/>
    <x v="1"/>
    <x v="1"/>
    <s v="రోడ్లు వేయటం, విద్య రంగం అభివృద్ధి చేయటం, ఆరోగ్య రంగం అభివృద్ధి చేయటం"/>
    <x v="1"/>
    <x v="0"/>
    <x v="1"/>
    <x v="1"/>
    <x v="1"/>
    <x v="1"/>
    <s v="Bhagya"/>
    <s v="Correctly Done"/>
    <s v="Fake sample"/>
    <x v="0"/>
    <n v="0.80207032429970992"/>
    <n v="1.0795332136445241"/>
    <n v="1.2733258158237817"/>
    <n v="2.1645021645021645"/>
    <n v="1.9264642089343564"/>
    <n v="1.1795151827936912"/>
    <n v="2.0730893618557826"/>
    <n v="-1"/>
    <n v="-1"/>
    <n v="-1"/>
    <n v="-1"/>
    <n v="-1"/>
    <n v="-1"/>
    <n v="-5.5"/>
    <n v="-6"/>
    <n v="-5"/>
    <n v="-4"/>
    <n v="-3"/>
    <s v="TDP HardCore"/>
  </r>
  <r>
    <s v="3cb232df-6107-4cf5-ac3f-c66c27e1fbcf"/>
    <x v="5"/>
    <s v="1/24/2026, 1:55:07 PM"/>
    <s v="16.422182, 81.860244"/>
    <s v="CVF6+2F8, Gudapalli, Andhra Pradesh, India"/>
    <x v="4"/>
    <s v="Naeem"/>
    <s v="http://164.52.221.216/localmedia/media/surveys/samples/recording_2026-01-24_13-51-58_samples_G1g1GusT6v.mp4"/>
    <x v="2"/>
    <x v="0"/>
    <x v="14"/>
    <x v="1"/>
    <s v="హిందూ"/>
    <x v="0"/>
    <s v="srinivas"/>
    <n v="90000000"/>
    <x v="0"/>
    <x v="3"/>
    <x v="2"/>
    <x v="1"/>
    <x v="1"/>
    <x v="0"/>
    <s v="రోడ్లు వేయటం, విద్య రంగం అభివృద్ధి చేయటం, ఆరోగ్య రంగం అభివృద్ధి చేయటం"/>
    <x v="1"/>
    <x v="0"/>
    <x v="1"/>
    <x v="1"/>
    <x v="1"/>
    <x v="1"/>
    <s v="Deepika"/>
    <s v="Not Doing It Properly"/>
    <s v="Q1,5 kept his own"/>
    <x v="0"/>
    <n v="1.1461625511156397"/>
    <n v="1.0795332136445241"/>
    <n v="0.77721139583220644"/>
    <n v="0.85034013605442171"/>
    <n v="1.9264642089343564"/>
    <n v="0.71995135120329123"/>
    <n v="0.70534647283248642"/>
    <n v="-1"/>
    <n v="-1"/>
    <n v="1"/>
    <n v="-1"/>
    <n v="-1"/>
    <n v="-1"/>
    <n v="-3.5"/>
    <n v="-4"/>
    <n v="-3"/>
    <n v="-2"/>
    <n v="-3"/>
    <s v="Neutral TDP"/>
  </r>
  <r>
    <s v="751bfc79-2077-47e3-862a-f4b4494e4504"/>
    <x v="5"/>
    <s v="1/24/2026, 12:18:25 PM"/>
    <s v="16.419272, 81.840130"/>
    <s v="SHOP NO.1 MANGENA VARI, Lakkavaram, Andhra Pradesh, India"/>
    <x v="5"/>
    <s v="Naeem"/>
    <s v="http://164.52.221.216/localmedia/media/surveys/samples/recording_2026-01-24_12-14-50_samples_YSzdfjIfsK.mp4"/>
    <x v="3"/>
    <x v="0"/>
    <x v="0"/>
    <x v="2"/>
    <s v="హిందూ"/>
    <x v="1"/>
    <s v="k durgarao"/>
    <n v="9866895394"/>
    <x v="0"/>
    <x v="5"/>
    <x v="1"/>
    <x v="1"/>
    <x v="1"/>
    <x v="1"/>
    <s v="రోడ్లు వేయ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"/>
    <x v="1"/>
    <x v="0"/>
    <x v="1"/>
    <x v="1"/>
    <x v="1"/>
    <x v="1"/>
    <s v="Deepika"/>
    <s v="Correctly Done"/>
    <n v="0"/>
    <x v="0"/>
    <n v="1.8452248965186235"/>
    <n v="1.0795332136445241"/>
    <n v="1.5651283704851411"/>
    <n v="0.85034013605442171"/>
    <n v="1.9264642089343564"/>
    <n v="1.4498195615503471"/>
    <n v="1.57386986628579"/>
    <n v="-1"/>
    <n v="-1"/>
    <n v="-1"/>
    <n v="-1"/>
    <n v="-1"/>
    <n v="-1"/>
    <n v="-5.5"/>
    <n v="-6"/>
    <n v="-5"/>
    <n v="-4"/>
    <n v="-3"/>
    <s v="TDP HardCore"/>
  </r>
  <r>
    <s v="4f9991ac-abf8-4354-839c-cca5fcfa8c72"/>
    <x v="5"/>
    <s v="1/24/2026, 12:37:18 PM"/>
    <s v="16.422531, 81.861259"/>
    <s v="2-128 Gudapalli, Malikipuram, Andhra Pradesh, India"/>
    <x v="4"/>
    <s v="Naeem"/>
    <s v="http://164.52.221.216/localmedia/media/surveys/samples/recording_2026-01-24_12-34-07_samples_7hD8xsm5i5.mp4"/>
    <x v="0"/>
    <x v="0"/>
    <x v="14"/>
    <x v="0"/>
    <s v="క్రిస్టియన్"/>
    <x v="1"/>
    <s v="Ramesh "/>
    <n v="9681638684"/>
    <x v="0"/>
    <x v="5"/>
    <x v="1"/>
    <x v="1"/>
    <x v="1"/>
    <x v="1"/>
    <s v="రోడ్లు వేయటం, ఆరోగ్య రంగం అభివృద్ధి చేయటం, వ్యవసాయం, రైతు బాగుండడం"/>
    <x v="1"/>
    <x v="0"/>
    <x v="1"/>
    <x v="1"/>
    <x v="1"/>
    <x v="1"/>
    <n v="0"/>
    <s v="Correctly Done"/>
    <n v="0"/>
    <x v="0"/>
    <n v="1.3836274505214585"/>
    <n v="1.0795332136445241"/>
    <n v="1.1648410586678206"/>
    <n v="0.85034013605442171"/>
    <n v="1.9264642089343564"/>
    <n v="1.0790228998469584"/>
    <n v="2.1355167697651956"/>
    <n v="-1"/>
    <n v="-1"/>
    <n v="-1"/>
    <n v="-1"/>
    <n v="-1"/>
    <n v="-1"/>
    <n v="-5.5"/>
    <n v="-6"/>
    <n v="-5"/>
    <n v="-4"/>
    <n v="-3"/>
    <s v="TDP HardCore"/>
  </r>
  <r>
    <s v="a5736d03-bbd8-4219-85ad-d11fb73b7e46"/>
    <x v="5"/>
    <s v="1/24/2026, 12:37:38 PM"/>
    <s v="16.422531, 81.861259"/>
    <s v="2-128 Gudapalli, Malikipuram, Andhra Pradesh, India"/>
    <x v="4"/>
    <s v="Naeem"/>
    <s v="http://164.52.221.216/localmedia/media/surveys/samples/recording_2026-01-24_12-34-07_samples_JiOM6NhhKR.mp4"/>
    <x v="0"/>
    <x v="0"/>
    <x v="14"/>
    <x v="0"/>
    <s v="క్రిస్టియన్"/>
    <x v="1"/>
    <s v="Ramesh "/>
    <n v="9681638684"/>
    <x v="0"/>
    <x v="5"/>
    <x v="1"/>
    <x v="1"/>
    <x v="1"/>
    <x v="1"/>
    <s v="రోడ్లు వేయటం, ఆరోగ్య రంగం అభివృద్ధి చేయటం, వ్యవసాయం, రైతు బాగుండడం"/>
    <x v="1"/>
    <x v="0"/>
    <x v="1"/>
    <x v="1"/>
    <x v="1"/>
    <x v="1"/>
    <s v="Deepika"/>
    <s v="Correctly Done"/>
    <n v="0"/>
    <x v="0"/>
    <n v="1.3836274505214585"/>
    <n v="1.0795332136445241"/>
    <n v="1.1648410586678206"/>
    <n v="0.85034013605442171"/>
    <n v="1.9264642089343564"/>
    <n v="1.0790228998469584"/>
    <n v="2.1355167697651956"/>
    <n v="-1"/>
    <n v="-1"/>
    <n v="-1"/>
    <n v="-1"/>
    <n v="-1"/>
    <n v="-1"/>
    <n v="-5.5"/>
    <n v="-6"/>
    <n v="-5"/>
    <n v="-4"/>
    <n v="-3"/>
    <s v="TDP HardCore"/>
  </r>
  <r>
    <s v="0bea9248-929f-4239-85bb-1c1e35cdd52a"/>
    <x v="5"/>
    <s v="1/24/2026, 12:41:16 PM"/>
    <s v="16.422135, 81.860467"/>
    <s v="CVF6+2F8, Gudapalli, Andhra Pradesh, India"/>
    <x v="4"/>
    <s v="Naeem"/>
    <s v="http://164.52.221.216/localmedia/media/surveys/samples/recording_2026-01-24_12-38-08_samples_ysKfagqVDM.mp4"/>
    <x v="0"/>
    <x v="0"/>
    <x v="14"/>
    <x v="6"/>
    <s v="క్రిస్టియన్"/>
    <x v="1"/>
    <s v="Swathi"/>
    <n v="0"/>
    <x v="1"/>
    <x v="5"/>
    <x v="1"/>
    <x v="1"/>
    <x v="1"/>
    <x v="1"/>
    <s v="రోడ్లు వేయటం, శాంతి భద్రతలను కాపాడటం, విద్య రంగం అభివృద్ధి చేయటం, ఆరోగ్య రంగం అభివృద్ధి చేయటం"/>
    <x v="1"/>
    <x v="0"/>
    <x v="1"/>
    <x v="1"/>
    <x v="1"/>
    <x v="1"/>
    <s v="Deepika"/>
    <s v="Correctly Done"/>
    <n v="0"/>
    <x v="0"/>
    <n v="1.3836274505214585"/>
    <n v="1.0795332136445241"/>
    <n v="2.0811826914865059"/>
    <n v="2.1645021645021645"/>
    <n v="1.9264642089343564"/>
    <n v="1.9278542477265657"/>
    <n v="4.0768956513699193"/>
    <n v="-1"/>
    <n v="-1"/>
    <n v="-1"/>
    <n v="-1"/>
    <n v="-1"/>
    <n v="-1"/>
    <n v="-5.5"/>
    <n v="-6"/>
    <n v="-5"/>
    <n v="-4"/>
    <n v="-3"/>
    <s v="TDP HardCore"/>
  </r>
  <r>
    <s v="6b549f1f-0fdb-4565-a5af-b479aefc4660"/>
    <x v="5"/>
    <s v="1/24/2026, 5:07:15 PM"/>
    <s v="16.462504, 81.905969"/>
    <s v="Toorpu polam colony, Razole, ఆంధ్ర ప్రదేశ్, India"/>
    <x v="0"/>
    <s v="Naeem"/>
    <s v="http://164.52.221.216/localmedia/media/surveys/samples/recording_2026-01-24_17-02-03_samples_8E39rT7FFQ.mp4"/>
    <x v="8"/>
    <x v="1"/>
    <x v="15"/>
    <x v="2"/>
    <s v="హిందూ"/>
    <x v="1"/>
    <s v="vamkateswarao"/>
    <n v="8185958103"/>
    <x v="0"/>
    <x v="4"/>
    <x v="0"/>
    <x v="0"/>
    <x v="1"/>
    <x v="1"/>
    <s v="ఉద్యొగ్య అవకాశాలు కల్పించటం, ఆరోగ్య రంగం అభివృద్ధి చేయటం, వ్యవసాయం, రైతు బాగుండడం, సంక్షేమ పథకాలు (నగదు)"/>
    <x v="1"/>
    <x v="0"/>
    <x v="2"/>
    <x v="1"/>
    <x v="1"/>
    <x v="1"/>
    <s v="Deepika"/>
    <s v="Not Doing It Properly"/>
    <s v="Q7 kept his own"/>
    <x v="0"/>
    <n v="0.80207032429970992"/>
    <n v="1.0795332136445241"/>
    <n v="0.65595572330316032"/>
    <n v="0.85034013605442171"/>
    <n v="1.1213131007097483"/>
    <n v="0.60762903356038633"/>
    <n v="0.38672994380094594"/>
    <n v="1"/>
    <n v="-1"/>
    <n v="-1"/>
    <n v="-1"/>
    <n v="-1"/>
    <n v="-1"/>
    <n v="-3.5"/>
    <n v="-4"/>
    <n v="-3"/>
    <n v="-4"/>
    <n v="-2"/>
    <s v="TDP Sympathiser"/>
  </r>
  <r>
    <s v="edaeb504-efd0-4542-b69c-ea65b60bbce6"/>
    <x v="5"/>
    <s v="1/24/2026, 12:59:21 PM"/>
    <s v="16.422753, 81.859352"/>
    <s v="CVC5+WH3, Gudapalli, Andhra Pradesh, India"/>
    <x v="4"/>
    <s v="Naeem"/>
    <s v="http://164.52.221.216/localmedia/media/surveys/samples/recording_2026-01-24_12-56-57_samples_3i9AVmlP3a.mp4"/>
    <x v="2"/>
    <x v="0"/>
    <x v="14"/>
    <x v="5"/>
    <s v="హిందూ"/>
    <x v="3"/>
    <s v="rohith"/>
    <n v="900000000"/>
    <x v="0"/>
    <x v="5"/>
    <x v="1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"/>
    <x v="1"/>
    <x v="0"/>
    <x v="1"/>
    <x v="1"/>
    <x v="1"/>
    <x v="1"/>
    <s v="Ashish"/>
    <s v="Correctly Done"/>
    <n v="0"/>
    <x v="0"/>
    <n v="1.1461625511156397"/>
    <n v="1.0795332136445241"/>
    <n v="0.77721139583220644"/>
    <n v="0.85034013605442171"/>
    <n v="1.9264642089343564"/>
    <n v="0.71995135120329123"/>
    <n v="0.70534647283248642"/>
    <n v="-1"/>
    <n v="-1"/>
    <n v="-1"/>
    <n v="-1"/>
    <n v="-1"/>
    <n v="-1"/>
    <n v="-5.5"/>
    <n v="-6"/>
    <n v="-5"/>
    <n v="-4"/>
    <n v="-3"/>
    <s v="TDP HardCore"/>
  </r>
  <r>
    <s v="6245c784-a841-435f-88b3-f53402bb00c6"/>
    <x v="5"/>
    <s v="1/24/2026, 2:01:48 PM"/>
    <s v="16.424027, 81.839307"/>
    <s v="CRFR+22R, Lakkavaram, Andhra Pradesh, India"/>
    <x v="5"/>
    <s v="Naeem"/>
    <s v="http://164.52.221.216/localmedia/media/surveys/samples/recording_2026-01-24_13-56-25_samples_mIJjt3Yyls.mp4"/>
    <x v="2"/>
    <x v="0"/>
    <x v="0"/>
    <x v="0"/>
    <s v="హిందూ"/>
    <x v="1"/>
    <s v="savithri"/>
    <n v="9000000000"/>
    <x v="1"/>
    <x v="2"/>
    <x v="1"/>
    <x v="1"/>
    <x v="1"/>
    <x v="1"/>
    <s v="రోడ్లు వేయటం, విద్య రంగం అభివృద్ధి చేయటం, ఆరోగ్య రంగం అభివృద్ధి చేయటం, వ్యవసాయం, రైతు బాగుండడం"/>
    <x v="1"/>
    <x v="0"/>
    <x v="2"/>
    <x v="2"/>
    <x v="1"/>
    <x v="1"/>
    <s v="Deepika"/>
    <s v="Correctly Done"/>
    <n v="0"/>
    <x v="0"/>
    <n v="1.1461625511156397"/>
    <n v="0.66153846153846207"/>
    <n v="1.8584083596520569"/>
    <n v="2.1645021645021645"/>
    <n v="1.9264642089343564"/>
    <n v="2.8092219390089208"/>
    <n v="6.3481182554923778"/>
    <n v="-1"/>
    <n v="-1"/>
    <n v="-1"/>
    <n v="-1"/>
    <n v="-1"/>
    <n v="-1"/>
    <n v="-5.5"/>
    <n v="-6"/>
    <n v="-5"/>
    <n v="-4"/>
    <n v="-3"/>
    <s v="TDP HardCore"/>
  </r>
  <r>
    <s v="d58c2189-16cb-4957-a756-2e2f7594887a"/>
    <x v="5"/>
    <s v="1/24/2026, 3:58:43 PM"/>
    <s v="16.437113, 81.913909"/>
    <s v="CWP7+QGQ, Katrenipadu, Andhra Pradesh, India"/>
    <x v="3"/>
    <s v="Naeem"/>
    <s v="http://164.52.221.216/localmedia/media/surveys/samples/recording_2026-01-24_15-55-54_samples_oeq2Ji6ZB3.mp4"/>
    <x v="2"/>
    <x v="1"/>
    <x v="18"/>
    <x v="6"/>
    <s v="హిందూ"/>
    <x v="2"/>
    <s v="manga thayaru"/>
    <n v="9999999999"/>
    <x v="1"/>
    <x v="5"/>
    <x v="1"/>
    <x v="1"/>
    <x v="1"/>
    <x v="1"/>
    <s v="రోడ్లు వేయటం, ఉద్యొగ్య అవకాశాలు కల్పించటం, శాంతి భద్రతలను కాపాడటం"/>
    <x v="1"/>
    <x v="0"/>
    <x v="1"/>
    <x v="1"/>
    <x v="1"/>
    <x v="1"/>
    <s v="Ashish"/>
    <s v="Not Doing It Properly"/>
    <s v="Q6,9 entered on his own"/>
    <x v="0"/>
    <n v="1.1461625511156397"/>
    <n v="1.0795332136445241"/>
    <n v="3.0326483876590018"/>
    <n v="2.1645021645021645"/>
    <n v="1.1213131007097483"/>
    <n v="2.8092219390089208"/>
    <n v="1.8020838461961379"/>
    <n v="-1"/>
    <n v="-1"/>
    <n v="-1"/>
    <n v="-1"/>
    <n v="-1"/>
    <n v="-1"/>
    <n v="-5.5"/>
    <n v="-6"/>
    <n v="-5"/>
    <n v="-4"/>
    <n v="-3"/>
    <s v="TDP HardCore"/>
  </r>
  <r>
    <s v="8f1739f0-bc98-4b9b-90e4-37882d34d1e3"/>
    <x v="5"/>
    <s v="1/24/2026, 2:04:07 PM"/>
    <s v="16.423071, 81.863142"/>
    <s v="CVF7+59W, Gudapalli, Andhra Pradesh, India"/>
    <x v="4"/>
    <s v="Naeem"/>
    <s v="http://164.52.221.216/localmedia/media/surveys/samples/recording_2026-01-24_14-01-28_samples_CmlxSOgEJv.mp4"/>
    <x v="1"/>
    <x v="0"/>
    <x v="14"/>
    <x v="0"/>
    <s v="హిందూ"/>
    <x v="2"/>
    <s v="chelluboyena balayya"/>
    <n v="9652017143"/>
    <x v="0"/>
    <x v="2"/>
    <x v="2"/>
    <x v="1"/>
    <x v="0"/>
    <x v="1"/>
    <s v="రోడ్లు వేయటం, విద్య రంగం అభివృద్ధి చేయటం, వ్యవసాయం, రైతు బాగుండడం"/>
    <x v="0"/>
    <x v="0"/>
    <x v="1"/>
    <x v="1"/>
    <x v="1"/>
    <x v="1"/>
    <n v="0"/>
    <s v="Correctly Done"/>
    <n v="0"/>
    <x v="0"/>
    <n v="1.1705128247062893"/>
    <n v="1.0795332136445241"/>
    <n v="0.86308903171383233"/>
    <n v="0.85034013605442171"/>
    <n v="1.9264642089343564"/>
    <n v="0.79950206330384943"/>
    <n v="1.1572126985895925"/>
    <n v="-1"/>
    <n v="1"/>
    <n v="-1"/>
    <n v="1"/>
    <n v="-1"/>
    <n v="-1"/>
    <n v="-1.5"/>
    <n v="-2"/>
    <n v="-3"/>
    <n v="-2"/>
    <n v="-3"/>
    <s v="Neutral TDP"/>
  </r>
  <r>
    <s v="26bc9a7f-ebd0-472c-91da-858953c5c9a7"/>
    <x v="5"/>
    <s v="1/24/2026, 10:58:30 AM"/>
    <s v="16.413527, 81.804407"/>
    <s v="CR73+9QM, Malikipuram, Andhra Pradesh, India"/>
    <x v="1"/>
    <s v="Naeem"/>
    <s v="http://164.52.221.216/localmedia/media/surveys/samples/recording_2026-01-24_10-56-42_samples_zZ80wGggwQ.mp4"/>
    <x v="6"/>
    <x v="0"/>
    <x v="16"/>
    <x v="0"/>
    <s v="హిందూ"/>
    <x v="1"/>
    <s v="chndra"/>
    <n v="9999999999"/>
    <x v="0"/>
    <x v="3"/>
    <x v="1"/>
    <x v="1"/>
    <x v="1"/>
    <x v="1"/>
    <s v="రోడ్లు వేయటం, విద్య రంగం అభివృద్ధి చేయటం, ఆరోగ్య రంగం అభివృద్ధి చేయటం"/>
    <x v="1"/>
    <x v="0"/>
    <x v="1"/>
    <x v="1"/>
    <x v="1"/>
    <x v="1"/>
    <s v="Bhagya"/>
    <s v="Not Doing It Properly"/>
    <s v="Caste didn't asked,Q6 only mentioning the options he selected to the respondent"/>
    <x v="0"/>
    <n v="1.2612194085121222"/>
    <n v="1.0795332136445241"/>
    <n v="0.92029223709519836"/>
    <n v="0.85034013605442171"/>
    <n v="1.9264642089343564"/>
    <n v="0.85249089649430487"/>
    <n v="1.7847621356853685"/>
    <n v="-1"/>
    <n v="-1"/>
    <n v="-1"/>
    <n v="-1"/>
    <n v="-1"/>
    <n v="-1"/>
    <n v="-5.5"/>
    <n v="-6"/>
    <n v="-5"/>
    <n v="-4"/>
    <n v="-3"/>
    <s v="TDP HardCore"/>
  </r>
  <r>
    <s v="9967cd7d-45b4-4f65-a124-b2f362fce4d7"/>
    <x v="5"/>
    <s v="1/24/2026, 2:04:28 PM"/>
    <s v="16.423071, 81.863142"/>
    <s v="CVF7+59W, Gudapalli, Andhra Pradesh, India"/>
    <x v="4"/>
    <s v="Naeem"/>
    <s v="http://164.52.221.216/localmedia/media/surveys/samples/recording_2026-01-24_14-01-28_samples_3mMdlvQ3iE.mp4"/>
    <x v="1"/>
    <x v="0"/>
    <x v="14"/>
    <x v="0"/>
    <s v="హిందూ"/>
    <x v="2"/>
    <s v="chelluboyena balayya"/>
    <n v="9652017143"/>
    <x v="0"/>
    <x v="2"/>
    <x v="2"/>
    <x v="1"/>
    <x v="0"/>
    <x v="1"/>
    <s v="రోడ్లు వేయటం, విద్య రంగం అభివృద్ధి చేయటం, వ్యవసాయం, రైతు బాగుండడం"/>
    <x v="0"/>
    <x v="0"/>
    <x v="1"/>
    <x v="1"/>
    <x v="1"/>
    <x v="1"/>
    <n v="0"/>
    <s v="Correctly Done"/>
    <n v="0"/>
    <x v="0"/>
    <n v="1.1705128247062893"/>
    <n v="1.0795332136445241"/>
    <n v="0.86308903171383233"/>
    <n v="0.85034013605442171"/>
    <n v="1.9264642089343564"/>
    <n v="0.79950206330384943"/>
    <n v="1.1572126985895925"/>
    <n v="-1"/>
    <n v="1"/>
    <n v="-1"/>
    <n v="1"/>
    <n v="-1"/>
    <n v="-1"/>
    <n v="-1.5"/>
    <n v="-2"/>
    <n v="-3"/>
    <n v="-2"/>
    <n v="-3"/>
    <s v="Neutral TDP"/>
  </r>
  <r>
    <s v="8b882434-3f7d-40dd-8807-e95dbc08c707"/>
    <x v="5"/>
    <s v="1/24/2026, 2:04:54 PM"/>
    <s v="16.464958, 81.886203"/>
    <s v="Sy No : 535-1 536-1, Kadali, Andhra Pradesh, India"/>
    <x v="0"/>
    <s v="Naeem"/>
    <s v="http://164.52.221.216/localmedia/media/surveys/samples/recording_2026-01-24_13-58-30_samples_kqADOeCqmB.mp4"/>
    <x v="1"/>
    <x v="1"/>
    <x v="15"/>
    <x v="6"/>
    <s v="హిందూ"/>
    <x v="1"/>
    <s v="Kumari.c.h"/>
    <n v="9704766174"/>
    <x v="1"/>
    <x v="5"/>
    <x v="1"/>
    <x v="1"/>
    <x v="1"/>
    <x v="1"/>
    <s v="రోడ్లు వేయటం, ఉద్యొగ్య అవకాశాలు కల్పించటం, విద్య రంగం అభివృద్ధి చేయటం, ఆరోగ్య రంగం అభివృద్ధి చేయటం, వ్యవసాయం, రైతు బాగుండడం"/>
    <x v="1"/>
    <x v="0"/>
    <x v="1"/>
    <x v="1"/>
    <x v="1"/>
    <x v="1"/>
    <s v="Deepika"/>
    <s v="Correctly Done"/>
    <n v="0"/>
    <x v="0"/>
    <n v="1.1705128247062893"/>
    <n v="1.0795332136445241"/>
    <n v="2.3577066232182737"/>
    <n v="2.1645021645021645"/>
    <n v="1.1213131007097483"/>
    <n v="2.1840056363422229"/>
    <n v="0.95944580773600496"/>
    <n v="-1"/>
    <n v="-1"/>
    <n v="-1"/>
    <n v="-1"/>
    <n v="-1"/>
    <n v="-1"/>
    <n v="-5.5"/>
    <n v="-6"/>
    <n v="-5"/>
    <n v="-4"/>
    <n v="-3"/>
    <s v="TDP HardCore"/>
  </r>
  <r>
    <s v="5190f443-1b12-4110-a508-dc2f09b8803e"/>
    <x v="5"/>
    <s v="1/24/2026, 3:12:47 PM"/>
    <s v="16.437177, 81.912766"/>
    <s v="CWP7+QGQ, Katrenipadu, Andhra Pradesh, India"/>
    <x v="3"/>
    <s v="Naeem"/>
    <s v="http://164.52.221.216/localmedia/media/surveys/samples/recording_2026-01-24_15-09-11_samples_GjoZGffMmY.mp4"/>
    <x v="2"/>
    <x v="1"/>
    <x v="18"/>
    <x v="0"/>
    <s v="హిందూ"/>
    <x v="0"/>
    <s v="venkata vijayalakshmi"/>
    <n v="9676308590"/>
    <x v="1"/>
    <x v="5"/>
    <x v="0"/>
    <x v="1"/>
    <x v="0"/>
    <x v="1"/>
    <s v="శాంతి భద్రతలను కాపాడటం, విద్య రంగం అభివృద్ధి చేయటం, ఆరోగ్య రంగం అభివృద్ధి చేయటం"/>
    <x v="1"/>
    <x v="0"/>
    <x v="2"/>
    <x v="2"/>
    <x v="1"/>
    <x v="1"/>
    <s v="Ashish"/>
    <s v="Not Doing It Properly"/>
    <s v="Q6,7,9,10 entered on his own"/>
    <x v="0"/>
    <n v="1.1461625511156397"/>
    <n v="0.66153846153846207"/>
    <n v="1.8584083596520569"/>
    <n v="2.1645021645021645"/>
    <n v="1.1213131007097483"/>
    <n v="2.8092219390089208"/>
    <n v="1.8020838461961379"/>
    <n v="-1"/>
    <n v="1"/>
    <n v="-1"/>
    <n v="-1"/>
    <n v="-1"/>
    <n v="-1"/>
    <n v="-3.5"/>
    <n v="-4"/>
    <n v="-5"/>
    <n v="-4"/>
    <n v="-3"/>
    <s v="TDP Sympathiser"/>
  </r>
  <r>
    <s v="a511273b-95b6-41a0-9fbd-7fdafc9b7140"/>
    <x v="5"/>
    <s v="1/24/2026, 2:05:46 PM"/>
    <s v="16.466544, 81.890078"/>
    <s v="FV8Q+CJ8, Kadali, Andhra Pradesh, India"/>
    <x v="3"/>
    <s v="Naeem"/>
    <s v="http://164.52.221.216/localmedia/media/surveys/samples/recording_2026-01-24_14-02-19_samples_Z5Un0PgUnA.mp4"/>
    <x v="7"/>
    <x v="1"/>
    <x v="15"/>
    <x v="1"/>
    <s v="హిందూ"/>
    <x v="1"/>
    <s v="viravemkata ramana"/>
    <n v="7286967724"/>
    <x v="0"/>
    <x v="5"/>
    <x v="1"/>
    <x v="1"/>
    <x v="1"/>
    <x v="1"/>
    <s v="ఉద్యొగ్య అవకాశాలు కల్పించటం, విద్య రంగం అభివృద్ధి చేయటం, ఆరోగ్య రంగం అభివృద్ధి చేయటం"/>
    <x v="1"/>
    <x v="0"/>
    <x v="1"/>
    <x v="1"/>
    <x v="1"/>
    <x v="1"/>
    <s v="Deepika"/>
    <s v="Correctly Done"/>
    <n v="0"/>
    <x v="0"/>
    <n v="1.0786696182614144"/>
    <n v="1.0795332136445241"/>
    <n v="1.1644596794624567"/>
    <n v="0.85034013605442171"/>
    <n v="1.1213131007097483"/>
    <n v="1.0786696182614144"/>
    <n v="0.46808670685181952"/>
    <n v="-1"/>
    <n v="-1"/>
    <n v="-1"/>
    <n v="-1"/>
    <n v="-1"/>
    <n v="-1"/>
    <n v="-5.5"/>
    <n v="-6"/>
    <n v="-5"/>
    <n v="-4"/>
    <n v="-3"/>
    <s v="TDP HardCore"/>
  </r>
  <r>
    <s v="c690d006-06b2-49a3-b7ac-c53c46b2fe4d"/>
    <x v="5"/>
    <s v="1/24/2026, 2:05:46 PM"/>
    <s v="16.466544, 81.890078"/>
    <s v="FV8Q+CJ8, Kadali, Andhra Pradesh, India"/>
    <x v="3"/>
    <s v="Naeem"/>
    <s v="http://164.52.221.216/localmedia/media/surveys/samples/recording_2026-01-24_14-02-19_samples_AoO58Lbfjk.mp4"/>
    <x v="7"/>
    <x v="1"/>
    <x v="15"/>
    <x v="1"/>
    <s v="హిందూ"/>
    <x v="1"/>
    <s v="viravemkata ramana"/>
    <n v="7286967724"/>
    <x v="0"/>
    <x v="5"/>
    <x v="1"/>
    <x v="1"/>
    <x v="1"/>
    <x v="1"/>
    <s v="ఉద్యొగ్య అవకాశాలు కల్పించటం, విద్య రంగం అభివృద్ధి చేయటం, ఆరోగ్య రంగం అభివృద్ధి చేయటం"/>
    <x v="1"/>
    <x v="0"/>
    <x v="1"/>
    <x v="1"/>
    <x v="1"/>
    <x v="1"/>
    <n v="0"/>
    <s v="Correctly Done"/>
    <n v="0"/>
    <x v="0"/>
    <n v="1.0786696182614144"/>
    <n v="1.0795332136445241"/>
    <n v="1.1644596794624567"/>
    <n v="0.85034013605442171"/>
    <n v="1.1213131007097483"/>
    <n v="1.0786696182614144"/>
    <n v="0.46808670685181952"/>
    <n v="-1"/>
    <n v="-1"/>
    <n v="-1"/>
    <n v="-1"/>
    <n v="-1"/>
    <n v="-1"/>
    <n v="-5.5"/>
    <n v="-6"/>
    <n v="-5"/>
    <n v="-4"/>
    <n v="-3"/>
    <s v="TDP HardCore"/>
  </r>
  <r>
    <s v="c5dad55b-2454-4ec4-a2b2-a11b75744b84"/>
    <x v="5"/>
    <s v="1/24/2026, 2:05:59 PM"/>
    <s v="16.466544, 81.890078"/>
    <s v="FV8Q+CJ8, Kadali, Andhra Pradesh, India"/>
    <x v="3"/>
    <s v="Naeem"/>
    <s v="http://164.52.221.216/localmedia/media/surveys/samples/recording_2026-01-24_14-02-19_samples_lUC9dpLVQk.mp4"/>
    <x v="7"/>
    <x v="1"/>
    <x v="15"/>
    <x v="1"/>
    <s v="హిందూ"/>
    <x v="1"/>
    <s v="viravemkata ramana"/>
    <n v="7286967724"/>
    <x v="0"/>
    <x v="5"/>
    <x v="1"/>
    <x v="1"/>
    <x v="1"/>
    <x v="1"/>
    <s v="ఉద్యొగ్య అవకాశాలు కల్పించటం, విద్య రంగం అభివృద్ధి చేయటం, ఆరోగ్య రంగం అభివృద్ధి చేయటం"/>
    <x v="1"/>
    <x v="0"/>
    <x v="1"/>
    <x v="1"/>
    <x v="1"/>
    <x v="1"/>
    <n v="0"/>
    <s v="Correctly Done"/>
    <n v="0"/>
    <x v="0"/>
    <n v="1.0786696182614144"/>
    <n v="1.0795332136445241"/>
    <n v="1.1644596794624567"/>
    <n v="0.85034013605442171"/>
    <n v="1.1213131007097483"/>
    <n v="1.0786696182614144"/>
    <n v="0.46808670685181952"/>
    <n v="-1"/>
    <n v="-1"/>
    <n v="-1"/>
    <n v="-1"/>
    <n v="-1"/>
    <n v="-1"/>
    <n v="-5.5"/>
    <n v="-6"/>
    <n v="-5"/>
    <n v="-4"/>
    <n v="-3"/>
    <s v="TDP HardCore"/>
  </r>
  <r>
    <s v="c5fe41aa-2f45-4dfc-9cee-c14e530a3370"/>
    <x v="5"/>
    <s v="1/24/2026, 2:08:57 PM"/>
    <s v="16.422579, 81.861208"/>
    <s v="CVF6+2F8, Gudapalli, Andhra Pradesh, India"/>
    <x v="4"/>
    <s v="Naeem"/>
    <s v="http://164.52.221.216/localmedia/media/surveys/samples/recording_2026-01-24_14-05-25_samples_D8QA1QIEYz.mp4"/>
    <x v="1"/>
    <x v="0"/>
    <x v="14"/>
    <x v="3"/>
    <s v="హిందూ"/>
    <x v="2"/>
    <s v="kolla satyanarayana"/>
    <n v="8465838917"/>
    <x v="0"/>
    <x v="5"/>
    <x v="2"/>
    <x v="1"/>
    <x v="1"/>
    <x v="0"/>
    <s v="రోడ్లు వేయటం, వ్యవసాయం, రైతు బాగుండడం, సంక్షేమ పథకాలు (నగదు)"/>
    <x v="1"/>
    <x v="0"/>
    <x v="1"/>
    <x v="1"/>
    <x v="1"/>
    <x v="1"/>
    <s v="Deepika"/>
    <s v="Correctly Done"/>
    <n v="0"/>
    <x v="0"/>
    <n v="1.1705128247062893"/>
    <n v="1.0795332136445241"/>
    <n v="0.86308903171383233"/>
    <n v="0.85034013605442171"/>
    <n v="1.9264642089343564"/>
    <n v="0.79950206330384943"/>
    <n v="1.1572126985895925"/>
    <n v="-1"/>
    <n v="-1"/>
    <n v="1"/>
    <n v="-1"/>
    <n v="-1"/>
    <n v="-1"/>
    <n v="-3.5"/>
    <n v="-4"/>
    <n v="-3"/>
    <n v="-2"/>
    <n v="-3"/>
    <s v="Neutral TDP"/>
  </r>
  <r>
    <s v="6436659f-5288-4fa0-b6fc-a7a381127c5f"/>
    <x v="5"/>
    <s v="1/24/2026, 10:32:38 AM"/>
    <s v="16.412269, 81.806872"/>
    <s v="CR74+4MF, Malikipuram, Andhra Pradesh, India"/>
    <x v="1"/>
    <s v="Naeem"/>
    <s v="http://164.52.221.216/localmedia/media/surveys/samples/recording_2026-01-24_10-31-22_samples_ADowGvSq0o.mp4"/>
    <x v="2"/>
    <x v="0"/>
    <x v="16"/>
    <x v="2"/>
    <s v="హిందూ"/>
    <x v="3"/>
    <s v="vekatesh"/>
    <n v="9999999999"/>
    <x v="0"/>
    <x v="3"/>
    <x v="1"/>
    <x v="1"/>
    <x v="1"/>
    <x v="0"/>
    <s v="రోడ్లు వేయటం, ఉద్యొగ్య అవకాశాలు కల్పించటం, విద్య రంగం అభివృద్ధి చేయటం"/>
    <x v="1"/>
    <x v="0"/>
    <x v="1"/>
    <x v="1"/>
    <x v="1"/>
    <x v="1"/>
    <s v="Deepika"/>
    <s v="Not Doing It Properly"/>
    <s v="Q13,14,17 kept his own"/>
    <x v="0"/>
    <n v="1.1461625511156397"/>
    <n v="1.0795332136445241"/>
    <n v="0.77721139583220644"/>
    <n v="0.85034013605442171"/>
    <n v="1.9264642089343564"/>
    <n v="0.71995135120329123"/>
    <n v="0.70534647283248642"/>
    <n v="-1"/>
    <n v="-1"/>
    <n v="1"/>
    <n v="-1"/>
    <n v="-1"/>
    <n v="-1"/>
    <n v="-3.5"/>
    <n v="-4"/>
    <n v="-3"/>
    <n v="-2"/>
    <n v="-3"/>
    <s v="Neutral TDP"/>
  </r>
  <r>
    <s v="1a1b5044-69c3-43fd-9955-660f3ed484c0"/>
    <x v="5"/>
    <s v="1/24/2026, 10:42:36 AM"/>
    <s v="16.413932, 81.805527"/>
    <s v="CR74+J6M, Malikipuram, Andhra Pradesh, India"/>
    <x v="1"/>
    <s v="Naeem"/>
    <s v="http://164.52.221.216/localmedia/media/surveys/samples/recording_2026-01-24_10-41-10_samples_EK0YGHfZVs.mp4"/>
    <x v="6"/>
    <x v="0"/>
    <x v="16"/>
    <x v="0"/>
    <s v="హిందూ"/>
    <x v="0"/>
    <s v="vekatarao"/>
    <n v="9550414848"/>
    <x v="0"/>
    <x v="3"/>
    <x v="1"/>
    <x v="1"/>
    <x v="1"/>
    <x v="1"/>
    <s v="రోడ్లు వేయటం, విద్య రంగం అభివృద్ధి చేయటం, ఆరోగ్య రంగం అభివృద్ధి చేయటం, వ్యవసాయం, రైతు బాగుండడం"/>
    <x v="1"/>
    <x v="0"/>
    <x v="1"/>
    <x v="1"/>
    <x v="1"/>
    <x v="1"/>
    <s v="Deepika"/>
    <s v="Not Doing It Properly"/>
    <s v="Q5 kept his own not asking caste"/>
    <x v="0"/>
    <n v="1.2612194085121222"/>
    <n v="1.0795332136445241"/>
    <n v="0.92029223709519836"/>
    <n v="0.85034013605442171"/>
    <n v="1.9264642089343564"/>
    <n v="0.85249089649430487"/>
    <n v="1.7847621356853685"/>
    <n v="-1"/>
    <n v="-1"/>
    <n v="-1"/>
    <n v="-1"/>
    <n v="-1"/>
    <n v="-1"/>
    <n v="-5.5"/>
    <n v="-6"/>
    <n v="-5"/>
    <n v="-4"/>
    <n v="-3"/>
    <s v="TDP HardCore"/>
  </r>
  <r>
    <s v="1032cc96-0b0e-45b3-9fcc-ce37d5f51b87"/>
    <x v="5"/>
    <s v="1/24/2026, 11:15:44 AM"/>
    <s v="16.424760, 81.867186"/>
    <s v="CVF8+PR6, Gudapalli, Andhra Pradesh, India"/>
    <x v="4"/>
    <s v="Naeem"/>
    <s v="http://164.52.221.216/localmedia/media/surveys/samples/recording_2026-01-24_11-12-22_samples_FCfg9lXwgQ.mp4"/>
    <x v="5"/>
    <x v="0"/>
    <x v="14"/>
    <x v="0"/>
    <s v="హిందూ"/>
    <x v="0"/>
    <s v="nagaraju"/>
    <n v="9999999999"/>
    <x v="0"/>
    <x v="5"/>
    <x v="1"/>
    <x v="1"/>
    <x v="1"/>
    <x v="0"/>
    <s v="రోడ్లు వేయటం, ఉద్యొగ్య అవకాశాలు కల్పించటం, వ్యవసాయం, రైతు బాగుండడం"/>
    <x v="1"/>
    <x v="0"/>
    <x v="1"/>
    <x v="1"/>
    <x v="1"/>
    <x v="1"/>
    <s v="Bhagya"/>
    <s v="Correctly Done"/>
    <s v="Caste- Telaga"/>
    <x v="0"/>
    <n v="1.0478809952686368"/>
    <n v="1.0795332136445241"/>
    <n v="0.8266624780172348"/>
    <n v="0.85034013605442171"/>
    <n v="1.9264642089343564"/>
    <n v="0.7657591888501577"/>
    <n v="1.0292032177577444"/>
    <n v="-1"/>
    <n v="-1"/>
    <n v="1"/>
    <n v="-1"/>
    <n v="-1"/>
    <n v="-1"/>
    <n v="-3.5"/>
    <n v="-4"/>
    <n v="-3"/>
    <n v="-2"/>
    <n v="-3"/>
    <s v="Neutral TDP"/>
  </r>
  <r>
    <s v="b0825117-ebdb-4a39-a980-b1b29a1f2905"/>
    <x v="5"/>
    <s v="1/24/2026, 6:42:44 PM"/>
    <s v="16.446639, 81.905069"/>
    <s v="MADUGU CENTER, Ponnamanda, Andhra Pradesh, India"/>
    <x v="0"/>
    <s v="Naeem"/>
    <s v="http://164.52.221.216/localmedia/media/surveys/samples/recording_2026-01-24_18-38-18_samples_dEO0I9Way0.mp4"/>
    <x v="1"/>
    <x v="0"/>
    <x v="11"/>
    <x v="1"/>
    <s v="హిందూ"/>
    <x v="1"/>
    <s v="kuthanamutti.s"/>
    <n v="0"/>
    <x v="0"/>
    <x v="2"/>
    <x v="0"/>
    <x v="1"/>
    <x v="1"/>
    <x v="0"/>
    <s v="ఉద్యొగ్య అవకాశాలు కల్పించటం, ఆరోగ్య రంగం అభివృద్ధి చేయటం, వ్యవసాయం, రైతు బాగుండడం"/>
    <x v="0"/>
    <x v="0"/>
    <x v="1"/>
    <x v="0"/>
    <x v="2"/>
    <x v="0"/>
    <s v="Ashish"/>
    <s v="Not Doing It Properly"/>
    <s v="All options entered on his own"/>
    <x v="0"/>
    <n v="1.1705128247062893"/>
    <n v="1.8055837563451775"/>
    <n v="1.4435679386658844"/>
    <n v="0.85034013605442171"/>
    <n v="1.9264642089343564"/>
    <n v="0.79950206330384943"/>
    <n v="1.1572126985895925"/>
    <n v="-1"/>
    <n v="-1"/>
    <n v="1"/>
    <n v="1"/>
    <n v="1"/>
    <n v="-1"/>
    <n v="-0.5"/>
    <n v="0"/>
    <n v="1"/>
    <n v="2"/>
    <n v="-2"/>
    <s v="Neutral TDP"/>
  </r>
  <r>
    <s v="40059950-2586-41a2-b9e5-3eb18205433f"/>
    <x v="5"/>
    <s v="1/24/2026, 10:17:56 AM"/>
    <s v="16.424730, 81.866609"/>
    <s v="CVF8+PR6, Gudapalli, Andhra Pradesh, India"/>
    <x v="4"/>
    <s v="Naeem"/>
    <s v="http://164.52.221.216/localmedia/media/surveys/samples/recording_2026-01-24_10-15-00_samples_IND6rVIG7X.mp4"/>
    <x v="1"/>
    <x v="0"/>
    <x v="14"/>
    <x v="0"/>
    <s v="హిందూ"/>
    <x v="0"/>
    <s v="cinthapalli prasad"/>
    <n v="9014787979"/>
    <x v="0"/>
    <x v="4"/>
    <x v="2"/>
    <x v="1"/>
    <x v="1"/>
    <x v="1"/>
    <s v="రోడ్లు వేయటం, ఉద్యొగ్య అవకాశాలు కల్పించటం, విద్య రంగం అభివృద్ధి చేయటం"/>
    <x v="1"/>
    <x v="0"/>
    <x v="1"/>
    <x v="1"/>
    <x v="1"/>
    <x v="1"/>
    <s v="Deepika"/>
    <s v="Not Doing It Properly"/>
    <s v="Q5 kept his own"/>
    <x v="0"/>
    <n v="1.1705128247062893"/>
    <n v="1.0795332136445241"/>
    <n v="0.86308903171383233"/>
    <n v="0.85034013605442171"/>
    <n v="1.9264642089343564"/>
    <n v="0.79950206330384943"/>
    <n v="1.1572126985895925"/>
    <n v="-1"/>
    <n v="-1"/>
    <n v="-1"/>
    <n v="-1"/>
    <n v="-1"/>
    <n v="-1"/>
    <n v="-5.5"/>
    <n v="-6"/>
    <n v="-5"/>
    <n v="-4"/>
    <n v="-3"/>
    <s v="TDP HardCore"/>
  </r>
  <r>
    <s v="30324ba7-5818-44cd-89bf-8a45c3c0aec1"/>
    <x v="5"/>
    <s v="1/24/2026, 2:08:57 PM"/>
    <s v="16.422579, 81.861208"/>
    <s v="CVF6+2F8, Gudapalli, Andhra Pradesh, India"/>
    <x v="4"/>
    <s v="Naeem"/>
    <s v="http://164.52.221.216/localmedia/media/surveys/samples/recording_2026-01-24_14-05-25_samples_09psBprQrW.mp4"/>
    <x v="1"/>
    <x v="0"/>
    <x v="14"/>
    <x v="3"/>
    <s v="హిందూ"/>
    <x v="2"/>
    <s v="kolla satyanarayana"/>
    <n v="8465838917"/>
    <x v="0"/>
    <x v="5"/>
    <x v="2"/>
    <x v="1"/>
    <x v="1"/>
    <x v="0"/>
    <s v="రోడ్లు వేయటం, వ్యవసాయం, రైతు బాగుండడం, సంక్షేమ పథకాలు (నగదు)"/>
    <x v="1"/>
    <x v="0"/>
    <x v="1"/>
    <x v="1"/>
    <x v="1"/>
    <x v="1"/>
    <n v="0"/>
    <s v="Correctly Done"/>
    <n v="0"/>
    <x v="0"/>
    <n v="1.1705128247062893"/>
    <n v="1.0795332136445241"/>
    <n v="0.86308903171383233"/>
    <n v="0.85034013605442171"/>
    <n v="1.9264642089343564"/>
    <n v="0.79950206330384943"/>
    <n v="1.1572126985895925"/>
    <n v="-1"/>
    <n v="-1"/>
    <n v="1"/>
    <n v="-1"/>
    <n v="-1"/>
    <n v="-1"/>
    <n v="-3.5"/>
    <n v="-4"/>
    <n v="-3"/>
    <n v="-2"/>
    <n v="-3"/>
    <s v="Neutral TDP"/>
  </r>
  <r>
    <s v="da82b416-e9a0-475d-9824-706b5b76d3e2"/>
    <x v="5"/>
    <s v="1/24/2026, 2:08:57 PM"/>
    <s v="16.422579, 81.861208"/>
    <s v="CVF6+2F8, Gudapalli, Andhra Pradesh, India"/>
    <x v="4"/>
    <s v="Naeem"/>
    <s v="http://164.52.221.216/localmedia/media/surveys/samples/recording_2026-01-24_14-05-25_samples_LxOqqe2yvn.mp4"/>
    <x v="1"/>
    <x v="0"/>
    <x v="14"/>
    <x v="3"/>
    <s v="హిందూ"/>
    <x v="2"/>
    <s v="kolla satyanarayana"/>
    <n v="8465838917"/>
    <x v="0"/>
    <x v="5"/>
    <x v="2"/>
    <x v="1"/>
    <x v="1"/>
    <x v="0"/>
    <s v="రోడ్లు వేయటం, వ్యవసాయం, రైతు బాగుండడం, సంక్షేమ పథకాలు (నగదు)"/>
    <x v="1"/>
    <x v="0"/>
    <x v="1"/>
    <x v="1"/>
    <x v="1"/>
    <x v="1"/>
    <n v="0"/>
    <s v="Correctly Done"/>
    <n v="0"/>
    <x v="0"/>
    <n v="1.1705128247062893"/>
    <n v="1.0795332136445241"/>
    <n v="0.86308903171383233"/>
    <n v="0.85034013605442171"/>
    <n v="1.9264642089343564"/>
    <n v="0.79950206330384943"/>
    <n v="1.1572126985895925"/>
    <n v="-1"/>
    <n v="-1"/>
    <n v="1"/>
    <n v="-1"/>
    <n v="-1"/>
    <n v="-1"/>
    <n v="-3.5"/>
    <n v="-4"/>
    <n v="-3"/>
    <n v="-2"/>
    <n v="-3"/>
    <s v="Neutral TDP"/>
  </r>
  <r>
    <s v="32848ff3-5f61-4fcb-893d-49c35223498d"/>
    <x v="5"/>
    <s v="1/24/2026, 2:09:07 PM"/>
    <s v="16.424047, 81.840147"/>
    <s v="Lakkavaram Rd, Lakkavaram, Andhra Pradesh, India"/>
    <x v="5"/>
    <s v="Naeem"/>
    <s v="http://164.52.221.216/localmedia/media/surveys/samples/recording_2026-01-24_14-04-07_samples_tUPzG1zQ8p.mp4"/>
    <x v="2"/>
    <x v="0"/>
    <x v="0"/>
    <x v="0"/>
    <s v="హిందూ"/>
    <x v="1"/>
    <s v="t sathish"/>
    <n v="9989717247"/>
    <x v="0"/>
    <x v="2"/>
    <x v="0"/>
    <x v="0"/>
    <x v="0"/>
    <x v="0"/>
    <s v="రోడ్లు వేయటం, విద్య రంగం అభివృద్ధి చేయటం, ఆరోగ్య రంగం అభివృద్ధి చేయటం"/>
    <x v="0"/>
    <x v="1"/>
    <x v="0"/>
    <x v="1"/>
    <x v="1"/>
    <x v="1"/>
    <s v="Deepika"/>
    <s v="Correctly Done"/>
    <n v="0"/>
    <x v="0"/>
    <n v="1.1461625511156397"/>
    <n v="1.0795332136445241"/>
    <n v="0.77721139583220644"/>
    <n v="0.85034013605442171"/>
    <n v="1.9264642089343564"/>
    <n v="0.71995135120329123"/>
    <n v="0.70534647283248642"/>
    <n v="1"/>
    <n v="1"/>
    <n v="1"/>
    <n v="1"/>
    <n v="-1"/>
    <n v="1"/>
    <n v="4.5"/>
    <n v="4"/>
    <n v="3"/>
    <n v="2"/>
    <n v="2"/>
    <s v="Neutral YSRCP"/>
  </r>
  <r>
    <s v="f00c809a-414a-4aff-abdf-4e254fbe139c"/>
    <x v="5"/>
    <s v="1/24/2026, 2:10:19 PM"/>
    <s v="16.467071, 81.889978"/>
    <s v="FV8Q+CJ8, Kadali, Andhra Pradesh, India"/>
    <x v="3"/>
    <s v="Naeem"/>
    <s v="http://164.52.221.216/localmedia/media/surveys/samples/recording_2026-01-24_14-07-26_samples_6hiRdbtNnZ.mp4"/>
    <x v="7"/>
    <x v="1"/>
    <x v="15"/>
    <x v="0"/>
    <s v="హిందూ"/>
    <x v="0"/>
    <s v="satya vathi "/>
    <n v="9999999999"/>
    <x v="1"/>
    <x v="5"/>
    <x v="1"/>
    <x v="1"/>
    <x v="0"/>
    <x v="0"/>
    <s v="రోడ్లు వేయటం, ఉద్యొగ్య అవకాశాలు కల్పించటం, విద్య రంగం అభివృద్ధి చేయటం"/>
    <x v="0"/>
    <x v="2"/>
    <x v="2"/>
    <x v="2"/>
    <x v="1"/>
    <x v="1"/>
    <s v="Deepika"/>
    <s v="Correctly Done"/>
    <n v="0"/>
    <x v="0"/>
    <n v="1.0786696182614144"/>
    <n v="0.66153846153846207"/>
    <n v="0.7135814397729362"/>
    <n v="2.1645021645021645"/>
    <n v="1.1213131007097483"/>
    <n v="1.0786696182614144"/>
    <n v="0.62411560913575936"/>
    <n v="-1"/>
    <n v="1"/>
    <n v="1"/>
    <n v="1"/>
    <n v="-1"/>
    <n v="-1"/>
    <n v="0.5"/>
    <n v="0"/>
    <n v="-1"/>
    <n v="0"/>
    <n v="-3"/>
    <s v="Neutral TDP"/>
  </r>
  <r>
    <s v="15b53744-7ce2-4195-9d4f-64c6d699b469"/>
    <x v="5"/>
    <s v="1/24/2026, 2:10:19 PM"/>
    <s v="16.467071, 81.889978"/>
    <s v="FV8Q+CJ8, Kadali, Andhra Pradesh, India"/>
    <x v="3"/>
    <s v="Naeem"/>
    <s v="http://164.52.221.216/localmedia/media/surveys/samples/recording_2026-01-24_14-07-26_samples_62EmeBlexo.mp4"/>
    <x v="7"/>
    <x v="1"/>
    <x v="15"/>
    <x v="0"/>
    <s v="హిందూ"/>
    <x v="0"/>
    <s v="satya vathi "/>
    <n v="9999999999"/>
    <x v="1"/>
    <x v="5"/>
    <x v="1"/>
    <x v="1"/>
    <x v="0"/>
    <x v="0"/>
    <s v="రోడ్లు వేయటం, ఉద్యొగ్య అవకాశాలు కల్పించటం, విద్య రంగం అభివృద్ధి చేయటం"/>
    <x v="0"/>
    <x v="2"/>
    <x v="2"/>
    <x v="2"/>
    <x v="1"/>
    <x v="1"/>
    <n v="0"/>
    <s v="Correctly Done"/>
    <n v="0"/>
    <x v="0"/>
    <n v="1.0786696182614144"/>
    <n v="0.66153846153846207"/>
    <n v="0.7135814397729362"/>
    <n v="2.1645021645021645"/>
    <n v="1.1213131007097483"/>
    <n v="1.0786696182614144"/>
    <n v="0.62411560913575936"/>
    <n v="-1"/>
    <n v="1"/>
    <n v="1"/>
    <n v="1"/>
    <n v="-1"/>
    <n v="-1"/>
    <n v="0.5"/>
    <n v="0"/>
    <n v="-1"/>
    <n v="0"/>
    <n v="-3"/>
    <s v="Neutral TDP"/>
  </r>
  <r>
    <s v="b9ceb552-73f2-46e5-a59c-75f66841a93c"/>
    <x v="5"/>
    <s v="1/24/2026, 2:15:18 PM"/>
    <s v="16.423539, 81.840102"/>
    <s v="CRFR+22R, Lakkavaram, Andhra Pradesh, India"/>
    <x v="5"/>
    <s v="Naeem"/>
    <s v="http://164.52.221.216/localmedia/media/surveys/samples/recording_2026-01-24_14-11-17_samples_bZ9FRiV1QR.mp4"/>
    <x v="2"/>
    <x v="0"/>
    <x v="0"/>
    <x v="0"/>
    <s v="హిందూ"/>
    <x v="1"/>
    <s v="eeswari durga"/>
    <n v="6301877247"/>
    <x v="1"/>
    <x v="5"/>
    <x v="1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"/>
    <x v="1"/>
    <x v="0"/>
    <x v="1"/>
    <x v="1"/>
    <x v="1"/>
    <x v="1"/>
    <s v="Deepika"/>
    <s v="Correctly Done"/>
    <n v="0"/>
    <x v="0"/>
    <n v="1.1461625511156397"/>
    <n v="1.0795332136445241"/>
    <n v="3.0326483876590018"/>
    <n v="2.1645021645021645"/>
    <n v="1.9264642089343564"/>
    <n v="2.8092219390089208"/>
    <n v="6.3481182554923778"/>
    <n v="-1"/>
    <n v="-1"/>
    <n v="-1"/>
    <n v="-1"/>
    <n v="-1"/>
    <n v="-1"/>
    <n v="-5.5"/>
    <n v="-6"/>
    <n v="-5"/>
    <n v="-4"/>
    <n v="-3"/>
    <s v="TDP HardCore"/>
  </r>
  <r>
    <s v="bd226a86-8d0e-41d2-ba32-ab44656a7bba"/>
    <x v="5"/>
    <s v="1/24/2026, 2:15:43 PM"/>
    <s v="16.462241, 81.885391"/>
    <s v="Kadali Village Razole Mandal, Kadali, Andhra Pradesh, India"/>
    <x v="0"/>
    <s v="Naeem"/>
    <s v="http://164.52.221.216/localmedia/media/surveys/samples/recording_2026-01-24_14-09-02_samples_ZyAPYFhcv2.mp4"/>
    <x v="1"/>
    <x v="1"/>
    <x v="15"/>
    <x v="6"/>
    <s v="హిందూ"/>
    <x v="1"/>
    <s v="dhanalakshmi.k"/>
    <n v="0"/>
    <x v="1"/>
    <x v="2"/>
    <x v="2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"/>
    <x v="1"/>
    <x v="0"/>
    <x v="1"/>
    <x v="1"/>
    <x v="1"/>
    <x v="1"/>
    <s v="Deepika"/>
    <s v="Correctly Done"/>
    <n v="0"/>
    <x v="0"/>
    <n v="1.1705128247062893"/>
    <n v="1.0795332136445241"/>
    <n v="2.3577066232182737"/>
    <n v="2.1645021645021645"/>
    <n v="1.1213131007097483"/>
    <n v="2.1840056363422229"/>
    <n v="0.95944580773600496"/>
    <n v="-1"/>
    <n v="-1"/>
    <n v="-1"/>
    <n v="-1"/>
    <n v="-1"/>
    <n v="-1"/>
    <n v="-5.5"/>
    <n v="-6"/>
    <n v="-5"/>
    <n v="-4"/>
    <n v="-3"/>
    <s v="TDP HardCore"/>
  </r>
  <r>
    <s v="35eee2c1-c97c-460f-aab5-2826efa29d83"/>
    <x v="5"/>
    <s v="1/24/2026, 2:20:18 PM"/>
    <s v="16.423171, 81.864013"/>
    <s v="CVF7+59W, Gudapalli, Andhra Pradesh, India"/>
    <x v="4"/>
    <s v="Naeem"/>
    <s v="http://164.52.221.216/localmedia/media/surveys/samples/recording_2026-01-24_14-17-56_samples_av4r6hhMma.mp4"/>
    <x v="2"/>
    <x v="0"/>
    <x v="14"/>
    <x v="0"/>
    <s v="హిందూ"/>
    <x v="1"/>
    <s v="bandaru satyanarayana"/>
    <n v="9618796587"/>
    <x v="0"/>
    <x v="5"/>
    <x v="1"/>
    <x v="1"/>
    <x v="1"/>
    <x v="1"/>
    <s v="రోడ్లు వేయటం, శాంతి భద్రతలను కాపాడటం, విద్య రంగం అభివృద్ధి చేయటం"/>
    <x v="1"/>
    <x v="0"/>
    <x v="1"/>
    <x v="1"/>
    <x v="1"/>
    <x v="1"/>
    <s v="Bhagya"/>
    <s v="Correctly Done"/>
    <n v="0"/>
    <x v="0"/>
    <n v="1.1461625511156397"/>
    <n v="1.0795332136445241"/>
    <n v="0.77721139583220644"/>
    <n v="0.85034013605442171"/>
    <n v="1.9264642089343564"/>
    <n v="0.71995135120329123"/>
    <n v="0.70534647283248642"/>
    <n v="-1"/>
    <n v="-1"/>
    <n v="-1"/>
    <n v="-1"/>
    <n v="-1"/>
    <n v="-1"/>
    <n v="-5.5"/>
    <n v="-6"/>
    <n v="-5"/>
    <n v="-4"/>
    <n v="-3"/>
    <s v="TDP HardCore"/>
  </r>
  <r>
    <s v="55efd9f5-383d-4a63-93f5-62f89fb81e0e"/>
    <x v="5"/>
    <s v="1/24/2026, 2:23:45 PM"/>
    <s v="16.465995, 81.889985"/>
    <s v="FV8Q+7PW, Kadali, Andhra Pradesh, India"/>
    <x v="3"/>
    <s v="Naeem"/>
    <s v="http://164.52.221.216/localmedia/media/surveys/samples/recording_2026-01-24_14-20-53_samples_Ah7fe9HsZW.mp4"/>
    <x v="7"/>
    <x v="1"/>
    <x v="15"/>
    <x v="6"/>
    <s v="హిందూ"/>
    <x v="1"/>
    <s v="nirmala"/>
    <n v="8978332034"/>
    <x v="1"/>
    <x v="5"/>
    <x v="1"/>
    <x v="1"/>
    <x v="0"/>
    <x v="0"/>
    <s v="రోడ్లు వేయటం, విద్య రంగం అభివృద్ధి చేయటం, ఆరోగ్య రంగం అభివృద్ధి చేయటం"/>
    <x v="0"/>
    <x v="0"/>
    <x v="0"/>
    <x v="1"/>
    <x v="1"/>
    <x v="1"/>
    <s v="Bhagya"/>
    <s v="Correctly Done"/>
    <n v="0"/>
    <x v="0"/>
    <n v="1.0786696182614144"/>
    <n v="1.0795332136445241"/>
    <n v="1.1644596794624567"/>
    <n v="2.1645021645021645"/>
    <n v="1.1213131007097483"/>
    <n v="1.0786696182614144"/>
    <n v="0.62411560913575936"/>
    <n v="-1"/>
    <n v="1"/>
    <n v="1"/>
    <n v="1"/>
    <n v="-1"/>
    <n v="1"/>
    <n v="2.5"/>
    <n v="2"/>
    <n v="1"/>
    <n v="2"/>
    <s v="ND"/>
    <s v="ND"/>
  </r>
  <r>
    <s v="f615e891-2715-43ae-8269-5f4f1a2126fa"/>
    <x v="5"/>
    <s v="1/24/2026, 2:24:21 PM"/>
    <s v="16.462280, 81.884881"/>
    <s v="FV6M+RJQ, Palagummi, Andhra Pradesh, India"/>
    <x v="0"/>
    <s v="Naeem"/>
    <s v="http://164.52.221.216/localmedia/media/surveys/samples/recording_2026-01-24_14-17-51_samples_93E5X2BlQX.mp4"/>
    <x v="1"/>
    <x v="1"/>
    <x v="15"/>
    <x v="0"/>
    <s v="హిందూ"/>
    <x v="1"/>
    <s v="yasuu.c.h"/>
    <n v="8712358139"/>
    <x v="0"/>
    <x v="2"/>
    <x v="1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1"/>
    <x v="0"/>
    <x v="0"/>
    <x v="2"/>
    <x v="4"/>
    <s v="Bhagya"/>
    <s v="Correctly Done"/>
    <n v="0"/>
    <x v="0"/>
    <n v="1.1705128247062893"/>
    <n v="1.8055837563451775"/>
    <n v="1.4435679386658844"/>
    <n v="0.85034013605442171"/>
    <n v="1.1213131007097483"/>
    <n v="0.79950206330384943"/>
    <n v="0.7401439088249181"/>
    <n v="-1"/>
    <n v="-1"/>
    <n v="-1"/>
    <n v="-1"/>
    <n v="1"/>
    <n v="1"/>
    <n v="-2.5"/>
    <n v="-2"/>
    <n v="-1"/>
    <n v="0"/>
    <n v="2"/>
    <s v="Neutral YSRCP"/>
  </r>
  <r>
    <s v="01dbe0b2-8244-401a-8481-fd9c93d166c4"/>
    <x v="5"/>
    <s v="1/24/2026, 11:54:09 AM"/>
    <s v="16.410270, 81.805407"/>
    <s v="CR64+256, Malikipuram, Andhra Pradesh, India"/>
    <x v="1"/>
    <s v="Naeem"/>
    <s v="http://164.52.221.216/localmedia/media/surveys/samples/recording_2026-01-24_11-52-36_samples_HOG70jjng2.mp4"/>
    <x v="2"/>
    <x v="0"/>
    <x v="16"/>
    <x v="1"/>
    <s v="హిందూ"/>
    <x v="1"/>
    <s v="asubabu"/>
    <n v="9999999999"/>
    <x v="0"/>
    <x v="5"/>
    <x v="1"/>
    <x v="1"/>
    <x v="1"/>
    <x v="1"/>
    <s v="రోడ్లు వేయటం, ఆరోగ్య రంగం అభివృద్ధి చేయటం, వ్యవసాయం, రైతు బాగుండడం"/>
    <x v="1"/>
    <x v="0"/>
    <x v="1"/>
    <x v="1"/>
    <x v="1"/>
    <x v="1"/>
    <s v="Bhagya"/>
    <s v="Not Doing It Properly"/>
    <s v="Didn't asked caste"/>
    <x v="0"/>
    <n v="1.1461625511156397"/>
    <n v="1.0795332136445241"/>
    <n v="0.77721139583220644"/>
    <n v="0.85034013605442171"/>
    <n v="1.9264642089343564"/>
    <n v="0.71995135120329123"/>
    <n v="0.70534647283248642"/>
    <n v="-1"/>
    <n v="-1"/>
    <n v="-1"/>
    <n v="-1"/>
    <n v="-1"/>
    <n v="-1"/>
    <n v="-5.5"/>
    <n v="-6"/>
    <n v="-5"/>
    <n v="-4"/>
    <n v="-3"/>
    <s v="TDP HardCore"/>
  </r>
  <r>
    <s v="5443a04f-37f3-49c0-a67b-48d1449d30b6"/>
    <x v="5"/>
    <s v="1/24/2026, 5:29:33 PM"/>
    <s v="16.456323, 81.905170"/>
    <s v="FW53+2W7, Razole, Andhra Pradesh, India"/>
    <x v="0"/>
    <s v="Naeem"/>
    <s v="http://164.52.221.216/localmedia/media/surveys/samples/recording_2026-01-24_17-23-31_samples_7qSzH5UWGE.mp4"/>
    <x v="8"/>
    <x v="1"/>
    <x v="15"/>
    <x v="6"/>
    <s v="క్రిస్టియన్"/>
    <x v="1"/>
    <s v="marinara.madiki"/>
    <n v="7093956619"/>
    <x v="1"/>
    <x v="0"/>
    <x v="1"/>
    <x v="1"/>
    <x v="0"/>
    <x v="1"/>
    <s v="రోడ్లు వేయటం, ఉద్యొగ్య అవకాశాలు కల్పించటం, శాంతి భద్రతలను కాపాడటం, ఆరోగ్య రంగం అభివృద్ధి చేయటం, వ్యవసాయం, రైతు బాగుండడం, సంక్షేమ పథకాలు (నగదు)"/>
    <x v="1"/>
    <x v="0"/>
    <x v="1"/>
    <x v="1"/>
    <x v="1"/>
    <x v="1"/>
    <s v="Ashish"/>
    <s v="Not Doing It Properly"/>
    <s v="Need to select only three options in Q6 and please ask question like mentioned in the app"/>
    <x v="0"/>
    <n v="0.80207032429970992"/>
    <n v="1.0795332136445241"/>
    <n v="1.2733258158237817"/>
    <n v="2.1645021645021645"/>
    <n v="1.1213131007097483"/>
    <n v="1.1795151827936912"/>
    <n v="1.1601898314028378"/>
    <n v="-1"/>
    <n v="1"/>
    <n v="-1"/>
    <n v="-1"/>
    <n v="-1"/>
    <n v="-1"/>
    <n v="-3.5"/>
    <n v="-4"/>
    <n v="-5"/>
    <n v="-4"/>
    <n v="-3"/>
    <s v="TDP Sympathiser"/>
  </r>
  <r>
    <s v="04703ed0-70f1-447e-b0d7-7a5e7ae2cdd8"/>
    <x v="5"/>
    <s v="1/24/2026, 2:27:23 PM"/>
    <s v="16.422532, 81.839866"/>
    <s v="CRFR+22R, Lakkavaram, Andhra Pradesh, India"/>
    <x v="5"/>
    <s v="Naeem"/>
    <s v="http://164.52.221.216/localmedia/media/surveys/samples/recording_2026-01-24_14-20-14_samples_sHG8kbToeM.mp4"/>
    <x v="1"/>
    <x v="0"/>
    <x v="0"/>
    <x v="3"/>
    <s v="హిందూ"/>
    <x v="0"/>
    <s v="venkataqchalam"/>
    <n v="9000000000"/>
    <x v="0"/>
    <x v="2"/>
    <x v="0"/>
    <x v="1"/>
    <x v="1"/>
    <x v="1"/>
    <s v="శాంతి భద్రతలను కాపాడటం, విద్య రంగం అభివృద్ధి చేయటం, ఆరోగ్య రంగం అభివృద్ధి చేయటం"/>
    <x v="1"/>
    <x v="0"/>
    <x v="1"/>
    <x v="1"/>
    <x v="1"/>
    <x v="1"/>
    <s v="Bhagya"/>
    <s v="Correctly Done"/>
    <n v="0"/>
    <x v="0"/>
    <n v="1.1705128247062893"/>
    <n v="1.0795332136445241"/>
    <n v="0.86308903171383233"/>
    <n v="0.85034013605442171"/>
    <n v="1.9264642089343564"/>
    <n v="0.79950206330384943"/>
    <n v="1.1572126985895925"/>
    <n v="-1"/>
    <n v="-1"/>
    <n v="-1"/>
    <n v="-1"/>
    <n v="-1"/>
    <n v="-1"/>
    <n v="-5.5"/>
    <n v="-6"/>
    <n v="-5"/>
    <n v="-4"/>
    <n v="-3"/>
    <s v="TDP HardCore"/>
  </r>
  <r>
    <s v="c4e5cc60-af18-4df0-9411-82372a28ec38"/>
    <x v="5"/>
    <s v="1/24/2026, 3:02:01 PM"/>
    <s v="16.437003, 81.913879"/>
    <s v="CWP7+QGQ, Katrenipadu, Andhra Pradesh, India"/>
    <x v="3"/>
    <s v="Naeem"/>
    <s v="http://164.52.221.216/localmedia/media/surveys/samples/recording_2026-01-24_14-59-30_samples_gyD7ejaoqO.mp4"/>
    <x v="2"/>
    <x v="1"/>
    <x v="18"/>
    <x v="0"/>
    <s v="హిందూ"/>
    <x v="2"/>
    <s v="narasimha rao"/>
    <n v="9573456348"/>
    <x v="0"/>
    <x v="4"/>
    <x v="1"/>
    <x v="1"/>
    <x v="1"/>
    <x v="1"/>
    <s v="రోడ్లు వేయటం, ఉద్యొగ్య అవకాశాలు కల్పించటం, ఆరోగ్య రంగం అభివృద్ధి చేయటం, వ్యవసాయం, రైతు బాగుండడం"/>
    <x v="1"/>
    <x v="0"/>
    <x v="1"/>
    <x v="1"/>
    <x v="1"/>
    <x v="1"/>
    <s v="Bhagya"/>
    <s v="Not Doing It Properly"/>
    <s v="Q6 Kept on his own"/>
    <x v="0"/>
    <n v="1.1461625511156397"/>
    <n v="1.0795332136445241"/>
    <n v="0.77721139583220644"/>
    <n v="0.85034013605442171"/>
    <n v="1.1213131007097483"/>
    <n v="0.71995135120329123"/>
    <n v="1.3370299504035861"/>
    <n v="-1"/>
    <n v="-1"/>
    <n v="-1"/>
    <n v="-1"/>
    <n v="-1"/>
    <n v="-1"/>
    <n v="-5.5"/>
    <n v="-6"/>
    <n v="-5"/>
    <n v="-4"/>
    <n v="-3"/>
    <s v="TDP HardCore"/>
  </r>
  <r>
    <s v="6297619f-df41-4a3e-9eb8-fce02abcdf90"/>
    <x v="5"/>
    <s v="1/24/2026, 2:33:44 PM"/>
    <s v="16.461321, 81.891159"/>
    <s v="FV6R+W9G, Kadali, Andhra Pradesh, India"/>
    <x v="3"/>
    <s v="Naeem"/>
    <s v="http://164.52.221.216/localmedia/media/surveys/samples/recording_2026-01-24_14-30-42_samples_xL0CBnbLny.mp4"/>
    <x v="0"/>
    <x v="1"/>
    <x v="15"/>
    <x v="0"/>
    <s v="హిందూ"/>
    <x v="2"/>
    <s v="vaddi nageswararao"/>
    <n v="9000372443"/>
    <x v="0"/>
    <x v="5"/>
    <x v="2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0"/>
    <x v="1"/>
    <x v="1"/>
    <x v="1"/>
    <x v="1"/>
    <s v="Bhagya"/>
    <s v="Correctly Done"/>
    <n v="0"/>
    <x v="0"/>
    <n v="1.3836274505214585"/>
    <n v="1.0795332136445241"/>
    <n v="1.1648410586678206"/>
    <n v="0.85034013605442171"/>
    <n v="1.1213131007097483"/>
    <n v="1.0790228998469584"/>
    <n v="0.90933567693352424"/>
    <n v="-1"/>
    <n v="-1"/>
    <n v="-1"/>
    <n v="-1"/>
    <n v="-1"/>
    <n v="-1"/>
    <n v="-5.5"/>
    <n v="-6"/>
    <n v="-5"/>
    <n v="-4"/>
    <n v="-3"/>
    <s v="TDP HardCore"/>
  </r>
  <r>
    <s v="c3b654b7-bf69-4515-8be5-d385c97407da"/>
    <x v="5"/>
    <s v="1/24/2026, 11:32:46 AM"/>
    <s v="16.423454, 81.866838"/>
    <s v="CVF8+PR6, Gudapalli, Andhra Pradesh, India"/>
    <x v="4"/>
    <s v="Naeem"/>
    <s v="http://164.52.221.216/localmedia/media/surveys/samples/recording_2026-01-24_11-30-33_samples_upFBjrYqMc.mp4"/>
    <x v="2"/>
    <x v="0"/>
    <x v="14"/>
    <x v="6"/>
    <s v="హిందూ"/>
    <x v="1"/>
    <s v="Gajula padmavati"/>
    <n v="9949136425"/>
    <x v="1"/>
    <x v="5"/>
    <x v="1"/>
    <x v="1"/>
    <x v="1"/>
    <x v="1"/>
    <s v="రోడ్లు వేయటం, విద్య రంగం అభివృద్ధి చేయటం, వ్యవసాయం, రైతు బాగుండడం"/>
    <x v="1"/>
    <x v="0"/>
    <x v="1"/>
    <x v="1"/>
    <x v="1"/>
    <x v="1"/>
    <s v="Ashish"/>
    <s v="Correctly Done"/>
    <n v="0"/>
    <x v="0"/>
    <n v="1.1461625511156397"/>
    <n v="1.0795332136445241"/>
    <n v="3.0326483876590018"/>
    <n v="2.1645021645021645"/>
    <n v="1.9264642089343564"/>
    <n v="2.8092219390089208"/>
    <n v="6.3481182554923778"/>
    <n v="-1"/>
    <n v="-1"/>
    <n v="-1"/>
    <n v="-1"/>
    <n v="-1"/>
    <n v="-1"/>
    <n v="-5.5"/>
    <n v="-6"/>
    <n v="-5"/>
    <n v="-4"/>
    <n v="-3"/>
    <s v="TDP HardCore"/>
  </r>
  <r>
    <s v="ae7e5ec1-59cf-49c8-b1fa-6a850ee1c203"/>
    <x v="5"/>
    <s v="1/24/2026, 2:33:49 PM"/>
    <s v="16.461715, 81.886407"/>
    <s v="Kadali Village Razole Mandal, Kadali, Andhra Pradesh, India"/>
    <x v="0"/>
    <s v="Naeem"/>
    <s v="http://164.52.221.216/localmedia/media/surveys/samples/recording_2026-01-24_14-27-44_samples_O8UtCj6PJB.mp4"/>
    <x v="0"/>
    <x v="1"/>
    <x v="15"/>
    <x v="0"/>
    <s v="హిందూ"/>
    <x v="3"/>
    <s v="Hemant.k"/>
    <n v="7093199872"/>
    <x v="0"/>
    <x v="2"/>
    <x v="1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2"/>
    <x v="1"/>
    <x v="3"/>
    <x v="1"/>
    <x v="1"/>
    <s v="Bhagya"/>
    <s v="Correctly Done"/>
    <n v="0"/>
    <x v="0"/>
    <n v="1.3836274505214585"/>
    <n v="0.66153846153846207"/>
    <n v="0.71381514912952693"/>
    <n v="0.85034013605442171"/>
    <n v="1.1213131007097483"/>
    <n v="1.0790228998469584"/>
    <n v="0.90933567693352424"/>
    <n v="-1"/>
    <n v="-1"/>
    <n v="-1"/>
    <n v="-1"/>
    <n v="-1"/>
    <n v="-1"/>
    <n v="-5.5"/>
    <n v="-6"/>
    <n v="-5"/>
    <n v="-4"/>
    <n v="-3"/>
    <s v="TDP HardCore"/>
  </r>
  <r>
    <s v="0666c358-a835-4488-9770-6c073d87d325"/>
    <x v="5"/>
    <s v="1/24/2026, 2:36:08 PM"/>
    <s v="16.420923, 81.839676"/>
    <s v="3-410, Lakkavaram village, Andhra Pradesh, India"/>
    <x v="5"/>
    <s v="Naeem"/>
    <s v="http://164.52.221.216/localmedia/media/surveys/samples/recording_2026-01-24_14-31-19_samples_l5GyrwTg2r.mp4"/>
    <x v="0"/>
    <x v="0"/>
    <x v="0"/>
    <x v="0"/>
    <s v="హిందూ"/>
    <x v="0"/>
    <s v="peddiraju"/>
    <n v="9000000000"/>
    <x v="0"/>
    <x v="3"/>
    <x v="1"/>
    <x v="1"/>
    <x v="1"/>
    <x v="0"/>
    <s v="రోడ్లు వేయటం, విద్య రంగం అభివృద్ధి చేయటం, ఆరోగ్య రంగం అభివృద్ధి చేయటం, వ్యవసాయం, రైతు బాగుండడం"/>
    <x v="1"/>
    <x v="0"/>
    <x v="1"/>
    <x v="1"/>
    <x v="1"/>
    <x v="1"/>
    <s v="Bhagya"/>
    <s v="Correctly Done"/>
    <n v="0"/>
    <x v="0"/>
    <n v="1.3836274505214585"/>
    <n v="1.0795332136445241"/>
    <n v="1.1648410586678206"/>
    <n v="0.85034013605442171"/>
    <n v="1.9264642089343564"/>
    <n v="1.0790228998469584"/>
    <n v="2.1355167697651956"/>
    <n v="-1"/>
    <n v="-1"/>
    <n v="1"/>
    <n v="-1"/>
    <n v="-1"/>
    <n v="-1"/>
    <n v="-3.5"/>
    <n v="-4"/>
    <n v="-3"/>
    <n v="-2"/>
    <n v="-3"/>
    <s v="Neutral TDP"/>
  </r>
  <r>
    <s v="e0bdea83-6df6-488a-b0df-92ae378faeb9"/>
    <x v="5"/>
    <s v="1/24/2026, 2:47:11 PM"/>
    <s v="16.419285, 81.840839"/>
    <s v="CR9R+R8J, Lakkavaram, Andhra Pradesh, India"/>
    <x v="5"/>
    <s v="Naeem"/>
    <s v="http://164.52.221.216/localmedia/media/surveys/samples/recording_2026-01-24_14-40-59_samples_uL3Eiqg4Ea.mp4"/>
    <x v="2"/>
    <x v="0"/>
    <x v="0"/>
    <x v="1"/>
    <s v="హిందూ"/>
    <x v="0"/>
    <s v="sreenivasa"/>
    <n v="9177807729"/>
    <x v="0"/>
    <x v="3"/>
    <x v="1"/>
    <x v="1"/>
    <x v="0"/>
    <x v="0"/>
    <s v="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"/>
    <x v="1"/>
    <x v="0"/>
    <x v="1"/>
    <x v="0"/>
    <x v="2"/>
    <x v="0"/>
    <s v="Bhagya"/>
    <s v="Correctly Done"/>
    <n v="0"/>
    <x v="0"/>
    <n v="1.1461625511156397"/>
    <n v="1.8055837563451775"/>
    <n v="1.2999324650914248"/>
    <n v="0.85034013605442171"/>
    <n v="1.9264642089343564"/>
    <n v="0.71995135120329123"/>
    <n v="0.70534647283248642"/>
    <n v="-1"/>
    <n v="1"/>
    <n v="1"/>
    <n v="-1"/>
    <n v="1"/>
    <n v="-1"/>
    <n v="-0.5"/>
    <n v="0"/>
    <n v="-1"/>
    <n v="0"/>
    <n v="-2"/>
    <s v="Neutral TDP"/>
  </r>
  <r>
    <s v="edddcb01-cdf9-4a8b-8bb9-7ab58d091807"/>
    <x v="5"/>
    <s v="1/24/2026, 2:48:14 PM"/>
    <s v="16.423247, 81.863536"/>
    <s v="CVF7+59W, Gudapalli, Andhra Pradesh, India"/>
    <x v="4"/>
    <s v="Naeem"/>
    <s v="http://164.52.221.216/localmedia/media/surveys/samples/recording_2026-01-24_14-43-37_samples_8x8Vgkny61.mp4"/>
    <x v="0"/>
    <x v="0"/>
    <x v="14"/>
    <x v="3"/>
    <s v="క్రిస్టియన్"/>
    <x v="0"/>
    <s v="trimurthulu"/>
    <n v="9848856816"/>
    <x v="0"/>
    <x v="3"/>
    <x v="2"/>
    <x v="0"/>
    <x v="0"/>
    <x v="0"/>
    <s v="రోడ్లు వేయటం, వ్యవసాయం, రైతు బాగుండడం, సంక్షేమ పథకాలు (నగదు)"/>
    <x v="0"/>
    <x v="0"/>
    <x v="0"/>
    <x v="0"/>
    <x v="0"/>
    <x v="0"/>
    <s v="Bhagya"/>
    <s v="Correctly Done"/>
    <n v="0"/>
    <x v="0"/>
    <n v="1.3836274505214585"/>
    <n v="1.8055837563451775"/>
    <n v="1.9482662206881376"/>
    <n v="0.85034013605442171"/>
    <n v="1.9264642089343564"/>
    <n v="1.0790228998469584"/>
    <n v="2.1355167697651956"/>
    <n v="1"/>
    <n v="1"/>
    <n v="1"/>
    <n v="1"/>
    <n v="1"/>
    <n v="1"/>
    <n v="5.5"/>
    <n v="6"/>
    <n v="5"/>
    <n v="4"/>
    <n v="3"/>
    <s v="YSRCP HardCore"/>
  </r>
  <r>
    <s v="7e521e16-6b5b-48cd-b564-84d39bc27776"/>
    <x v="5"/>
    <s v="1/24/2026, 2:48:15 PM"/>
    <s v="16.423247, 81.863536"/>
    <s v="CVF7+59W, Gudapalli, Andhra Pradesh, India"/>
    <x v="4"/>
    <s v="Naeem"/>
    <s v="http://164.52.221.216/localmedia/media/surveys/samples/recording_2026-01-24_14-43-37_samples_XF0m3cWps3.mp4"/>
    <x v="0"/>
    <x v="0"/>
    <x v="14"/>
    <x v="3"/>
    <s v="క్రిస్టియన్"/>
    <x v="0"/>
    <s v="trimurthulu"/>
    <n v="9848856816"/>
    <x v="0"/>
    <x v="3"/>
    <x v="2"/>
    <x v="0"/>
    <x v="0"/>
    <x v="0"/>
    <s v="రోడ్లు వేయటం, వ్యవసాయం, రైతు బాగుండడం, సంక్షేమ పథకాలు (నగదు)"/>
    <x v="0"/>
    <x v="0"/>
    <x v="0"/>
    <x v="0"/>
    <x v="0"/>
    <x v="0"/>
    <n v="0"/>
    <s v="Correctly Done"/>
    <n v="0"/>
    <x v="0"/>
    <n v="1.3836274505214585"/>
    <n v="1.8055837563451775"/>
    <n v="1.9482662206881376"/>
    <n v="0.85034013605442171"/>
    <n v="1.9264642089343564"/>
    <n v="1.0790228998469584"/>
    <n v="2.1355167697651956"/>
    <n v="1"/>
    <n v="1"/>
    <n v="1"/>
    <n v="1"/>
    <n v="1"/>
    <n v="1"/>
    <n v="5.5"/>
    <n v="6"/>
    <n v="5"/>
    <n v="4"/>
    <n v="3"/>
    <s v="YSRCP HardCore"/>
  </r>
  <r>
    <s v="81bf867d-f376-45a4-93b6-5520ab4cba0b"/>
    <x v="5"/>
    <s v="1/24/2026, 10:53:54 AM"/>
    <s v="16.411007, 81.809168"/>
    <s v="CR65+MMH, Malikipuram, Andhra Pradesh, India"/>
    <x v="1"/>
    <s v="Naeem"/>
    <s v="http://164.52.221.216/localmedia/media/surveys/samples/recording_2026-01-24_10-50-57_samples_cIjonhCLvG.mp4"/>
    <x v="6"/>
    <x v="0"/>
    <x v="16"/>
    <x v="2"/>
    <s v="హిందూ"/>
    <x v="0"/>
    <s v="srinuvas"/>
    <n v="9989962848"/>
    <x v="0"/>
    <x v="2"/>
    <x v="2"/>
    <x v="0"/>
    <x v="0"/>
    <x v="0"/>
    <s v="విద్య రంగం అభివృద్ధి చేయటం, ఆరోగ్య రంగం అభివృద్ధి చేయటం"/>
    <x v="0"/>
    <x v="1"/>
    <x v="0"/>
    <x v="0"/>
    <x v="0"/>
    <x v="0"/>
    <s v="Bhagya"/>
    <s v="Not Doing It Properly"/>
    <s v="Caste didn't asked"/>
    <x v="0"/>
    <n v="1.2612194085121222"/>
    <n v="1.8055837563451775"/>
    <n v="1.5392437151422549"/>
    <n v="0.85034013605442171"/>
    <n v="1.9264642089343564"/>
    <n v="0.85249089649430487"/>
    <n v="1.7847621356853685"/>
    <n v="1"/>
    <n v="1"/>
    <n v="1"/>
    <n v="1"/>
    <n v="1"/>
    <n v="1"/>
    <n v="5.5"/>
    <n v="6"/>
    <n v="5"/>
    <n v="4"/>
    <n v="3"/>
    <s v="YSRCP HardCore"/>
  </r>
  <r>
    <s v="3b56e718-cf98-4d89-b9c2-45c936ddd71e"/>
    <x v="5"/>
    <s v="1/24/2026, 4:33:40 PM"/>
    <s v="16.428546, 81.918448"/>
    <s v="Gudapalli pallipalem, Katrevupadu, Andhra Pradesh, India"/>
    <x v="3"/>
    <s v="Naeem"/>
    <s v="http://164.52.221.216/localmedia/media/surveys/samples/recording_2026-01-24_16-31-38_samples_SLAXIGaFbc.mp4"/>
    <x v="8"/>
    <x v="1"/>
    <x v="18"/>
    <x v="2"/>
    <s v="క్రిస్టియన్"/>
    <x v="1"/>
    <s v="raju"/>
    <n v="999999999"/>
    <x v="0"/>
    <x v="5"/>
    <x v="1"/>
    <x v="1"/>
    <x v="1"/>
    <x v="1"/>
    <s v="ఉద్యొగ్య అవకాశాలు కల్పించటం, విద్య రంగం అభివృద్ధి చేయటం, ఆరోగ్య రంగం అభివృద్ధి చేయటం, వ్యవసాయం, రైతు బాగుండడం"/>
    <x v="1"/>
    <x v="0"/>
    <x v="1"/>
    <x v="1"/>
    <x v="1"/>
    <x v="1"/>
    <s v="Ashish"/>
    <s v="Not Doing It Properly"/>
    <s v="Q9,10 entered on his own"/>
    <x v="0"/>
    <n v="0.80207032429970992"/>
    <n v="1.0795332136445241"/>
    <n v="0.65595572330316032"/>
    <n v="0.85034013605442171"/>
    <n v="1.1213131007097483"/>
    <n v="0.60762903356038633"/>
    <n v="0.38672994380094594"/>
    <n v="-1"/>
    <n v="-1"/>
    <n v="-1"/>
    <n v="-1"/>
    <n v="-1"/>
    <n v="-1"/>
    <n v="-5.5"/>
    <n v="-6"/>
    <n v="-5"/>
    <n v="-4"/>
    <n v="-3"/>
    <s v="TDP HardCore"/>
  </r>
  <r>
    <s v="67f79fab-32b4-4236-a019-67c74a2e991d"/>
    <x v="5"/>
    <s v="1/24/2026, 11:01:14 AM"/>
    <s v="16.411496, 81.808097"/>
    <s v="CR65+H94, Malikipuram, Andhra Pradesh, India"/>
    <x v="1"/>
    <s v="Naeem"/>
    <s v="http://164.52.221.216/localmedia/media/surveys/samples/recording_2026-01-24_10-59-39_samples_mm7k6tS6v8.mp4"/>
    <x v="6"/>
    <x v="0"/>
    <x v="16"/>
    <x v="1"/>
    <s v="హిందూ"/>
    <x v="0"/>
    <s v="srinevas"/>
    <n v="9999999999"/>
    <x v="0"/>
    <x v="3"/>
    <x v="2"/>
    <x v="1"/>
    <x v="1"/>
    <x v="1"/>
    <s v="రోడ్లు వేయటం, ఉద్యొగ్య అవకాశాలు కల్పించటం, విద్య రంగం అభివృద్ధి చేయటం, ఆరోగ్య రంగం అభివృద్ధి చేయటం"/>
    <x v="1"/>
    <x v="0"/>
    <x v="1"/>
    <x v="1"/>
    <x v="1"/>
    <x v="1"/>
    <s v="Bhagya"/>
    <s v="Not Doing It Properly"/>
    <s v="Caste didn't asked"/>
    <x v="0"/>
    <n v="1.2612194085121222"/>
    <n v="1.0795332136445241"/>
    <n v="0.92029223709519836"/>
    <n v="0.85034013605442171"/>
    <n v="1.9264642089343564"/>
    <n v="0.85249089649430487"/>
    <n v="1.7847621356853685"/>
    <n v="-1"/>
    <n v="-1"/>
    <n v="-1"/>
    <n v="-1"/>
    <n v="-1"/>
    <n v="-1"/>
    <n v="-5.5"/>
    <n v="-6"/>
    <n v="-5"/>
    <n v="-4"/>
    <n v="-3"/>
    <s v="TDP HardCore"/>
  </r>
  <r>
    <s v="1eda127c-5a65-4b4e-956c-c0221dedc641"/>
    <x v="5"/>
    <s v="1/24/2026, 4:09:48 PM"/>
    <s v="16.436412, 81.914262"/>
    <s v="CWP7+JJG, Katrenipadu, Andhra Pradesh, India"/>
    <x v="3"/>
    <s v="Naeem"/>
    <s v="http://164.52.221.216/localmedia/media/surveys/samples/recording_2026-01-24_16-06-01_samples_96ejiXoeYz.mp4"/>
    <x v="1"/>
    <x v="1"/>
    <x v="18"/>
    <x v="0"/>
    <s v="హిందూ"/>
    <x v="0"/>
    <s v="peddiraju"/>
    <n v="9866817360"/>
    <x v="0"/>
    <x v="2"/>
    <x v="1"/>
    <x v="1"/>
    <x v="1"/>
    <x v="1"/>
    <s v="ఉద్యొగ్య అవకాశాలు కల్పించటం, శాంతి భద్రతలను కాపాడటం, విద్య రంగం అభివృద్ధి చేయటం"/>
    <x v="1"/>
    <x v="0"/>
    <x v="2"/>
    <x v="2"/>
    <x v="1"/>
    <x v="1"/>
    <s v="Ashish"/>
    <s v="Not Doing It Properly"/>
    <s v="Q9,10 entered on his own"/>
    <x v="0"/>
    <n v="1.1705128247062893"/>
    <n v="0.66153846153846207"/>
    <n v="0.52890136495485462"/>
    <n v="0.85034013605442171"/>
    <n v="1.1213131007097483"/>
    <n v="0.79950206330384943"/>
    <n v="0.7401439088249181"/>
    <n v="-1"/>
    <n v="-1"/>
    <n v="-1"/>
    <n v="-1"/>
    <n v="-1"/>
    <n v="-1"/>
    <n v="-5.5"/>
    <n v="-6"/>
    <n v="-5"/>
    <n v="-4"/>
    <n v="-3"/>
    <s v="TDP HardCore"/>
  </r>
  <r>
    <s v="3dbed387-733c-4aa2-88be-e6a643b3d38b"/>
    <x v="5"/>
    <s v="1/24/2026, 4:45:32 PM"/>
    <s v="16.429534, 81.918779"/>
    <s v="CWJ9+9X, Katrevupadu, Andhra Pradesh, India"/>
    <x v="3"/>
    <s v="Naeem"/>
    <s v="http://164.52.221.216/localmedia/media/surveys/samples/recording_2026-01-24_16-40-13_samples_DtrhYQSXUA.mp4"/>
    <x v="8"/>
    <x v="1"/>
    <x v="18"/>
    <x v="0"/>
    <s v="హిందూ"/>
    <x v="0"/>
    <s v="padma"/>
    <n v="9999999999"/>
    <x v="1"/>
    <x v="2"/>
    <x v="1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"/>
    <x v="1"/>
    <x v="0"/>
    <x v="2"/>
    <x v="2"/>
    <x v="1"/>
    <x v="1"/>
    <s v="Ashish"/>
    <s v="Not Doing It Properly"/>
    <s v="Q5,7,9,10 entered on his own"/>
    <x v="0"/>
    <n v="0.80207032429970992"/>
    <n v="0.66153846153846207"/>
    <n v="0.78029465938659637"/>
    <n v="2.1645021645021645"/>
    <n v="1.1213131007097483"/>
    <n v="1.1795151827936912"/>
    <n v="1.1601898314028378"/>
    <n v="-1"/>
    <n v="-1"/>
    <n v="-1"/>
    <n v="-1"/>
    <n v="-1"/>
    <n v="-1"/>
    <n v="-5.5"/>
    <n v="-6"/>
    <n v="-5"/>
    <n v="-4"/>
    <n v="-3"/>
    <s v="TDP HardCore"/>
  </r>
  <r>
    <s v="b6124d2c-966c-4ad8-b6c2-2848c6e24f43"/>
    <x v="5"/>
    <s v="1/24/2026, 2:48:27 PM"/>
    <s v="16.423247, 81.863536"/>
    <s v="CVF7+59W, Gudapalli, Andhra Pradesh, India"/>
    <x v="4"/>
    <s v="Naeem"/>
    <s v="http://164.52.221.216/localmedia/media/surveys/samples/recording_2026-01-24_14-43-37_samples_ZEuLDGMkeK.mp4"/>
    <x v="0"/>
    <x v="0"/>
    <x v="14"/>
    <x v="3"/>
    <s v="క్రిస్టియన్"/>
    <x v="0"/>
    <s v="trimurthulu"/>
    <n v="9848856816"/>
    <x v="0"/>
    <x v="3"/>
    <x v="2"/>
    <x v="0"/>
    <x v="0"/>
    <x v="0"/>
    <s v="రోడ్లు వేయటం, వ్యవసాయం, రైతు బాగుండడం, సంక్షేమ పథకాలు (నగదు)"/>
    <x v="0"/>
    <x v="0"/>
    <x v="0"/>
    <x v="0"/>
    <x v="0"/>
    <x v="0"/>
    <n v="0"/>
    <s v="Correctly Done"/>
    <n v="0"/>
    <x v="0"/>
    <n v="1.3836274505214585"/>
    <n v="1.8055837563451775"/>
    <n v="1.9482662206881376"/>
    <n v="0.85034013605442171"/>
    <n v="1.9264642089343564"/>
    <n v="1.0790228998469584"/>
    <n v="2.1355167697651956"/>
    <n v="1"/>
    <n v="1"/>
    <n v="1"/>
    <n v="1"/>
    <n v="1"/>
    <n v="1"/>
    <n v="5.5"/>
    <n v="6"/>
    <n v="5"/>
    <n v="4"/>
    <n v="3"/>
    <s v="YSRCP HardCore"/>
  </r>
  <r>
    <s v="8cee684d-ac0e-40f4-aca5-8718d9c53f4d"/>
    <x v="5"/>
    <s v="1/24/2026, 10:56:17 AM"/>
    <s v="16.422730, 81.842597"/>
    <s v="Suryanarayana Complex, Lakkavaram, Andhra Pradesh, India"/>
    <x v="5"/>
    <s v="Naeem"/>
    <s v="http://164.52.221.216/localmedia/media/surveys/samples/recording_2026-01-24_10-50-14_samples_iKnCpoC8wQ.mp4"/>
    <x v="0"/>
    <x v="0"/>
    <x v="0"/>
    <x v="6"/>
    <s v="క్రిస్టియన్"/>
    <x v="1"/>
    <s v="baby"/>
    <n v="8008033089"/>
    <x v="1"/>
    <x v="5"/>
    <x v="1"/>
    <x v="0"/>
    <x v="0"/>
    <x v="0"/>
    <s v="రోడ్లు వేయటం, విద్య రంగం అభివృద్ధి చేయటం, ఆరోగ్య రంగం అభివృద్ధి చేయటం"/>
    <x v="0"/>
    <x v="0"/>
    <x v="0"/>
    <x v="0"/>
    <x v="0"/>
    <x v="3"/>
    <s v="Bhagya"/>
    <s v="Not Doing It Properly"/>
    <s v="Skipped Q12 question and Didn't asked Q6 properly"/>
    <x v="0"/>
    <n v="1.3836274505214585"/>
    <n v="1.8055837563451775"/>
    <n v="3.4809023142961388"/>
    <n v="2.1645021645021645"/>
    <n v="1.9264642089343564"/>
    <n v="1.9278542477265657"/>
    <n v="4.0768956513699193"/>
    <n v="1"/>
    <n v="1"/>
    <n v="1"/>
    <n v="1"/>
    <n v="1"/>
    <n v="1"/>
    <n v="5.5"/>
    <n v="6"/>
    <n v="5"/>
    <n v="4"/>
    <n v="3"/>
    <s v="YSRCP HardCore"/>
  </r>
  <r>
    <s v="95196fe1-33af-4231-b39a-902b32663df1"/>
    <x v="5"/>
    <s v="1/24/2026, 2:54:51 PM"/>
    <s v="16.465746, 81.887763"/>
    <s v="Konaseema, Razole, Andhra Pradesh, India"/>
    <x v="0"/>
    <s v="Naeem"/>
    <s v="http://164.52.221.216/localmedia/media/surveys/samples/recording_2026-01-24_14-45-19_samples_p0i6W5ZHTx.mp4"/>
    <x v="0"/>
    <x v="1"/>
    <x v="15"/>
    <x v="6"/>
    <s v="క్రిస్టియన్"/>
    <x v="1"/>
    <s v="Ramya.choppala"/>
    <n v="9640757510"/>
    <x v="1"/>
    <x v="1"/>
    <x v="0"/>
    <x v="1"/>
    <x v="1"/>
    <x v="0"/>
    <s v="రోడ్లు వేయటం, ఉద్యొగ్య అవకాశాలు కల్పించటం, శాంతి భద్రతలను కాపాడటం, విద్య రంగం అభివృద్ధి చేయటం, వ్యవసాయం, రైతు బాగుండడం"/>
    <x v="0"/>
    <x v="0"/>
    <x v="0"/>
    <x v="0"/>
    <x v="2"/>
    <x v="0"/>
    <s v="Bhagya"/>
    <s v="Correctly Done"/>
    <s v="took from male and female"/>
    <x v="0"/>
    <n v="1.3836274505214585"/>
    <n v="1.8055837563451775"/>
    <n v="3.4809023142961388"/>
    <n v="2.1645021645021645"/>
    <n v="1.1213131007097483"/>
    <n v="1.9278542477265657"/>
    <n v="1.2302776805571209"/>
    <n v="-1"/>
    <n v="-1"/>
    <n v="1"/>
    <n v="1"/>
    <n v="1"/>
    <n v="1"/>
    <n v="1.5"/>
    <n v="2"/>
    <n v="3"/>
    <n v="4"/>
    <n v="2"/>
    <s v="YSRCP Sympathiser"/>
  </r>
  <r>
    <s v="3c72c2f3-935f-4aec-b2c1-ca4a391bab67"/>
    <x v="5"/>
    <s v="1/24/2026, 2:55:25 PM"/>
    <s v="16.422936, 81.865365"/>
    <s v="CVC7+XWJ, Gudapalli, Andhra Pradesh, India"/>
    <x v="4"/>
    <s v="Naeem"/>
    <s v="http://164.52.221.216/localmedia/media/surveys/samples/recording_2026-01-24_14-49-29_samples_m8M03zurzQ.mp4"/>
    <x v="0"/>
    <x v="0"/>
    <x v="14"/>
    <x v="6"/>
    <s v="క్రిస్టియన్"/>
    <x v="0"/>
    <s v="vani"/>
    <n v="90000000"/>
    <x v="1"/>
    <x v="3"/>
    <x v="0"/>
    <x v="0"/>
    <x v="0"/>
    <x v="0"/>
    <s v="రోడ్లు వేయటం, ఆరోగ్య రంగం అభివృద్ధి చేయటం, సంక్షేమ పథకాలు (నగదు)"/>
    <x v="0"/>
    <x v="0"/>
    <x v="0"/>
    <x v="0"/>
    <x v="3"/>
    <x v="0"/>
    <s v="Bhagya"/>
    <s v="Correctly Done"/>
    <n v="0"/>
    <x v="0"/>
    <n v="1.3836274505214585"/>
    <n v="1.8055837563451775"/>
    <n v="3.4809023142961388"/>
    <n v="2.1645021645021645"/>
    <n v="1.9264642089343564"/>
    <n v="1.9278542477265657"/>
    <n v="4.0768956513699193"/>
    <n v="1"/>
    <n v="1"/>
    <n v="1"/>
    <n v="1"/>
    <n v="1"/>
    <n v="1"/>
    <n v="5.5"/>
    <n v="6"/>
    <n v="5"/>
    <n v="4"/>
    <n v="3"/>
    <s v="YSRCP HardCore"/>
  </r>
  <r>
    <s v="c6c61fe3-74af-4811-ab0e-b2ed56fa8598"/>
    <x v="5"/>
    <s v="1/24/2026, 9:23:51 AM"/>
    <s v="16.425244, 81.844033"/>
    <s v="CRFV+XMQ, Lakkavaram, Andhra Pradesh, India"/>
    <x v="5"/>
    <s v="Naeem"/>
    <s v="http://164.52.221.216/localmedia/media/surveys/samples/recording_2026-01-24_09-16-39_samples_Ia0xfNUuQO.mp4"/>
    <x v="3"/>
    <x v="0"/>
    <x v="0"/>
    <x v="6"/>
    <s v="హిందూ"/>
    <x v="0"/>
    <s v="k padmavathi"/>
    <n v="954826437855"/>
    <x v="1"/>
    <x v="2"/>
    <x v="0"/>
    <x v="1"/>
    <x v="1"/>
    <x v="1"/>
    <s v="రోడ్లు వేయటం, ఉద్యొగ్య అవకాశాలు కల్పించటం, విద్య రంగం అభివృద్ధి చేయటం, ఆరోగ్య రంగం అభివృద్ధి చేయటం, వ్యవసాయం, రైతు బాగుండడం"/>
    <x v="1"/>
    <x v="0"/>
    <x v="1"/>
    <x v="0"/>
    <x v="0"/>
    <x v="3"/>
    <s v="Ashish"/>
    <s v="Correctly Done"/>
    <s v="Q6,7,9,10,11 entered on his own and wrong caste enetred - Nayi Brahmin"/>
    <x v="0"/>
    <n v="1.8452248965186235"/>
    <n v="1.8055837563451775"/>
    <n v="4.5810986374418894"/>
    <n v="2.1645021645021645"/>
    <n v="1.9264642089343564"/>
    <n v="2.5371842327131073"/>
    <n v="3.1477397325715799"/>
    <n v="-1"/>
    <n v="-1"/>
    <n v="-1"/>
    <n v="-1"/>
    <n v="1"/>
    <n v="-1"/>
    <n v="-4.5"/>
    <n v="-4"/>
    <n v="-3"/>
    <n v="-2"/>
    <n v="-2"/>
    <s v="Neutral TDP"/>
  </r>
  <r>
    <s v="40e6fdb5-6a9a-48ac-8e08-41734fb35fd1"/>
    <x v="5"/>
    <s v="1/24/2026, 2:55:39 PM"/>
    <s v="16.422936, 81.865365"/>
    <s v="CVC7+XWJ, Gudapalli, Andhra Pradesh, India"/>
    <x v="4"/>
    <s v="Naeem"/>
    <s v="http://164.52.221.216/localmedia/media/surveys/samples/recording_2026-01-24_14-49-29_samples_M2ScXfvhci.mp4"/>
    <x v="0"/>
    <x v="0"/>
    <x v="14"/>
    <x v="6"/>
    <s v="క్రిస్టియన్"/>
    <x v="0"/>
    <s v="vani"/>
    <n v="90000000"/>
    <x v="1"/>
    <x v="3"/>
    <x v="0"/>
    <x v="0"/>
    <x v="0"/>
    <x v="0"/>
    <s v="రోడ్లు వేయటం, ఆరోగ్య రంగం అభివృద్ధి చేయటం, సంక్షేమ పథకాలు (నగదు)"/>
    <x v="0"/>
    <x v="0"/>
    <x v="0"/>
    <x v="0"/>
    <x v="3"/>
    <x v="0"/>
    <n v="0"/>
    <s v="Correctly Done"/>
    <n v="0"/>
    <x v="0"/>
    <n v="1.3836274505214585"/>
    <n v="1.8055837563451775"/>
    <n v="3.4809023142961388"/>
    <n v="2.1645021645021645"/>
    <n v="1.9264642089343564"/>
    <n v="1.9278542477265657"/>
    <n v="4.0768956513699193"/>
    <n v="1"/>
    <n v="1"/>
    <n v="1"/>
    <n v="1"/>
    <n v="1"/>
    <n v="1"/>
    <n v="5.5"/>
    <n v="6"/>
    <n v="5"/>
    <n v="4"/>
    <n v="3"/>
    <s v="YSRCP HardCore"/>
  </r>
  <r>
    <s v="43741ac5-11e6-4bb3-a8d2-e638f124407b"/>
    <x v="5"/>
    <s v="1/24/2026, 3:05:03 PM"/>
    <s v="16.419289, 81.839803"/>
    <s v="CR9Q+MWX, Lakkavaram, Andhra Pradesh, India"/>
    <x v="5"/>
    <s v="Naeem"/>
    <s v="http://164.52.221.216/localmedia/media/surveys/samples/recording_2026-01-24_15-01-15_samples_iyuho4t3zM.mp4"/>
    <x v="2"/>
    <x v="0"/>
    <x v="0"/>
    <x v="1"/>
    <s v="హిందూ"/>
    <x v="1"/>
    <s v="AVS prakash rao"/>
    <n v="9704447137"/>
    <x v="0"/>
    <x v="2"/>
    <x v="1"/>
    <x v="1"/>
    <x v="1"/>
    <x v="1"/>
    <s v="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"/>
    <x v="1"/>
    <x v="0"/>
    <x v="1"/>
    <x v="1"/>
    <x v="1"/>
    <x v="1"/>
    <s v="Bhagya"/>
    <s v="Correctly Done"/>
    <n v="0"/>
    <x v="0"/>
    <n v="1.1461625511156397"/>
    <n v="1.0795332136445241"/>
    <n v="0.77721139583220644"/>
    <n v="0.85034013605442171"/>
    <n v="1.9264642089343564"/>
    <n v="0.71995135120329123"/>
    <n v="0.70534647283248642"/>
    <n v="-1"/>
    <n v="-1"/>
    <n v="-1"/>
    <n v="-1"/>
    <n v="-1"/>
    <n v="-1"/>
    <n v="-5.5"/>
    <n v="-6"/>
    <n v="-5"/>
    <n v="-4"/>
    <n v="-3"/>
    <s v="TDP HardCore"/>
  </r>
  <r>
    <s v="63bd10ab-447d-4741-9018-5f8252ee2450"/>
    <x v="5"/>
    <s v="1/24/2026, 3:06:08 PM"/>
    <s v="16.463868, 81.886425"/>
    <s v="FV7P+MG5, Razole, Andhra Pradesh, India"/>
    <x v="0"/>
    <s v="Naeem"/>
    <s v="http://164.52.221.216/localmedia/media/surveys/samples/recording_2026-01-24_14-59-20_samples_6HRjU27RxF.mp4"/>
    <x v="1"/>
    <x v="1"/>
    <x v="15"/>
    <x v="8"/>
    <s v="హిందూ"/>
    <x v="0"/>
    <s v="j.peshsdurao"/>
    <n v="7702809788"/>
    <x v="0"/>
    <x v="2"/>
    <x v="0"/>
    <x v="0"/>
    <x v="0"/>
    <x v="0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0"/>
    <x v="1"/>
    <x v="1"/>
    <x v="1"/>
    <x v="1"/>
    <s v="Bhagya"/>
    <s v="Correctly Done"/>
    <n v="0"/>
    <x v="0"/>
    <n v="1.1705128247062893"/>
    <n v="1.0795332136445241"/>
    <n v="0.86308903171383233"/>
    <n v="0.85034013605442171"/>
    <n v="1.1213131007097483"/>
    <n v="0.79950206330384943"/>
    <n v="0.7401439088249181"/>
    <n v="1"/>
    <n v="1"/>
    <n v="1"/>
    <n v="-1"/>
    <n v="-1"/>
    <n v="-1"/>
    <n v="0.5"/>
    <n v="0"/>
    <n v="-1"/>
    <n v="-2"/>
    <n v="-2"/>
    <s v="Neutral TDP"/>
  </r>
  <r>
    <s v="d3efd746-3d24-4cb3-839a-99bcd710f7ed"/>
    <x v="5"/>
    <s v="1/24/2026, 3:06:35 PM"/>
    <s v="16.436910, 81.913166"/>
    <s v="CWP7+QGQ, Katrenipadu, Andhra Pradesh, India"/>
    <x v="3"/>
    <s v="Naeem"/>
    <s v="http://164.52.221.216/localmedia/media/surveys/samples/recording_2026-01-24_15-03-55_samples_KHjDmUkz6K.mp4"/>
    <x v="2"/>
    <x v="1"/>
    <x v="18"/>
    <x v="6"/>
    <s v="హిందూ"/>
    <x v="1"/>
    <s v="surya nagalakshmi"/>
    <n v="9704432467"/>
    <x v="1"/>
    <x v="5"/>
    <x v="1"/>
    <x v="1"/>
    <x v="1"/>
    <x v="1"/>
    <s v="రోడ్లు వేయటం, విద్య రంగం అభివృద్ధి చేయటం, ఆరోగ్య రంగం అభివృద్ధి చేయటం"/>
    <x v="1"/>
    <x v="0"/>
    <x v="1"/>
    <x v="1"/>
    <x v="1"/>
    <x v="1"/>
    <s v="Bhagya"/>
    <s v="Correctly Done"/>
    <n v="0"/>
    <x v="0"/>
    <n v="1.1461625511156397"/>
    <n v="1.0795332136445241"/>
    <n v="3.0326483876590018"/>
    <n v="2.1645021645021645"/>
    <n v="1.1213131007097483"/>
    <n v="2.8092219390089208"/>
    <n v="1.8020838461961379"/>
    <n v="-1"/>
    <n v="-1"/>
    <n v="-1"/>
    <n v="-1"/>
    <n v="-1"/>
    <n v="-1"/>
    <n v="-5.5"/>
    <n v="-6"/>
    <n v="-5"/>
    <n v="-4"/>
    <n v="-3"/>
    <s v="TDP HardCore"/>
  </r>
  <r>
    <s v="4ddbb550-9a83-4ee0-bb13-84ffb76e1fda"/>
    <x v="5"/>
    <s v="1/24/2026, 7:09:02 PM"/>
    <s v="16.447446, 81.892662"/>
    <s v="No address"/>
    <x v="0"/>
    <s v="Naeem"/>
    <s v="http://164.52.221.216/localmedia/media/surveys/samples/recording_2026-01-24_19-05-55_samples_ES5yfaAmxu.mp4"/>
    <x v="0"/>
    <x v="1"/>
    <x v="17"/>
    <x v="6"/>
    <s v="క్రిస్టియన్"/>
    <x v="1"/>
    <s v="Lakshmi.devi.i"/>
    <n v="0"/>
    <x v="1"/>
    <x v="4"/>
    <x v="2"/>
    <x v="1"/>
    <x v="1"/>
    <x v="1"/>
    <s v="ఉద్యొగ్య అవకాశాలు కల్పించటం, ఆరోగ్య రంగం అభివృద్ధి చేయటం, వ్యవసాయం, రైతు బాగుండడం, సంక్షేమ పథకాలు (నగదు)"/>
    <x v="1"/>
    <x v="0"/>
    <x v="1"/>
    <x v="1"/>
    <x v="1"/>
    <x v="1"/>
    <s v="Ashish"/>
    <s v="Fake Audio/Empty Audio"/>
    <s v="All options entered on his own"/>
    <x v="1"/>
    <n v="1.3836274505214585"/>
    <n v="1.0795332136445241"/>
    <n v="2.0811826914865059"/>
    <n v="2.1645021645021645"/>
    <n v="1.1213131007097483"/>
    <n v="1.9278542477265657"/>
    <n v="1.2302776805571209"/>
    <n v="-1"/>
    <n v="-1"/>
    <n v="-1"/>
    <n v="-1"/>
    <n v="-1"/>
    <n v="-1"/>
    <n v="-5.5"/>
    <n v="-6"/>
    <n v="-5"/>
    <n v="-4"/>
    <n v="-3"/>
    <s v="TDP HardCore"/>
  </r>
  <r>
    <s v="7bb4e4ad-2647-41ee-8479-015258e0a5a0"/>
    <x v="5"/>
    <s v="1/24/2026, 3:06:57 PM"/>
    <s v="16.423117, 81.863879"/>
    <s v="CVF7+59W, Gudapalli, Andhra Pradesh, India"/>
    <x v="4"/>
    <s v="Naeem"/>
    <s v="http://164.52.221.216/localmedia/media/surveys/samples/recording_2026-01-24_15-01-50_samples_DKPYb5Mkzj.mp4"/>
    <x v="1"/>
    <x v="0"/>
    <x v="14"/>
    <x v="3"/>
    <s v="హిందూ"/>
    <x v="2"/>
    <s v="kolla Gangadharrao"/>
    <n v="7997810456"/>
    <x v="0"/>
    <x v="5"/>
    <x v="2"/>
    <x v="1"/>
    <x v="0"/>
    <x v="0"/>
    <s v="ఉద్యొగ్య అవకాశాలు కల్పించటం, విద్య రంగం అభివృద్ధి చేయటం, వ్యవసాయం, రైతు బాగుండడం"/>
    <x v="1"/>
    <x v="0"/>
    <x v="1"/>
    <x v="1"/>
    <x v="1"/>
    <x v="1"/>
    <s v="Bhagya"/>
    <s v="Correctly Done"/>
    <n v="0"/>
    <x v="0"/>
    <n v="1.1705128247062893"/>
    <n v="1.0795332136445241"/>
    <n v="0.86308903171383233"/>
    <n v="0.85034013605442171"/>
    <n v="1.9264642089343564"/>
    <n v="0.79950206330384943"/>
    <n v="1.1572126985895925"/>
    <n v="-1"/>
    <n v="1"/>
    <n v="1"/>
    <n v="-1"/>
    <n v="-1"/>
    <n v="-1"/>
    <n v="-1.5"/>
    <n v="-2"/>
    <n v="-3"/>
    <n v="-2"/>
    <n v="-3"/>
    <s v="Neutral TDP"/>
  </r>
  <r>
    <s v="6f4f2756-0c6f-4092-b55a-505485dc5031"/>
    <x v="5"/>
    <s v="1/24/2026, 3:06:57 PM"/>
    <s v="16.423117, 81.863879"/>
    <s v="CVF7+59W, Gudapalli, Andhra Pradesh, India"/>
    <x v="4"/>
    <s v="Naeem"/>
    <s v="http://164.52.221.216/localmedia/media/surveys/samples/recording_2026-01-24_15-01-50_samples_i4MZS4XtPD.mp4"/>
    <x v="1"/>
    <x v="0"/>
    <x v="14"/>
    <x v="3"/>
    <s v="హిందూ"/>
    <x v="2"/>
    <s v="kolla Gangadharrao"/>
    <n v="7997810456"/>
    <x v="0"/>
    <x v="5"/>
    <x v="2"/>
    <x v="1"/>
    <x v="0"/>
    <x v="0"/>
    <s v="ఉద్యొగ్య అవకాశాలు కల్పించటం, విద్య రంగం అభివృద్ధి చేయటం, వ్యవసాయం, రైతు బాగుండడం"/>
    <x v="1"/>
    <x v="0"/>
    <x v="1"/>
    <x v="1"/>
    <x v="1"/>
    <x v="1"/>
    <n v="0"/>
    <s v="Correctly Done"/>
    <n v="0"/>
    <x v="0"/>
    <n v="1.1705128247062893"/>
    <n v="1.0795332136445241"/>
    <n v="0.86308903171383233"/>
    <n v="0.85034013605442171"/>
    <n v="1.9264642089343564"/>
    <n v="0.79950206330384943"/>
    <n v="1.1572126985895925"/>
    <n v="-1"/>
    <n v="1"/>
    <n v="1"/>
    <n v="-1"/>
    <n v="-1"/>
    <n v="-1"/>
    <n v="-1.5"/>
    <n v="-2"/>
    <n v="-3"/>
    <n v="-2"/>
    <n v="-3"/>
    <s v="Neutral TDP"/>
  </r>
  <r>
    <s v="df5da142-7a21-4885-ac57-27372eff82cc"/>
    <x v="5"/>
    <s v="1/24/2026, 3:06:57 PM"/>
    <s v="16.423117, 81.863879"/>
    <s v="CVF7+59W, Gudapalli, Andhra Pradesh, India"/>
    <x v="4"/>
    <s v="Naeem"/>
    <s v="http://164.52.221.216/localmedia/media/surveys/samples/recording_2026-01-24_15-01-50_samples_oP9U2f2370.mp4"/>
    <x v="1"/>
    <x v="0"/>
    <x v="14"/>
    <x v="3"/>
    <s v="హిందూ"/>
    <x v="2"/>
    <s v="kolla Gangadharrao"/>
    <n v="7997810456"/>
    <x v="0"/>
    <x v="5"/>
    <x v="2"/>
    <x v="1"/>
    <x v="0"/>
    <x v="0"/>
    <s v="ఉద్యొగ్య అవకాశాలు కల్పించటం, విద్య రంగం అభివృద్ధి చేయటం, వ్యవసాయం, రైతు బాగుండడం"/>
    <x v="1"/>
    <x v="0"/>
    <x v="1"/>
    <x v="1"/>
    <x v="1"/>
    <x v="1"/>
    <n v="0"/>
    <s v="Correctly Done"/>
    <n v="0"/>
    <x v="0"/>
    <n v="1.1705128247062893"/>
    <n v="1.0795332136445241"/>
    <n v="0.86308903171383233"/>
    <n v="0.85034013605442171"/>
    <n v="1.9264642089343564"/>
    <n v="0.79950206330384943"/>
    <n v="1.1572126985895925"/>
    <n v="-1"/>
    <n v="1"/>
    <n v="1"/>
    <n v="-1"/>
    <n v="-1"/>
    <n v="-1"/>
    <n v="-1.5"/>
    <n v="-2"/>
    <n v="-3"/>
    <n v="-2"/>
    <n v="-3"/>
    <s v="Neutral TDP"/>
  </r>
  <r>
    <s v="8a63a9c2-dbb1-47ad-9c25-8faa65c501cf"/>
    <x v="5"/>
    <s v="1/24/2026, 3:17:24 PM"/>
    <s v="16.418580, 81.839528"/>
    <s v="CR9Q+CR5, Visweswaraya Puram, Lakkavaram, Andhra Pradesh, India"/>
    <x v="5"/>
    <s v="Naeem"/>
    <s v="http://164.52.221.216/localmedia/media/surveys/samples/recording_2026-01-24_15-10-39_samples_oAhbp3WgUE.mp4"/>
    <x v="2"/>
    <x v="0"/>
    <x v="0"/>
    <x v="2"/>
    <s v="హిందూ"/>
    <x v="1"/>
    <s v="sreeramakrishna"/>
    <n v="9000000000"/>
    <x v="0"/>
    <x v="3"/>
    <x v="2"/>
    <x v="1"/>
    <x v="1"/>
    <x v="0"/>
    <s v="రోడ్లు వేయటం, ఆరోగ్య రంగం అభివృద్ధి చేయటం, వ్యవసాయం, రైతు బాగుండడం"/>
    <x v="0"/>
    <x v="0"/>
    <x v="1"/>
    <x v="1"/>
    <x v="1"/>
    <x v="1"/>
    <s v="Ashish"/>
    <s v="Correctly Done"/>
    <n v="0"/>
    <x v="0"/>
    <n v="1.1461625511156397"/>
    <n v="1.0795332136445241"/>
    <n v="0.77721139583220644"/>
    <n v="0.85034013605442171"/>
    <n v="1.9264642089343564"/>
    <n v="0.71995135120329123"/>
    <n v="0.70534647283248642"/>
    <n v="-1"/>
    <n v="-1"/>
    <n v="1"/>
    <n v="1"/>
    <n v="-1"/>
    <n v="-1"/>
    <n v="-1.5"/>
    <n v="-2"/>
    <n v="-1"/>
    <n v="0"/>
    <n v="-3"/>
    <s v="Neutral TDP"/>
  </r>
  <r>
    <s v="d2bf9f19-a1f3-42af-8da9-6c53178d9347"/>
    <x v="5"/>
    <s v="1/24/2026, 12:06:41 PM"/>
    <s v="16.534810, 81.936819"/>
    <s v="B DODDAVARAM, MANDAL, Andhra Pradesh, India"/>
    <x v="3"/>
    <s v="Naeem"/>
    <s v="http://164.52.221.216/localmedia/media/surveys/samples/recording_2026-01-24_12-02-10_samples_VSyLkh1sju.mp4"/>
    <x v="5"/>
    <x v="2"/>
    <x v="3"/>
    <x v="0"/>
    <s v="హిందూ"/>
    <x v="2"/>
    <s v="p ganapathi"/>
    <n v="9553888272"/>
    <x v="0"/>
    <x v="2"/>
    <x v="2"/>
    <x v="1"/>
    <x v="0"/>
    <x v="1"/>
    <s v="రోడ్లు వేయటం, విద్య రంగం అభివృద్ధి చేయటం, ఆరోగ్య రంగం అభివృద్ధి చేయటం"/>
    <x v="1"/>
    <x v="0"/>
    <x v="1"/>
    <x v="1"/>
    <x v="1"/>
    <x v="1"/>
    <s v="Deepika"/>
    <s v="Not Doing It Properly"/>
    <s v="Q4 kept his own"/>
    <x v="0"/>
    <n v="1.0478809952686368"/>
    <n v="1.0795332136445241"/>
    <n v="0.8266624780172348"/>
    <n v="0.85034013605442171"/>
    <n v="0.75433779645928134"/>
    <n v="0.7657591888501577"/>
    <n v="0.22377816180516033"/>
    <n v="-1"/>
    <n v="1"/>
    <n v="-1"/>
    <n v="-1"/>
    <n v="-1"/>
    <n v="-1"/>
    <n v="-3.5"/>
    <n v="-4"/>
    <n v="-5"/>
    <n v="-4"/>
    <n v="-3"/>
    <s v="TDP Sympathiser"/>
  </r>
  <r>
    <s v="748c5923-bfad-4a43-bb28-5c8e4aa6dc7e"/>
    <x v="5"/>
    <s v="1/24/2026, 3:19:53 PM"/>
    <s v="16.462971, 81.889786"/>
    <s v="FV7Q+5R7, Kadali, Andhra Pradesh, India"/>
    <x v="0"/>
    <s v="Naeem"/>
    <s v="http://164.52.221.216/localmedia/media/surveys/samples/recording_2026-01-24_15-15-24_samples_apf7NJD4mk.mp4"/>
    <x v="2"/>
    <x v="1"/>
    <x v="15"/>
    <x v="3"/>
    <s v="హిందూ"/>
    <x v="0"/>
    <s v="g.vekanababu"/>
    <n v="9989878491"/>
    <x v="0"/>
    <x v="5"/>
    <x v="1"/>
    <x v="1"/>
    <x v="1"/>
    <x v="1"/>
    <s v="రోడ్లు వేయటం, ఉద్యొగ్య అవకాశాలు కల్పించ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0"/>
    <x v="1"/>
    <x v="1"/>
    <x v="1"/>
    <x v="1"/>
    <s v="Ashish"/>
    <s v="Correctly Done"/>
    <n v="0"/>
    <x v="0"/>
    <n v="1.1461625511156397"/>
    <n v="1.0795332136445241"/>
    <n v="0.77721139583220644"/>
    <n v="0.85034013605442171"/>
    <n v="1.1213131007097483"/>
    <n v="0.71995135120329123"/>
    <n v="1.3370299504035861"/>
    <n v="-1"/>
    <n v="-1"/>
    <n v="-1"/>
    <n v="-1"/>
    <n v="-1"/>
    <n v="-1"/>
    <n v="-5.5"/>
    <n v="-6"/>
    <n v="-5"/>
    <n v="-4"/>
    <n v="-3"/>
    <s v="TDP HardCore"/>
  </r>
  <r>
    <s v="28ea38dc-7390-478b-bedc-8d28cb574544"/>
    <x v="5"/>
    <s v="1/24/2026, 3:25:08 PM"/>
    <s v="16.422435, 81.864077"/>
    <s v="CVC7+QHV, Gudapalli, Andhra Pradesh, India"/>
    <x v="4"/>
    <s v="Naeem"/>
    <s v="http://164.52.221.216/localmedia/media/surveys/samples/recording_2026-01-24_15-22-10_samples_JJUf5rrPbS.mp4"/>
    <x v="4"/>
    <x v="0"/>
    <x v="14"/>
    <x v="3"/>
    <s v="హిందూ"/>
    <x v="0"/>
    <s v="lokesh"/>
    <n v="9381877585"/>
    <x v="0"/>
    <x v="5"/>
    <x v="2"/>
    <x v="1"/>
    <x v="0"/>
    <x v="0"/>
    <s v="రోడ్లు వేయటం, ఆరోగ్య రంగం అభివృద్ధి చేయటం, వ్యవసాయం, రైతు బాగుండడం"/>
    <x v="1"/>
    <x v="0"/>
    <x v="1"/>
    <x v="1"/>
    <x v="1"/>
    <x v="1"/>
    <s v="Ashish"/>
    <s v="Correctly Done"/>
    <n v="0"/>
    <x v="0"/>
    <n v="2.1852575402829908"/>
    <n v="1.0795332136445241"/>
    <n v="1.7037641797963405"/>
    <n v="0.85034013605442171"/>
    <n v="1.9264642089343564"/>
    <n v="1.5782415568710491"/>
    <n v="0.88111541781135172"/>
    <n v="-1"/>
    <n v="1"/>
    <n v="1"/>
    <n v="-1"/>
    <n v="-1"/>
    <n v="-1"/>
    <n v="-1.5"/>
    <n v="-2"/>
    <n v="-3"/>
    <n v="-2"/>
    <n v="-3"/>
    <s v="Neutral TDP"/>
  </r>
  <r>
    <s v="402884b7-99d9-426c-863c-e326c90c9ee4"/>
    <x v="5"/>
    <s v="1/24/2026, 3:38:46 PM"/>
    <s v="16.418286, 81.836663"/>
    <s v="CR9P+FF3, Lakkavaram, Andhra Pradesh, India"/>
    <x v="5"/>
    <s v="Naeem"/>
    <s v="http://164.52.221.216/localmedia/media/surveys/samples/recording_2026-01-24_15-32-23_samples_CNFhB6f3CW.mp4"/>
    <x v="2"/>
    <x v="0"/>
    <x v="0"/>
    <x v="1"/>
    <s v="హిందూ"/>
    <x v="1"/>
    <s v="satyababu"/>
    <n v="9908948957"/>
    <x v="0"/>
    <x v="5"/>
    <x v="2"/>
    <x v="1"/>
    <x v="1"/>
    <x v="1"/>
    <s v="రోడ్లు వేయటం, ఉద్యొగ్య అవకాశాలు కల్పించటం, విద్య రంగం అభివృద్ధి చేయటం"/>
    <x v="1"/>
    <x v="0"/>
    <x v="1"/>
    <x v="1"/>
    <x v="1"/>
    <x v="1"/>
    <s v="Ashish"/>
    <s v="Correctly Done"/>
    <n v="0"/>
    <x v="0"/>
    <n v="1.1461625511156397"/>
    <n v="1.0795332136445241"/>
    <n v="0.77721139583220644"/>
    <n v="0.85034013605442171"/>
    <n v="1.9264642089343564"/>
    <n v="0.71995135120329123"/>
    <n v="0.70534647283248642"/>
    <n v="-1"/>
    <n v="-1"/>
    <n v="-1"/>
    <n v="-1"/>
    <n v="-1"/>
    <n v="-1"/>
    <n v="-5.5"/>
    <n v="-6"/>
    <n v="-5"/>
    <n v="-4"/>
    <n v="-3"/>
    <s v="TDP HardCore"/>
  </r>
  <r>
    <s v="47796fc3-ed37-4a91-ad2a-8c380d389aa4"/>
    <x v="5"/>
    <s v="1/24/2026, 3:39:38 PM"/>
    <s v="16.437787, 81.909818"/>
    <s v="CWQ6+F37, Razole, Andhra Pradesh, India"/>
    <x v="3"/>
    <s v="Naeem"/>
    <s v="http://164.52.221.216/localmedia/media/surveys/samples/recording_2026-01-24_15-37-33_samples_u8Kqs2uG4R.mp4"/>
    <x v="0"/>
    <x v="1"/>
    <x v="18"/>
    <x v="0"/>
    <s v="హిందూ"/>
    <x v="0"/>
    <s v="peddiraku"/>
    <n v="9999999999"/>
    <x v="0"/>
    <x v="5"/>
    <x v="1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0"/>
    <x v="1"/>
    <x v="1"/>
    <x v="1"/>
    <x v="1"/>
    <s v="Ashish"/>
    <s v="Correctly Done"/>
    <n v="0"/>
    <x v="0"/>
    <n v="1.3836274505214585"/>
    <n v="1.0795332136445241"/>
    <n v="1.1648410586678206"/>
    <n v="0.85034013605442171"/>
    <n v="1.1213131007097483"/>
    <n v="1.0790228998469584"/>
    <n v="0.90933567693352424"/>
    <n v="-1"/>
    <n v="-1"/>
    <n v="-1"/>
    <n v="-1"/>
    <n v="-1"/>
    <n v="-1"/>
    <n v="-5.5"/>
    <n v="-6"/>
    <n v="-5"/>
    <n v="-4"/>
    <n v="-3"/>
    <s v="TDP HardCore"/>
  </r>
  <r>
    <s v="b9df657c-6812-45c0-8d73-84855f98de72"/>
    <x v="5"/>
    <s v="1/24/2026, 3:48:55 PM"/>
    <s v="16.423249, 81.864711"/>
    <s v="2-242, Gudapalli, Andhra Pradesh, India"/>
    <x v="4"/>
    <s v="Naeem"/>
    <s v="http://164.52.221.216/localmedia/media/surveys/samples/recording_2026-01-24_15-45-04_samples_HYrkWDyhSi.mp4"/>
    <x v="8"/>
    <x v="0"/>
    <x v="14"/>
    <x v="5"/>
    <s v="క్రిస్టియన్"/>
    <x v="3"/>
    <s v="vishal"/>
    <n v="9573482919"/>
    <x v="0"/>
    <x v="3"/>
    <x v="2"/>
    <x v="0"/>
    <x v="0"/>
    <x v="0"/>
    <s v="రోడ్లు వేయటం, ఉద్యొగ్య అవకాశాలు కల్పించటం, ఆరోగ్య రంగం అభివృద్ధి చేయటం, వ్యవసాయం, రైతు బాగుండడం"/>
    <x v="0"/>
    <x v="2"/>
    <x v="0"/>
    <x v="0"/>
    <x v="0"/>
    <x v="0"/>
    <s v="Ashish"/>
    <s v="Correctly Done"/>
    <n v="0"/>
    <x v="0"/>
    <n v="0.80207032429970992"/>
    <n v="1.8055837563451775"/>
    <n v="1.0971251128803523"/>
    <n v="0.85034013605442171"/>
    <n v="1.9264642089343564"/>
    <n v="0.60762903356038633"/>
    <n v="2.0730893618557826"/>
    <n v="1"/>
    <n v="1"/>
    <n v="1"/>
    <n v="1"/>
    <n v="1"/>
    <n v="1"/>
    <n v="5.5"/>
    <n v="6"/>
    <n v="5"/>
    <n v="4"/>
    <n v="3"/>
    <s v="YSRCP HardCore"/>
  </r>
  <r>
    <s v="1505997b-89b9-4bf2-998e-5a5e7e79108b"/>
    <x v="5"/>
    <s v="1/24/2026, 9:53:30 AM"/>
    <s v="16.412805, 81.809135"/>
    <s v="CR75+3M, Malikipuram, Andhra Pradesh, India"/>
    <x v="1"/>
    <s v="Naeem"/>
    <s v="http://164.52.221.216/localmedia/media/surveys/samples/recording_2026-01-24_09-51-19_samples_5pCzKBReXG.mp4"/>
    <x v="6"/>
    <x v="0"/>
    <x v="16"/>
    <x v="2"/>
    <s v="హిందూ"/>
    <x v="1"/>
    <s v="subramanyam"/>
    <n v="9666224516"/>
    <x v="0"/>
    <x v="3"/>
    <x v="1"/>
    <x v="1"/>
    <x v="1"/>
    <x v="1"/>
    <s v="రోడ్లు వేయటం, ఉద్యొగ్య అవకాశాలు కల్పించటం, విద్య రంగం అభివృద్ధి చేయటం"/>
    <x v="1"/>
    <x v="0"/>
    <x v="1"/>
    <x v="1"/>
    <x v="1"/>
    <x v="1"/>
    <s v="Ashish"/>
    <s v="Not Doing It Properly"/>
    <s v="Q9 and caste entered on his own"/>
    <x v="0"/>
    <n v="1.2612194085121222"/>
    <n v="1.0795332136445241"/>
    <n v="0.92029223709519836"/>
    <n v="0.85034013605442171"/>
    <n v="1.9264642089343564"/>
    <n v="0.85249089649430487"/>
    <n v="1.7847621356853685"/>
    <n v="-1"/>
    <n v="-1"/>
    <n v="-1"/>
    <n v="-1"/>
    <n v="-1"/>
    <n v="-1"/>
    <n v="-5.5"/>
    <n v="-6"/>
    <n v="-5"/>
    <n v="-4"/>
    <n v="-3"/>
    <s v="TDP HardCore"/>
  </r>
  <r>
    <s v="9bf83151-ca9f-486e-a5be-10c8abc06d4a"/>
    <x v="5"/>
    <s v="1/24/2026, 3:33:08 PM"/>
    <s v="16.422459, 81.863292"/>
    <s v="CVC7+X75, Gudapalli, Andhra Pradesh, India"/>
    <x v="4"/>
    <s v="Naeem"/>
    <s v="http://164.52.221.216/localmedia/media/surveys/samples/recording_2026-01-24_15-29-55_samples_YDVd0ENsvE.mp4"/>
    <x v="1"/>
    <x v="0"/>
    <x v="14"/>
    <x v="6"/>
    <s v="హిందూ"/>
    <x v="0"/>
    <s v="nagalaxmi"/>
    <n v="900000000"/>
    <x v="1"/>
    <x v="5"/>
    <x v="0"/>
    <x v="1"/>
    <x v="0"/>
    <x v="0"/>
    <s v="రోడ్లు వేయటం, విద్య రంగం అభివృద్ధి చేయటం, ఆరోగ్య రంగం అభివృద్ధి చేయటం"/>
    <x v="1"/>
    <x v="0"/>
    <x v="2"/>
    <x v="1"/>
    <x v="1"/>
    <x v="1"/>
    <s v="Ashish"/>
    <s v="Not Doing It Properly"/>
    <s v="Q9 entered on his own"/>
    <x v="0"/>
    <n v="1.1705128247062893"/>
    <n v="1.0795332136445241"/>
    <n v="2.3577066232182737"/>
    <n v="2.1645021645021645"/>
    <n v="1.9264642089343564"/>
    <n v="2.1840056363422229"/>
    <n v="6.9432761915375547"/>
    <n v="-1"/>
    <n v="1"/>
    <n v="1"/>
    <n v="-1"/>
    <n v="-1"/>
    <n v="-1"/>
    <n v="-1.5"/>
    <n v="-2"/>
    <n v="-3"/>
    <n v="-2"/>
    <n v="-3"/>
    <s v="Neutral TDP"/>
  </r>
  <r>
    <s v="3844753f-f59f-48bc-9ccf-d1b692e44b5e"/>
    <x v="5"/>
    <s v="1/24/2026, 3:53:45 PM"/>
    <s v="16.418301, 81.835810"/>
    <s v="sri Sainadh Complex, Lakkavaram, Andhra Pradesh, India"/>
    <x v="5"/>
    <s v="Naeem"/>
    <s v="http://164.52.221.216/localmedia/media/surveys/samples/recording_2026-01-24_15-49-36_samples_MmQQYEeLeU.mp4"/>
    <x v="2"/>
    <x v="0"/>
    <x v="0"/>
    <x v="1"/>
    <s v="హిందూ"/>
    <x v="2"/>
    <s v="ambati nagendra"/>
    <n v="9440917723"/>
    <x v="0"/>
    <x v="2"/>
    <x v="1"/>
    <x v="1"/>
    <x v="1"/>
    <x v="1"/>
    <s v="రోడ్లు వేయటం, విద్య రంగం అభివృద్ధి చేయటం, ఆరోగ్య రంగం అభివృద్ధి చేయటం, వ్యవసాయం, రైతు బాగుండడం"/>
    <x v="1"/>
    <x v="0"/>
    <x v="1"/>
    <x v="1"/>
    <x v="1"/>
    <x v="1"/>
    <s v="Ashish"/>
    <s v="Correctly Done"/>
    <n v="0"/>
    <x v="0"/>
    <n v="1.1461625511156397"/>
    <n v="1.0795332136445241"/>
    <n v="0.77721139583220644"/>
    <n v="0.85034013605442171"/>
    <n v="1.9264642089343564"/>
    <n v="0.71995135120329123"/>
    <n v="0.70534647283248642"/>
    <n v="-1"/>
    <n v="-1"/>
    <n v="-1"/>
    <n v="-1"/>
    <n v="-1"/>
    <n v="-1"/>
    <n v="-5.5"/>
    <n v="-6"/>
    <n v="-5"/>
    <n v="-4"/>
    <n v="-3"/>
    <s v="TDP HardCore"/>
  </r>
  <r>
    <s v="d5afbf15-11fe-4031-8f84-56a1f362a17c"/>
    <x v="5"/>
    <s v="1/24/2026, 3:53:58 PM"/>
    <s v="16.459388, 81.894498"/>
    <s v="FV5V+QR6, Kadali, Andhra Pradesh, India"/>
    <x v="0"/>
    <s v="Naeem"/>
    <s v="http://164.52.221.216/localmedia/media/surveys/samples/recording_2026-01-24_15-50-08_samples_B7eqwkfTqz.mp4"/>
    <x v="1"/>
    <x v="1"/>
    <x v="15"/>
    <x v="0"/>
    <s v="హిందూ"/>
    <x v="0"/>
    <s v="anadharao"/>
    <n v="0"/>
    <x v="0"/>
    <x v="5"/>
    <x v="1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0"/>
    <x v="1"/>
    <x v="1"/>
    <x v="1"/>
    <x v="1"/>
    <s v="Ashish"/>
    <s v="Correctly Done"/>
    <n v="0"/>
    <x v="0"/>
    <n v="1.1705128247062893"/>
    <n v="1.0795332136445241"/>
    <n v="0.86308903171383233"/>
    <n v="0.85034013605442171"/>
    <n v="1.1213131007097483"/>
    <n v="0.79950206330384943"/>
    <n v="0.7401439088249181"/>
    <n v="-1"/>
    <n v="-1"/>
    <n v="-1"/>
    <n v="-1"/>
    <n v="-1"/>
    <n v="-1"/>
    <n v="-5.5"/>
    <n v="-6"/>
    <n v="-5"/>
    <n v="-4"/>
    <n v="-3"/>
    <s v="TDP HardCore"/>
  </r>
  <r>
    <s v="057329c7-76a5-4086-834d-2e0e421036ca"/>
    <x v="5"/>
    <s v="1/24/2026, 4:02:04 PM"/>
    <s v="16.418388, 81.835120"/>
    <s v="CR9P+76G, Visweswaraya Puram, Lakkavaram, Andhra Pradesh, India"/>
    <x v="5"/>
    <s v="Naeem"/>
    <s v="http://164.52.221.216/localmedia/media/surveys/samples/recording_2026-01-24_15-57-21_samples_BtvYYLIuy2.mp4"/>
    <x v="2"/>
    <x v="0"/>
    <x v="0"/>
    <x v="1"/>
    <s v="హిందూ"/>
    <x v="2"/>
    <s v="veera venkata satyanarayana"/>
    <n v="9000000000"/>
    <x v="0"/>
    <x v="5"/>
    <x v="1"/>
    <x v="1"/>
    <x v="1"/>
    <x v="1"/>
    <s v="రోడ్లు వేయటం, విద్య రంగం అభివృద్ధి చేయటం, ఆరోగ్య రంగం అభివృద్ధి చేయటం"/>
    <x v="1"/>
    <x v="0"/>
    <x v="1"/>
    <x v="1"/>
    <x v="1"/>
    <x v="1"/>
    <s v="Ashish"/>
    <s v="Correctly Done"/>
    <n v="0"/>
    <x v="0"/>
    <n v="1.1461625511156397"/>
    <n v="1.0795332136445241"/>
    <n v="0.77721139583220644"/>
    <n v="0.85034013605442171"/>
    <n v="1.9264642089343564"/>
    <n v="0.71995135120329123"/>
    <n v="0.70534647283248642"/>
    <n v="-1"/>
    <n v="-1"/>
    <n v="-1"/>
    <n v="-1"/>
    <n v="-1"/>
    <n v="-1"/>
    <n v="-5.5"/>
    <n v="-6"/>
    <n v="-5"/>
    <n v="-4"/>
    <n v="-3"/>
    <s v="TDP HardCore"/>
  </r>
  <r>
    <s v="6b4f695d-f028-4768-bb04-7fbe7591530b"/>
    <x v="5"/>
    <s v="1/24/2026, 4:03:37 PM"/>
    <s v="16.437555, 81.914167"/>
    <s v="CWP7+QGQ, Katrenipadu, Andhra Pradesh, India"/>
    <x v="3"/>
    <s v="Naeem"/>
    <s v="http://164.52.221.216/localmedia/media/surveys/samples/recording_2026-01-24_15-59-54_samples_jpfXv7ymrD.mp4"/>
    <x v="4"/>
    <x v="1"/>
    <x v="18"/>
    <x v="0"/>
    <s v="హిందూ"/>
    <x v="0"/>
    <s v="p. poleru"/>
    <n v="9999999999"/>
    <x v="1"/>
    <x v="5"/>
    <x v="1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"/>
    <x v="1"/>
    <x v="0"/>
    <x v="2"/>
    <x v="2"/>
    <x v="1"/>
    <x v="1"/>
    <s v="Ashish"/>
    <s v="Correctly Done"/>
    <n v="0"/>
    <x v="0"/>
    <n v="2.1852575402829908"/>
    <n v="0.66153846153846207"/>
    <n v="2.3491518558042173"/>
    <n v="2.1645021645021645"/>
    <n v="1.1213131007097483"/>
    <n v="3.5510435029598604"/>
    <n v="1.027312553073255"/>
    <n v="-1"/>
    <n v="-1"/>
    <n v="-1"/>
    <n v="-1"/>
    <n v="-1"/>
    <n v="-1"/>
    <n v="-5.5"/>
    <n v="-6"/>
    <n v="-5"/>
    <n v="-4"/>
    <n v="-3"/>
    <s v="TDP HardCore"/>
  </r>
  <r>
    <s v="f96bceaa-87f1-4fde-bf83-17741a05f6b2"/>
    <x v="5"/>
    <s v="1/24/2026, 7:27:22 PM"/>
    <s v="16.465530, 81.886805"/>
    <s v="No address"/>
    <x v="0"/>
    <s v="Naeem"/>
    <s v="http://164.52.221.216/localmedia/media/surveys/samples/recording_2026-01-24_19-23-45_samples_qtMi8AtEq4.mp4"/>
    <x v="2"/>
    <x v="1"/>
    <x v="15"/>
    <x v="6"/>
    <s v="హిందూ"/>
    <x v="1"/>
    <s v="Kumari.javadi"/>
    <n v="0"/>
    <x v="1"/>
    <x v="5"/>
    <x v="1"/>
    <x v="1"/>
    <x v="1"/>
    <x v="1"/>
    <s v="రోడ్లు వేయటం, ఉద్యొగ్య అవకాశాలు కల్పించటం, శాంతి భద్రతలను కాపాడటం"/>
    <x v="1"/>
    <x v="0"/>
    <x v="1"/>
    <x v="1"/>
    <x v="1"/>
    <x v="1"/>
    <s v="Ashish"/>
    <s v="Fake Audio/Empty Audio"/>
    <s v="All options entered on his own"/>
    <x v="1"/>
    <n v="1.1461625511156397"/>
    <n v="1.0795332136445241"/>
    <n v="3.0326483876590018"/>
    <n v="2.1645021645021645"/>
    <n v="1.1213131007097483"/>
    <n v="2.8092219390089208"/>
    <n v="1.8020838461961379"/>
    <n v="-1"/>
    <n v="-1"/>
    <n v="-1"/>
    <n v="-1"/>
    <n v="-1"/>
    <n v="-1"/>
    <n v="-5.5"/>
    <n v="-6"/>
    <n v="-5"/>
    <n v="-4"/>
    <n v="-3"/>
    <s v="TDP HardCore"/>
  </r>
  <r>
    <s v="5643758e-da37-4394-ad0a-d534291b368d"/>
    <x v="5"/>
    <s v="1/24/2026, 6:05:46 PM"/>
    <s v="16.446530, 81.907233"/>
    <s v="CWW4+GW3, Ponnamanda, Andhra Pradesh, India"/>
    <x v="0"/>
    <s v="Naeem"/>
    <s v="http://164.52.221.216/localmedia/media/surveys/samples/recording_2026-01-24_17-48-12_samples_0rbdSfpjUl.mp4"/>
    <x v="0"/>
    <x v="0"/>
    <x v="11"/>
    <x v="4"/>
    <s v="క్రిస్టియన్"/>
    <x v="0"/>
    <s v="nagamani"/>
    <n v="0"/>
    <x v="1"/>
    <x v="4"/>
    <x v="2"/>
    <x v="0"/>
    <x v="0"/>
    <x v="0"/>
    <s v="ఉద్యొగ్య అవకాశాలు కల్పించటం, ఆరోగ్య రంగం అభివృద్ధి చేయటం, సంక్షేమ పథకాలు (నగదు)"/>
    <x v="0"/>
    <x v="2"/>
    <x v="1"/>
    <x v="0"/>
    <x v="3"/>
    <x v="0"/>
    <s v="Ashish"/>
    <s v="Not Doing It Properly"/>
    <s v="All options entered on his own"/>
    <x v="0"/>
    <n v="1.3836274505214585"/>
    <n v="1.8055837563451775"/>
    <n v="3.4809023142961388"/>
    <n v="2.1645021645021645"/>
    <n v="1.9264642089343564"/>
    <n v="1.9278542477265657"/>
    <n v="4.0768956513699193"/>
    <n v="1"/>
    <n v="1"/>
    <n v="1"/>
    <n v="1"/>
    <n v="1"/>
    <n v="-1"/>
    <n v="3.5"/>
    <n v="4"/>
    <n v="3"/>
    <n v="2"/>
    <s v="ND"/>
    <s v="ND"/>
  </r>
  <r>
    <s v="4b8c22bb-68d9-4628-a42a-828dc655effc"/>
    <x v="5"/>
    <s v="1/24/2026, 4:03:39 PM"/>
    <s v="16.437555, 81.914167"/>
    <s v="CWP7+QGQ, Katrenipadu, Andhra Pradesh, India"/>
    <x v="3"/>
    <s v="Naeem"/>
    <s v="http://164.52.221.216/localmedia/media/surveys/samples/recording_2026-01-24_15-59-54_samples_gEVsQS7z0v.mp4"/>
    <x v="4"/>
    <x v="1"/>
    <x v="18"/>
    <x v="0"/>
    <s v="హిందూ"/>
    <x v="0"/>
    <s v="p. poleru"/>
    <n v="9999999999"/>
    <x v="1"/>
    <x v="5"/>
    <x v="1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"/>
    <x v="1"/>
    <x v="0"/>
    <x v="2"/>
    <x v="2"/>
    <x v="1"/>
    <x v="1"/>
    <n v="0"/>
    <s v="Correctly Done"/>
    <n v="0"/>
    <x v="0"/>
    <n v="2.1852575402829908"/>
    <n v="0.66153846153846207"/>
    <n v="2.3491518558042173"/>
    <n v="2.1645021645021645"/>
    <n v="1.1213131007097483"/>
    <n v="3.5510435029598604"/>
    <n v="1.027312553073255"/>
    <n v="-1"/>
    <n v="-1"/>
    <n v="-1"/>
    <n v="-1"/>
    <n v="-1"/>
    <n v="-1"/>
    <n v="-5.5"/>
    <n v="-6"/>
    <n v="-5"/>
    <n v="-4"/>
    <n v="-3"/>
    <s v="TDP HardCore"/>
  </r>
  <r>
    <s v="1eba5827-94e6-478e-b2ce-6226a9455428"/>
    <x v="5"/>
    <s v="1/24/2026, 4:03:41 PM"/>
    <s v="16.437555, 81.914167"/>
    <s v="CWP7+QGQ, Katrenipadu, Andhra Pradesh, India"/>
    <x v="3"/>
    <s v="Naeem"/>
    <s v="http://164.52.221.216/localmedia/media/surveys/samples/recording_2026-01-24_15-59-54_samples_DBFK9Zkk5n.mp4"/>
    <x v="4"/>
    <x v="1"/>
    <x v="18"/>
    <x v="0"/>
    <s v="హిందూ"/>
    <x v="0"/>
    <s v="p. poleru"/>
    <n v="9999999999"/>
    <x v="1"/>
    <x v="5"/>
    <x v="1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"/>
    <x v="1"/>
    <x v="0"/>
    <x v="2"/>
    <x v="2"/>
    <x v="1"/>
    <x v="1"/>
    <n v="0"/>
    <s v="Correctly Done"/>
    <n v="0"/>
    <x v="0"/>
    <n v="2.1852575402829908"/>
    <n v="0.66153846153846207"/>
    <n v="2.3491518558042173"/>
    <n v="2.1645021645021645"/>
    <n v="1.1213131007097483"/>
    <n v="3.5510435029598604"/>
    <n v="1.027312553073255"/>
    <n v="-1"/>
    <n v="-1"/>
    <n v="-1"/>
    <n v="-1"/>
    <n v="-1"/>
    <n v="-1"/>
    <n v="-5.5"/>
    <n v="-6"/>
    <n v="-5"/>
    <n v="-4"/>
    <n v="-3"/>
    <s v="TDP HardCore"/>
  </r>
  <r>
    <s v="cf4c9aa5-1957-42e9-b9bc-af7e6cb1b490"/>
    <x v="5"/>
    <s v="1/24/2026, 4:04:47 PM"/>
    <s v="16.458822, 81.896535"/>
    <s v="FV5W+HGH, Razole, Andhra Pradesh, India"/>
    <x v="0"/>
    <s v="Naeem"/>
    <s v="http://164.52.221.216/localmedia/media/surveys/samples/recording_2026-01-24_15-57-59_samples_dNtcdcngWL.mp4"/>
    <x v="1"/>
    <x v="1"/>
    <x v="15"/>
    <x v="0"/>
    <s v="హిందూ"/>
    <x v="1"/>
    <s v="Kattan.nagaraju"/>
    <n v="0"/>
    <x v="0"/>
    <x v="4"/>
    <x v="1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0"/>
    <x v="1"/>
    <x v="1"/>
    <x v="1"/>
    <x v="1"/>
    <s v="Ashish"/>
    <s v="Correctly Done"/>
    <s v="insteading of entering three options entering all options for Q6 on his own"/>
    <x v="0"/>
    <n v="1.1705128247062893"/>
    <n v="1.0795332136445241"/>
    <n v="0.86308903171383233"/>
    <n v="0.85034013605442171"/>
    <n v="1.1213131007097483"/>
    <n v="0.79950206330384943"/>
    <n v="0.7401439088249181"/>
    <n v="-1"/>
    <n v="-1"/>
    <n v="-1"/>
    <n v="-1"/>
    <n v="-1"/>
    <n v="-1"/>
    <n v="-5.5"/>
    <n v="-6"/>
    <n v="-5"/>
    <n v="-4"/>
    <n v="-3"/>
    <s v="TDP HardCore"/>
  </r>
  <r>
    <s v="d34340f6-4b9a-4d6a-8e4f-fd181bcd6470"/>
    <x v="5"/>
    <s v="1/24/2026, 4:13:39 PM"/>
    <s v="16.423209, 81.863873"/>
    <s v="CVF7+59W, Gudapalli, Andhra Pradesh, India"/>
    <x v="4"/>
    <s v="Naeem"/>
    <s v="http://164.52.221.216/localmedia/media/surveys/samples/recording_2026-01-24_16-04-56_samples_PnAhiX2EaD.mp4"/>
    <x v="2"/>
    <x v="0"/>
    <x v="14"/>
    <x v="1"/>
    <s v="హిందూ"/>
    <x v="0"/>
    <s v="laxmanrao"/>
    <n v="9000696869"/>
    <x v="0"/>
    <x v="3"/>
    <x v="2"/>
    <x v="1"/>
    <x v="1"/>
    <x v="1"/>
    <s v="విద్య రంగం అభివృద్ధి చేయటం, ఆరోగ్య రంగం అభివృద్ధి చేయటం, వ్యవసాయం, రైతు బాగుండడం"/>
    <x v="1"/>
    <x v="0"/>
    <x v="1"/>
    <x v="1"/>
    <x v="1"/>
    <x v="1"/>
    <s v="Ashish"/>
    <s v="Correctly Done"/>
    <n v="0"/>
    <x v="0"/>
    <n v="1.1461625511156397"/>
    <n v="1.0795332136445241"/>
    <n v="0.77721139583220644"/>
    <n v="0.85034013605442171"/>
    <n v="1.9264642089343564"/>
    <n v="0.71995135120329123"/>
    <n v="0.70534647283248642"/>
    <n v="-1"/>
    <n v="-1"/>
    <n v="-1"/>
    <n v="-1"/>
    <n v="-1"/>
    <n v="-1"/>
    <n v="-5.5"/>
    <n v="-6"/>
    <n v="-5"/>
    <n v="-4"/>
    <n v="-3"/>
    <s v="TDP HardCore"/>
  </r>
  <r>
    <s v="2ba06d3e-a502-4444-b5ed-60d0f9f4be66"/>
    <x v="5"/>
    <s v="1/24/2026, 4:19:10 PM"/>
    <s v="16.459444, 81.899720"/>
    <s v="FV5X+VQ5, Ponnamanda, Andhra Pradesh, India"/>
    <x v="0"/>
    <s v="Naeem"/>
    <s v="http://164.52.221.216/localmedia/media/surveys/samples/recording_2026-01-24_16-15-30_samples_eSgtMGvmyp.mp4"/>
    <x v="1"/>
    <x v="1"/>
    <x v="15"/>
    <x v="3"/>
    <s v="హిందూ"/>
    <x v="0"/>
    <s v="v.balaakuthana"/>
    <n v="7793997007"/>
    <x v="0"/>
    <x v="5"/>
    <x v="1"/>
    <x v="1"/>
    <x v="1"/>
    <x v="1"/>
    <s v="రోడ్లు వేయటం, విద్య రంగం అభివృద్ధి చేయటం, ఆరోగ్య రంగం అభివృద్ధి చేయటం, వ్యవసాయం, రైతు బాగుండడం"/>
    <x v="1"/>
    <x v="0"/>
    <x v="1"/>
    <x v="1"/>
    <x v="1"/>
    <x v="1"/>
    <s v="Ashish"/>
    <s v="Correctly Done"/>
    <n v="0"/>
    <x v="0"/>
    <n v="1.1705128247062893"/>
    <n v="1.0795332136445241"/>
    <n v="0.86308903171383233"/>
    <n v="0.85034013605442171"/>
    <n v="1.1213131007097483"/>
    <n v="0.79950206330384943"/>
    <n v="0.7401439088249181"/>
    <n v="-1"/>
    <n v="-1"/>
    <n v="-1"/>
    <n v="-1"/>
    <n v="-1"/>
    <n v="-1"/>
    <n v="-5.5"/>
    <n v="-6"/>
    <n v="-5"/>
    <n v="-4"/>
    <n v="-3"/>
    <s v="TDP HardCore"/>
  </r>
  <r>
    <s v="f77c3421-a26a-4c46-9a9c-ac80628ce8ac"/>
    <x v="5"/>
    <s v="1/24/2026, 1:50:13 PM"/>
    <s v="16.422527, 81.861452"/>
    <s v="3-90, Gudapalli, Andhra Pradesh, India"/>
    <x v="4"/>
    <s v="Naeem"/>
    <s v="http://164.52.221.216/localmedia/media/surveys/samples/recording_2026-01-24_13-45-25_samples_3YfKKbxdZD.mp4"/>
    <x v="2"/>
    <x v="0"/>
    <x v="14"/>
    <x v="0"/>
    <s v="హిందూ"/>
    <x v="2"/>
    <s v="krishna"/>
    <n v="7337274638"/>
    <x v="0"/>
    <x v="3"/>
    <x v="2"/>
    <x v="0"/>
    <x v="0"/>
    <x v="0"/>
    <s v="రోడ్లు వేయటం, ఆరోగ్య రంగం అభివృద్ధి చేయటం, వ్యవసాయం, రైతు బాగుండడం"/>
    <x v="0"/>
    <x v="0"/>
    <x v="1"/>
    <x v="1"/>
    <x v="1"/>
    <x v="1"/>
    <s v="Deepika"/>
    <s v="Not Doing It Properly"/>
    <s v="Q8,9 kept his own"/>
    <x v="0"/>
    <n v="1.1461625511156397"/>
    <n v="1.0795332136445241"/>
    <n v="0.77721139583220644"/>
    <n v="0.85034013605442171"/>
    <n v="1.9264642089343564"/>
    <n v="0.71995135120329123"/>
    <n v="0.70534647283248642"/>
    <n v="1"/>
    <n v="1"/>
    <n v="1"/>
    <n v="1"/>
    <n v="-1"/>
    <n v="-1"/>
    <n v="2.5"/>
    <n v="2"/>
    <n v="1"/>
    <n v="0"/>
    <n v="-2"/>
    <s v="Neutral TDP"/>
  </r>
  <r>
    <s v="67ce97d0-42ab-45d2-9232-d3dceef0741c"/>
    <x v="5"/>
    <s v="1/24/2026, 10:45:12 AM"/>
    <s v="16.411305, 81.808685"/>
    <s v="CR65+H94, Malikipuram, Andhra Pradesh, India"/>
    <x v="1"/>
    <s v="Naeem"/>
    <s v="http://164.52.221.216/localmedia/media/surveys/samples/recording_2026-01-24_10-43-41_samples_NbJkucZw3u.mp4"/>
    <x v="2"/>
    <x v="0"/>
    <x v="16"/>
    <x v="0"/>
    <s v="హిందూ"/>
    <x v="0"/>
    <s v="satyanarayana"/>
    <n v="9908361168"/>
    <x v="0"/>
    <x v="1"/>
    <x v="1"/>
    <x v="1"/>
    <x v="1"/>
    <x v="1"/>
    <s v="రోడ్లు వేయటం, ఆరోగ్య రంగం అభివృద్ధి చేయటం, సంక్షేమ పథకాలు (నగదు)"/>
    <x v="1"/>
    <x v="0"/>
    <x v="1"/>
    <x v="1"/>
    <x v="1"/>
    <x v="1"/>
    <s v="Deepika"/>
    <s v="Not Doing It Properly"/>
    <s v="Q1 kept his own"/>
    <x v="0"/>
    <n v="1.1461625511156397"/>
    <n v="1.0795332136445241"/>
    <n v="0.77721139583220644"/>
    <n v="0.85034013605442171"/>
    <n v="1.9264642089343564"/>
    <n v="0.71995135120329123"/>
    <n v="0.70534647283248642"/>
    <n v="-1"/>
    <n v="-1"/>
    <n v="-1"/>
    <n v="-1"/>
    <n v="-1"/>
    <n v="-1"/>
    <n v="-5.5"/>
    <n v="-6"/>
    <n v="-5"/>
    <n v="-4"/>
    <n v="-3"/>
    <s v="TDP HardCore"/>
  </r>
  <r>
    <s v="e37df804-b91b-4b76-a068-4784ab044da9"/>
    <x v="5"/>
    <s v="1/24/2026, 10:36:21 AM"/>
    <s v="16.410968, 81.807711"/>
    <s v="CR64+4XX, Malikipuram, Andhra Pradesh, India"/>
    <x v="1"/>
    <s v="Naeem"/>
    <s v="http://164.52.221.216/localmedia/media/surveys/samples/recording_2026-01-24_10-34-29_samples_FUO520zpEr.mp4"/>
    <x v="0"/>
    <x v="0"/>
    <x v="16"/>
    <x v="2"/>
    <s v="హిందూ"/>
    <x v="3"/>
    <s v="rajash"/>
    <n v="9999999999"/>
    <x v="0"/>
    <x v="1"/>
    <x v="1"/>
    <x v="1"/>
    <x v="1"/>
    <x v="0"/>
    <s v="రోడ్లు వేయటం, ఉద్యొగ్య అవకాశాలు కల్పించటం, శాంతి భద్రతలను కాపాడటం"/>
    <x v="0"/>
    <x v="0"/>
    <x v="0"/>
    <x v="0"/>
    <x v="2"/>
    <x v="0"/>
    <s v="Deepika"/>
    <s v="Not Doing It Properly"/>
    <s v="Q1,12 kept his own not asking phone number"/>
    <x v="0"/>
    <n v="1.3836274505214585"/>
    <n v="1.8055837563451775"/>
    <n v="1.9482662206881376"/>
    <n v="0.85034013605442171"/>
    <n v="1.9264642089343564"/>
    <n v="1.0790228998469584"/>
    <n v="2.1355167697651956"/>
    <n v="-1"/>
    <n v="-1"/>
    <n v="1"/>
    <n v="1"/>
    <n v="1"/>
    <n v="1"/>
    <n v="1.5"/>
    <n v="2"/>
    <n v="3"/>
    <n v="4"/>
    <n v="2"/>
    <s v="YSRCP Sympathiser"/>
  </r>
  <r>
    <s v="a123e9cc-4e5a-4a15-a1fe-00d0dd6ca6ab"/>
    <x v="5"/>
    <s v="1/24/2026, 4:27:27 PM"/>
    <s v="16.458810, 81.901541"/>
    <s v="FW52+9JX, Kadali, Andhra Pradesh, India"/>
    <x v="0"/>
    <s v="Naeem"/>
    <s v="http://164.52.221.216/localmedia/media/surveys/samples/recording_2026-01-24_16-22-54_samples_VGNmcimUnY.mp4"/>
    <x v="0"/>
    <x v="1"/>
    <x v="15"/>
    <x v="0"/>
    <s v="క్రిస్టియన్"/>
    <x v="1"/>
    <s v="Pradeep kumar"/>
    <n v="8465938831"/>
    <x v="0"/>
    <x v="0"/>
    <x v="2"/>
    <x v="0"/>
    <x v="0"/>
    <x v="0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0"/>
    <x v="0"/>
    <x v="0"/>
    <x v="0"/>
    <x v="0"/>
    <x v="0"/>
    <s v="Deepika"/>
    <s v="Correctly Done"/>
    <n v="0"/>
    <x v="0"/>
    <n v="1.3836274505214585"/>
    <n v="1.8055837563451775"/>
    <n v="1.9482662206881376"/>
    <n v="0.85034013605442171"/>
    <n v="1.1213131007097483"/>
    <n v="1.0790228998469584"/>
    <n v="0.90933567693352424"/>
    <n v="1"/>
    <n v="1"/>
    <n v="1"/>
    <n v="1"/>
    <n v="1"/>
    <n v="1"/>
    <n v="5.5"/>
    <n v="6"/>
    <n v="5"/>
    <n v="4"/>
    <n v="3"/>
    <s v="YSRCP HardCore"/>
  </r>
  <r>
    <s v="8e6b772f-9a37-4bcf-91c3-afb309790118"/>
    <x v="5"/>
    <s v="1/24/2026, 4:29:02 PM"/>
    <s v="16.426760, 81.917799"/>
    <s v="Gudapalli pallipalem, Katrevupadu, Andhra Pradesh, India"/>
    <x v="3"/>
    <s v="Naeem"/>
    <s v="http://164.52.221.216/localmedia/media/surveys/samples/recording_2026-01-24_16-27-07_samples_3ch4Xv9N3g.mp4"/>
    <x v="1"/>
    <x v="1"/>
    <x v="18"/>
    <x v="2"/>
    <s v="హిందూ"/>
    <x v="1"/>
    <s v="srinu "/>
    <n v="9999999999"/>
    <x v="0"/>
    <x v="5"/>
    <x v="1"/>
    <x v="1"/>
    <x v="1"/>
    <x v="1"/>
    <s v="రోడ్లు వేయటం, విద్య రంగం అభివృద్ధి చేయటం, ఆరోగ్య రంగం అభివృద్ధి చేయటం"/>
    <x v="1"/>
    <x v="0"/>
    <x v="1"/>
    <x v="1"/>
    <x v="1"/>
    <x v="1"/>
    <s v="Ashish"/>
    <s v="Correctly Done"/>
    <n v="0"/>
    <x v="0"/>
    <n v="1.1705128247062893"/>
    <n v="1.0795332136445241"/>
    <n v="0.86308903171383233"/>
    <n v="0.85034013605442171"/>
    <n v="1.1213131007097483"/>
    <n v="0.79950206330384943"/>
    <n v="0.7401439088249181"/>
    <n v="-1"/>
    <n v="-1"/>
    <n v="-1"/>
    <n v="-1"/>
    <n v="-1"/>
    <n v="-1"/>
    <n v="-5.5"/>
    <n v="-6"/>
    <n v="-5"/>
    <n v="-4"/>
    <n v="-3"/>
    <s v="TDP HardCore"/>
  </r>
  <r>
    <s v="82681f9a-0359-443d-a94a-d906a7a073b1"/>
    <x v="5"/>
    <s v="1/24/2026, 7:02:57 PM"/>
    <s v="16.447291, 81.898698"/>
    <s v="ponnamanda Main Road, Ponnamanda, Andhra Pradesh, India"/>
    <x v="0"/>
    <s v="Naeem"/>
    <s v="http://164.52.221.216/localmedia/media/surveys/samples/recording_2026-01-24_18-59-38_samples_Ncb5jcfje8.mp4"/>
    <x v="2"/>
    <x v="1"/>
    <x v="17"/>
    <x v="6"/>
    <s v="హిందూ"/>
    <x v="0"/>
    <s v="Lakshmi.a"/>
    <n v="0"/>
    <x v="1"/>
    <x v="5"/>
    <x v="1"/>
    <x v="1"/>
    <x v="1"/>
    <x v="1"/>
    <s v="ఉద్యొగ్య అవకాశాలు కల్పించటం, ఆరోగ్య రంగం అభివృద్ధి చేయటం, వ్యవసాయం, రైతు బాగుండడం, సంక్షేమ పథకాలు (నగదు)"/>
    <x v="1"/>
    <x v="2"/>
    <x v="1"/>
    <x v="1"/>
    <x v="1"/>
    <x v="1"/>
    <s v="Ashish"/>
    <s v="Fake Audio/Empty Audio"/>
    <s v="All options entered on his own"/>
    <x v="1"/>
    <n v="1.1461625511156397"/>
    <n v="1.0795332136445241"/>
    <n v="3.0326483876590018"/>
    <n v="2.1645021645021645"/>
    <n v="1.1213131007097483"/>
    <n v="2.8092219390089208"/>
    <n v="1.8020838461961379"/>
    <n v="-1"/>
    <n v="-1"/>
    <n v="-1"/>
    <n v="-1"/>
    <n v="-1"/>
    <n v="-1"/>
    <n v="-5.5"/>
    <n v="-6"/>
    <n v="-5"/>
    <n v="-4"/>
    <n v="-3"/>
    <s v="TDP HardCore"/>
  </r>
  <r>
    <s v="96738174-40ff-4541-83bf-756f0003bdd9"/>
    <x v="5"/>
    <s v="1/24/2026, 4:39:34 PM"/>
    <s v="16.458907, 81.904929"/>
    <s v="FW53+2W7, Razole, Andhra Pradesh, India"/>
    <x v="0"/>
    <s v="Naeem"/>
    <s v="http://164.52.221.216/localmedia/media/surveys/samples/recording_2026-01-24_16-35-53_samples_mWtBBjLxIV.mp4"/>
    <x v="8"/>
    <x v="1"/>
    <x v="15"/>
    <x v="0"/>
    <s v="హిందూ"/>
    <x v="2"/>
    <s v="Sriram old.kodela"/>
    <n v="0"/>
    <x v="0"/>
    <x v="5"/>
    <x v="1"/>
    <x v="0"/>
    <x v="0"/>
    <x v="0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0"/>
    <x v="0"/>
    <x v="1"/>
    <x v="1"/>
    <x v="1"/>
    <x v="1"/>
    <s v="Ashish"/>
    <s v="Correctly Done"/>
    <n v="0"/>
    <x v="0"/>
    <n v="0.80207032429970992"/>
    <n v="1.0795332136445241"/>
    <n v="0.65595572330316032"/>
    <n v="0.85034013605442171"/>
    <n v="1.1213131007097483"/>
    <n v="0.60762903356038633"/>
    <n v="0.38672994380094594"/>
    <n v="1"/>
    <n v="1"/>
    <n v="1"/>
    <n v="1"/>
    <n v="-1"/>
    <n v="-1"/>
    <n v="2.5"/>
    <n v="2"/>
    <n v="1"/>
    <n v="0"/>
    <n v="-2"/>
    <s v="Neutral TDP"/>
  </r>
  <r>
    <s v="a07159f9-84a3-4bc9-a2da-f3c9b8618f5a"/>
    <x v="5"/>
    <s v="1/24/2026, 4:52:09 PM"/>
    <s v="16.428872, 81.918624"/>
    <s v="CWJ9+9X, Katrevupadu, Andhra Pradesh, India"/>
    <x v="3"/>
    <s v="Naeem"/>
    <s v="http://164.52.221.216/localmedia/media/surveys/samples/recording_2026-01-24_16-47-51_samples_oMIw5MrLGU.mp4"/>
    <x v="8"/>
    <x v="1"/>
    <x v="18"/>
    <x v="0"/>
    <s v="క్రిస్టియన్"/>
    <x v="1"/>
    <s v="yesubabu"/>
    <n v="7093114367"/>
    <x v="0"/>
    <x v="5"/>
    <x v="1"/>
    <x v="1"/>
    <x v="1"/>
    <x v="1"/>
    <s v="రోడ్లు వేయటం, ఆరోగ్య రంగం అభివృద్ధి చేయటం, వ్యవసాయం, రైతు బాగుండడం"/>
    <x v="1"/>
    <x v="0"/>
    <x v="1"/>
    <x v="1"/>
    <x v="1"/>
    <x v="1"/>
    <s v="Ashish"/>
    <s v="Correctly Done"/>
    <n v="0"/>
    <x v="0"/>
    <n v="0.80207032429970992"/>
    <n v="1.0795332136445241"/>
    <n v="0.65595572330316032"/>
    <n v="0.85034013605442171"/>
    <n v="1.1213131007097483"/>
    <n v="0.60762903356038633"/>
    <n v="0.38672994380094594"/>
    <n v="-1"/>
    <n v="-1"/>
    <n v="-1"/>
    <n v="-1"/>
    <n v="-1"/>
    <n v="-1"/>
    <n v="-5.5"/>
    <n v="-6"/>
    <n v="-5"/>
    <n v="-4"/>
    <n v="-3"/>
    <s v="TDP HardCore"/>
  </r>
  <r>
    <s v="7bd8c8fc-b2bd-49a5-966f-3bc2d5498d18"/>
    <x v="5"/>
    <s v="1/24/2026, 3:11:46 PM"/>
    <s v="18.658872, 77.896192"/>
    <s v="MV5W+HG2, Saraswathi Nagar, Pandu Tarfa (Bodhan Urban), Telangana, India"/>
    <x v="6"/>
    <s v="Naeem"/>
    <s v="http://164.52.221.216/localmedia/media/surveys/samples/recording_2026-01-24_15-10-49_samples_kl1BGxhWV2.mp4"/>
    <x v="0"/>
    <x v="0"/>
    <x v="16"/>
    <x v="2"/>
    <s v="హిందూ"/>
    <x v="1"/>
    <s v="dummy"/>
    <n v="0"/>
    <x v="0"/>
    <x v="3"/>
    <x v="2"/>
    <x v="1"/>
    <x v="1"/>
    <x v="1"/>
    <s v="ఉద్యొగ్య అవకాశాలు కల్పించటం"/>
    <x v="0"/>
    <x v="1"/>
    <x v="0"/>
    <x v="0"/>
    <x v="2"/>
    <x v="5"/>
    <s v="Ashish"/>
    <s v="Correctly Done"/>
    <s v="Dummy audio"/>
    <x v="0"/>
    <n v="1.3836274505214585"/>
    <n v="1.8055837563451775"/>
    <n v="1.9482662206881376"/>
    <n v="0.85034013605442171"/>
    <n v="1.9264642089343564"/>
    <n v="1.0790228998469584"/>
    <n v="2.1355167697651956"/>
    <n v="-1"/>
    <n v="-1"/>
    <n v="-1"/>
    <n v="1"/>
    <n v="1"/>
    <n v="1"/>
    <n v="-0.5"/>
    <n v="0"/>
    <n v="1"/>
    <n v="2"/>
    <n v="2"/>
    <s v="Neutral YSRCP"/>
  </r>
  <r>
    <s v="91ce88b4-7772-482f-8959-7047a48946d6"/>
    <x v="5"/>
    <s v="1/24/2026, 6:49:33 PM"/>
    <s v="16.446685, 81.903746"/>
    <s v="CWW3+P94, Ponnamanda, Andhra Pradesh, India"/>
    <x v="0"/>
    <s v="Naeem"/>
    <s v="http://164.52.221.216/localmedia/media/surveys/samples/recording_2026-01-24_18-44-12_samples_PSNSgx0EAz.mp4"/>
    <x v="0"/>
    <x v="1"/>
    <x v="17"/>
    <x v="6"/>
    <s v="క్రిస్టియన్"/>
    <x v="1"/>
    <s v="devanagari.d"/>
    <n v="0"/>
    <x v="1"/>
    <x v="4"/>
    <x v="1"/>
    <x v="1"/>
    <x v="0"/>
    <x v="0"/>
    <s v="రోడ్లు వేయటం, ఉద్యొగ్య అవకాశాలు కల్పించటం, ఆరోగ్య రంగం అభివృద్ధి చేయటం, వ్యవసాయం, రైతు బాగుండడం, సంక్షేమ పథకాలు (నగదు)"/>
    <x v="0"/>
    <x v="1"/>
    <x v="0"/>
    <x v="3"/>
    <x v="1"/>
    <x v="1"/>
    <s v="Ashish"/>
    <s v="Fake Audio/Empty Audio"/>
    <s v="All options entered on his own"/>
    <x v="1"/>
    <n v="1.3836274505214585"/>
    <n v="0.66153846153846207"/>
    <n v="1.2753497331114214"/>
    <n v="2.1645021645021645"/>
    <n v="1.1213131007097483"/>
    <n v="1.9278542477265657"/>
    <n v="1.2302776805571209"/>
    <n v="-1"/>
    <n v="1"/>
    <n v="1"/>
    <n v="1"/>
    <n v="-1"/>
    <n v="1"/>
    <n v="2.5"/>
    <n v="2"/>
    <n v="1"/>
    <n v="2"/>
    <s v="ND"/>
    <s v="ND"/>
  </r>
  <r>
    <s v="fe6a89bf-ad0b-4345-9b7c-23c3fe772fde"/>
    <x v="5"/>
    <s v="1/24/2026, 5:18:28 PM"/>
    <s v="16.458562, 81.905608"/>
    <s v="No address"/>
    <x v="0"/>
    <s v="Naeem"/>
    <s v="http://164.52.221.216/localmedia/media/surveys/samples/recording_2026-01-24_17-12-44_samples_n874YVzO26.mp4"/>
    <x v="8"/>
    <x v="1"/>
    <x v="15"/>
    <x v="4"/>
    <s v="హిందూ"/>
    <x v="1"/>
    <s v="srinivas"/>
    <n v="8121435041"/>
    <x v="0"/>
    <x v="3"/>
    <x v="2"/>
    <x v="1"/>
    <x v="1"/>
    <x v="0"/>
    <s v="రోడ్లు వేయటం, ఉద్యొగ్య అవకాశాలు కల్పించటం, ఆరోగ్య రంగం అభివృద్ధి చేయటం"/>
    <x v="1"/>
    <x v="0"/>
    <x v="1"/>
    <x v="1"/>
    <x v="1"/>
    <x v="1"/>
    <s v="Deepika"/>
    <s v="Correctly Done"/>
    <n v="0"/>
    <x v="0"/>
    <n v="0.80207032429970992"/>
    <n v="1.0795332136445241"/>
    <n v="0.65595572330316032"/>
    <n v="0.85034013605442171"/>
    <n v="1.1213131007097483"/>
    <n v="0.60762903356038633"/>
    <n v="0.38672994380094594"/>
    <n v="-1"/>
    <n v="-1"/>
    <n v="1"/>
    <n v="-1"/>
    <n v="-1"/>
    <n v="-1"/>
    <n v="-3.5"/>
    <n v="-4"/>
    <n v="-3"/>
    <n v="-2"/>
    <n v="-3"/>
    <s v="Neutral TDP"/>
  </r>
  <r>
    <s v="41e8ddeb-6fa1-469e-bf55-f1c4f7c1e6b1"/>
    <x v="5"/>
    <s v="1/24/2026, 11:29:51 AM"/>
    <s v="16.410713, 81.807991"/>
    <s v="CR65+684, Malikipuram, Andhra Pradesh, India"/>
    <x v="1"/>
    <s v="Naeem"/>
    <s v="http://164.52.221.216/localmedia/media/surveys/samples/recording_2026-01-24_11-28-40_samples_egq2Yo4aX5.mp4"/>
    <x v="2"/>
    <x v="0"/>
    <x v="16"/>
    <x v="3"/>
    <s v="హిందూ"/>
    <x v="0"/>
    <s v="suresh"/>
    <n v="9959351236"/>
    <x v="0"/>
    <x v="1"/>
    <x v="1"/>
    <x v="1"/>
    <x v="1"/>
    <x v="1"/>
    <s v="రోడ్లు వేయటం, ఉద్యొగ్య అవకాశాలు కల్పించటం, ఆరోగ్య రంగం అభివృద్ధి చేయటం"/>
    <x v="1"/>
    <x v="0"/>
    <x v="1"/>
    <x v="1"/>
    <x v="1"/>
    <x v="1"/>
    <s v="Deepika"/>
    <s v="Not Doing It Properly"/>
    <s v="Q1 kept his own"/>
    <x v="0"/>
    <n v="1.1461625511156397"/>
    <n v="1.0795332136445241"/>
    <n v="0.77721139583220644"/>
    <n v="0.85034013605442171"/>
    <n v="1.9264642089343564"/>
    <n v="0.71995135120329123"/>
    <n v="0.70534647283248642"/>
    <n v="-1"/>
    <n v="-1"/>
    <n v="-1"/>
    <n v="-1"/>
    <n v="-1"/>
    <n v="-1"/>
    <n v="-5.5"/>
    <n v="-6"/>
    <n v="-5"/>
    <n v="-4"/>
    <n v="-3"/>
    <s v="TDP HardCore"/>
  </r>
  <r>
    <s v="f480585a-0db5-4637-a40a-7272ad0dc4ba"/>
    <x v="5"/>
    <s v="1/24/2026, 5:45:18 PM"/>
    <s v="16.447101, 81.906928"/>
    <s v="Sri venkateswara enterprises and wood works ponnamanda madugu center start point of ponnamanda, ponnamanada, Andhra Pradesh, India"/>
    <x v="0"/>
    <s v="Naeem"/>
    <s v="http://164.52.221.216/localmedia/media/surveys/samples/recording_2026-01-24_17-41-08_samples_x7WiUkhj7l.mp4"/>
    <x v="1"/>
    <x v="1"/>
    <x v="17"/>
    <x v="0"/>
    <s v="హిందూ"/>
    <x v="1"/>
    <s v="prasadhu.kadali"/>
    <n v="9177547919"/>
    <x v="0"/>
    <x v="3"/>
    <x v="1"/>
    <x v="1"/>
    <x v="1"/>
    <x v="1"/>
    <s v="రోడ్లు వేయటం, ఉద్యొగ్య అవకాశాలు కల్పించటం, వ్యవసాయం, రైతు బాగుండడం, సంక్షేమ పథకాలు (నగదు)"/>
    <x v="1"/>
    <x v="1"/>
    <x v="1"/>
    <x v="1"/>
    <x v="1"/>
    <x v="1"/>
    <s v="Ashish"/>
    <s v="Correctly Done"/>
    <n v="0"/>
    <x v="0"/>
    <n v="1.1705128247062893"/>
    <n v="1.0795332136445241"/>
    <n v="0.86308903171383233"/>
    <n v="0.85034013605442171"/>
    <n v="1.1213131007097483"/>
    <n v="0.79950206330384943"/>
    <n v="0.7401439088249181"/>
    <n v="-1"/>
    <n v="-1"/>
    <n v="-1"/>
    <n v="-1"/>
    <n v="-1"/>
    <n v="-1"/>
    <n v="-5.5"/>
    <n v="-6"/>
    <n v="-5"/>
    <n v="-4"/>
    <n v="-3"/>
    <s v="TDP HardCore"/>
  </r>
  <r>
    <s v="0d2d9f31-046d-431e-832d-49dacb37b035"/>
    <x v="5"/>
    <s v="1/24/2026, 6:13:35 PM"/>
    <s v="16.446467, 81.903618"/>
    <s v="CWW3+P94, Ponnamanda, Andhra Pradesh, India"/>
    <x v="0"/>
    <s v="Naeem"/>
    <s v="http://164.52.221.216/localmedia/media/surveys/samples/recording_2026-01-24_18-08-47_samples_DfslnAxAxR.mp4"/>
    <x v="6"/>
    <x v="1"/>
    <x v="18"/>
    <x v="0"/>
    <s v="హిందూ"/>
    <x v="1"/>
    <s v="viraraju.s"/>
    <n v="7093080518"/>
    <x v="0"/>
    <x v="2"/>
    <x v="1"/>
    <x v="1"/>
    <x v="0"/>
    <x v="1"/>
    <s v="రోడ్లు వేయటం, ఆరోగ్య రంగం అభివృద్ధి చేయటం, సంక్షేమ పథకాలు (నగదు)"/>
    <x v="1"/>
    <x v="0"/>
    <x v="1"/>
    <x v="1"/>
    <x v="1"/>
    <x v="1"/>
    <s v="Ashish"/>
    <s v="Correctly Done"/>
    <n v="0"/>
    <x v="0"/>
    <n v="1.2612194085121222"/>
    <n v="1.0795332136445241"/>
    <n v="0.92029223709519836"/>
    <n v="0.85034013605442171"/>
    <n v="1.1213131007097483"/>
    <n v="0.85249089649430487"/>
    <n v="1.3317727120335781"/>
    <n v="-1"/>
    <n v="1"/>
    <n v="-1"/>
    <n v="-1"/>
    <n v="-1"/>
    <n v="-1"/>
    <n v="-3.5"/>
    <n v="-4"/>
    <n v="-5"/>
    <n v="-4"/>
    <n v="-3"/>
    <s v="TDP Sympathiser"/>
  </r>
  <r>
    <s v="aadb6739-39ae-47b0-9872-194415f346ec"/>
    <x v="5"/>
    <s v="1/24/2026, 6:55:04 PM"/>
    <s v="16.447015, 81.902208"/>
    <s v="CWW2+MWQ, Ponnamanda, Andhra Pradesh, India"/>
    <x v="0"/>
    <s v="Naeem"/>
    <s v="http://164.52.221.216/localmedia/media/surveys/samples/recording_2026-01-24_18-51-24_samples_ShADVMyuLH.mp4"/>
    <x v="2"/>
    <x v="1"/>
    <x v="18"/>
    <x v="1"/>
    <s v="హిందూ"/>
    <x v="1"/>
    <s v="Murali.adabala"/>
    <n v="9704662454"/>
    <x v="0"/>
    <x v="3"/>
    <x v="1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"/>
    <x v="1"/>
    <x v="0"/>
    <x v="1"/>
    <x v="1"/>
    <x v="1"/>
    <x v="1"/>
    <s v="Ashish"/>
    <s v="Correctly Done"/>
    <n v="0"/>
    <x v="0"/>
    <n v="1.1461625511156397"/>
    <n v="1.0795332136445241"/>
    <n v="0.77721139583220644"/>
    <n v="0.85034013605442171"/>
    <n v="1.1213131007097483"/>
    <n v="0.71995135120329123"/>
    <n v="1.3370299504035861"/>
    <n v="-1"/>
    <n v="-1"/>
    <n v="-1"/>
    <n v="-1"/>
    <n v="-1"/>
    <n v="-1"/>
    <n v="-5.5"/>
    <n v="-6"/>
    <n v="-5"/>
    <n v="-4"/>
    <n v="-3"/>
    <s v="TDP HardCore"/>
  </r>
  <r>
    <s v="c30a94e5-e1f4-4a4b-a3e6-2cc3961d9e8c"/>
    <x v="5"/>
    <s v="1/24/2026, 9:09:20 AM"/>
    <s v="16.414616, 81.806789"/>
    <s v="Shop No.7-1/2 Dorababu Complex Main Road, Malikipuram, Andhra Pradesh, India"/>
    <x v="1"/>
    <s v="Naeem"/>
    <s v="http://164.52.221.216/localmedia/media/surveys/samples/recording_2026-01-24_09-06-34_samples_0w0mRBHi2I.mp4"/>
    <x v="0"/>
    <x v="0"/>
    <x v="16"/>
    <x v="2"/>
    <s v="క్రిస్టియన్"/>
    <x v="0"/>
    <s v="ravi"/>
    <n v="9999999999"/>
    <x v="0"/>
    <x v="3"/>
    <x v="1"/>
    <x v="1"/>
    <x v="1"/>
    <x v="0"/>
    <s v="రోడ్లు వేయటం, విద్య రంగం అభివృద్ధి చేయటం, ఆరోగ్య రంగం అభివృద్ధి చేయటం"/>
    <x v="0"/>
    <x v="0"/>
    <x v="0"/>
    <x v="0"/>
    <x v="2"/>
    <x v="2"/>
    <s v="Ashish"/>
    <s v="Correctly Done"/>
    <s v="Didn't ask caste"/>
    <x v="0"/>
    <n v="1.3836274505214585"/>
    <n v="1.8055837563451775"/>
    <n v="1.9482662206881376"/>
    <n v="0.85034013605442171"/>
    <n v="1.9264642089343564"/>
    <n v="1.0790228998469584"/>
    <n v="2.1355167697651956"/>
    <n v="-1"/>
    <n v="-1"/>
    <n v="1"/>
    <n v="1"/>
    <n v="1"/>
    <n v="1"/>
    <n v="1.5"/>
    <n v="2"/>
    <n v="3"/>
    <n v="4"/>
    <n v="2"/>
    <s v="YSRCP Sympathiser"/>
  </r>
  <r>
    <s v="a793aa3e-efac-4ea1-b228-e22c9a4a6dd7"/>
    <x v="5"/>
    <s v="1/24/2026, 9:10:30 AM"/>
    <s v="16.426136, 81.843769"/>
    <s v="CRGV+GGC, Lakkavaram, Andhra Pradesh, India"/>
    <x v="5"/>
    <s v="Naeem"/>
    <s v="http://164.52.221.216/localmedia/media/surveys/samples/recording_2026-01-24_09-05-32_samples_jK9aQmDCi0.mp4"/>
    <x v="2"/>
    <x v="0"/>
    <x v="0"/>
    <x v="1"/>
    <s v="హిందూ"/>
    <x v="0"/>
    <s v="p rambabu"/>
    <n v="9059251616"/>
    <x v="0"/>
    <x v="2"/>
    <x v="1"/>
    <x v="1"/>
    <x v="1"/>
    <x v="1"/>
    <s v="రోడ్లు వేయటం, ఉద్యొగ్య అవకాశాలు కల్పించటం, విద్య రంగం అభివృద్ధి చేయటం, సంక్షేమ పథకాలు (నగదు)"/>
    <x v="1"/>
    <x v="0"/>
    <x v="1"/>
    <x v="1"/>
    <x v="1"/>
    <x v="1"/>
    <s v="Ashish"/>
    <s v="Correctly Done"/>
    <s v="wrong caste - Vysya"/>
    <x v="0"/>
    <n v="1.1461625511156397"/>
    <n v="1.0795332136445241"/>
    <n v="0.77721139583220644"/>
    <n v="0.85034013605442171"/>
    <n v="1.9264642089343564"/>
    <n v="0.71995135120329123"/>
    <n v="0.70534647283248642"/>
    <n v="-1"/>
    <n v="-1"/>
    <n v="-1"/>
    <n v="-1"/>
    <n v="-1"/>
    <n v="-1"/>
    <n v="-5.5"/>
    <n v="-6"/>
    <n v="-5"/>
    <n v="-4"/>
    <n v="-3"/>
    <s v="TDP HardCore"/>
  </r>
  <r>
    <s v="ff779782-d934-4705-a06e-375b4421f39d"/>
    <x v="5"/>
    <s v="1/24/2026, 9:12:47 AM"/>
    <s v="16.415313, 81.807685"/>
    <s v="CR85+33Q, మలికిపురం, ఆంధ్ర ప్రదేశ్, India"/>
    <x v="1"/>
    <s v="Naeem"/>
    <s v="http://164.52.221.216/localmedia/media/surveys/samples/recording_2026-01-24_09-11-12_samples_QUOy9cXO3g.mp4"/>
    <x v="2"/>
    <x v="0"/>
    <x v="16"/>
    <x v="0"/>
    <s v="హిందూ"/>
    <x v="0"/>
    <s v="nageswarao"/>
    <n v="9182568667"/>
    <x v="0"/>
    <x v="3"/>
    <x v="1"/>
    <x v="1"/>
    <x v="1"/>
    <x v="1"/>
    <s v="రోడ్లు వేయటం, ఉద్యొగ్య అవకాశాలు కల్పించటం, ఆరోగ్య రంగం అభివృద్ధి చేయటం, సంక్షేమ పథకాలు (నగదు)"/>
    <x v="1"/>
    <x v="0"/>
    <x v="1"/>
    <x v="1"/>
    <x v="1"/>
    <x v="1"/>
    <s v="Ashish"/>
    <s v="Correctly Done"/>
    <n v="0"/>
    <x v="0"/>
    <n v="1.1461625511156397"/>
    <n v="1.0795332136445241"/>
    <n v="0.77721139583220644"/>
    <n v="0.85034013605442171"/>
    <n v="1.9264642089343564"/>
    <n v="0.71995135120329123"/>
    <n v="0.70534647283248642"/>
    <n v="-1"/>
    <n v="-1"/>
    <n v="-1"/>
    <n v="-1"/>
    <n v="-1"/>
    <n v="-1"/>
    <n v="-5.5"/>
    <n v="-6"/>
    <n v="-5"/>
    <n v="-4"/>
    <n v="-3"/>
    <s v="TDP HardCore"/>
  </r>
  <r>
    <s v="9018edb2-55e4-4bc3-adb1-e4aa7e644bef"/>
    <x v="5"/>
    <s v="1/24/2026, 9:18:44 AM"/>
    <s v="16.414777, 81.807163"/>
    <s v="No 3/346, Malikipuram, Andhra Pradesh, India"/>
    <x v="1"/>
    <s v="Naeem"/>
    <s v="http://164.52.221.216/localmedia/media/surveys/samples/recording_2026-01-24_09-16-57_samples_XOVgi9IVZY.mp4"/>
    <x v="2"/>
    <x v="0"/>
    <x v="16"/>
    <x v="1"/>
    <s v="హిందూ"/>
    <x v="0"/>
    <s v="srinevas "/>
    <n v="9999999999"/>
    <x v="0"/>
    <x v="1"/>
    <x v="1"/>
    <x v="1"/>
    <x v="1"/>
    <x v="1"/>
    <s v="రోడ్లు వేయటం, ఉద్యొగ్య అవకాశాలు కల్పించటం, ఆరోగ్య రంగం అభివృద్ధి చేయటం, సంక్షేమ పథకాలు (నగదు)"/>
    <x v="1"/>
    <x v="0"/>
    <x v="1"/>
    <x v="1"/>
    <x v="1"/>
    <x v="1"/>
    <s v="Ashish"/>
    <s v="Correctly Done"/>
    <n v="0"/>
    <x v="0"/>
    <n v="1.1461625511156397"/>
    <n v="1.0795332136445241"/>
    <n v="0.77721139583220644"/>
    <n v="0.85034013605442171"/>
    <n v="1.9264642089343564"/>
    <n v="0.71995135120329123"/>
    <n v="0.70534647283248642"/>
    <n v="-1"/>
    <n v="-1"/>
    <n v="-1"/>
    <n v="-1"/>
    <n v="-1"/>
    <n v="-1"/>
    <n v="-5.5"/>
    <n v="-6"/>
    <n v="-5"/>
    <n v="-4"/>
    <n v="-3"/>
    <s v="TDP HardCore"/>
  </r>
  <r>
    <s v="9bcf045f-e0da-4873-a12e-67774e2ad4ce"/>
    <x v="5"/>
    <s v="1/24/2026, 1:45:25 PM"/>
    <s v="16.424026, 81.839305"/>
    <s v="CRFR+22R, Lakkavaram, Andhra Pradesh, India"/>
    <x v="5"/>
    <s v="Naeem"/>
    <s v="http://164.52.221.216/localmedia/media/surveys/samples/recording_2026-01-24_13-39-34_samples_yX8ixjru5x.mp4"/>
    <x v="2"/>
    <x v="0"/>
    <x v="0"/>
    <x v="6"/>
    <s v="క్రిస్టియన్"/>
    <x v="0"/>
    <s v="miriyala satyavathi"/>
    <n v="9959683564"/>
    <x v="1"/>
    <x v="3"/>
    <x v="0"/>
    <x v="1"/>
    <x v="1"/>
    <x v="1"/>
    <s v="రోడ్లు వేయటం, విద్య రంగం అభివృద్ధి చేయటం, ఆరోగ్య రంగం అభివృద్ధి చేయటం"/>
    <x v="1"/>
    <x v="2"/>
    <x v="1"/>
    <x v="1"/>
    <x v="1"/>
    <x v="1"/>
    <s v="Deepika"/>
    <s v="Not Doing It Properly"/>
    <s v="Q9 kept his own"/>
    <x v="0"/>
    <n v="1.1461625511156397"/>
    <n v="1.0795332136445241"/>
    <n v="3.0326483876590018"/>
    <n v="2.1645021645021645"/>
    <n v="1.9264642089343564"/>
    <n v="2.8092219390089208"/>
    <n v="6.3481182554923778"/>
    <n v="-1"/>
    <n v="-1"/>
    <n v="-1"/>
    <n v="-1"/>
    <n v="-1"/>
    <n v="-1"/>
    <n v="-5.5"/>
    <n v="-6"/>
    <n v="-5"/>
    <n v="-4"/>
    <n v="-3"/>
    <s v="TDP HardCore"/>
  </r>
  <r>
    <s v="ea2b84e8-1ee4-45c4-8917-8302debbfab9"/>
    <x v="5"/>
    <s v="1/24/2026, 11:42:19 AM"/>
    <s v="16.539086, 81.942078"/>
    <s v="GWQR+MGH, Pedapatnam, Andhra Pradesh, India"/>
    <x v="3"/>
    <s v="Naeem"/>
    <s v="http://164.52.221.216/localmedia/media/surveys/samples/recording_2026-01-24_11-38-26_samples_0ZMLriTgFo.mp4"/>
    <x v="6"/>
    <x v="2"/>
    <x v="3"/>
    <x v="0"/>
    <s v="హిందూ"/>
    <x v="2"/>
    <s v="nageswararao"/>
    <n v="9999999999"/>
    <x v="1"/>
    <x v="5"/>
    <x v="1"/>
    <x v="1"/>
    <x v="1"/>
    <x v="1"/>
    <s v="ఉద్యొగ్య అవకాశాలు కల్పించటం, విద్య రంగం అభివృద్ధి చేయటం, ఆరోగ్య రంగం అభివృద్ధి చేయటం"/>
    <x v="1"/>
    <x v="0"/>
    <x v="1"/>
    <x v="2"/>
    <x v="1"/>
    <x v="1"/>
    <s v="Bhagya"/>
    <s v="Not Doing It Properly"/>
    <s v="Gender -Male"/>
    <x v="0"/>
    <n v="1.2612194085121222"/>
    <n v="0.66153846153846207"/>
    <n v="1.6028209406152043"/>
    <n v="2.1645021645021645"/>
    <n v="0.75433779645928134"/>
    <n v="2.4228688637206557"/>
    <n v="5.174109875705593"/>
    <n v="-1"/>
    <n v="-1"/>
    <n v="-1"/>
    <n v="-1"/>
    <n v="-1"/>
    <n v="-1"/>
    <n v="-5.5"/>
    <n v="-6"/>
    <n v="-5"/>
    <n v="-4"/>
    <n v="-3"/>
    <s v="TDP HardCore"/>
  </r>
  <r>
    <s v="5f9a6a6f-abab-4435-828d-d0858eeddf68"/>
    <x v="5"/>
    <s v="1/24/2026, 9:25:51 AM"/>
    <s v="16.539226, 81.943684"/>
    <s v="GWQV+M2V, Lanka, Botlakurru Doddavaram, Andhra Pradesh, India"/>
    <x v="3"/>
    <s v="Naeem"/>
    <s v="http://164.52.221.216/localmedia/media/surveys/samples/recording_2026-01-24_09-22-18_samples_5Clvg3GVjJ.mp4"/>
    <x v="2"/>
    <x v="2"/>
    <x v="3"/>
    <x v="1"/>
    <s v="హిందూ"/>
    <x v="0"/>
    <s v="veranna"/>
    <n v="9999999999"/>
    <x v="0"/>
    <x v="5"/>
    <x v="1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0"/>
    <x v="1"/>
    <x v="0"/>
    <x v="0"/>
    <x v="2"/>
    <s v="Ashish"/>
    <s v="Correctly Done"/>
    <n v="0"/>
    <x v="0"/>
    <n v="1.1461625511156397"/>
    <n v="1.8055837563451775"/>
    <n v="1.2999324650914248"/>
    <n v="0.85034013605442171"/>
    <n v="0.75433779645928134"/>
    <n v="0.71995135120329123"/>
    <n v="0.55527787174877274"/>
    <n v="-1"/>
    <n v="-1"/>
    <n v="-1"/>
    <n v="-1"/>
    <n v="1"/>
    <n v="-1"/>
    <n v="-4.5"/>
    <n v="-4"/>
    <n v="-3"/>
    <n v="-2"/>
    <n v="-2"/>
    <s v="Neutral TDP"/>
  </r>
  <r>
    <s v="6ef2344e-6c80-4489-a6b6-8c377e855ccc"/>
    <x v="5"/>
    <s v="1/24/2026, 9:31:09 AM"/>
    <s v="16.413826, 81.808124"/>
    <s v="Medicherla.Satyanarayana's House, Malikipuram, Andhra Pradesh, India"/>
    <x v="1"/>
    <s v="Naeem"/>
    <s v="http://164.52.221.216/localmedia/media/surveys/samples/recording_2026-01-24_09-29-15_samples_UWnLPR3nQT.mp4"/>
    <x v="2"/>
    <x v="0"/>
    <x v="16"/>
    <x v="1"/>
    <s v="హిందూ"/>
    <x v="2"/>
    <s v="vekatasubarao"/>
    <n v="9849349509"/>
    <x v="0"/>
    <x v="0"/>
    <x v="1"/>
    <x v="1"/>
    <x v="1"/>
    <x v="1"/>
    <s v="రోడ్లు వేయటం, విద్య రంగం అభివృద్ధి చేయటం, వ్యవసాయం, రైతు బాగుండడం"/>
    <x v="1"/>
    <x v="0"/>
    <x v="1"/>
    <x v="1"/>
    <x v="1"/>
    <x v="1"/>
    <s v="Ashish"/>
    <s v="Correctly Done"/>
    <n v="0"/>
    <x v="0"/>
    <n v="1.1461625511156397"/>
    <n v="1.0795332136445241"/>
    <n v="0.77721139583220644"/>
    <n v="0.85034013605442171"/>
    <n v="1.9264642089343564"/>
    <n v="0.71995135120329123"/>
    <n v="0.70534647283248642"/>
    <n v="-1"/>
    <n v="-1"/>
    <n v="-1"/>
    <n v="-1"/>
    <n v="-1"/>
    <n v="-1"/>
    <n v="-5.5"/>
    <n v="-6"/>
    <n v="-5"/>
    <n v="-4"/>
    <n v="-3"/>
    <s v="TDP HardCore"/>
  </r>
  <r>
    <s v="afc6625c-ee69-4f92-8a38-179479c5d9a8"/>
    <x v="5"/>
    <s v="1/24/2026, 9:31:31 AM"/>
    <s v="16.424152, 81.843397"/>
    <s v="CRFV+J7H, Lakkavaram, Andhra Pradesh, India"/>
    <x v="5"/>
    <s v="Naeem"/>
    <s v="http://164.52.221.216/localmedia/media/surveys/samples/recording_2026-01-24_09-26-02_samples_XIB5IsVRq2.mp4"/>
    <x v="0"/>
    <x v="0"/>
    <x v="0"/>
    <x v="0"/>
    <s v="క్రిస్టియన్"/>
    <x v="0"/>
    <s v="asirvad"/>
    <n v="9000000000"/>
    <x v="0"/>
    <x v="3"/>
    <x v="0"/>
    <x v="0"/>
    <x v="0"/>
    <x v="0"/>
    <s v="విద్య రంగం అభివృద్ధి చేయటం, ఆరోగ్య రంగం అభివృద్ధి చేయటం, వ్యవసాయం, రైతు బాగుండడం"/>
    <x v="0"/>
    <x v="1"/>
    <x v="0"/>
    <x v="1"/>
    <x v="1"/>
    <x v="1"/>
    <s v="Ashish"/>
    <s v="Correctly Done"/>
    <n v="0"/>
    <x v="0"/>
    <n v="1.3836274505214585"/>
    <n v="1.0795332136445241"/>
    <n v="1.1648410586678206"/>
    <n v="0.85034013605442171"/>
    <n v="1.9264642089343564"/>
    <n v="1.0790228998469584"/>
    <n v="2.1355167697651956"/>
    <n v="1"/>
    <n v="1"/>
    <n v="1"/>
    <n v="1"/>
    <n v="-1"/>
    <n v="1"/>
    <n v="4.5"/>
    <n v="4"/>
    <n v="3"/>
    <n v="2"/>
    <n v="2"/>
    <s v="Neutral YSRCP"/>
  </r>
  <r>
    <s v="8252ac21-3ee0-492a-9861-361fd75b99b4"/>
    <x v="5"/>
    <s v="1/24/2026, 9:31:47 AM"/>
    <s v="16.424766, 81.864835"/>
    <s v="CVF7+WW4, Gudapalli, Andhra Pradesh, India"/>
    <x v="4"/>
    <s v="Naeem"/>
    <s v="http://164.52.221.216/localmedia/media/surveys/samples/recording_2026-01-24_09-26-13_samples_Aw1FTVtIS2.mp4"/>
    <x v="4"/>
    <x v="0"/>
    <x v="14"/>
    <x v="1"/>
    <s v="హిందూ"/>
    <x v="1"/>
    <s v="Ramakrishna"/>
    <n v="9948284811"/>
    <x v="0"/>
    <x v="2"/>
    <x v="2"/>
    <x v="1"/>
    <x v="1"/>
    <x v="0"/>
    <s v="రోడ్లు వేయటం, ఉద్యొగ్య అవకాశాలు కల్పించటం, విద్య రంగం అభివృద్ధి చేయటం, ఆరోగ్య రంగం అభివృద్ధి చేయటం"/>
    <x v="1"/>
    <x v="0"/>
    <x v="2"/>
    <x v="1"/>
    <x v="1"/>
    <x v="1"/>
    <n v="0"/>
    <s v="Correctly Done"/>
    <n v="0"/>
    <x v="0"/>
    <n v="2.1852575402829908"/>
    <n v="1.0795332136445241"/>
    <n v="1.7037641797963405"/>
    <n v="0.85034013605442171"/>
    <n v="1.9264642089343564"/>
    <n v="1.5782415568710491"/>
    <n v="0.88111541781135172"/>
    <n v="-1"/>
    <n v="-1"/>
    <n v="1"/>
    <n v="-1"/>
    <n v="-1"/>
    <n v="-1"/>
    <n v="-3.5"/>
    <n v="-4"/>
    <n v="-3"/>
    <n v="-2"/>
    <n v="-3"/>
    <s v="Neutral TDP"/>
  </r>
  <r>
    <s v="3c866d87-09c1-4570-88b4-5a5c7e74d762"/>
    <x v="5"/>
    <s v="1/24/2026, 9:33:46 AM"/>
    <s v="16.539216, 81.943143"/>
    <s v="GWQV+M2V, Lanka, Botlakurru Doddavaram, Andhra Pradesh, India"/>
    <x v="3"/>
    <s v="Naeem"/>
    <s v="http://164.52.221.216/localmedia/media/surveys/samples/recording_2026-01-24_09-27-33_samples_fm0pZJayJs.mp4"/>
    <x v="7"/>
    <x v="2"/>
    <x v="3"/>
    <x v="2"/>
    <s v="హిందూ"/>
    <x v="1"/>
    <s v="mani"/>
    <n v="8897959354"/>
    <x v="1"/>
    <x v="5"/>
    <x v="1"/>
    <x v="1"/>
    <x v="0"/>
    <x v="1"/>
    <s v="రోడ్లు వేయటం, ఆరోగ్య రంగం అభివృద్ధి చేయటం, వ్యవసాయం, రైతు బాగుండడం"/>
    <x v="1"/>
    <x v="0"/>
    <x v="0"/>
    <x v="2"/>
    <x v="1"/>
    <x v="1"/>
    <s v="Ashish"/>
    <s v="Correctly Done"/>
    <n v="0"/>
    <x v="0"/>
    <n v="1.0786696182614144"/>
    <n v="0.66153846153846207"/>
    <n v="0.7135814397729362"/>
    <n v="2.1645021645021645"/>
    <n v="0.75433779645928134"/>
    <n v="1.0786696182614144"/>
    <n v="0.36371552453725964"/>
    <n v="-1"/>
    <n v="1"/>
    <n v="-1"/>
    <n v="-1"/>
    <n v="-1"/>
    <n v="1"/>
    <n v="-1.5"/>
    <n v="-2"/>
    <n v="-3"/>
    <n v="-2"/>
    <s v="ND"/>
    <s v="ND"/>
  </r>
  <r>
    <s v="2958cb8f-6512-4e53-bcd4-a489e94b1bdb"/>
    <x v="5"/>
    <s v="1/24/2026, 9:33:59 AM"/>
    <s v="16.413476, 81.808867"/>
    <s v="CR75+3M, Malikipuram, Andhra Pradesh, India"/>
    <x v="1"/>
    <s v="Naeem"/>
    <s v="http://164.52.221.216/localmedia/media/surveys/samples/recording_2026-01-24_09-31-58_samples_u1grI8S2L4.mp4"/>
    <x v="2"/>
    <x v="0"/>
    <x v="16"/>
    <x v="1"/>
    <s v="హిందూ"/>
    <x v="0"/>
    <s v="srinivas"/>
    <n v="9849596799"/>
    <x v="0"/>
    <x v="4"/>
    <x v="1"/>
    <x v="1"/>
    <x v="1"/>
    <x v="1"/>
    <s v="రోడ్లు వేయటం, ఉద్యొగ్య అవకాశాలు కల్పించటం, సంక్షేమ పథకాలు (నగదు)"/>
    <x v="1"/>
    <x v="0"/>
    <x v="1"/>
    <x v="1"/>
    <x v="1"/>
    <x v="1"/>
    <s v="Ashish"/>
    <s v="Correctly Done"/>
    <n v="0"/>
    <x v="0"/>
    <n v="1.1461625511156397"/>
    <n v="1.0795332136445241"/>
    <n v="0.77721139583220644"/>
    <n v="0.85034013605442171"/>
    <n v="1.9264642089343564"/>
    <n v="0.71995135120329123"/>
    <n v="0.70534647283248642"/>
    <n v="-1"/>
    <n v="-1"/>
    <n v="-1"/>
    <n v="-1"/>
    <n v="-1"/>
    <n v="-1"/>
    <n v="-5.5"/>
    <n v="-6"/>
    <n v="-5"/>
    <n v="-4"/>
    <n v="-3"/>
    <s v="TDP HardCore"/>
  </r>
  <r>
    <s v="3d36ba6c-b531-4c96-a00b-df51e25e75b1"/>
    <x v="5"/>
    <s v="1/24/2026, 9:37:11 AM"/>
    <s v="16.415176, 81.808117"/>
    <s v="padmaja theatre, Malikipuram, Andhra Pradesh, India"/>
    <x v="1"/>
    <s v="Naeem"/>
    <s v="http://164.52.221.216/localmedia/media/surveys/samples/recording_2026-01-24_09-35-44_samples_9PoENQSHMe.mp4"/>
    <x v="2"/>
    <x v="0"/>
    <x v="16"/>
    <x v="5"/>
    <s v="హిందూ"/>
    <x v="3"/>
    <s v="vinay"/>
    <n v="9999999999"/>
    <x v="0"/>
    <x v="1"/>
    <x v="1"/>
    <x v="1"/>
    <x v="1"/>
    <x v="1"/>
    <s v="రోడ్లు వేయటం, ఉద్యొగ్య అవకాశాలు కల్పించటం, సంక్షేమ పథకాలు (నగదు)"/>
    <x v="1"/>
    <x v="0"/>
    <x v="1"/>
    <x v="1"/>
    <x v="1"/>
    <x v="1"/>
    <s v="Ashish"/>
    <s v="Correctly Done"/>
    <n v="0"/>
    <x v="0"/>
    <n v="1.1461625511156397"/>
    <n v="1.0795332136445241"/>
    <n v="0.77721139583220644"/>
    <n v="0.85034013605442171"/>
    <n v="1.9264642089343564"/>
    <n v="0.71995135120329123"/>
    <n v="0.70534647283248642"/>
    <n v="-1"/>
    <n v="-1"/>
    <n v="-1"/>
    <n v="-1"/>
    <n v="-1"/>
    <n v="-1"/>
    <n v="-5.5"/>
    <n v="-6"/>
    <n v="-5"/>
    <n v="-4"/>
    <n v="-3"/>
    <s v="TDP HardCore"/>
  </r>
  <r>
    <s v="7c6b2cd0-db19-48fc-bce7-0cb559be9662"/>
    <x v="5"/>
    <s v="1/24/2026, 9:52:09 AM"/>
    <s v="16.423345, 81.867925"/>
    <s v="CVC9+W2R, Gudapalli, Andhra Pradesh, India"/>
    <x v="4"/>
    <s v="Naeem"/>
    <s v="http://164.52.221.216/localmedia/media/surveys/samples/recording_2026-01-24_09-48-19_samples_sAZl8Abbc1.mp4"/>
    <x v="1"/>
    <x v="0"/>
    <x v="14"/>
    <x v="3"/>
    <s v="హిందూ"/>
    <x v="1"/>
    <s v="Satheeshkumar"/>
    <n v="9441448882"/>
    <x v="0"/>
    <x v="3"/>
    <x v="1"/>
    <x v="1"/>
    <x v="1"/>
    <x v="1"/>
    <s v="రోడ్లు వేయటం, విద్య రంగం అభివృద్ధి చేయటం, వ్యవసాయం, రైతు బాగుండడం"/>
    <x v="1"/>
    <x v="0"/>
    <x v="1"/>
    <x v="1"/>
    <x v="1"/>
    <x v="1"/>
    <s v="Ashish"/>
    <s v="Correctly Done"/>
    <n v="0"/>
    <x v="0"/>
    <n v="1.1705128247062893"/>
    <n v="1.0795332136445241"/>
    <n v="0.86308903171383233"/>
    <n v="0.85034013605442171"/>
    <n v="1.9264642089343564"/>
    <n v="0.79950206330384943"/>
    <n v="1.1572126985895925"/>
    <n v="-1"/>
    <n v="-1"/>
    <n v="-1"/>
    <n v="-1"/>
    <n v="-1"/>
    <n v="-1"/>
    <n v="-5.5"/>
    <n v="-6"/>
    <n v="-5"/>
    <n v="-4"/>
    <n v="-3"/>
    <s v="TDP HardCore"/>
  </r>
  <r>
    <s v="bf555c14-ef5a-4dab-8b6c-106aef13cfe3"/>
    <x v="5"/>
    <s v="1/24/2026, 9:53:36 AM"/>
    <s v="16.412805, 81.809135"/>
    <s v="CR75+3M, Malikipuram, Andhra Pradesh, India"/>
    <x v="1"/>
    <s v="Naeem"/>
    <s v="http://164.52.221.216/localmedia/media/surveys/samples/recording_2026-01-24_09-51-19_samples_n0IWQ3wwCW.mp4"/>
    <x v="6"/>
    <x v="0"/>
    <x v="16"/>
    <x v="2"/>
    <s v="హిందూ"/>
    <x v="1"/>
    <s v="subramanyam"/>
    <n v="9666224516"/>
    <x v="0"/>
    <x v="3"/>
    <x v="1"/>
    <x v="1"/>
    <x v="1"/>
    <x v="1"/>
    <s v="రోడ్లు వేయటం, ఉద్యొగ్య అవకాశాలు కల్పించటం, విద్య రంగం అభివృద్ధి చేయటం"/>
    <x v="1"/>
    <x v="0"/>
    <x v="1"/>
    <x v="1"/>
    <x v="1"/>
    <x v="1"/>
    <n v="0"/>
    <s v="Correctly Done"/>
    <n v="0"/>
    <x v="0"/>
    <n v="1.2612194085121222"/>
    <n v="1.0795332136445241"/>
    <n v="0.92029223709519836"/>
    <n v="0.85034013605442171"/>
    <n v="1.9264642089343564"/>
    <n v="0.85249089649430487"/>
    <n v="1.7847621356853685"/>
    <n v="-1"/>
    <n v="-1"/>
    <n v="-1"/>
    <n v="-1"/>
    <n v="-1"/>
    <n v="-1"/>
    <n v="-5.5"/>
    <n v="-6"/>
    <n v="-5"/>
    <n v="-4"/>
    <n v="-3"/>
    <s v="TDP HardCore"/>
  </r>
  <r>
    <s v="f349f18b-534a-418c-af3b-d4e6c8949a64"/>
    <x v="5"/>
    <s v="1/24/2026, 9:55:42 AM"/>
    <s v="16.538589, 81.939444"/>
    <s v="No address"/>
    <x v="3"/>
    <s v="Naeem"/>
    <s v="http://164.52.221.216/localmedia/media/surveys/samples/recording_2026-01-24_09-51-21_samples_4ojiXKZrpa.mp4"/>
    <x v="1"/>
    <x v="2"/>
    <x v="3"/>
    <x v="1"/>
    <s v="హిందూ"/>
    <x v="2"/>
    <s v="govindarao"/>
    <n v="9849266471"/>
    <x v="0"/>
    <x v="5"/>
    <x v="1"/>
    <x v="1"/>
    <x v="1"/>
    <x v="1"/>
    <s v="రోడ్లు వేయటం, విద్య రంగం అభివృద్ధి చేయటం, వ్యవసాయం, రైతు బాగుండడం"/>
    <x v="1"/>
    <x v="0"/>
    <x v="1"/>
    <x v="1"/>
    <x v="1"/>
    <x v="1"/>
    <s v="Ashish"/>
    <s v="Correctly Done"/>
    <n v="0"/>
    <x v="0"/>
    <n v="1.1705128247062893"/>
    <n v="1.0795332136445241"/>
    <n v="0.86308903171383233"/>
    <n v="0.85034013605442171"/>
    <n v="0.75433779645928134"/>
    <n v="0.79950206330384943"/>
    <n v="0.40257772387792479"/>
    <n v="-1"/>
    <n v="-1"/>
    <n v="-1"/>
    <n v="-1"/>
    <n v="-1"/>
    <n v="-1"/>
    <n v="-5.5"/>
    <n v="-6"/>
    <n v="-5"/>
    <n v="-4"/>
    <n v="-3"/>
    <s v="TDP HardCore"/>
  </r>
  <r>
    <s v="03d496a9-0cd7-403b-84fb-541591675a55"/>
    <x v="5"/>
    <s v="1/24/2026, 9:56:24 AM"/>
    <s v="16.413243, 81.807831"/>
    <s v="CR75+533, Malikipuram, Andhra Pradesh, India"/>
    <x v="1"/>
    <s v="Naeem"/>
    <s v="http://164.52.221.216/localmedia/media/surveys/samples/recording_2026-01-24_09-54-19_samples_b5cBqdtF9S.mp4"/>
    <x v="6"/>
    <x v="0"/>
    <x v="16"/>
    <x v="2"/>
    <s v="హిందూ"/>
    <x v="3"/>
    <s v="dhurgarao"/>
    <n v="7287039286"/>
    <x v="0"/>
    <x v="2"/>
    <x v="1"/>
    <x v="1"/>
    <x v="1"/>
    <x v="1"/>
    <s v="ఉద్యొగ్య అవకాశాలు కల్పించటం, ఆరోగ్య రంగం అభివృద్ధి చేయటం, వ్యవసాయం, రైతు బాగుండడం"/>
    <x v="1"/>
    <x v="0"/>
    <x v="1"/>
    <x v="1"/>
    <x v="1"/>
    <x v="1"/>
    <s v="Deepika"/>
    <s v="Correctly Done"/>
    <n v="0"/>
    <x v="0"/>
    <n v="1.2612194085121222"/>
    <n v="1.0795332136445241"/>
    <n v="0.92029223709519836"/>
    <n v="0.85034013605442171"/>
    <n v="1.9264642089343564"/>
    <n v="0.85249089649430487"/>
    <n v="1.7847621356853685"/>
    <n v="-1"/>
    <n v="-1"/>
    <n v="-1"/>
    <n v="-1"/>
    <n v="-1"/>
    <n v="-1"/>
    <n v="-5.5"/>
    <n v="-6"/>
    <n v="-5"/>
    <n v="-4"/>
    <n v="-3"/>
    <s v="TDP HardCore"/>
  </r>
  <r>
    <s v="a06f0413-57d3-4ba7-aa89-641a34f66557"/>
    <x v="5"/>
    <s v="1/24/2026, 7:22:10 PM"/>
    <s v="16.459958, 81.886957"/>
    <s v="SHOP NO.5-9 VENKATESWARA COMPLEX KADALI ROAD, Razole, Andhra Pradesh, India"/>
    <x v="0"/>
    <s v="Naeem"/>
    <s v="http://164.52.221.216/localmedia/media/surveys/samples/recording_2026-01-24_19-18-55_samples_NuQk6kIZzg.mp4"/>
    <x v="0"/>
    <x v="1"/>
    <x v="15"/>
    <x v="3"/>
    <s v="హిందూ"/>
    <x v="1"/>
    <s v="ravikumar.g"/>
    <n v="0"/>
    <x v="0"/>
    <x v="4"/>
    <x v="1"/>
    <x v="1"/>
    <x v="1"/>
    <x v="1"/>
    <s v="ఉద్యొగ్య అవకాశాలు కల్పించటం, ఆరోగ్య రంగం అభివృద్ధి చేయటం, సంక్షేమ పథకాలు (నగదు)"/>
    <x v="1"/>
    <x v="0"/>
    <x v="1"/>
    <x v="1"/>
    <x v="1"/>
    <x v="1"/>
    <s v="Ashish"/>
    <s v="Fake Audio/Empty Audio"/>
    <s v="All options entered on his own"/>
    <x v="1"/>
    <n v="1.3836274505214585"/>
    <n v="1.0795332136445241"/>
    <n v="1.1648410586678206"/>
    <n v="0.85034013605442171"/>
    <n v="1.1213131007097483"/>
    <n v="1.0790228998469584"/>
    <n v="0.90933567693352424"/>
    <n v="-1"/>
    <n v="-1"/>
    <n v="-1"/>
    <n v="-1"/>
    <n v="-1"/>
    <n v="-1"/>
    <n v="-5.5"/>
    <n v="-6"/>
    <n v="-5"/>
    <n v="-4"/>
    <n v="-3"/>
    <s v="TDP HardCore"/>
  </r>
  <r>
    <s v="1bfc4526-b2ad-4a42-86fa-62d668047a78"/>
    <x v="5"/>
    <s v="1/24/2026, 9:59:53 AM"/>
    <s v="16.423212, 81.866658"/>
    <s v="CVF8+PR6, Gudapalli, Andhra Pradesh, India"/>
    <x v="4"/>
    <s v="Naeem"/>
    <s v="http://164.52.221.216/localmedia/media/surveys/samples/recording_2026-01-24_09-55-43_samples_1RPBhZ1jAm.mp4"/>
    <x v="0"/>
    <x v="0"/>
    <x v="14"/>
    <x v="0"/>
    <s v="హిందూ"/>
    <x v="2"/>
    <s v="Tadi thatharao"/>
    <n v="8247693625"/>
    <x v="0"/>
    <x v="3"/>
    <x v="2"/>
    <x v="1"/>
    <x v="0"/>
    <x v="0"/>
    <s v="రోడ్లు వేయటం, ఉద్యొగ్య అవకాశాలు కల్పించటం, ఆరోగ్య రంగం అభివృద్ధి చేయటం"/>
    <x v="1"/>
    <x v="0"/>
    <x v="2"/>
    <x v="1"/>
    <x v="1"/>
    <x v="1"/>
    <s v="Deepika"/>
    <s v="Correctly Done"/>
    <n v="0"/>
    <x v="0"/>
    <n v="1.3836274505214585"/>
    <n v="1.0795332136445241"/>
    <n v="1.1648410586678206"/>
    <n v="0.85034013605442171"/>
    <n v="1.9264642089343564"/>
    <n v="1.0790228998469584"/>
    <n v="2.1355167697651956"/>
    <n v="-1"/>
    <n v="1"/>
    <n v="1"/>
    <n v="-1"/>
    <n v="-1"/>
    <n v="-1"/>
    <n v="-1.5"/>
    <n v="-2"/>
    <n v="-3"/>
    <n v="-2"/>
    <n v="-3"/>
    <s v="Neutral TDP"/>
  </r>
  <r>
    <s v="019e12aa-01bf-45f9-b7ba-05edc75c0cd4"/>
    <x v="6"/>
    <s v="25/01/2026, 08:24:05"/>
    <s v="16.437743, 81.910251"/>
    <s v="CWQ6+F37, Razole, Andhra Pradesh, India"/>
    <x v="3"/>
    <s v="Naeem"/>
    <s v="http://164.52.221.216/localmedia/media/surveys/samples/recording_2026-01-25_08-21-37_samples_xYbKMzEe8h.mp4"/>
    <x v="0"/>
    <x v="1"/>
    <x v="18"/>
    <x v="0"/>
    <s v="హిందూ"/>
    <x v="1"/>
    <s v="ravi kumar"/>
    <n v="9908832968"/>
    <x v="0"/>
    <x v="4"/>
    <x v="1"/>
    <x v="1"/>
    <x v="1"/>
    <x v="1"/>
    <s v="రోడ్లు వేయటం, ఉద్యొగ్య అవకాశాలు కల్పించటం, ఆరోగ్య రంగం అభివృద్ధి చేయటం"/>
    <x v="1"/>
    <x v="0"/>
    <x v="1"/>
    <x v="1"/>
    <x v="1"/>
    <x v="1"/>
    <s v="Bhagya"/>
    <s v="Correctly Done"/>
    <n v="0"/>
    <x v="0"/>
    <n v="1.3836274505214585"/>
    <n v="1.0795332136445241"/>
    <n v="1.1648410586678206"/>
    <n v="0.85034013605442171"/>
    <n v="1.1213131007097483"/>
    <n v="1.0790228998469584"/>
    <n v="0.90933567693352424"/>
    <n v="-1"/>
    <n v="-1"/>
    <n v="-1"/>
    <n v="-1"/>
    <n v="-1"/>
    <n v="-1"/>
    <n v="-5.5"/>
    <n v="-6"/>
    <n v="-5"/>
    <n v="-4"/>
    <n v="-3"/>
    <s v="TDP HardCore"/>
  </r>
  <r>
    <s v="90106002-1775-4e81-b45d-ea63a32912ce"/>
    <x v="6"/>
    <s v="25/01/2026, 10:38:18"/>
    <s v="16.433522, 81.927709"/>
    <s v="CWMH+8J, Katrenipadu, Andhra Pradesh, India"/>
    <x v="3"/>
    <s v="Naeem"/>
    <s v="http://164.52.221.216/localmedia/media/surveys/samples/recording_2026-01-25_10-36-04_samples_NXbRtUH0CR.mp4"/>
    <x v="1"/>
    <x v="1"/>
    <x v="18"/>
    <x v="0"/>
    <s v="హిందూ"/>
    <x v="0"/>
    <s v="ch. rambanu"/>
    <n v="9177314458"/>
    <x v="0"/>
    <x v="3"/>
    <x v="1"/>
    <x v="1"/>
    <x v="1"/>
    <x v="1"/>
    <s v="రోడ్లు వేయటం, శాంతి భద్రతలను కాపాడటం, వ్యవసాయం, రైతు బాగుండడం"/>
    <x v="1"/>
    <x v="0"/>
    <x v="2"/>
    <x v="2"/>
    <x v="1"/>
    <x v="1"/>
    <s v="Ashish"/>
    <s v="Not Doing It Properly"/>
    <s v="Respondent didn't answer Q9,10"/>
    <x v="0"/>
    <n v="1.1705128247062893"/>
    <n v="0.66153846153846207"/>
    <n v="0.52890136495485462"/>
    <n v="0.85034013605442171"/>
    <n v="1.1213131007097483"/>
    <n v="0.79950206330384943"/>
    <n v="0.7401439088249181"/>
    <n v="-1"/>
    <n v="-1"/>
    <n v="-1"/>
    <n v="-1"/>
    <n v="-1"/>
    <n v="-1"/>
    <n v="-5.5"/>
    <n v="-6"/>
    <n v="-5"/>
    <n v="-4"/>
    <n v="-3"/>
    <s v="TDP HardCore"/>
  </r>
  <r>
    <s v="d5d6ec03-931d-41b8-b31c-4c1de8c58b66"/>
    <x v="6"/>
    <s v="25/01/2026, 12:50:00"/>
    <s v="16.463727, 81.829082"/>
    <s v="FR7H+5VP, Sivakodu, Andhra Pradesh, India"/>
    <x v="0"/>
    <s v="Naeem"/>
    <s v="http://164.52.221.216/localmedia/media/surveys/samples/recording_2026-01-25_12-45-51_samples_zXbs2WQm3y.mp4"/>
    <x v="0"/>
    <x v="1"/>
    <x v="19"/>
    <x v="8"/>
    <s v="క్రిస్టియన్"/>
    <x v="0"/>
    <s v="subaarao"/>
    <n v="0"/>
    <x v="0"/>
    <x v="4"/>
    <x v="2"/>
    <x v="1"/>
    <x v="1"/>
    <x v="0"/>
    <s v="ఆరోగ్య రంగం అభివృద్ధి చేయటం, వ్యవసాయం, రైతు బాగుండడం, సంక్షేమ పథకాలు (నగదు)"/>
    <x v="0"/>
    <x v="1"/>
    <x v="1"/>
    <x v="0"/>
    <x v="2"/>
    <x v="5"/>
    <s v="Deepika"/>
    <s v="Not Doing It Properly"/>
    <n v="0"/>
    <x v="0"/>
    <n v="1.3836274505214585"/>
    <n v="1.8055837563451775"/>
    <n v="1.9482662206881376"/>
    <n v="0.85034013605442171"/>
    <n v="1.1213131007097483"/>
    <n v="1.0790228998469584"/>
    <n v="0.90933567693352424"/>
    <n v="-1"/>
    <n v="-1"/>
    <n v="1"/>
    <n v="1"/>
    <n v="1"/>
    <n v="-1"/>
    <n v="-0.5"/>
    <n v="0"/>
    <n v="1"/>
    <n v="2"/>
    <n v="-2"/>
    <s v="Neutral TDP"/>
  </r>
  <r>
    <s v="4ccf85fc-cda4-496f-9a7f-c2cbec891638"/>
    <x v="6"/>
    <s v="25/01/2026, 12:01:30"/>
    <s v="16.463613, 81.816249"/>
    <s v="214, Gudimellanka, Andhra Pradesh, India"/>
    <x v="0"/>
    <s v="Naeem"/>
    <s v="http://164.52.221.216/localmedia/media/surveys/samples/recording_2026-01-25_11-51-26_samples_qHkd5cLo47.mp4"/>
    <x v="0"/>
    <x v="1"/>
    <x v="19"/>
    <x v="0"/>
    <s v="హిందూ"/>
    <x v="2"/>
    <s v="dhamarao"/>
    <n v="0"/>
    <x v="0"/>
    <x v="5"/>
    <x v="1"/>
    <x v="1"/>
    <x v="0"/>
    <x v="0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0"/>
    <x v="2"/>
    <x v="1"/>
    <x v="0"/>
    <x v="2"/>
    <x v="5"/>
    <s v="Deepika"/>
    <s v="Not Doing It Properly"/>
    <n v="0"/>
    <x v="0"/>
    <n v="1.3836274505214585"/>
    <n v="1.8055837563451775"/>
    <n v="1.9482662206881376"/>
    <n v="0.85034013605442171"/>
    <n v="1.1213131007097483"/>
    <n v="1.0790228998469584"/>
    <n v="0.90933567693352424"/>
    <n v="-1"/>
    <n v="1"/>
    <n v="1"/>
    <n v="1"/>
    <n v="1"/>
    <n v="-1"/>
    <n v="1.5"/>
    <n v="2"/>
    <n v="1"/>
    <n v="2"/>
    <n v="-2"/>
    <s v="Neutral TDP"/>
  </r>
  <r>
    <s v="f51788d7-2926-43d5-ac63-3a2db23ab4d1"/>
    <x v="6"/>
    <s v="25/01/2026, 08:30:22"/>
    <s v="16.437677, 81.910720"/>
    <s v="CWQ6+F37, Razole, Andhra Pradesh, India"/>
    <x v="3"/>
    <s v="Naeem"/>
    <s v="http://164.52.221.216/localmedia/media/surveys/samples/recording_2026-01-25_08-26-15_samples_zygLHJjxiW.mp4"/>
    <x v="0"/>
    <x v="1"/>
    <x v="18"/>
    <x v="6"/>
    <s v="క్రిస్టియన్"/>
    <x v="1"/>
    <s v="rajamani"/>
    <n v="9704415645"/>
    <x v="1"/>
    <x v="4"/>
    <x v="1"/>
    <x v="1"/>
    <x v="1"/>
    <x v="1"/>
    <s v="విద్య రంగం అభివృద్ధి చేయటం, ఆరోగ్య రంగం అభివృద్ధి చేయటం, సంక్షేమ పథకాలు (నగదు)"/>
    <x v="1"/>
    <x v="0"/>
    <x v="2"/>
    <x v="2"/>
    <x v="1"/>
    <x v="1"/>
    <s v="Bhagya"/>
    <s v="Correctly Done"/>
    <s v="Respondent isn't answering properly"/>
    <x v="0"/>
    <n v="1.3836274505214585"/>
    <n v="0.66153846153846207"/>
    <n v="1.2753497331114214"/>
    <n v="2.1645021645021645"/>
    <n v="1.1213131007097483"/>
    <n v="1.9278542477265657"/>
    <n v="1.2302776805571209"/>
    <n v="-1"/>
    <n v="-1"/>
    <n v="-1"/>
    <n v="-1"/>
    <n v="-1"/>
    <n v="-1"/>
    <n v="-5.5"/>
    <n v="-6"/>
    <n v="-5"/>
    <n v="-4"/>
    <n v="-3"/>
    <s v="TDP HardCore"/>
  </r>
  <r>
    <s v="0196a6ee-c5a5-451b-9a66-dc242ce08762"/>
    <x v="6"/>
    <s v="25/01/2026, 16:00:16"/>
    <s v="16.460853, 81.839362"/>
    <s v="FR6Q+CR8, Razole, Andhra Pradesh, India"/>
    <x v="0"/>
    <s v="Naeem"/>
    <s v="http://164.52.221.216/localmedia/media/surveys/samples/recording_2026-01-25_15-57-05_samples_jOpmfOyg8P.mp4"/>
    <x v="1"/>
    <x v="1"/>
    <x v="19"/>
    <x v="6"/>
    <s v="హిందూ"/>
    <x v="1"/>
    <s v="durgabavani"/>
    <n v="0"/>
    <x v="1"/>
    <x v="4"/>
    <x v="0"/>
    <x v="1"/>
    <x v="1"/>
    <x v="1"/>
    <s v="రోడ్లు వేయటం, విద్య రంగం అభివృద్ధి చేయటం, ఆరోగ్య రంగం అభివృద్ధి చేయటం, సంక్షేమ పథకాలు (నగదు)"/>
    <x v="1"/>
    <x v="0"/>
    <x v="1"/>
    <x v="1"/>
    <x v="1"/>
    <x v="1"/>
    <s v="Bhagya"/>
    <s v="Fake Audio/Empty Audio"/>
    <n v="0"/>
    <x v="1"/>
    <n v="1.1705128247062893"/>
    <n v="1.0795332136445241"/>
    <n v="2.3577066232182737"/>
    <n v="2.1645021645021645"/>
    <n v="1.1213131007097483"/>
    <n v="2.1840056363422229"/>
    <n v="0.95944580773600496"/>
    <n v="-1"/>
    <n v="-1"/>
    <n v="-1"/>
    <n v="-1"/>
    <n v="-1"/>
    <n v="-1"/>
    <n v="-5.5"/>
    <n v="-6"/>
    <n v="-5"/>
    <n v="-4"/>
    <n v="-3"/>
    <s v="TDP HardCore"/>
  </r>
  <r>
    <s v="6d227896-89f1-464c-bc97-d40a869ac5c7"/>
    <x v="6"/>
    <s v="25/01/2026, 15:14:32"/>
    <s v="16.460587, 81.840438"/>
    <s v="near Musalamma Temple, Razole, Andhra Pradesh, India"/>
    <x v="0"/>
    <s v="Naeem"/>
    <s v="http://164.52.221.216/localmedia/media/surveys/samples/recording_2026-01-25_15-11-17_samples_ItbF8RwTac.mp4"/>
    <x v="1"/>
    <x v="1"/>
    <x v="19"/>
    <x v="0"/>
    <s v="హిందూ"/>
    <x v="2"/>
    <s v="appaarao"/>
    <n v="0"/>
    <x v="0"/>
    <x v="5"/>
    <x v="0"/>
    <x v="1"/>
    <x v="1"/>
    <x v="0"/>
    <s v="రోడ్లు వేయటం, ఉద్యొగ్య అవకాశాలు కల్పించటం, ఆరోగ్య రంగం అభివృద్ధి చేయటం, సంక్షేమ పథకాలు (నగదు)"/>
    <x v="1"/>
    <x v="1"/>
    <x v="1"/>
    <x v="1"/>
    <x v="1"/>
    <x v="1"/>
    <s v="Deepika"/>
    <s v="Fake Audio/Empty Audio"/>
    <n v="0"/>
    <x v="1"/>
    <n v="1.1705128247062893"/>
    <n v="1.0795332136445241"/>
    <n v="0.86308903171383233"/>
    <n v="0.85034013605442171"/>
    <n v="1.1213131007097483"/>
    <n v="0.79950206330384943"/>
    <n v="0.7401439088249181"/>
    <n v="-1"/>
    <n v="-1"/>
    <n v="1"/>
    <n v="-1"/>
    <n v="-1"/>
    <n v="-1"/>
    <n v="-3.5"/>
    <n v="-4"/>
    <n v="-3"/>
    <n v="-2"/>
    <n v="-3"/>
    <s v="Neutral TDP"/>
  </r>
  <r>
    <s v="7be86650-3069-48e3-b8d3-8bd7d9711096"/>
    <x v="6"/>
    <s v="25/01/2026, 08:37:50"/>
    <s v="16.437505, 81.911286"/>
    <s v="CWQ6+HHG, Katrenipadu, Andhra Pradesh, India"/>
    <x v="3"/>
    <s v="Naeem"/>
    <s v="http://164.52.221.216/localmedia/media/surveys/samples/recording_2026-01-25_08-33-14_samples_6iinjvOB7K.mp4"/>
    <x v="0"/>
    <x v="1"/>
    <x v="18"/>
    <x v="2"/>
    <s v="క్రిస్టియన్"/>
    <x v="1"/>
    <s v="reddy"/>
    <n v="9095768911"/>
    <x v="0"/>
    <x v="3"/>
    <x v="2"/>
    <x v="0"/>
    <x v="0"/>
    <x v="0"/>
    <s v="రోడ్లు వేయటం, ఉద్యొగ్య అవకాశాలు కల్పించటం, వ్యవసాయం, రైతు బాగుండడం"/>
    <x v="0"/>
    <x v="1"/>
    <x v="0"/>
    <x v="0"/>
    <x v="2"/>
    <x v="2"/>
    <n v="0"/>
    <s v="Correctly Done"/>
    <n v="0"/>
    <x v="0"/>
    <n v="1.3836274505214585"/>
    <n v="1.8055837563451775"/>
    <n v="1.9482662206881376"/>
    <n v="0.85034013605442171"/>
    <n v="1.1213131007097483"/>
    <n v="1.0790228998469584"/>
    <n v="0.90933567693352424"/>
    <n v="1"/>
    <n v="1"/>
    <n v="1"/>
    <n v="1"/>
    <n v="1"/>
    <n v="1"/>
    <n v="5.5"/>
    <n v="6"/>
    <n v="5"/>
    <n v="4"/>
    <n v="3"/>
    <s v="YSRCP HardCore"/>
  </r>
  <r>
    <s v="55461791-fc16-4092-bb87-c5aec1b879d4"/>
    <x v="6"/>
    <s v="25/01/2026, 12:31:02"/>
    <s v="16.462305, 81.826013"/>
    <s v="3-171, Sivakodu, Andhra Pradesh, India"/>
    <x v="0"/>
    <s v="Naeem"/>
    <s v="http://164.52.221.216/localmedia/media/surveys/samples/recording_2026-01-25_12-27-09_samples_q3uroUvJ69.mp4"/>
    <x v="1"/>
    <x v="1"/>
    <x v="19"/>
    <x v="8"/>
    <s v="హిందూ"/>
    <x v="2"/>
    <s v="vemkataswrao.k"/>
    <n v="0"/>
    <x v="0"/>
    <x v="5"/>
    <x v="1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1"/>
    <x v="1"/>
    <x v="1"/>
    <x v="1"/>
    <x v="1"/>
    <s v="Deepika"/>
    <s v="Fake Audio/Empty Audio"/>
    <n v="0"/>
    <x v="1"/>
    <n v="1.1705128247062893"/>
    <n v="1.0795332136445241"/>
    <n v="0.86308903171383233"/>
    <n v="0.85034013605442171"/>
    <n v="1.1213131007097483"/>
    <n v="0.79950206330384943"/>
    <n v="0.7401439088249181"/>
    <n v="-1"/>
    <n v="-1"/>
    <n v="-1"/>
    <n v="-1"/>
    <n v="-1"/>
    <n v="-1"/>
    <n v="-5.5"/>
    <n v="-6"/>
    <n v="-5"/>
    <n v="-4"/>
    <n v="-3"/>
    <s v="TDP HardCore"/>
  </r>
  <r>
    <s v="63566539-ae30-49fb-965c-5184daf6ece4"/>
    <x v="6"/>
    <s v="25/01/2026, 13:16:43"/>
    <s v="16.462594, 81.832760"/>
    <s v="FR6M+V82, Sivakodu, Andhra Pradesh, India"/>
    <x v="0"/>
    <s v="Naeem"/>
    <s v="http://164.52.221.216/localmedia/media/surveys/samples/recording_2026-01-25_13-13-34_samples_MBBcGKPFOB.mp4"/>
    <x v="1"/>
    <x v="1"/>
    <x v="19"/>
    <x v="6"/>
    <s v="హిందూ"/>
    <x v="1"/>
    <s v="ramadevi.c"/>
    <n v="0"/>
    <x v="1"/>
    <x v="5"/>
    <x v="0"/>
    <x v="1"/>
    <x v="0"/>
    <x v="1"/>
    <s v="ఉద్యొగ్య అవకాశాలు కల్పించటం, ఆరోగ్య రంగం అభివృద్ధి చేయటం, సంక్షేమ పథకాలు (నగదు)"/>
    <x v="1"/>
    <x v="0"/>
    <x v="1"/>
    <x v="1"/>
    <x v="1"/>
    <x v="1"/>
    <s v="Deepika"/>
    <s v="Fake Audio/Empty Audio"/>
    <n v="0"/>
    <x v="1"/>
    <n v="1.1705128247062893"/>
    <n v="1.0795332136445241"/>
    <n v="2.3577066232182737"/>
    <n v="2.1645021645021645"/>
    <n v="1.1213131007097483"/>
    <n v="2.1840056363422229"/>
    <n v="0.95944580773600496"/>
    <n v="-1"/>
    <n v="1"/>
    <n v="-1"/>
    <n v="-1"/>
    <n v="-1"/>
    <n v="-1"/>
    <n v="-3.5"/>
    <n v="-4"/>
    <n v="-5"/>
    <n v="-4"/>
    <n v="-3"/>
    <s v="TDP Sympathiser"/>
  </r>
  <r>
    <s v="44b8c5b5-94cd-4cba-bbce-d58a63b31a45"/>
    <x v="6"/>
    <s v="25/01/2026, 08:47:47"/>
    <s v="16.434016, 81.915441"/>
    <s v="CWM8+G2M, Katrenipadu, Andhra Pradesh, India"/>
    <x v="3"/>
    <s v="Naeem"/>
    <s v="http://164.52.221.216/localmedia/media/surveys/samples/recording_2026-01-25_08-44-40_samples_qmXWkDLgBu.mp4"/>
    <x v="2"/>
    <x v="1"/>
    <x v="18"/>
    <x v="2"/>
    <s v="హిందూ"/>
    <x v="0"/>
    <s v="prasad"/>
    <n v="9989965121"/>
    <x v="0"/>
    <x v="2"/>
    <x v="1"/>
    <x v="1"/>
    <x v="1"/>
    <x v="1"/>
    <s v="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"/>
    <x v="1"/>
    <x v="0"/>
    <x v="1"/>
    <x v="1"/>
    <x v="1"/>
    <x v="1"/>
    <s v="Bhagya"/>
    <s v="Correctly Done"/>
    <n v="0"/>
    <x v="0"/>
    <n v="1.1461625511156397"/>
    <n v="1.0795332136445241"/>
    <n v="0.77721139583220644"/>
    <n v="0.85034013605442171"/>
    <n v="1.1213131007097483"/>
    <n v="0.71995135120329123"/>
    <n v="1.3370299504035861"/>
    <n v="-1"/>
    <n v="-1"/>
    <n v="-1"/>
    <n v="-1"/>
    <n v="-1"/>
    <n v="-1"/>
    <n v="-5.5"/>
    <n v="-6"/>
    <n v="-5"/>
    <n v="-4"/>
    <n v="-3"/>
    <s v="TDP HardCore"/>
  </r>
  <r>
    <s v="368c5dba-f0ea-4d04-a44e-2af0b9ba736a"/>
    <x v="6"/>
    <s v="25/01/2026, 12:43:36"/>
    <s v="16.462511, 81.827518"/>
    <s v="Sivakodu SIVAKODU Sivakodu, Rajahmundry, Andhra Pradesh, India"/>
    <x v="0"/>
    <s v="Naeem"/>
    <s v="http://164.52.221.216/localmedia/media/surveys/samples/recording_2026-01-25_12-39-50_samples_5U6FsVyjYu.mp4"/>
    <x v="6"/>
    <x v="1"/>
    <x v="19"/>
    <x v="8"/>
    <s v="హిందూ"/>
    <x v="2"/>
    <s v="dhugarao.kadali"/>
    <n v="0"/>
    <x v="0"/>
    <x v="5"/>
    <x v="1"/>
    <x v="1"/>
    <x v="1"/>
    <x v="1"/>
    <s v="రోడ్లు వేయటం, ఆరోగ్య రంగం అభివృద్ధి చేయటం, సంక్షేమ పథకాలు (నగదు)"/>
    <x v="1"/>
    <x v="1"/>
    <x v="1"/>
    <x v="1"/>
    <x v="1"/>
    <x v="1"/>
    <s v="Deepika"/>
    <s v="Fake Audio/Empty Audio"/>
    <n v="0"/>
    <x v="1"/>
    <n v="1.2612194085121222"/>
    <n v="1.0795332136445241"/>
    <n v="0.92029223709519836"/>
    <n v="0.85034013605442171"/>
    <n v="1.1213131007097483"/>
    <n v="0.85249089649430487"/>
    <n v="1.3317727120335781"/>
    <n v="-1"/>
    <n v="-1"/>
    <n v="-1"/>
    <n v="-1"/>
    <n v="-1"/>
    <n v="-1"/>
    <n v="-5.5"/>
    <n v="-6"/>
    <n v="-5"/>
    <n v="-4"/>
    <n v="-3"/>
    <s v="TDP HardCore"/>
  </r>
  <r>
    <s v="2d6b672f-f2ba-472e-a85a-da6aa01f329d"/>
    <x v="6"/>
    <s v="25/01/2026, 12:16:25"/>
    <s v="16.461893, 81.823152"/>
    <s v="FR6F+H6R, Sivakodu Palem, Andhra Pradesh, India"/>
    <x v="0"/>
    <s v="Naeem"/>
    <s v="http://164.52.221.216/localmedia/media/surveys/samples/recording_2026-01-25_12-12-18_samples_Lft5qrGo5Z.mp4"/>
    <x v="0"/>
    <x v="1"/>
    <x v="19"/>
    <x v="6"/>
    <s v="క్రిస్టియన్"/>
    <x v="3"/>
    <s v="Raji.k"/>
    <n v="0"/>
    <x v="1"/>
    <x v="4"/>
    <x v="0"/>
    <x v="1"/>
    <x v="0"/>
    <x v="0"/>
    <s v="రోడ్లు వేయటం, ఉద్యొగ్య అవకాశాలు కల్పించటం, ఆరోగ్య రంగం అభివృద్ధి చేయటం, వ్యవసాయం, రైతు బాగుండడం, సంక్షేమ పథకాలు (నగదు)"/>
    <x v="0"/>
    <x v="0"/>
    <x v="1"/>
    <x v="0"/>
    <x v="3"/>
    <x v="3"/>
    <s v="Deepika"/>
    <s v="Not Doing It Properly"/>
    <s v="surveyor asking questions but respondent not there"/>
    <x v="0"/>
    <n v="1.3836274505214585"/>
    <n v="1.8055837563451775"/>
    <n v="3.4809023142961388"/>
    <n v="2.1645021645021645"/>
    <n v="1.1213131007097483"/>
    <n v="1.9278542477265657"/>
    <n v="1.2302776805571209"/>
    <n v="-1"/>
    <n v="1"/>
    <n v="1"/>
    <n v="1"/>
    <n v="1"/>
    <n v="-1"/>
    <n v="1.5"/>
    <n v="2"/>
    <n v="1"/>
    <n v="2"/>
    <n v="-2"/>
    <s v="Neutral TDP"/>
  </r>
  <r>
    <s v="1b7aa76e-8316-44c6-898f-0f3a77e9c54b"/>
    <x v="6"/>
    <s v="25/01/2026, 08:55:31"/>
    <s v="16.435488, 81.918956"/>
    <s v="CWP9+3MV, Katrenipadu, Andhra Pradesh, India"/>
    <x v="3"/>
    <s v="Naeem"/>
    <s v="http://164.52.221.216/localmedia/media/surveys/samples/recording_2026-01-25_08-52-47_samples_hsNf9dEC1p.mp4"/>
    <x v="2"/>
    <x v="1"/>
    <x v="18"/>
    <x v="6"/>
    <s v="హిందూ"/>
    <x v="1"/>
    <s v="sri lakshmi"/>
    <n v="7013403145"/>
    <x v="1"/>
    <x v="5"/>
    <x v="1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0"/>
    <x v="1"/>
    <x v="1"/>
    <x v="1"/>
    <x v="1"/>
    <s v="Bhagya"/>
    <s v="Correctly Done"/>
    <n v="0"/>
    <x v="0"/>
    <n v="1.1461625511156397"/>
    <n v="1.0795332136445241"/>
    <n v="3.0326483876590018"/>
    <n v="2.1645021645021645"/>
    <n v="1.1213131007097483"/>
    <n v="2.8092219390089208"/>
    <n v="1.8020838461961379"/>
    <n v="-1"/>
    <n v="-1"/>
    <n v="-1"/>
    <n v="-1"/>
    <n v="-1"/>
    <n v="-1"/>
    <n v="-5.5"/>
    <n v="-6"/>
    <n v="-5"/>
    <n v="-4"/>
    <n v="-3"/>
    <s v="TDP HardCore"/>
  </r>
  <r>
    <s v="a468abd1-80c0-4440-961b-71605a481774"/>
    <x v="6"/>
    <s v="25/01/2026, 09:03:43"/>
    <s v="16.435616, 81.918501"/>
    <s v="CWP9+89F, Ponnamanda, Andhra Pradesh, India"/>
    <x v="3"/>
    <s v="Naeem"/>
    <s v="http://164.52.221.216/localmedia/media/surveys/samples/recording_2026-01-25_08-57-32_samples_S3S6Am7UNi.mp4"/>
    <x v="2"/>
    <x v="1"/>
    <x v="18"/>
    <x v="0"/>
    <s v="హిందూ"/>
    <x v="2"/>
    <s v="pattabi ramanna"/>
    <n v="9963970036"/>
    <x v="0"/>
    <x v="2"/>
    <x v="1"/>
    <x v="1"/>
    <x v="0"/>
    <x v="1"/>
    <s v="రోడ్లు వేయటం, ఉద్యొగ్య అవకాశాలు కల్పించటం, వ్యవసాయం, రైతు బాగుండడం"/>
    <x v="1"/>
    <x v="0"/>
    <x v="1"/>
    <x v="1"/>
    <x v="1"/>
    <x v="1"/>
    <s v="Bhagya"/>
    <s v="Correctly Done"/>
    <n v="0"/>
    <x v="0"/>
    <n v="1.1461625511156397"/>
    <n v="1.0795332136445241"/>
    <n v="0.77721139583220644"/>
    <n v="0.85034013605442171"/>
    <n v="1.1213131007097483"/>
    <n v="0.71995135120329123"/>
    <n v="1.3370299504035861"/>
    <n v="-1"/>
    <n v="1"/>
    <n v="-1"/>
    <n v="-1"/>
    <n v="-1"/>
    <n v="-1"/>
    <n v="-3.5"/>
    <n v="-4"/>
    <n v="-5"/>
    <n v="-4"/>
    <n v="-3"/>
    <s v="TDP Sympathiser"/>
  </r>
  <r>
    <s v="57998c18-be08-4f31-8564-e39ecc627461"/>
    <x v="6"/>
    <s v="25/01/2026, 13:49:06"/>
    <s v="16.462212, 81.833355"/>
    <s v="FR6M+V82, Sivakodu, Andhra Pradesh, India"/>
    <x v="0"/>
    <s v="Naeem"/>
    <s v="http://164.52.221.216/localmedia/media/surveys/samples/recording_2026-01-25_13-46-11_samples_9vm4Cno6pT.mp4"/>
    <x v="0"/>
    <x v="1"/>
    <x v="17"/>
    <x v="0"/>
    <s v="హిందూ"/>
    <x v="1"/>
    <s v="ramakuthana.p"/>
    <n v="0"/>
    <x v="0"/>
    <x v="2"/>
    <x v="1"/>
    <x v="1"/>
    <x v="0"/>
    <x v="0"/>
    <s v="ఆరోగ్య రంగం అభివృద్ధి చేయటం, వ్యవసాయం, రైతు బాగుండడం, సంక్షేమ పథకాలు (నగదు)"/>
    <x v="1"/>
    <x v="0"/>
    <x v="1"/>
    <x v="1"/>
    <x v="1"/>
    <x v="1"/>
    <s v="Deepika"/>
    <s v="Fake Audio/Empty Audio"/>
    <n v="0"/>
    <x v="1"/>
    <n v="1.3836274505214585"/>
    <n v="1.0795332136445241"/>
    <n v="1.1648410586678206"/>
    <n v="0.85034013605442171"/>
    <n v="1.1213131007097483"/>
    <n v="1.0790228998469584"/>
    <n v="0.90933567693352424"/>
    <n v="-1"/>
    <n v="1"/>
    <n v="1"/>
    <n v="-1"/>
    <n v="-1"/>
    <n v="-1"/>
    <n v="-1.5"/>
    <n v="-2"/>
    <n v="-3"/>
    <n v="-2"/>
    <n v="-3"/>
    <s v="Neutral TDP"/>
  </r>
  <r>
    <s v="bed2ae74-f2f1-48b8-a5b6-7e03daba37b6"/>
    <x v="6"/>
    <s v="25/01/2026, 13:45:26"/>
    <s v="16.462594, 81.832772"/>
    <s v="FR6M+V82, Sivakodu, Andhra Pradesh, India"/>
    <x v="0"/>
    <s v="Naeem"/>
    <s v="http://164.52.221.216/localmedia/media/surveys/samples/recording_2026-01-25_13-42-04_samples_QLv2dAj1vw.mp4"/>
    <x v="1"/>
    <x v="1"/>
    <x v="19"/>
    <x v="3"/>
    <s v="హిందూ"/>
    <x v="0"/>
    <s v="harassed.m"/>
    <n v="0"/>
    <x v="0"/>
    <x v="2"/>
    <x v="1"/>
    <x v="1"/>
    <x v="1"/>
    <x v="1"/>
    <s v="రోడ్లు వేయటం, ఉద్యొగ్య అవకాశాలు కల్పించటం, ఆరోగ్య రంగం అభివృద్ధి చేయటం, వ్యవసాయం, రైతు బాగుండడం, సంక్షేమ పథకాలు (నగదు)"/>
    <x v="1"/>
    <x v="1"/>
    <x v="1"/>
    <x v="1"/>
    <x v="1"/>
    <x v="1"/>
    <s v="Deepika"/>
    <s v="Fake Audio/Empty Audio"/>
    <n v="0"/>
    <x v="1"/>
    <n v="1.1705128247062893"/>
    <n v="1.0795332136445241"/>
    <n v="0.86308903171383233"/>
    <n v="0.85034013605442171"/>
    <n v="1.1213131007097483"/>
    <n v="0.79950206330384943"/>
    <n v="0.7401439088249181"/>
    <n v="-1"/>
    <n v="-1"/>
    <n v="-1"/>
    <n v="-1"/>
    <n v="-1"/>
    <n v="-1"/>
    <n v="-5.5"/>
    <n v="-6"/>
    <n v="-5"/>
    <n v="-4"/>
    <n v="-3"/>
    <s v="TDP HardCore"/>
  </r>
  <r>
    <s v="880c27e6-5a05-426e-8a58-4bc2aa547bff"/>
    <x v="6"/>
    <s v="25/01/2026, 09:09:14"/>
    <s v="16.435427, 81.919037"/>
    <s v="CWP9+3MV, Katrenipadu, Andhra Pradesh, India"/>
    <x v="3"/>
    <s v="Naeem"/>
    <s v="http://164.52.221.216/localmedia/media/surveys/samples/recording_2026-01-25_09-06-30_samples_DlQ9Vm4Nxf.mp4"/>
    <x v="0"/>
    <x v="1"/>
    <x v="18"/>
    <x v="3"/>
    <s v="క్రిస్టియన్"/>
    <x v="0"/>
    <s v="tatarao"/>
    <n v="9989183050"/>
    <x v="0"/>
    <x v="3"/>
    <x v="1"/>
    <x v="1"/>
    <x v="1"/>
    <x v="1"/>
    <s v="ఉద్యొగ్య అవకాశాలు కల్పించటం, ఆరోగ్య రంగం అభివృద్ధి చేయటం, వ్యవసాయం, రైతు బాగుండడం"/>
    <x v="1"/>
    <x v="0"/>
    <x v="1"/>
    <x v="1"/>
    <x v="1"/>
    <x v="1"/>
    <s v="Bhagya"/>
    <s v="Correctly Done"/>
    <s v="Caste - Inaudible"/>
    <x v="0"/>
    <n v="1.3836274505214585"/>
    <n v="1.0795332136445241"/>
    <n v="1.1648410586678206"/>
    <n v="0.85034013605442171"/>
    <n v="1.1213131007097483"/>
    <n v="1.0790228998469584"/>
    <n v="0.90933567693352424"/>
    <n v="-1"/>
    <n v="-1"/>
    <n v="-1"/>
    <n v="-1"/>
    <n v="-1"/>
    <n v="-1"/>
    <n v="-5.5"/>
    <n v="-6"/>
    <n v="-5"/>
    <n v="-4"/>
    <n v="-3"/>
    <s v="TDP HardCore"/>
  </r>
  <r>
    <s v="28b76f45-14bd-4cdf-880d-dbba0726b30d"/>
    <x v="6"/>
    <s v="25/01/2026, 09:16:46"/>
    <s v="16.435084, 81.920683"/>
    <s v="CWP9+6P6, Katrevupadu, Andhra Pradesh, India"/>
    <x v="3"/>
    <s v="Naeem"/>
    <s v="http://164.52.221.216/localmedia/media/surveys/samples/recording_2026-01-25_09-12-52_samples_m1rLmkZLkk.mp4"/>
    <x v="2"/>
    <x v="1"/>
    <x v="18"/>
    <x v="0"/>
    <s v="హిందూ"/>
    <x v="0"/>
    <s v="venkateswararao "/>
    <n v="8019741088"/>
    <x v="0"/>
    <x v="5"/>
    <x v="0"/>
    <x v="1"/>
    <x v="0"/>
    <x v="0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0"/>
    <x v="2"/>
    <x v="1"/>
    <x v="1"/>
    <x v="1"/>
    <s v="Bhagya"/>
    <s v="Correctly Done"/>
    <n v="0"/>
    <x v="0"/>
    <n v="1.1461625511156397"/>
    <n v="1.0795332136445241"/>
    <n v="0.77721139583220644"/>
    <n v="0.85034013605442171"/>
    <n v="1.1213131007097483"/>
    <n v="0.71995135120329123"/>
    <n v="1.3370299504035861"/>
    <n v="-1"/>
    <n v="1"/>
    <n v="1"/>
    <n v="-1"/>
    <n v="-1"/>
    <n v="-1"/>
    <n v="-1.5"/>
    <n v="-2"/>
    <n v="-3"/>
    <n v="-2"/>
    <n v="-3"/>
    <s v="Neutral TDP"/>
  </r>
  <r>
    <s v="0e41ad65-760e-4df0-a12f-12c44a3dfec1"/>
    <x v="6"/>
    <s v="25/01/2026, 09:34:26"/>
    <s v="16.434878, 81.921230"/>
    <s v="CWMC+WFV, Katrevupadu, Andhra Pradesh, India"/>
    <x v="3"/>
    <s v="Naeem"/>
    <s v="http://164.52.221.216/localmedia/media/surveys/samples/recording_2026-01-25_09-31-31_samples_1PuSnnCBfZ.mp4"/>
    <x v="2"/>
    <x v="1"/>
    <x v="18"/>
    <x v="6"/>
    <s v="హిందూ"/>
    <x v="0"/>
    <s v="anathalalshmi"/>
    <n v="999999999"/>
    <x v="1"/>
    <x v="5"/>
    <x v="1"/>
    <x v="1"/>
    <x v="0"/>
    <x v="1"/>
    <s v="ఉద్యొగ్య అవకాశాలు కల్పించటం, శాంతి భద్రతలను కాపాడటం, విద్య రంగం అభివృద్ధి చేయటం"/>
    <x v="1"/>
    <x v="0"/>
    <x v="1"/>
    <x v="1"/>
    <x v="1"/>
    <x v="1"/>
    <s v="Bhagya"/>
    <s v="Correctly Done"/>
    <n v="0"/>
    <x v="0"/>
    <n v="1.1461625511156397"/>
    <n v="1.0795332136445241"/>
    <n v="3.0326483876590018"/>
    <n v="2.1645021645021645"/>
    <n v="1.1213131007097483"/>
    <n v="2.8092219390089208"/>
    <n v="1.8020838461961379"/>
    <n v="-1"/>
    <n v="1"/>
    <n v="-1"/>
    <n v="-1"/>
    <n v="-1"/>
    <n v="-1"/>
    <n v="-3.5"/>
    <n v="-4"/>
    <n v="-5"/>
    <n v="-4"/>
    <n v="-3"/>
    <s v="TDP Sympathiser"/>
  </r>
  <r>
    <s v="02653eb4-c87f-454e-bcf7-505e5c07ebb3"/>
    <x v="6"/>
    <s v="25/01/2026, 12:57:34"/>
    <s v="16.460577, 81.835257"/>
    <s v="No address"/>
    <x v="0"/>
    <s v="Naeem"/>
    <s v="http://164.52.221.216/localmedia/media/surveys/samples/recording_2026-01-25_12-54-22_samples_rMcUPoKNTX.mp4"/>
    <x v="1"/>
    <x v="1"/>
    <x v="19"/>
    <x v="0"/>
    <s v="హిందూ"/>
    <x v="1"/>
    <s v="sivaji"/>
    <n v="0"/>
    <x v="0"/>
    <x v="5"/>
    <x v="1"/>
    <x v="1"/>
    <x v="1"/>
    <x v="1"/>
    <s v="ఉద్యొగ్య అవకాశాలు కల్పించటం, ఆరోగ్య రంగం అభివృద్ధి చేయటం, వ్యవసాయం, రైతు బాగుండడం, సంక్షేమ పథకాలు (నగదు)"/>
    <x v="1"/>
    <x v="1"/>
    <x v="1"/>
    <x v="1"/>
    <x v="1"/>
    <x v="1"/>
    <s v="Deepika"/>
    <s v="Fake Audio/Empty Audio"/>
    <n v="0"/>
    <x v="1"/>
    <n v="1.1705128247062893"/>
    <n v="1.0795332136445241"/>
    <n v="0.86308903171383233"/>
    <n v="0.85034013605442171"/>
    <n v="1.1213131007097483"/>
    <n v="0.79950206330384943"/>
    <n v="0.7401439088249181"/>
    <n v="-1"/>
    <n v="-1"/>
    <n v="-1"/>
    <n v="-1"/>
    <n v="-1"/>
    <n v="-1"/>
    <n v="-5.5"/>
    <n v="-6"/>
    <n v="-5"/>
    <n v="-4"/>
    <n v="-3"/>
    <s v="TDP HardCore"/>
  </r>
  <r>
    <s v="38a78d8a-f345-4ab9-a981-bac9fb9789d3"/>
    <x v="6"/>
    <s v="25/01/2026, 09:38:58"/>
    <s v="16.434977, 81.922960"/>
    <s v="CWMC+WFV, Katrevupadu, Andhra Pradesh, India"/>
    <x v="3"/>
    <s v="Naeem"/>
    <s v="http://164.52.221.216/localmedia/media/surveys/samples/recording_2026-01-25_09-36-08_samples_5A5S5hLpb8.mp4"/>
    <x v="1"/>
    <x v="1"/>
    <x v="18"/>
    <x v="0"/>
    <s v="హిందూ"/>
    <x v="1"/>
    <s v="shiva"/>
    <n v="9573896152"/>
    <x v="0"/>
    <x v="2"/>
    <x v="1"/>
    <x v="1"/>
    <x v="1"/>
    <x v="1"/>
    <s v="రోడ్లు వేయటం, ఉద్యొగ్య అవకాశాలు కల్పించటం, ఆరోగ్య రంగం అభివృద్ధి చేయటం"/>
    <x v="1"/>
    <x v="0"/>
    <x v="1"/>
    <x v="1"/>
    <x v="1"/>
    <x v="1"/>
    <s v="Bhagya"/>
    <s v="Correctly Done"/>
    <n v="0"/>
    <x v="0"/>
    <n v="1.1705128247062893"/>
    <n v="1.0795332136445241"/>
    <n v="0.86308903171383233"/>
    <n v="0.85034013605442171"/>
    <n v="1.1213131007097483"/>
    <n v="0.79950206330384943"/>
    <n v="0.7401439088249181"/>
    <n v="-1"/>
    <n v="-1"/>
    <n v="-1"/>
    <n v="-1"/>
    <n v="-1"/>
    <n v="-1"/>
    <n v="-5.5"/>
    <n v="-6"/>
    <n v="-5"/>
    <n v="-4"/>
    <n v="-3"/>
    <s v="TDP HardCore"/>
  </r>
  <r>
    <s v="bbb83879-4417-4139-a2e5-e7c917f62c6d"/>
    <x v="6"/>
    <s v="25/01/2026, 09:48:54"/>
    <s v="16.434441, 81.923196"/>
    <s v="CWMF+75, Katrenipadu, Andhra Pradesh, India"/>
    <x v="3"/>
    <s v="Naeem"/>
    <s v="http://164.52.221.216/localmedia/media/surveys/samples/recording_2026-01-25_09-42-26_samples_nwcm54Xo84.mp4"/>
    <x v="0"/>
    <x v="1"/>
    <x v="18"/>
    <x v="0"/>
    <s v="క్రిస్టియన్"/>
    <x v="2"/>
    <s v="satya narayana"/>
    <n v="9573389307"/>
    <x v="0"/>
    <x v="1"/>
    <x v="0"/>
    <x v="0"/>
    <x v="0"/>
    <x v="0"/>
    <s v="ఉద్యొగ్య అవకాశాలు కల్పించటం, విద్య రంగం అభివృద్ధి చేయటం, ఆరోగ్య రంగం అభివృద్ధి చేయటం"/>
    <x v="1"/>
    <x v="2"/>
    <x v="0"/>
    <x v="0"/>
    <x v="0"/>
    <x v="0"/>
    <s v="Bhagya"/>
    <s v="Correctly Done"/>
    <n v="0"/>
    <x v="0"/>
    <n v="1.3836274505214585"/>
    <n v="1.8055837563451775"/>
    <n v="1.9482662206881376"/>
    <n v="0.85034013605442171"/>
    <n v="1.1213131007097483"/>
    <n v="1.0790228998469584"/>
    <n v="0.90933567693352424"/>
    <n v="1"/>
    <n v="1"/>
    <n v="1"/>
    <n v="-1"/>
    <n v="1"/>
    <n v="1"/>
    <n v="3.5"/>
    <n v="4"/>
    <n v="3"/>
    <n v="2"/>
    <n v="3"/>
    <s v="Neutral YSRCP"/>
  </r>
  <r>
    <s v="58ffcc90-7e29-47bf-9282-c1157f6f0ddc"/>
    <x v="6"/>
    <s v="25/01/2026, 10:09:43"/>
    <s v="16.434322, 81.924367"/>
    <s v="CWMF+698, Katrenipadu, Andhra Pradesh, India"/>
    <x v="3"/>
    <s v="Naeem"/>
    <s v="http://164.52.221.216/localmedia/media/surveys/samples/recording_2026-01-25_10-06-35_samples_Dp4JIPelH3.mp4"/>
    <x v="1"/>
    <x v="1"/>
    <x v="18"/>
    <x v="2"/>
    <s v="హిందూ"/>
    <x v="0"/>
    <s v="p. rami"/>
    <n v="9515435118"/>
    <x v="0"/>
    <x v="1"/>
    <x v="1"/>
    <x v="1"/>
    <x v="0"/>
    <x v="1"/>
    <s v="ఉద్యొగ్య అవకాశాలు కల్పించటం, శాంతి భద్రతలను కాపాడటం, విద్య రంగం అభివృద్ధి చేయటం"/>
    <x v="1"/>
    <x v="0"/>
    <x v="1"/>
    <x v="1"/>
    <x v="1"/>
    <x v="1"/>
    <s v="Ashish"/>
    <s v="Correctly Done"/>
    <n v="0"/>
    <x v="0"/>
    <n v="1.1705128247062893"/>
    <n v="1.0795332136445241"/>
    <n v="0.86308903171383233"/>
    <n v="0.85034013605442171"/>
    <n v="1.1213131007097483"/>
    <n v="0.79950206330384943"/>
    <n v="0.7401439088249181"/>
    <n v="-1"/>
    <n v="1"/>
    <n v="-1"/>
    <n v="-1"/>
    <n v="-1"/>
    <n v="-1"/>
    <n v="-3.5"/>
    <n v="-4"/>
    <n v="-5"/>
    <n v="-4"/>
    <n v="-3"/>
    <s v="TDP Sympathiser"/>
  </r>
  <r>
    <s v="f81cc97a-0f8d-4b62-b1e1-888c251368fa"/>
    <x v="6"/>
    <s v="25/01/2026, 10:16:35"/>
    <s v="16.434015, 81.925223"/>
    <s v="CWMF+698, Katrenipadu, Andhra Pradesh, India"/>
    <x v="3"/>
    <s v="Naeem"/>
    <s v="http://164.52.221.216/localmedia/media/surveys/samples/recording_2026-01-25_10-13-26_samples_VdNDozgu8d.mp4"/>
    <x v="1"/>
    <x v="1"/>
    <x v="18"/>
    <x v="0"/>
    <s v="హిందూ"/>
    <x v="1"/>
    <s v="madavi"/>
    <n v="7075084539"/>
    <x v="1"/>
    <x v="5"/>
    <x v="1"/>
    <x v="1"/>
    <x v="0"/>
    <x v="0"/>
    <s v="ఉద్యొగ్య అవకాశాలు కల్పించటం, ఆరోగ్య రంగం అభివృద్ధి చేయటం, వ్యవసాయం, రైతు బాగుండడం"/>
    <x v="0"/>
    <x v="0"/>
    <x v="0"/>
    <x v="2"/>
    <x v="1"/>
    <x v="1"/>
    <s v="Ashish"/>
    <s v="Correctly Done"/>
    <n v="0"/>
    <x v="0"/>
    <n v="1.1705128247062893"/>
    <n v="0.66153846153846207"/>
    <n v="1.444803728657164"/>
    <n v="2.1645021645021645"/>
    <n v="1.1213131007097483"/>
    <n v="2.1840056363422229"/>
    <n v="0.95944580773600496"/>
    <n v="-1"/>
    <n v="1"/>
    <n v="1"/>
    <n v="1"/>
    <n v="-1"/>
    <n v="1"/>
    <n v="2.5"/>
    <n v="2"/>
    <n v="1"/>
    <n v="2"/>
    <s v="ND"/>
    <s v="ND"/>
  </r>
  <r>
    <s v="e3896bd6-13ae-47be-a340-136c304ef4b9"/>
    <x v="6"/>
    <s v="25/01/2026, 10:33:56"/>
    <s v="16.433730, 81.926830"/>
    <s v="CWMH+8J, Katrenipadu, Andhra Pradesh, India"/>
    <x v="3"/>
    <s v="Naeem"/>
    <s v="http://164.52.221.216/localmedia/media/surveys/samples/recording_2026-01-25_10-29-14_samples_J7VP5U5Zu6.mp4"/>
    <x v="0"/>
    <x v="1"/>
    <x v="18"/>
    <x v="6"/>
    <s v="క్రిస్టియన్"/>
    <x v="1"/>
    <s v="venkatalakshmi"/>
    <n v="9999999999"/>
    <x v="1"/>
    <x v="1"/>
    <x v="0"/>
    <x v="0"/>
    <x v="0"/>
    <x v="0"/>
    <s v="ఉద్యొగ్య అవకాశాలు కల్పించటం, శాంతి భద్రతలను కాపాడటం, విద్య రంగం అభివృద్ధి చేయటం, వ్యవసాయం, రైతు బాగుండడం"/>
    <x v="0"/>
    <x v="0"/>
    <x v="0"/>
    <x v="0"/>
    <x v="0"/>
    <x v="0"/>
    <s v="Ashish"/>
    <s v="Correctly Done"/>
    <n v="0"/>
    <x v="0"/>
    <n v="1.3836274505214585"/>
    <n v="1.8055837563451775"/>
    <n v="3.4809023142961388"/>
    <n v="2.1645021645021645"/>
    <n v="1.1213131007097483"/>
    <n v="1.9278542477265657"/>
    <n v="1.2302776805571209"/>
    <n v="1"/>
    <n v="1"/>
    <n v="1"/>
    <n v="1"/>
    <n v="1"/>
    <n v="1"/>
    <n v="5.5"/>
    <n v="6"/>
    <n v="5"/>
    <n v="4"/>
    <n v="3"/>
    <s v="YSRCP HardCore"/>
  </r>
  <r>
    <s v="aad96586-73db-4279-be7e-072872e98a4b"/>
    <x v="6"/>
    <s v="25/01/2026, 10:01:28"/>
    <s v="16.434421, 81.923708"/>
    <s v="CWMF+698, Katrenipadu, Andhra Pradesh, India"/>
    <x v="3"/>
    <s v="Naeem"/>
    <s v="http://164.52.221.216/localmedia/media/surveys/samples/recording_2026-01-25_09-51-39_samples_TrBC2NTaZe.mp4"/>
    <x v="0"/>
    <x v="1"/>
    <x v="18"/>
    <x v="2"/>
    <s v="హిందూ"/>
    <x v="1"/>
    <s v="k. njavani"/>
    <n v="9573871559"/>
    <x v="1"/>
    <x v="3"/>
    <x v="0"/>
    <x v="0"/>
    <x v="1"/>
    <x v="0"/>
    <s v="ఉద్యొగ్య అవకాశాలు కల్పించటం, విద్య రంగం అభివృద్ధి చేయటం, ఆరోగ్య రంగం అభివృద్ధి చేయటం"/>
    <x v="0"/>
    <x v="0"/>
    <x v="1"/>
    <x v="0"/>
    <x v="0"/>
    <x v="0"/>
    <s v="Bhagya"/>
    <s v="Not Doing It Properly"/>
    <n v="0"/>
    <x v="0"/>
    <n v="1.3836274505214585"/>
    <n v="1.8055837563451775"/>
    <n v="3.4809023142961388"/>
    <n v="2.1645021645021645"/>
    <n v="1.1213131007097483"/>
    <n v="1.9278542477265657"/>
    <n v="1.2302776805571209"/>
    <n v="1"/>
    <n v="-1"/>
    <n v="1"/>
    <n v="1"/>
    <n v="1"/>
    <n v="-1"/>
    <n v="1.5"/>
    <n v="2"/>
    <n v="3"/>
    <n v="2"/>
    <s v="ND"/>
    <s v="ND"/>
  </r>
  <r>
    <s v="23f403aa-c766-4393-b1ee-4545618e01da"/>
    <x v="6"/>
    <s v="25/01/2026, 10:33:57"/>
    <s v="16.433730, 81.926830"/>
    <s v="CWMH+8J, Katrenipadu, Andhra Pradesh, India"/>
    <x v="3"/>
    <s v="Naeem"/>
    <s v="http://164.52.221.216/localmedia/media/surveys/samples/recording_2026-01-25_10-29-14_samples_IG8AXaZcG4.mp4"/>
    <x v="0"/>
    <x v="1"/>
    <x v="18"/>
    <x v="6"/>
    <s v="క్రిస్టియన్"/>
    <x v="1"/>
    <s v="venkatalakshmi"/>
    <n v="9999999999"/>
    <x v="1"/>
    <x v="1"/>
    <x v="0"/>
    <x v="0"/>
    <x v="0"/>
    <x v="0"/>
    <s v="ఉద్యొగ్య అవకాశాలు కల్పించటం, శాంతి భద్రతలను కాపాడటం, విద్య రంగం అభివృద్ధి చేయటం, వ్యవసాయం, రైతు బాగుండడం"/>
    <x v="0"/>
    <x v="0"/>
    <x v="0"/>
    <x v="0"/>
    <x v="0"/>
    <x v="0"/>
    <n v="0"/>
    <s v="Correctly Done"/>
    <n v="0"/>
    <x v="0"/>
    <n v="1.3836274505214585"/>
    <n v="1.8055837563451775"/>
    <n v="3.4809023142961388"/>
    <n v="2.1645021645021645"/>
    <n v="1.1213131007097483"/>
    <n v="1.9278542477265657"/>
    <n v="1.2302776805571209"/>
    <n v="1"/>
    <n v="1"/>
    <n v="1"/>
    <n v="1"/>
    <n v="1"/>
    <n v="1"/>
    <n v="5.5"/>
    <n v="6"/>
    <n v="5"/>
    <n v="4"/>
    <n v="3"/>
    <s v="YSRCP HardCore"/>
  </r>
  <r>
    <s v="9d5b42a7-ac7f-4efe-b0c5-d627279e2a06"/>
    <x v="6"/>
    <s v="25/01/2026, 10:54:23"/>
    <s v="16.433142, 81.929588"/>
    <s v="CWMH+8J, Katrenipadu, Andhra Pradesh, India"/>
    <x v="3"/>
    <s v="Naeem"/>
    <s v="http://164.52.221.216/localmedia/media/surveys/samples/recording_2026-01-25_10-51-31_samples_LRGBfMTdR1.mp4"/>
    <x v="0"/>
    <x v="1"/>
    <x v="18"/>
    <x v="2"/>
    <s v="హిందూ"/>
    <x v="1"/>
    <s v="haripriya"/>
    <n v="9618056502"/>
    <x v="1"/>
    <x v="3"/>
    <x v="0"/>
    <x v="1"/>
    <x v="1"/>
    <x v="1"/>
    <s v="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"/>
    <x v="1"/>
    <x v="0"/>
    <x v="1"/>
    <x v="1"/>
    <x v="1"/>
    <x v="1"/>
    <s v="Ashish"/>
    <s v="Correctly Done"/>
    <n v="0"/>
    <x v="0"/>
    <n v="1.3836274505214585"/>
    <n v="1.0795332136445241"/>
    <n v="2.0811826914865059"/>
    <n v="2.1645021645021645"/>
    <n v="1.1213131007097483"/>
    <n v="1.9278542477265657"/>
    <n v="1.2302776805571209"/>
    <n v="-1"/>
    <n v="-1"/>
    <n v="-1"/>
    <n v="-1"/>
    <n v="-1"/>
    <n v="-1"/>
    <n v="-5.5"/>
    <n v="-6"/>
    <n v="-5"/>
    <n v="-4"/>
    <n v="-3"/>
    <s v="TDP HardCore"/>
  </r>
  <r>
    <s v="d0de4218-7c36-4f87-98fa-3481fa318cb7"/>
    <x v="6"/>
    <s v="25/01/2026, 11:04:53"/>
    <s v="16.432009, 81.929340"/>
    <s v="CWJH+JPP, Katrenipadu, Andhra Pradesh, India"/>
    <x v="3"/>
    <s v="Naeem"/>
    <s v="http://164.52.221.216/localmedia/media/surveys/samples/recording_2026-01-25_10-59-17_samples_Rr3vt3Ybka.mp4"/>
    <x v="2"/>
    <x v="1"/>
    <x v="18"/>
    <x v="0"/>
    <s v="హిందూ"/>
    <x v="1"/>
    <s v="ramalakshmi"/>
    <n v="8008458857"/>
    <x v="1"/>
    <x v="3"/>
    <x v="1"/>
    <x v="1"/>
    <x v="0"/>
    <x v="1"/>
    <s v="రోడ్లు వేయటం, ఆరోగ్య రంగం అభివృద్ధి చేయటం, వ్యవసాయం, రైతు బాగుండడం"/>
    <x v="1"/>
    <x v="0"/>
    <x v="2"/>
    <x v="1"/>
    <x v="1"/>
    <x v="1"/>
    <s v="Ashish"/>
    <s v="Correctly Done"/>
    <n v="0"/>
    <x v="0"/>
    <n v="1.1461625511156397"/>
    <n v="1.0795332136445241"/>
    <n v="3.0326483876590018"/>
    <n v="2.1645021645021645"/>
    <n v="1.1213131007097483"/>
    <n v="2.8092219390089208"/>
    <n v="1.8020838461961379"/>
    <n v="-1"/>
    <n v="1"/>
    <n v="-1"/>
    <n v="-1"/>
    <n v="-1"/>
    <n v="-1"/>
    <n v="-3.5"/>
    <n v="-4"/>
    <n v="-5"/>
    <n v="-4"/>
    <n v="-3"/>
    <s v="TDP Sympathiser"/>
  </r>
  <r>
    <s v="6cf53e6f-a9dc-47a3-8da3-8675560d7488"/>
    <x v="6"/>
    <s v="25/01/2026, 11:04:53"/>
    <s v="16.432009, 81.929340"/>
    <s v="CWJH+JPP, Katrenipadu, Andhra Pradesh, India"/>
    <x v="3"/>
    <s v="Naeem"/>
    <s v="http://164.52.221.216/localmedia/media/surveys/samples/recording_2026-01-25_10-59-17_samples_PteOv0cNLe.mp4"/>
    <x v="2"/>
    <x v="1"/>
    <x v="18"/>
    <x v="0"/>
    <s v="హిందూ"/>
    <x v="1"/>
    <s v="ramalakshmi"/>
    <n v="8008458857"/>
    <x v="1"/>
    <x v="3"/>
    <x v="1"/>
    <x v="1"/>
    <x v="0"/>
    <x v="1"/>
    <s v="రోడ్లు వేయటం, ఆరోగ్య రంగం అభివృద్ధి చేయటం, వ్యవసాయం, రైతు బాగుండడం"/>
    <x v="1"/>
    <x v="0"/>
    <x v="2"/>
    <x v="1"/>
    <x v="1"/>
    <x v="1"/>
    <n v="0"/>
    <s v="Correctly Done"/>
    <n v="0"/>
    <x v="0"/>
    <n v="1.1461625511156397"/>
    <n v="1.0795332136445241"/>
    <n v="3.0326483876590018"/>
    <n v="2.1645021645021645"/>
    <n v="1.1213131007097483"/>
    <n v="2.8092219390089208"/>
    <n v="1.8020838461961379"/>
    <n v="-1"/>
    <n v="1"/>
    <n v="-1"/>
    <n v="-1"/>
    <n v="-1"/>
    <n v="-1"/>
    <n v="-3.5"/>
    <n v="-4"/>
    <n v="-5"/>
    <n v="-4"/>
    <n v="-3"/>
    <s v="TDP Sympathiser"/>
  </r>
  <r>
    <s v="d2b0973e-2eb2-4be8-bf24-e8f69231eef6"/>
    <x v="6"/>
    <s v="25/01/2026, 11:04:53"/>
    <s v="16.432009, 81.929340"/>
    <s v="CWJH+JPP, Katrenipadu, Andhra Pradesh, India"/>
    <x v="3"/>
    <s v="Naeem"/>
    <s v="http://164.52.221.216/localmedia/media/surveys/samples/recording_2026-01-25_10-59-17_samples_D9ndkDz2V4.mp4"/>
    <x v="2"/>
    <x v="1"/>
    <x v="18"/>
    <x v="0"/>
    <s v="హిందూ"/>
    <x v="1"/>
    <s v="ramalakshmi"/>
    <n v="8008458857"/>
    <x v="1"/>
    <x v="3"/>
    <x v="1"/>
    <x v="1"/>
    <x v="0"/>
    <x v="1"/>
    <s v="రోడ్లు వేయటం, ఆరోగ్య రంగం అభివృద్ధి చేయటం, వ్యవసాయం, రైతు బాగుండడం"/>
    <x v="1"/>
    <x v="0"/>
    <x v="2"/>
    <x v="1"/>
    <x v="1"/>
    <x v="1"/>
    <n v="0"/>
    <s v="Correctly Done"/>
    <n v="0"/>
    <x v="0"/>
    <n v="1.1461625511156397"/>
    <n v="1.0795332136445241"/>
    <n v="3.0326483876590018"/>
    <n v="2.1645021645021645"/>
    <n v="1.1213131007097483"/>
    <n v="2.8092219390089208"/>
    <n v="1.8020838461961379"/>
    <n v="-1"/>
    <n v="1"/>
    <n v="-1"/>
    <n v="-1"/>
    <n v="-1"/>
    <n v="-1"/>
    <n v="-3.5"/>
    <n v="-4"/>
    <n v="-5"/>
    <n v="-4"/>
    <n v="-3"/>
    <s v="TDP Sympathiser"/>
  </r>
  <r>
    <s v="841f5a56-8913-4652-b84a-7b1282426e2f"/>
    <x v="6"/>
    <s v="25/01/2026, 11:04:54"/>
    <s v="16.432009, 81.929340"/>
    <s v="CWJH+JPP, Katrenipadu, Andhra Pradesh, India"/>
    <x v="3"/>
    <s v="Naeem"/>
    <s v="http://164.52.221.216/localmedia/media/surveys/samples/recording_2026-01-25_10-59-17_samples_lBOIWUppgC.mp4"/>
    <x v="2"/>
    <x v="1"/>
    <x v="18"/>
    <x v="0"/>
    <s v="హిందూ"/>
    <x v="1"/>
    <s v="ramalakshmi"/>
    <n v="8008458857"/>
    <x v="1"/>
    <x v="3"/>
    <x v="1"/>
    <x v="1"/>
    <x v="0"/>
    <x v="1"/>
    <s v="రోడ్లు వేయటం, ఆరోగ్య రంగం అభివృద్ధి చేయటం, వ్యవసాయం, రైతు బాగుండడం"/>
    <x v="1"/>
    <x v="0"/>
    <x v="2"/>
    <x v="1"/>
    <x v="1"/>
    <x v="1"/>
    <n v="0"/>
    <s v="Correctly Done"/>
    <n v="0"/>
    <x v="0"/>
    <n v="1.1461625511156397"/>
    <n v="1.0795332136445241"/>
    <n v="3.0326483876590018"/>
    <n v="2.1645021645021645"/>
    <n v="1.1213131007097483"/>
    <n v="2.8092219390089208"/>
    <n v="1.8020838461961379"/>
    <n v="-1"/>
    <n v="1"/>
    <n v="-1"/>
    <n v="-1"/>
    <n v="-1"/>
    <n v="-1"/>
    <n v="-3.5"/>
    <n v="-4"/>
    <n v="-5"/>
    <n v="-4"/>
    <n v="-3"/>
    <s v="TDP Sympathiser"/>
  </r>
  <r>
    <s v="e74d8575-23e0-4f6a-b336-4dba0f9512c9"/>
    <x v="6"/>
    <s v="25/01/2026, 11:04:54"/>
    <s v="16.432009, 81.929340"/>
    <s v="CWJH+JPP, Katrenipadu, Andhra Pradesh, India"/>
    <x v="3"/>
    <s v="Naeem"/>
    <s v="http://164.52.221.216/localmedia/media/surveys/samples/recording_2026-01-25_10-59-17_samples_KMz8mRNgf4.mp4"/>
    <x v="2"/>
    <x v="1"/>
    <x v="18"/>
    <x v="0"/>
    <s v="హిందూ"/>
    <x v="1"/>
    <s v="ramalakshmi"/>
    <n v="8008458857"/>
    <x v="1"/>
    <x v="3"/>
    <x v="1"/>
    <x v="1"/>
    <x v="0"/>
    <x v="1"/>
    <s v="రోడ్లు వేయటం, ఆరోగ్య రంగం అభివృద్ధి చేయటం, వ్యవసాయం, రైతు బాగుండడం"/>
    <x v="1"/>
    <x v="0"/>
    <x v="2"/>
    <x v="1"/>
    <x v="1"/>
    <x v="1"/>
    <n v="0"/>
    <s v="Correctly Done"/>
    <n v="0"/>
    <x v="0"/>
    <n v="1.1461625511156397"/>
    <n v="1.0795332136445241"/>
    <n v="3.0326483876590018"/>
    <n v="2.1645021645021645"/>
    <n v="1.1213131007097483"/>
    <n v="2.8092219390089208"/>
    <n v="1.8020838461961379"/>
    <n v="-1"/>
    <n v="1"/>
    <n v="-1"/>
    <n v="-1"/>
    <n v="-1"/>
    <n v="-1"/>
    <n v="-3.5"/>
    <n v="-4"/>
    <n v="-5"/>
    <n v="-4"/>
    <n v="-3"/>
    <s v="TDP Sympathiser"/>
  </r>
  <r>
    <s v="a9ed9eb2-6105-475e-97d9-d6839f052d8e"/>
    <x v="6"/>
    <s v="25/01/2026, 11:11:52"/>
    <s v="16.431078, 81.930978"/>
    <s v="CWJJ+G3X, Katrevupadu, Andhra Pradesh, India"/>
    <x v="3"/>
    <s v="Naeem"/>
    <s v="http://164.52.221.216/localmedia/media/surveys/samples/recording_2026-01-25_11-08-02_samples_bxv4QyroDZ.mp4"/>
    <x v="2"/>
    <x v="1"/>
    <x v="18"/>
    <x v="6"/>
    <s v="హిందూ"/>
    <x v="0"/>
    <s v="lakshmi"/>
    <n v="9494248509"/>
    <x v="1"/>
    <x v="3"/>
    <x v="1"/>
    <x v="1"/>
    <x v="0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0"/>
    <x v="1"/>
    <x v="1"/>
    <x v="1"/>
    <x v="1"/>
    <s v="Ashish"/>
    <s v="Correctly Done"/>
    <n v="0"/>
    <x v="0"/>
    <n v="1.1461625511156397"/>
    <n v="1.0795332136445241"/>
    <n v="3.0326483876590018"/>
    <n v="2.1645021645021645"/>
    <n v="1.1213131007097483"/>
    <n v="2.8092219390089208"/>
    <n v="1.8020838461961379"/>
    <n v="-1"/>
    <n v="1"/>
    <n v="-1"/>
    <n v="-1"/>
    <n v="-1"/>
    <n v="-1"/>
    <n v="-3.5"/>
    <n v="-4"/>
    <n v="-5"/>
    <n v="-4"/>
    <n v="-3"/>
    <s v="TDP Sympathiser"/>
  </r>
  <r>
    <s v="e112dbc8-ca03-475f-a69a-26e64169a1e4"/>
    <x v="6"/>
    <s v="25/01/2026, 11:20:38"/>
    <s v="16.430482, 81.932781"/>
    <s v="Airtel cell tower, Gogannamattam, Andhra Pradesh, India"/>
    <x v="3"/>
    <s v="Naeem"/>
    <s v="http://164.52.221.216/localmedia/media/surveys/samples/recording_2026-01-25_11-16-16_samples_cf99nM35eX.mp4"/>
    <x v="2"/>
    <x v="1"/>
    <x v="18"/>
    <x v="0"/>
    <s v="హిందూ"/>
    <x v="0"/>
    <s v="no"/>
    <n v="9999999999"/>
    <x v="0"/>
    <x v="2"/>
    <x v="2"/>
    <x v="1"/>
    <x v="0"/>
    <x v="1"/>
    <s v="రోడ్లు వేయటం, ఉద్యొగ్య అవకాశాలు కల్పించటం, విద్య రంగం అభివృద్ధి చేయటం"/>
    <x v="1"/>
    <x v="0"/>
    <x v="1"/>
    <x v="1"/>
    <x v="1"/>
    <x v="1"/>
    <s v="Ashish"/>
    <s v="Correctly Done"/>
    <n v="0"/>
    <x v="0"/>
    <n v="1.1461625511156397"/>
    <n v="1.0795332136445241"/>
    <n v="0.77721139583220644"/>
    <n v="0.85034013605442171"/>
    <n v="1.1213131007097483"/>
    <n v="0.71995135120329123"/>
    <n v="1.3370299504035861"/>
    <n v="-1"/>
    <n v="1"/>
    <n v="-1"/>
    <n v="-1"/>
    <n v="-1"/>
    <n v="-1"/>
    <n v="-3.5"/>
    <n v="-4"/>
    <n v="-5"/>
    <n v="-4"/>
    <n v="-3"/>
    <s v="TDP Sympathiser"/>
  </r>
  <r>
    <s v="d1593529-8b68-4176-ae68-ce4c7e8dc36f"/>
    <x v="6"/>
    <s v="25/01/2026, 08:37:48"/>
    <s v="16.437505, 81.911286"/>
    <s v="CWQ6+HHG, Katrenipadu, Andhra Pradesh, India"/>
    <x v="3"/>
    <s v="Naeem"/>
    <s v="http://164.52.221.216/localmedia/media/surveys/samples/recording_2026-01-25_08-33-14_samples_dE5KHSmcGO.mp4"/>
    <x v="0"/>
    <x v="1"/>
    <x v="18"/>
    <x v="2"/>
    <s v="క్రిస్టియన్"/>
    <x v="1"/>
    <s v="reddy"/>
    <n v="9095768911"/>
    <x v="0"/>
    <x v="3"/>
    <x v="2"/>
    <x v="0"/>
    <x v="0"/>
    <x v="0"/>
    <s v="రోడ్లు వేయటం, ఉద్యొగ్య అవకాశాలు కల్పించటం, వ్యవసాయం, రైతు బాగుండడం"/>
    <x v="0"/>
    <x v="1"/>
    <x v="0"/>
    <x v="0"/>
    <x v="2"/>
    <x v="2"/>
    <s v="Bhagya"/>
    <s v="Not Doing It Properly"/>
    <s v="Kept Q12 on his own"/>
    <x v="0"/>
    <n v="1.3836274505214585"/>
    <n v="1.8055837563451775"/>
    <n v="1.9482662206881376"/>
    <n v="0.85034013605442171"/>
    <n v="1.1213131007097483"/>
    <n v="1.0790228998469584"/>
    <n v="0.90933567693352424"/>
    <n v="1"/>
    <n v="1"/>
    <n v="1"/>
    <n v="1"/>
    <n v="1"/>
    <n v="1"/>
    <n v="5.5"/>
    <n v="6"/>
    <n v="5"/>
    <n v="4"/>
    <n v="3"/>
    <s v="YSRCP HardCore"/>
  </r>
  <r>
    <s v="c09cf341-8cd6-431b-bc2b-57e070fdebbd"/>
    <x v="6"/>
    <s v="25/01/2026, 12:23:45"/>
    <s v="16.463177, 81.823925"/>
    <s v="No address"/>
    <x v="0"/>
    <s v="Naeem"/>
    <s v="http://164.52.221.216/localmedia/media/surveys/samples/recording_2026-01-25_12-19-42_samples_pihgF4fFwJ.mp4"/>
    <x v="1"/>
    <x v="1"/>
    <x v="19"/>
    <x v="3"/>
    <s v="హిందూ"/>
    <x v="0"/>
    <s v="srinuvasrao.k"/>
    <n v="0"/>
    <x v="0"/>
    <x v="5"/>
    <x v="1"/>
    <x v="1"/>
    <x v="0"/>
    <x v="1"/>
    <s v="ఉద్యొగ్య అవకాశాలు కల్పించటం, ఆరోగ్య రంగం అభివృద్ధి చేయటం, వ్యవసాయం, రైతు బాగుండడం, సంక్షేమ పథకాలు (నగదు)"/>
    <x v="1"/>
    <x v="2"/>
    <x v="1"/>
    <x v="1"/>
    <x v="1"/>
    <x v="1"/>
    <s v="Deepika"/>
    <s v="Fake Audio/Empty Audio"/>
    <n v="0"/>
    <x v="1"/>
    <n v="1.1705128247062893"/>
    <n v="1.0795332136445241"/>
    <n v="0.86308903171383233"/>
    <n v="0.85034013605442171"/>
    <n v="1.1213131007097483"/>
    <n v="0.79950206330384943"/>
    <n v="0.7401439088249181"/>
    <n v="-1"/>
    <n v="1"/>
    <n v="-1"/>
    <n v="-1"/>
    <n v="-1"/>
    <n v="-1"/>
    <n v="-3.5"/>
    <n v="-4"/>
    <n v="-5"/>
    <n v="-4"/>
    <n v="-3"/>
    <s v="TDP Sympathiser"/>
  </r>
  <r>
    <s v="49c090ec-a58c-428b-a37e-5dc29b663887"/>
    <x v="6"/>
    <s v="25/01/2026, 11:30:27"/>
    <s v="16.430284, 81.933230"/>
    <s v="CWJM+284, mutyalapaalam, Gogannamattam, Andhra Pradesh, India"/>
    <x v="3"/>
    <s v="Naeem"/>
    <s v="http://164.52.221.216/localmedia/media/surveys/samples/recording_2026-01-25_11-23-30_samples_jIyPXEW1HM.mp4"/>
    <x v="2"/>
    <x v="1"/>
    <x v="18"/>
    <x v="6"/>
    <s v="హిందూ"/>
    <x v="1"/>
    <s v="durga devi"/>
    <n v="9154643919"/>
    <x v="1"/>
    <x v="2"/>
    <x v="1"/>
    <x v="1"/>
    <x v="0"/>
    <x v="1"/>
    <s v="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"/>
    <x v="1"/>
    <x v="0"/>
    <x v="2"/>
    <x v="1"/>
    <x v="1"/>
    <x v="1"/>
    <s v="Ashish"/>
    <s v="Correctly Done"/>
    <n v="0"/>
    <x v="0"/>
    <n v="1.1461625511156397"/>
    <n v="1.0795332136445241"/>
    <n v="3.0326483876590018"/>
    <n v="2.1645021645021645"/>
    <n v="1.1213131007097483"/>
    <n v="2.8092219390089208"/>
    <n v="1.8020838461961379"/>
    <n v="-1"/>
    <n v="1"/>
    <n v="-1"/>
    <n v="-1"/>
    <n v="-1"/>
    <n v="-1"/>
    <n v="-3.5"/>
    <n v="-4"/>
    <n v="-5"/>
    <n v="-4"/>
    <n v="-3"/>
    <s v="TDP Sympathiser"/>
  </r>
  <r>
    <s v="5adb5609-e0ac-47c2-8d27-93a76365c784"/>
    <x v="6"/>
    <s v="25/01/2026, 16:04:59"/>
    <s v="16.458641, 81.839900"/>
    <s v="FR5Q+FW3, Chintalapalli, Andhra Pradesh, India"/>
    <x v="0"/>
    <s v="Naeem"/>
    <s v="http://164.52.221.216/localmedia/media/surveys/samples/recording_2026-01-25_16-01-11_samples_C3vaFoWqeH.mp4"/>
    <x v="2"/>
    <x v="1"/>
    <x v="19"/>
    <x v="6"/>
    <s v="హిందూ"/>
    <x v="1"/>
    <s v="ramalakshmi"/>
    <n v="0"/>
    <x v="1"/>
    <x v="2"/>
    <x v="1"/>
    <x v="0"/>
    <x v="1"/>
    <x v="0"/>
    <s v="రోడ్లు వేయటం, శాంతి భద్రతలను కాపాడటం, ఆరోగ్య రంగం అభివృద్ధి చేయటం, వ్యవసాయం, రైతు బాగుండడం, సంక్షేమ పథకాలు (నగదు)"/>
    <x v="0"/>
    <x v="0"/>
    <x v="0"/>
    <x v="0"/>
    <x v="2"/>
    <x v="0"/>
    <s v="Bhagya"/>
    <s v="Not Doing It Properly"/>
    <n v="0"/>
    <x v="0"/>
    <n v="1.1461625511156397"/>
    <n v="1.8055837563451775"/>
    <n v="5.0722855010430106"/>
    <n v="2.1645021645021645"/>
    <n v="1.1213131007097483"/>
    <n v="2.8092219390089208"/>
    <n v="1.8020838461961379"/>
    <n v="1"/>
    <n v="-1"/>
    <n v="1"/>
    <n v="1"/>
    <n v="1"/>
    <n v="1"/>
    <n v="3.5"/>
    <n v="4"/>
    <n v="5"/>
    <n v="4"/>
    <n v="3"/>
    <s v="YSRCP Sympathiser"/>
  </r>
  <r>
    <s v="ced7f3a3-7033-4ac0-b0f3-675e25530479"/>
    <x v="6"/>
    <s v="25/01/2026, 15:32:48"/>
    <s v="16.461140, 81.838853"/>
    <s v="FR6Q+CR8, Razole, Andhra Pradesh, India"/>
    <x v="0"/>
    <s v="Naeem"/>
    <s v="http://164.52.221.216/localmedia/media/surveys/samples/recording_2026-01-25_15-30-03_samples_v0Bd7J2OXp.mp4"/>
    <x v="0"/>
    <x v="1"/>
    <x v="19"/>
    <x v="6"/>
    <s v="క్రిస్టియన్"/>
    <x v="1"/>
    <s v="savithiri.b"/>
    <n v="0"/>
    <x v="1"/>
    <x v="4"/>
    <x v="2"/>
    <x v="1"/>
    <x v="1"/>
    <x v="1"/>
    <s v="ఉద్యొగ్య అవకాశాలు కల్పించటం, ఆరోగ్య రంగం అభివృద్ధి చేయటం, సంక్షేమ పథకాలు (నగదు)"/>
    <x v="0"/>
    <x v="2"/>
    <x v="2"/>
    <x v="1"/>
    <x v="1"/>
    <x v="1"/>
    <s v="Deepika"/>
    <s v="Fake Audio/Empty Audio"/>
    <n v="0"/>
    <x v="1"/>
    <n v="1.3836274505214585"/>
    <n v="1.0795332136445241"/>
    <n v="2.0811826914865059"/>
    <n v="2.1645021645021645"/>
    <n v="1.1213131007097483"/>
    <n v="1.9278542477265657"/>
    <n v="1.2302776805571209"/>
    <n v="-1"/>
    <n v="-1"/>
    <n v="-1"/>
    <n v="1"/>
    <n v="-1"/>
    <n v="-1"/>
    <n v="-3.5"/>
    <n v="-4"/>
    <n v="-3"/>
    <n v="-2"/>
    <n v="-3"/>
    <s v="Neutral TDP"/>
  </r>
  <r>
    <s v="632d1681-8e10-4f5b-b4c4-e734856d53c8"/>
    <x v="6"/>
    <s v="25/01/2026, 11:45:55"/>
    <s v="16.431275, 81.936544"/>
    <s v="CWJP+J8, Gogannamattam, Andhra Pradesh, India"/>
    <x v="3"/>
    <s v="Naeem"/>
    <s v="http://164.52.221.216/localmedia/media/surveys/samples/recording_2026-01-25_11-43-41_samples_LnPxR9cyNu.mp4"/>
    <x v="2"/>
    <x v="1"/>
    <x v="18"/>
    <x v="0"/>
    <s v="హిందూ"/>
    <x v="1"/>
    <s v="m. peddiraji"/>
    <n v="9100036885"/>
    <x v="0"/>
    <x v="5"/>
    <x v="1"/>
    <x v="1"/>
    <x v="1"/>
    <x v="0"/>
    <s v="రోడ్లు వేయటం, విద్య రంగం అభివృద్ధి చేయటం, ఆరోగ్య రంగం అభివృద్ధి చేయటం"/>
    <x v="0"/>
    <x v="0"/>
    <x v="0"/>
    <x v="1"/>
    <x v="1"/>
    <x v="1"/>
    <s v="Bhagya"/>
    <s v="Correctly Done"/>
    <n v="0"/>
    <x v="0"/>
    <n v="1.1461625511156397"/>
    <n v="1.0795332136445241"/>
    <n v="0.77721139583220644"/>
    <n v="0.85034013605442171"/>
    <n v="1.1213131007097483"/>
    <n v="0.71995135120329123"/>
    <n v="1.3370299504035861"/>
    <n v="-1"/>
    <n v="-1"/>
    <n v="1"/>
    <n v="1"/>
    <n v="-1"/>
    <n v="1"/>
    <n v="0.5"/>
    <n v="0"/>
    <n v="1"/>
    <n v="2"/>
    <s v="ND"/>
    <s v="ND"/>
  </r>
  <r>
    <s v="7e7bdf42-8923-4871-ad7d-26f858e898f2"/>
    <x v="6"/>
    <s v="25/01/2026, 10:42:29"/>
    <s v="16.433444, 81.928440"/>
    <s v="CWMH+8J, Katrenipadu, Andhra Pradesh, India"/>
    <x v="3"/>
    <s v="Naeem"/>
    <s v="http://164.52.221.216/localmedia/media/surveys/samples/recording_2026-01-25_10-39-18_samples_mxjzKaIu9o.mp4"/>
    <x v="1"/>
    <x v="1"/>
    <x v="18"/>
    <x v="0"/>
    <s v="హిందూ"/>
    <x v="2"/>
    <s v="nalayya"/>
    <n v="9492722688"/>
    <x v="0"/>
    <x v="5"/>
    <x v="1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2"/>
    <x v="2"/>
    <x v="2"/>
    <x v="1"/>
    <x v="1"/>
    <s v="Ashish"/>
    <s v="Not Doing It Properly"/>
    <s v="Respondent didn't answer Q9,10"/>
    <x v="0"/>
    <n v="1.1705128247062893"/>
    <n v="0.66153846153846207"/>
    <n v="0.52890136495485462"/>
    <n v="0.85034013605442171"/>
    <n v="1.1213131007097483"/>
    <n v="0.79950206330384943"/>
    <n v="0.7401439088249181"/>
    <n v="-1"/>
    <n v="-1"/>
    <n v="-1"/>
    <n v="-1"/>
    <n v="-1"/>
    <n v="-1"/>
    <n v="-5.5"/>
    <n v="-6"/>
    <n v="-5"/>
    <n v="-4"/>
    <n v="-3"/>
    <s v="TDP HardCore"/>
  </r>
  <r>
    <s v="bea036bd-a0ff-4a02-8e1b-20de0744d904"/>
    <x v="6"/>
    <s v="25/01/2026, 12:11:13"/>
    <s v="16.462769, 81.823282"/>
    <s v="No address"/>
    <x v="0"/>
    <s v="Naeem"/>
    <s v="http://164.52.221.216/localmedia/media/surveys/samples/recording_2026-01-25_12-04-36_samples_SDF2wOBbqf.mp4"/>
    <x v="0"/>
    <x v="1"/>
    <x v="19"/>
    <x v="1"/>
    <s v="క్రిస్టియన్"/>
    <x v="3"/>
    <s v="Chadha.kosuma"/>
    <n v="0"/>
    <x v="0"/>
    <x v="5"/>
    <x v="1"/>
    <x v="0"/>
    <x v="0"/>
    <x v="0"/>
    <s v="రోడ్లు వేయటం, ఉద్యొగ్య అవకాశాలు కల్పించ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0"/>
    <x v="0"/>
    <x v="0"/>
    <x v="0"/>
    <x v="0"/>
    <x v="0"/>
    <s v="Deepika"/>
    <s v="Correctly Done"/>
    <n v="0"/>
    <x v="0"/>
    <n v="1.3836274505214585"/>
    <n v="1.8055837563451775"/>
    <n v="1.9482662206881376"/>
    <n v="0.85034013605442171"/>
    <n v="1.1213131007097483"/>
    <n v="1.0790228998469584"/>
    <n v="0.90933567693352424"/>
    <n v="1"/>
    <n v="1"/>
    <n v="1"/>
    <n v="1"/>
    <n v="1"/>
    <n v="1"/>
    <n v="5.5"/>
    <n v="6"/>
    <n v="5"/>
    <n v="4"/>
    <n v="3"/>
    <s v="YSRCP HardCore"/>
  </r>
  <r>
    <s v="d1fd9173-230c-43fd-b28e-8cab787a15bf"/>
    <x v="6"/>
    <s v="25/01/2026, 12:38:26"/>
    <s v="16.463260, 81.827227"/>
    <s v="No address"/>
    <x v="0"/>
    <s v="Naeem"/>
    <s v="http://164.52.221.216/localmedia/media/surveys/samples/recording_2026-01-25_12-32-44_samples_qMJeaUQBD9.mp4"/>
    <x v="2"/>
    <x v="1"/>
    <x v="19"/>
    <x v="3"/>
    <s v="హిందూ"/>
    <x v="0"/>
    <s v="bolla.pratapu"/>
    <n v="9849833365"/>
    <x v="0"/>
    <x v="5"/>
    <x v="2"/>
    <x v="1"/>
    <x v="1"/>
    <x v="1"/>
    <s v="రోడ్లు వేయటం, ఉద్యొగ్య అవకాశాలు కల్పించటం, శాంతి భద్రతలను కాపాడటం, ఆరోగ్య రంగం అభివృద్ధి చేయటం, వ్యవసాయం, రైతు బాగుండడం"/>
    <x v="1"/>
    <x v="1"/>
    <x v="1"/>
    <x v="1"/>
    <x v="1"/>
    <x v="1"/>
    <s v="Deepika"/>
    <s v="Correctly Done"/>
    <n v="0"/>
    <x v="0"/>
    <n v="1.1461625511156397"/>
    <n v="1.0795332136445241"/>
    <n v="0.77721139583220644"/>
    <n v="0.85034013605442171"/>
    <n v="1.1213131007097483"/>
    <n v="0.71995135120329123"/>
    <n v="1.3370299504035861"/>
    <n v="-1"/>
    <n v="-1"/>
    <n v="-1"/>
    <n v="-1"/>
    <n v="-1"/>
    <n v="-1"/>
    <n v="-5.5"/>
    <n v="-6"/>
    <n v="-5"/>
    <n v="-4"/>
    <n v="-3"/>
    <s v="TDP HardCore"/>
  </r>
  <r>
    <s v="9b741eeb-8416-4bb2-adde-994b288ed39d"/>
    <x v="6"/>
    <s v="25/01/2026, 13:29:54"/>
    <s v="16.462210, 81.833359"/>
    <s v="FR6M+V82, Sivakodu, Andhra Pradesh, India"/>
    <x v="0"/>
    <s v="Naeem"/>
    <s v="http://164.52.221.216/localmedia/media/surveys/samples/recording_2026-01-25_13-26-10_samples_asRbsx2UZb.mp4"/>
    <x v="2"/>
    <x v="1"/>
    <x v="19"/>
    <x v="8"/>
    <s v="హిందూ"/>
    <x v="2"/>
    <s v="madhalaviravemka.satyanarana"/>
    <n v="9912241438"/>
    <x v="0"/>
    <x v="2"/>
    <x v="1"/>
    <x v="1"/>
    <x v="0"/>
    <x v="0"/>
    <s v="ఆరోగ్య రంగం అభివృద్ధి చేయటం, వ్యవసాయం, రైతు బాగుండడం, సంక్షేమ పథకాలు (నగదు)"/>
    <x v="0"/>
    <x v="0"/>
    <x v="1"/>
    <x v="1"/>
    <x v="1"/>
    <x v="1"/>
    <s v="Bhagya"/>
    <s v="Correctly Done"/>
    <n v="0"/>
    <x v="0"/>
    <n v="1.1461625511156397"/>
    <n v="1.0795332136445241"/>
    <n v="0.77721139583220644"/>
    <n v="0.85034013605442171"/>
    <n v="1.1213131007097483"/>
    <n v="0.71995135120329123"/>
    <n v="1.3370299504035861"/>
    <n v="-1"/>
    <n v="1"/>
    <n v="1"/>
    <n v="1"/>
    <n v="-1"/>
    <n v="-1"/>
    <n v="0.5"/>
    <n v="0"/>
    <n v="-1"/>
    <n v="0"/>
    <n v="-3"/>
    <s v="Neutral TDP"/>
  </r>
  <r>
    <s v="d9e0051f-687f-4d31-b7ab-a5aa8433cafb"/>
    <x v="6"/>
    <s v="25/01/2026, 15:55:21"/>
    <s v="16.462518, 81.834427"/>
    <s v="Shop No.1-67 Sri Narayani Nivas Main Road, Razole, Andhra Pradesh, India"/>
    <x v="0"/>
    <s v="Naeem"/>
    <s v="http://164.52.221.216/localmedia/media/surveys/samples/recording_2026-01-25_15-52-06_samples_wc7pFqZfvm.mp4"/>
    <x v="1"/>
    <x v="1"/>
    <x v="19"/>
    <x v="8"/>
    <s v="హిందూ"/>
    <x v="2"/>
    <s v="Satyanarayana.h"/>
    <n v="0"/>
    <x v="0"/>
    <x v="5"/>
    <x v="1"/>
    <x v="1"/>
    <x v="1"/>
    <x v="1"/>
    <s v="ఉద్యొగ్య అవకాశాలు కల్పించటం, ఆరోగ్య రంగం అభివృద్ధి చేయటం, వ్యవసాయం, రైతు బాగుండడం"/>
    <x v="1"/>
    <x v="0"/>
    <x v="1"/>
    <x v="1"/>
    <x v="1"/>
    <x v="1"/>
    <s v="Bhagya"/>
    <s v="Fake Audio/Empty Audio"/>
    <n v="0"/>
    <x v="1"/>
    <n v="1.1705128247062893"/>
    <n v="1.0795332136445241"/>
    <n v="0.86308903171383233"/>
    <n v="0.85034013605442171"/>
    <n v="1.1213131007097483"/>
    <n v="0.79950206330384943"/>
    <n v="0.7401439088249181"/>
    <n v="-1"/>
    <n v="-1"/>
    <n v="-1"/>
    <n v="-1"/>
    <n v="-1"/>
    <n v="-1"/>
    <n v="-5.5"/>
    <n v="-6"/>
    <n v="-5"/>
    <n v="-4"/>
    <n v="-3"/>
    <s v="TDP HardCore"/>
  </r>
  <r>
    <s v="0f89bda2-e434-45f4-a342-e23fd1593b6e"/>
    <x v="6"/>
    <s v="25/01/2026, 15:23:55"/>
    <s v="16.460780, 81.839221"/>
    <s v="FR6Q+CR8, Razole, Andhra Pradesh, India"/>
    <x v="0"/>
    <s v="Naeem"/>
    <s v="http://164.52.221.216/localmedia/media/surveys/samples/recording_2026-01-25_15-21-08_samples_BxJA5ph54e.mp4"/>
    <x v="1"/>
    <x v="1"/>
    <x v="19"/>
    <x v="2"/>
    <s v="హిందూ"/>
    <x v="1"/>
    <s v="srivas"/>
    <n v="0"/>
    <x v="0"/>
    <x v="5"/>
    <x v="1"/>
    <x v="0"/>
    <x v="1"/>
    <x v="1"/>
    <s v="రోడ్లు వేయటం, ఉద్యొగ్య అవకాశాలు కల్పించటం, శాంతి భద్రతలను కాపాడటం, ఆరోగ్య రంగం అభివృద్ధి చేయటం"/>
    <x v="1"/>
    <x v="2"/>
    <x v="1"/>
    <x v="1"/>
    <x v="1"/>
    <x v="1"/>
    <s v="Deepika"/>
    <s v="Fake Audio/Empty Audio"/>
    <n v="0"/>
    <x v="1"/>
    <n v="1.1705128247062893"/>
    <n v="1.0795332136445241"/>
    <n v="0.86308903171383233"/>
    <n v="0.85034013605442171"/>
    <n v="1.1213131007097483"/>
    <n v="0.79950206330384943"/>
    <n v="0.7401439088249181"/>
    <n v="1"/>
    <n v="-1"/>
    <n v="-1"/>
    <n v="-1"/>
    <n v="-1"/>
    <n v="-1"/>
    <n v="-3.5"/>
    <n v="-4"/>
    <n v="-3"/>
    <n v="-4"/>
    <n v="-2"/>
    <s v="TDP Sympathiser"/>
  </r>
  <r>
    <s v="98066f73-14f3-4034-aaaf-109633415ab9"/>
    <x v="6"/>
    <s v="25/01/2026, 14:07:32"/>
    <s v="16.464220, 81.831971"/>
    <s v="FR7M+W2, Sivakodu, Andhra Pradesh, India"/>
    <x v="0"/>
    <s v="Naeem"/>
    <s v="http://164.52.221.216/localmedia/media/surveys/samples/recording_2026-01-25_14-02-25_samples_NEJH3aIqot.mp4"/>
    <x v="1"/>
    <x v="1"/>
    <x v="19"/>
    <x v="5"/>
    <s v="హిందూ"/>
    <x v="3"/>
    <s v="Srinath.appari"/>
    <n v="9391544362"/>
    <x v="0"/>
    <x v="3"/>
    <x v="1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2"/>
    <x v="1"/>
    <x v="1"/>
    <x v="1"/>
    <x v="1"/>
    <s v="Bhagya"/>
    <s v="Correctly Done"/>
    <n v="0"/>
    <x v="0"/>
    <n v="1.1705128247062893"/>
    <n v="1.0795332136445241"/>
    <n v="0.86308903171383233"/>
    <n v="0.85034013605442171"/>
    <n v="1.1213131007097483"/>
    <n v="0.79950206330384943"/>
    <n v="0.7401439088249181"/>
    <n v="-1"/>
    <n v="-1"/>
    <n v="-1"/>
    <n v="-1"/>
    <n v="-1"/>
    <n v="-1"/>
    <n v="-5.5"/>
    <n v="-6"/>
    <n v="-5"/>
    <n v="-4"/>
    <n v="-3"/>
    <s v="TDP HardCore"/>
  </r>
  <r>
    <s v="68c53753-236e-4d7a-ad96-eddad7315989"/>
    <x v="6"/>
    <s v="25/01/2026, 14:13:15"/>
    <s v="16.462227, 81.833342"/>
    <s v="FR6M+V82, Sivakodu, Andhra Pradesh, India"/>
    <x v="0"/>
    <s v="Naeem"/>
    <s v="http://164.52.221.216/localmedia/media/surveys/samples/recording_2026-01-25_14-09-21_samples_XjvhENlRer.mp4"/>
    <x v="2"/>
    <x v="1"/>
    <x v="19"/>
    <x v="2"/>
    <s v="హిందూ"/>
    <x v="1"/>
    <s v="Maddala Rupa naresh"/>
    <n v="9160965696"/>
    <x v="0"/>
    <x v="2"/>
    <x v="1"/>
    <x v="1"/>
    <x v="1"/>
    <x v="1"/>
    <s v="రోడ్లు వేయటం, ఉద్యొగ్య అవకాశాలు కల్పించటం, ఆరోగ్య రంగం అభివృద్ధి చేయటం"/>
    <x v="1"/>
    <x v="0"/>
    <x v="1"/>
    <x v="1"/>
    <x v="1"/>
    <x v="1"/>
    <s v="Deepika"/>
    <s v="Correctly Done"/>
    <n v="0"/>
    <x v="0"/>
    <n v="1.1461625511156397"/>
    <n v="1.0795332136445241"/>
    <n v="0.77721139583220644"/>
    <n v="0.85034013605442171"/>
    <n v="1.1213131007097483"/>
    <n v="0.71995135120329123"/>
    <n v="1.3370299504035861"/>
    <n v="-1"/>
    <n v="-1"/>
    <n v="-1"/>
    <n v="-1"/>
    <n v="-1"/>
    <n v="-1"/>
    <n v="-5.5"/>
    <n v="-6"/>
    <n v="-5"/>
    <n v="-4"/>
    <n v="-3"/>
    <s v="TDP HardCore"/>
  </r>
  <r>
    <s v="d3720581-165a-48ee-b7bd-a645e7759e24"/>
    <x v="6"/>
    <s v="25/01/2026, 15:19:27"/>
    <s v="16.458638, 81.839893"/>
    <s v="FR5Q+FW3, Chintalapalli, Andhra Pradesh, India"/>
    <x v="0"/>
    <s v="Naeem"/>
    <s v="http://164.52.221.216/localmedia/media/surveys/samples/recording_2026-01-25_15-15-27_samples_Wvy2vY70oU.mp4"/>
    <x v="2"/>
    <x v="1"/>
    <x v="19"/>
    <x v="6"/>
    <s v="హిందూ"/>
    <x v="0"/>
    <s v="adi.lakshmi.ramisetii"/>
    <n v="8008977629"/>
    <x v="1"/>
    <x v="2"/>
    <x v="2"/>
    <x v="0"/>
    <x v="0"/>
    <x v="0"/>
    <s v="రోడ్లు వేయటం, ఉద్యొగ్య అవకాశాలు కల్పించటం, విద్య రంగం అభివృద్ధి చేయటం, ఆరోగ్య రంగం అభివృద్ధి చేయటం, వ్యవసాయం, రైతు బాగుండడం"/>
    <x v="0"/>
    <x v="0"/>
    <x v="0"/>
    <x v="1"/>
    <x v="1"/>
    <x v="1"/>
    <s v="Deepika"/>
    <s v="Not Doing It Properly"/>
    <s v="Q8,9 kept his own"/>
    <x v="0"/>
    <n v="1.1461625511156397"/>
    <n v="1.0795332136445241"/>
    <n v="3.0326483876590018"/>
    <n v="2.1645021645021645"/>
    <n v="1.1213131007097483"/>
    <n v="2.8092219390089208"/>
    <n v="1.8020838461961379"/>
    <n v="1"/>
    <n v="1"/>
    <n v="1"/>
    <n v="1"/>
    <n v="-1"/>
    <n v="1"/>
    <n v="4.5"/>
    <n v="4"/>
    <n v="3"/>
    <n v="2"/>
    <n v="2"/>
    <s v="Neutral YSRCP"/>
  </r>
  <r>
    <s v="4f42ef6e-587e-4083-b2f1-aaac64fc522f"/>
    <x v="6"/>
    <s v="25/01/2026, 14:01:00"/>
    <s v="16.463178, 81.832073"/>
    <s v="FR7J+3RG, Sivakodu, Andhra Pradesh, India"/>
    <x v="0"/>
    <s v="Naeem"/>
    <s v="http://164.52.221.216/localmedia/media/surveys/samples/recording_2026-01-25_13-57-11_samples_7HbfwMJ36Z.mp4"/>
    <x v="8"/>
    <x v="1"/>
    <x v="19"/>
    <x v="4"/>
    <s v="హిందూ"/>
    <x v="0"/>
    <s v="kodalarao.n"/>
    <n v="0"/>
    <x v="0"/>
    <x v="2"/>
    <x v="1"/>
    <x v="1"/>
    <x v="1"/>
    <x v="1"/>
    <s v="రోడ్లు వేయటం, ఉద్యొగ్య అవకాశాలు కల్పించ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1"/>
    <x v="1"/>
    <x v="0"/>
    <x v="2"/>
    <x v="5"/>
    <s v="Bhagya"/>
    <s v="Not Doing It Properly"/>
    <n v="0"/>
    <x v="0"/>
    <n v="0.80207032429970992"/>
    <n v="1.8055837563451775"/>
    <n v="1.0971251128803523"/>
    <n v="0.85034013605442171"/>
    <n v="1.1213131007097483"/>
    <n v="0.60762903356038633"/>
    <n v="0.38672994380094594"/>
    <n v="-1"/>
    <n v="-1"/>
    <n v="-1"/>
    <n v="-1"/>
    <n v="1"/>
    <n v="-1"/>
    <n v="-4.5"/>
    <n v="-4"/>
    <n v="-3"/>
    <n v="-2"/>
    <n v="-2"/>
    <s v="Neutral TDP"/>
  </r>
  <r>
    <s v="40f77a95-4855-483c-a250-36877e214832"/>
    <x v="6"/>
    <s v="25/01/2026, 14:45:35"/>
    <s v="16.462690, 81.833501"/>
    <s v="2-83, Razole, Andhra Pradesh, India"/>
    <x v="0"/>
    <s v="Naeem"/>
    <s v="http://164.52.221.216/localmedia/media/surveys/samples/recording_2026-01-25_14-41-35_samples_tDRx5wRGgG.mp4"/>
    <x v="2"/>
    <x v="1"/>
    <x v="19"/>
    <x v="6"/>
    <s v="హిందూ"/>
    <x v="0"/>
    <s v="anathalakshmi.chagati"/>
    <n v="9705656888"/>
    <x v="1"/>
    <x v="2"/>
    <x v="0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2"/>
    <x v="1"/>
    <x v="1"/>
    <x v="1"/>
    <x v="1"/>
    <s v="Bhagya"/>
    <s v="Correctly Done"/>
    <n v="0"/>
    <x v="0"/>
    <n v="1.1461625511156397"/>
    <n v="1.0795332136445241"/>
    <n v="3.0326483876590018"/>
    <n v="2.1645021645021645"/>
    <n v="1.1213131007097483"/>
    <n v="2.8092219390089208"/>
    <n v="1.8020838461961379"/>
    <n v="-1"/>
    <n v="-1"/>
    <n v="-1"/>
    <n v="-1"/>
    <n v="-1"/>
    <n v="-1"/>
    <n v="-5.5"/>
    <n v="-6"/>
    <n v="-5"/>
    <n v="-4"/>
    <n v="-3"/>
    <s v="TDP HardCore"/>
  </r>
  <r>
    <s v="4735c2b9-5cc0-4b02-a98c-2b1d08e436cf"/>
    <x v="6"/>
    <s v="25/01/2026, 13:05:02"/>
    <s v="16.462342, 81.836145"/>
    <s v="FR6P+WFV, Sivakodu, Andhra Pradesh, India"/>
    <x v="0"/>
    <s v="Naeem"/>
    <s v="http://164.52.221.216/localmedia/media/surveys/samples/recording_2026-01-25_13-01-43_samples_Ax3VD8UH1J.mp4"/>
    <x v="1"/>
    <x v="1"/>
    <x v="19"/>
    <x v="3"/>
    <s v="హిందూ"/>
    <x v="2"/>
    <s v="gubala.satyanaraya"/>
    <n v="9000693050"/>
    <x v="0"/>
    <x v="5"/>
    <x v="0"/>
    <x v="1"/>
    <x v="1"/>
    <x v="1"/>
    <s v="రోడ్లు వేయ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0"/>
    <x v="1"/>
    <x v="1"/>
    <x v="1"/>
    <x v="1"/>
    <s v="Deepika"/>
    <s v="Fake Audio/Empty Audio"/>
    <n v="0"/>
    <x v="1"/>
    <n v="1.1705128247062893"/>
    <n v="1.0795332136445241"/>
    <n v="0.86308903171383233"/>
    <n v="0.85034013605442171"/>
    <n v="1.1213131007097483"/>
    <n v="0.79950206330384943"/>
    <n v="0.7401439088249181"/>
    <n v="-1"/>
    <n v="-1"/>
    <n v="-1"/>
    <n v="-1"/>
    <n v="-1"/>
    <n v="-1"/>
    <n v="-5.5"/>
    <n v="-6"/>
    <n v="-5"/>
    <n v="-4"/>
    <n v="-3"/>
    <s v="TDP HardCore"/>
  </r>
  <r>
    <s v="ff22a148-a361-4577-96a5-8d71c08c4dbd"/>
    <x v="6"/>
    <s v="25/01/2026, 14:52:32"/>
    <s v="16.462591, 81.832843"/>
    <s v="FR6M+V82, Sivakodu, Andhra Pradesh, India"/>
    <x v="0"/>
    <s v="Naeem"/>
    <s v="http://164.52.221.216/localmedia/media/surveys/samples/recording_2026-01-25_14-48-59_samples_MfL6gr3Z3h.mp4"/>
    <x v="2"/>
    <x v="1"/>
    <x v="19"/>
    <x v="0"/>
    <s v="హిందూ"/>
    <x v="3"/>
    <s v="c.h.j.manikumar"/>
    <n v="9381185494"/>
    <x v="0"/>
    <x v="2"/>
    <x v="0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1"/>
    <x v="1"/>
    <x v="1"/>
    <x v="1"/>
    <x v="1"/>
    <s v="Deepika"/>
    <s v="Correctly Done"/>
    <n v="0"/>
    <x v="0"/>
    <n v="1.1461625511156397"/>
    <n v="1.0795332136445241"/>
    <n v="0.77721139583220644"/>
    <n v="0.85034013605442171"/>
    <n v="1.1213131007097483"/>
    <n v="0.71995135120329123"/>
    <n v="1.3370299504035861"/>
    <n v="-1"/>
    <n v="-1"/>
    <n v="-1"/>
    <n v="-1"/>
    <n v="-1"/>
    <n v="-1"/>
    <n v="-5.5"/>
    <n v="-6"/>
    <n v="-5"/>
    <n v="-4"/>
    <n v="-3"/>
    <s v="TDP HardCore"/>
  </r>
  <r>
    <s v="213a560a-2288-433b-9b6e-2ad64d971133"/>
    <x v="6"/>
    <s v="25/01/2026, 14:58:25"/>
    <s v="16.462367, 81.835853"/>
    <s v="FR6P+XC9, Sivakodu, Andhra Pradesh, India"/>
    <x v="0"/>
    <s v="Naeem"/>
    <s v="http://164.52.221.216/localmedia/media/surveys/samples/recording_2026-01-25_14-55-22_samples_FXCbXc7uNR.mp4"/>
    <x v="2"/>
    <x v="1"/>
    <x v="19"/>
    <x v="1"/>
    <s v="హిందూ"/>
    <x v="1"/>
    <s v="ramakrishna.pinisetii"/>
    <n v="7702524077"/>
    <x v="0"/>
    <x v="2"/>
    <x v="1"/>
    <x v="1"/>
    <x v="1"/>
    <x v="1"/>
    <s v="రోడ్లు వేయటం, ఉద్యొగ్య అవకాశాలు కల్పించటం, ఆరోగ్య రంగం అభివృద్ధి చేయటం, వ్యవసాయం, రైతు బాగుండడం"/>
    <x v="1"/>
    <x v="2"/>
    <x v="1"/>
    <x v="1"/>
    <x v="1"/>
    <x v="1"/>
    <s v="Bhagya"/>
    <s v="Correctly Done"/>
    <n v="0"/>
    <x v="0"/>
    <n v="1.1461625511156397"/>
    <n v="1.0795332136445241"/>
    <n v="0.77721139583220644"/>
    <n v="0.85034013605442171"/>
    <n v="1.1213131007097483"/>
    <n v="0.71995135120329123"/>
    <n v="1.3370299504035861"/>
    <n v="-1"/>
    <n v="-1"/>
    <n v="-1"/>
    <n v="-1"/>
    <n v="-1"/>
    <n v="-1"/>
    <n v="-5.5"/>
    <n v="-6"/>
    <n v="-5"/>
    <n v="-4"/>
    <n v="-3"/>
    <s v="TDP HardCore"/>
  </r>
  <r>
    <s v="eae40039-7c58-474a-9625-63866710174f"/>
    <x v="6"/>
    <s v="25/01/2026, 15:03:41"/>
    <s v="16.461710, 81.837368"/>
    <s v="FR6P+VG6, Sivakodu, Andhra Pradesh, India"/>
    <x v="0"/>
    <s v="Naeem"/>
    <s v="http://164.52.221.216/localmedia/media/surveys/samples/recording_2026-01-25_15-00-12_samples_Exxb462Y6O.mp4"/>
    <x v="0"/>
    <x v="1"/>
    <x v="19"/>
    <x v="0"/>
    <s v="హిందూ"/>
    <x v="1"/>
    <s v="Naka.raamarao"/>
    <n v="0"/>
    <x v="0"/>
    <x v="5"/>
    <x v="2"/>
    <x v="0"/>
    <x v="0"/>
    <x v="0"/>
    <s v="రోడ్లు వేయటం, ఆరోగ్య రంగం అభివృద్ధి చేయటం, వ్యవసాయం, రైతు బాగుండడం"/>
    <x v="0"/>
    <x v="0"/>
    <x v="0"/>
    <x v="0"/>
    <x v="3"/>
    <x v="0"/>
    <s v="Deepika"/>
    <s v="Correctly Done"/>
    <n v="0"/>
    <x v="0"/>
    <n v="1.3836274505214585"/>
    <n v="1.8055837563451775"/>
    <n v="1.9482662206881376"/>
    <n v="0.85034013605442171"/>
    <n v="1.1213131007097483"/>
    <n v="1.0790228998469584"/>
    <n v="0.90933567693352424"/>
    <n v="1"/>
    <n v="1"/>
    <n v="1"/>
    <n v="1"/>
    <n v="1"/>
    <n v="1"/>
    <n v="5.5"/>
    <n v="6"/>
    <n v="5"/>
    <n v="4"/>
    <n v="3"/>
    <s v="YSRCP HardCore"/>
  </r>
  <r>
    <s v="d30d10f3-5d07-4c56-a773-ce8719e8979e"/>
    <x v="6"/>
    <s v="25/01/2026, 15:44:47"/>
    <s v="16.462210, 81.833364"/>
    <s v="FR6M+V82, Sivakodu, Andhra Pradesh, India"/>
    <x v="0"/>
    <s v="Naeem"/>
    <s v="http://164.52.221.216/localmedia/media/surveys/samples/recording_2026-01-25_15-41-12_samples_CeOVWha667.mp4"/>
    <x v="0"/>
    <x v="1"/>
    <x v="19"/>
    <x v="6"/>
    <s v="హిందూ"/>
    <x v="0"/>
    <s v="Durga.devi"/>
    <n v="0"/>
    <x v="1"/>
    <x v="2"/>
    <x v="1"/>
    <x v="1"/>
    <x v="0"/>
    <x v="0"/>
    <s v="ఉద్యొగ్య అవకాశాలు కల్పించటం, ఆరోగ్య రంగం అభివృద్ధి చేయటం, సంక్షేమ పథకాలు (నగదు)"/>
    <x v="0"/>
    <x v="0"/>
    <x v="1"/>
    <x v="1"/>
    <x v="1"/>
    <x v="1"/>
    <s v="Bhagya"/>
    <s v="Not Doing It Properly"/>
    <s v="Seems like he is making the respondent say that particular option"/>
    <x v="0"/>
    <n v="1.3836274505214585"/>
    <n v="1.0795332136445241"/>
    <n v="2.0811826914865059"/>
    <n v="2.1645021645021645"/>
    <n v="1.1213131007097483"/>
    <n v="1.9278542477265657"/>
    <n v="1.2302776805571209"/>
    <n v="-1"/>
    <n v="1"/>
    <n v="1"/>
    <n v="1"/>
    <n v="-1"/>
    <n v="-1"/>
    <n v="0.5"/>
    <n v="0"/>
    <n v="-1"/>
    <n v="0"/>
    <n v="-3"/>
    <s v="Neutral TDP"/>
  </r>
  <r>
    <s v="e8f12e36-5062-4b43-bf22-e478ed1943b1"/>
    <x v="6"/>
    <s v="25/01/2026, 15:09:14"/>
    <s v="16.460273, 81.841220"/>
    <s v="FR6R+6P2, Sivakodu, Andhra Pradesh, India"/>
    <x v="0"/>
    <s v="Naeem"/>
    <s v="http://164.52.221.216/localmedia/media/surveys/samples/recording_2026-01-25_15-05-39_samples_bj5H18MK7E.mp4"/>
    <x v="2"/>
    <x v="1"/>
    <x v="19"/>
    <x v="2"/>
    <s v="హిందూ"/>
    <x v="3"/>
    <s v="Tejas.borra"/>
    <n v="0"/>
    <x v="0"/>
    <x v="2"/>
    <x v="1"/>
    <x v="1"/>
    <x v="1"/>
    <x v="1"/>
    <s v="ఉద్యొగ్య అవకాశాలు కల్పించటం, ఆరోగ్య రంగం అభివృద్ధి చేయటం, వ్యవసాయం, రైతు బాగుండడం"/>
    <x v="1"/>
    <x v="0"/>
    <x v="1"/>
    <x v="1"/>
    <x v="1"/>
    <x v="1"/>
    <s v="Deepika"/>
    <s v="Correctly Done"/>
    <n v="0"/>
    <x v="0"/>
    <n v="1.1461625511156397"/>
    <n v="1.0795332136445241"/>
    <n v="0.77721139583220644"/>
    <n v="0.85034013605442171"/>
    <n v="1.1213131007097483"/>
    <n v="0.71995135120329123"/>
    <n v="1.3370299504035861"/>
    <n v="-1"/>
    <n v="-1"/>
    <n v="-1"/>
    <n v="-1"/>
    <n v="-1"/>
    <n v="-1"/>
    <n v="-5.5"/>
    <n v="-6"/>
    <n v="-5"/>
    <n v="-4"/>
    <n v="-3"/>
    <s v="TDP HardCore"/>
  </r>
  <r>
    <s v="c01986bc-b6ef-4d7b-b706-1ffdbac06335"/>
    <x v="6"/>
    <s v="25/01/2026, 15:28:31"/>
    <s v="16.460427, 81.841366"/>
    <s v="FR6R+6P2, Sivakodu, Andhra Pradesh, India"/>
    <x v="0"/>
    <s v="Naeem"/>
    <s v="http://164.52.221.216/localmedia/media/surveys/samples/recording_2026-01-25_15-25-30_samples_jjssrelGrN.mp4"/>
    <x v="2"/>
    <x v="1"/>
    <x v="19"/>
    <x v="2"/>
    <s v="హిందూ"/>
    <x v="3"/>
    <s v="c.manikamta"/>
    <n v="6305548122"/>
    <x v="0"/>
    <x v="5"/>
    <x v="1"/>
    <x v="1"/>
    <x v="1"/>
    <x v="1"/>
    <s v="ఉద్యొగ్య అవకాశాలు కల్పించ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0"/>
    <x v="1"/>
    <x v="1"/>
    <x v="1"/>
    <x v="1"/>
    <x v="1"/>
    <s v="Deepika"/>
    <s v="Correctly Done"/>
    <n v="0"/>
    <x v="0"/>
    <n v="1.1461625511156397"/>
    <n v="1.0795332136445241"/>
    <n v="0.77721139583220644"/>
    <n v="0.85034013605442171"/>
    <n v="1.1213131007097483"/>
    <n v="0.71995135120329123"/>
    <n v="1.3370299504035861"/>
    <n v="-1"/>
    <n v="-1"/>
    <n v="-1"/>
    <n v="1"/>
    <n v="-1"/>
    <n v="-1"/>
    <n v="-3.5"/>
    <n v="-4"/>
    <n v="-3"/>
    <n v="-2"/>
    <n v="-3"/>
    <s v="Neutral TDP"/>
  </r>
  <r>
    <s v="13e42070-bc99-4b8b-a9fa-76223b5882e5"/>
    <x v="6"/>
    <s v="25/01/2026, 13:54:06"/>
    <s v="16.462660, 81.832679"/>
    <s v="FR6M+V82, Sivakodu, Andhra Pradesh, India"/>
    <x v="0"/>
    <s v="Naeem"/>
    <s v="http://164.52.221.216/localmedia/media/surveys/samples/recording_2026-01-25_13-50-04_samples_yayPNAYwJM.mp4"/>
    <x v="0"/>
    <x v="1"/>
    <x v="19"/>
    <x v="6"/>
    <s v="క్రిస్టియన్"/>
    <x v="1"/>
    <s v="rajeswaridevi.l"/>
    <n v="0"/>
    <x v="1"/>
    <x v="4"/>
    <x v="2"/>
    <x v="1"/>
    <x v="1"/>
    <x v="0"/>
    <s v="ఉద్యొగ్య అవకాశాలు కల్పించటం, ఆరోగ్య రంగం అభివృద్ధి చేయటం, సంక్షేమ పథకాలు (నగదు)"/>
    <x v="1"/>
    <x v="2"/>
    <x v="0"/>
    <x v="0"/>
    <x v="3"/>
    <x v="0"/>
    <s v="Bhagya"/>
    <s v="Not Doing It Properly"/>
    <n v="0"/>
    <x v="0"/>
    <n v="1.3836274505214585"/>
    <n v="1.8055837563451775"/>
    <n v="3.4809023142961388"/>
    <n v="2.1645021645021645"/>
    <n v="1.1213131007097483"/>
    <n v="1.9278542477265657"/>
    <n v="1.2302776805571209"/>
    <n v="-1"/>
    <n v="-1"/>
    <n v="1"/>
    <n v="-1"/>
    <n v="1"/>
    <n v="1"/>
    <n v="-0.5"/>
    <n v="0"/>
    <n v="1"/>
    <n v="2"/>
    <n v="2"/>
    <s v="Neutral YSRCP"/>
  </r>
  <r>
    <s v="7d84363c-2e00-4b3e-8227-f91201325a95"/>
    <x v="6"/>
    <s v="25/01/2026, 15:38:41"/>
    <s v="16.462567, 81.835276"/>
    <s v="FR7P+32X, Sivakodu, Andhra Pradesh, India"/>
    <x v="0"/>
    <s v="Naeem"/>
    <s v="http://164.52.221.216/localmedia/media/surveys/samples/recording_2026-01-25_15-35-28_samples_hdUnuAfxLW.mp4"/>
    <x v="1"/>
    <x v="1"/>
    <x v="19"/>
    <x v="3"/>
    <s v="హిందూ"/>
    <x v="2"/>
    <s v="ramaana"/>
    <n v="0"/>
    <x v="0"/>
    <x v="5"/>
    <x v="1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0"/>
    <x v="1"/>
    <x v="1"/>
    <x v="1"/>
    <x v="1"/>
    <s v="Deepika"/>
    <s v="Correctly Done"/>
    <n v="0"/>
    <x v="0"/>
    <n v="1.1705128247062893"/>
    <n v="1.0795332136445241"/>
    <n v="0.86308903171383233"/>
    <n v="0.85034013605442171"/>
    <n v="1.1213131007097483"/>
    <n v="0.79950206330384943"/>
    <n v="0.7401439088249181"/>
    <n v="-1"/>
    <n v="-1"/>
    <n v="-1"/>
    <n v="-1"/>
    <n v="-1"/>
    <n v="-1"/>
    <n v="-5.5"/>
    <n v="-6"/>
    <n v="-5"/>
    <n v="-4"/>
    <n v="-3"/>
    <s v="TDP HardCore"/>
  </r>
  <r>
    <s v="d9007d8b-cfe5-4409-a98b-ce4f346e54bc"/>
    <x v="7"/>
    <s v="26/01/2026, 09:12:39"/>
    <s v="16.447640, 81.862067"/>
    <s v="CVX6+3FG, Chintalapalli, Andhra Pradesh, India"/>
    <x v="3"/>
    <s v="Naeem"/>
    <s v="http://164.52.221.216/localmedia/media/surveys/samples/recording_2026-01-26_09-09-05_samples_BJQ37S0mdC.mp4"/>
    <x v="3"/>
    <x v="1"/>
    <x v="20"/>
    <x v="8"/>
    <s v="హిందూ"/>
    <x v="2"/>
    <s v="subbaraju"/>
    <n v="9652147809"/>
    <x v="0"/>
    <x v="5"/>
    <x v="2"/>
    <x v="1"/>
    <x v="0"/>
    <x v="0"/>
    <s v="రోడ్లు వేయటం, ఉద్యొగ్య అవకాశాలు కల్పించటం, శాంతి భద్రతలను కాపాడటం"/>
    <x v="1"/>
    <x v="0"/>
    <x v="0"/>
    <x v="0"/>
    <x v="3"/>
    <x v="5"/>
    <s v="Bhagya"/>
    <s v="Correctly Done"/>
    <n v="0"/>
    <x v="0"/>
    <n v="1.8452248965186235"/>
    <n v="1.8055837563451775"/>
    <n v="2.6177706499667939"/>
    <n v="0.85034013605442171"/>
    <n v="1.1213131007097483"/>
    <n v="1.4498195615503471"/>
    <n v="0.97867240415506407"/>
    <n v="-1"/>
    <n v="1"/>
    <n v="1"/>
    <n v="-1"/>
    <n v="1"/>
    <n v="1"/>
    <n v="1.5"/>
    <n v="2"/>
    <n v="1"/>
    <n v="2"/>
    <n v="2"/>
    <s v="Neutral YSRCP"/>
  </r>
  <r>
    <s v="d493884e-0bc5-419c-9627-07a2dc92a205"/>
    <x v="7"/>
    <s v="26/01/2026, 09:21:22"/>
    <s v="16.448328, 81.866069"/>
    <s v="CVX8+595, Chintalapalli, Andhra Pradesh, India"/>
    <x v="3"/>
    <s v="Naeem"/>
    <s v="http://164.52.221.216/localmedia/media/surveys/samples/recording_2026-01-26_09-18-40_samples_nLPZrtilzw.mp4"/>
    <x v="1"/>
    <x v="1"/>
    <x v="20"/>
    <x v="1"/>
    <s v="హిందూ"/>
    <x v="2"/>
    <s v="janakiram"/>
    <n v="7730038083"/>
    <x v="0"/>
    <x v="2"/>
    <x v="1"/>
    <x v="1"/>
    <x v="0"/>
    <x v="1"/>
    <s v="రోడ్లు వేయటం, ఉద్యొగ్య అవకాశాలు కల్పించటం, ఆరోగ్య రంగం అభివృద్ధి చేయటం"/>
    <x v="1"/>
    <x v="0"/>
    <x v="1"/>
    <x v="1"/>
    <x v="1"/>
    <x v="1"/>
    <s v="Bhagya"/>
    <s v="Correctly Done"/>
    <n v="0"/>
    <x v="0"/>
    <n v="1.1705128247062893"/>
    <n v="1.0795332136445241"/>
    <n v="0.86308903171383233"/>
    <n v="0.85034013605442171"/>
    <n v="1.1213131007097483"/>
    <n v="0.79950206330384943"/>
    <n v="0.7401439088249181"/>
    <n v="-1"/>
    <n v="1"/>
    <n v="-1"/>
    <n v="-1"/>
    <n v="-1"/>
    <n v="-1"/>
    <n v="-3.5"/>
    <n v="-4"/>
    <n v="-5"/>
    <n v="-4"/>
    <n v="-3"/>
    <s v="TDP Sympathiser"/>
  </r>
  <r>
    <s v="f9b52600-78ac-405b-ae79-5adea80746ea"/>
    <x v="7"/>
    <s v="26/01/2026, 09:26:42"/>
    <s v="16.448217, 81.866548"/>
    <s v="1-102, Razole, Razole, Andhra Pradesh, India"/>
    <x v="3"/>
    <s v="Naeem"/>
    <s v="http://164.52.221.216/localmedia/media/surveys/samples/recording_2026-01-26_09-23-23_samples_iV9s4129bi.mp4"/>
    <x v="9"/>
    <x v="1"/>
    <x v="20"/>
    <x v="6"/>
    <s v="హిందూ"/>
    <x v="1"/>
    <s v="m. jyothi"/>
    <n v="7993085575"/>
    <x v="1"/>
    <x v="4"/>
    <x v="1"/>
    <x v="1"/>
    <x v="0"/>
    <x v="1"/>
    <s v="ఉద్యొగ్య అవకాశాలు కల్పించటం, ఆరోగ్య రంగం అభివృద్ధి చేయటం, వ్యవసాయం, రైతు బాగుండడం"/>
    <x v="1"/>
    <x v="0"/>
    <x v="1"/>
    <x v="1"/>
    <x v="1"/>
    <x v="1"/>
    <s v="Bhagya"/>
    <s v="Not Doing It Properly"/>
    <s v="Caste -Yadav"/>
    <x v="0"/>
    <n v="1.1209668980183516"/>
    <n v="1.0795332136445241"/>
    <n v="1.4370186848956754"/>
    <n v="2.1645021645021645"/>
    <n v="1.1213131007097483"/>
    <n v="1.3311481913967924"/>
    <n v="1.5403981909912889"/>
    <n v="-1"/>
    <n v="1"/>
    <n v="-1"/>
    <n v="-1"/>
    <n v="-1"/>
    <n v="-1"/>
    <n v="-3.5"/>
    <n v="-4"/>
    <n v="-5"/>
    <n v="-4"/>
    <n v="-3"/>
    <s v="TDP Sympathiser"/>
  </r>
  <r>
    <s v="d5a5415c-6d0c-4d55-8a75-76214754087c"/>
    <x v="7"/>
    <s v="26/01/2026, 09:33:20"/>
    <s v="16.447960, 81.867044"/>
    <s v="CVX8+4X, Chintalapalli, Andhra Pradesh, India"/>
    <x v="3"/>
    <s v="Naeem"/>
    <s v="http://164.52.221.216/localmedia/media/surveys/samples/recording_2026-01-26_09-30-46_samples_nNuMk0Klap.mp4"/>
    <x v="1"/>
    <x v="1"/>
    <x v="20"/>
    <x v="0"/>
    <s v="హిందూ"/>
    <x v="0"/>
    <s v="satyanarayana "/>
    <n v="9247799545"/>
    <x v="0"/>
    <x v="5"/>
    <x v="1"/>
    <x v="1"/>
    <x v="1"/>
    <x v="1"/>
    <s v="రోడ్లు వేయటం, ఉద్యొగ్య అవకాశాలు కల్పించటం, శాంతి భద్రతలను కాపాడటం, ఆరోగ్య రంగం అభివృద్ధి చేయటం, వ్యవసాయం, రైతు బాగుండడం"/>
    <x v="1"/>
    <x v="0"/>
    <x v="1"/>
    <x v="1"/>
    <x v="1"/>
    <x v="1"/>
    <s v="Bhagya"/>
    <s v="Not Doing It Properly"/>
    <s v="Didn't asked caste"/>
    <x v="0"/>
    <n v="1.1705128247062893"/>
    <n v="1.0795332136445241"/>
    <n v="0.86308903171383233"/>
    <n v="0.85034013605442171"/>
    <n v="1.1213131007097483"/>
    <n v="0.79950206330384943"/>
    <n v="0.7401439088249181"/>
    <n v="-1"/>
    <n v="-1"/>
    <n v="-1"/>
    <n v="-1"/>
    <n v="-1"/>
    <n v="-1"/>
    <n v="-5.5"/>
    <n v="-6"/>
    <n v="-5"/>
    <n v="-4"/>
    <n v="-3"/>
    <s v="TDP HardCore"/>
  </r>
  <r>
    <s v="d1f69ca5-a6d7-45a8-8816-90f693b5df9c"/>
    <x v="7"/>
    <s v="26/01/2026, 09:52:53"/>
    <s v="16.448102, 81.865632"/>
    <s v="SHOP NO.2-4 SAI COMPLEX MAIN ROAD, Razole, Andhra Pradesh, India"/>
    <x v="3"/>
    <s v="Naeem"/>
    <s v="http://164.52.221.216/localmedia/media/surveys/samples/recording_2026-01-26_09-46-53_samples_KRKb6fRFWM.mp4"/>
    <x v="0"/>
    <x v="1"/>
    <x v="20"/>
    <x v="6"/>
    <s v="క్రిస్టియన్"/>
    <x v="0"/>
    <s v="martha"/>
    <n v="9515761899"/>
    <x v="1"/>
    <x v="3"/>
    <x v="0"/>
    <x v="0"/>
    <x v="0"/>
    <x v="0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0"/>
    <x v="0"/>
    <x v="0"/>
    <x v="2"/>
    <x v="1"/>
    <x v="1"/>
    <s v="Bhagya"/>
    <s v="Correctly Done"/>
    <n v="0"/>
    <x v="0"/>
    <n v="1.3836274505214585"/>
    <n v="0.66153846153846207"/>
    <n v="1.2753497331114214"/>
    <n v="2.1645021645021645"/>
    <n v="1.1213131007097483"/>
    <n v="1.9278542477265657"/>
    <n v="1.2302776805571209"/>
    <n v="1"/>
    <n v="1"/>
    <n v="1"/>
    <n v="1"/>
    <n v="-1"/>
    <n v="1"/>
    <n v="4.5"/>
    <n v="4"/>
    <n v="3"/>
    <n v="2"/>
    <n v="2"/>
    <s v="Neutral YSRCP"/>
  </r>
  <r>
    <s v="6f5f3b4b-ed76-411f-a5c8-c6fffc14fda3"/>
    <x v="7"/>
    <s v="26/01/2026, 09:57:15"/>
    <s v="16.447939, 81.869299"/>
    <s v="CVX8+4X, Chintalapalli, Andhra Pradesh, India"/>
    <x v="3"/>
    <s v="Naeem"/>
    <s v="http://164.52.221.216/localmedia/media/surveys/samples/recording_2026-01-26_09-55-16_samples_4C8SHBYNE0.mp4"/>
    <x v="0"/>
    <x v="1"/>
    <x v="20"/>
    <x v="0"/>
    <s v="హిందూ"/>
    <x v="0"/>
    <s v="srinivas"/>
    <n v="9989215520"/>
    <x v="0"/>
    <x v="2"/>
    <x v="2"/>
    <x v="0"/>
    <x v="0"/>
    <x v="0"/>
    <s v="రోడ్లు వేయటం, ఉద్యొగ్య అవకాశాలు కల్పించటం, ఆరోగ్య రంగం అభివృద్ధి చేయటం"/>
    <x v="0"/>
    <x v="0"/>
    <x v="0"/>
    <x v="1"/>
    <x v="1"/>
    <x v="1"/>
    <s v="Bhagya"/>
    <s v="Correctly Done"/>
    <n v="0"/>
    <x v="0"/>
    <n v="1.3836274505214585"/>
    <n v="1.0795332136445241"/>
    <n v="1.1648410586678206"/>
    <n v="0.85034013605442171"/>
    <n v="1.1213131007097483"/>
    <n v="1.0790228998469584"/>
    <n v="0.90933567693352424"/>
    <n v="1"/>
    <n v="1"/>
    <n v="1"/>
    <n v="1"/>
    <n v="-1"/>
    <n v="1"/>
    <n v="4.5"/>
    <n v="4"/>
    <n v="3"/>
    <n v="2"/>
    <n v="2"/>
    <s v="Neutral YSRCP"/>
  </r>
  <r>
    <s v="c4332f90-7235-46ec-9b35-ecfd83f9b7a0"/>
    <x v="7"/>
    <s v="26/01/2026, 10:03:52"/>
    <s v="16.447990, 81.868792"/>
    <s v="CVX8+4X, Chintalapalli, Andhra Pradesh, India"/>
    <x v="3"/>
    <s v="Naeem"/>
    <s v="http://164.52.221.216/localmedia/media/surveys/samples/recording_2026-01-26_10-00-42_samples_cftUSV0BKB.mp4"/>
    <x v="0"/>
    <x v="1"/>
    <x v="20"/>
    <x v="0"/>
    <s v="హిందూ"/>
    <x v="2"/>
    <s v="marasimharao"/>
    <n v="8978075082"/>
    <x v="0"/>
    <x v="2"/>
    <x v="1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సంక్షేమ పథకాలు (నగదు)"/>
    <x v="1"/>
    <x v="0"/>
    <x v="1"/>
    <x v="1"/>
    <x v="1"/>
    <x v="1"/>
    <s v="Bhagya"/>
    <s v="Correctly Done"/>
    <n v="0"/>
    <x v="0"/>
    <n v="1.3836274505214585"/>
    <n v="1.0795332136445241"/>
    <n v="1.1648410586678206"/>
    <n v="0.85034013605442171"/>
    <n v="1.1213131007097483"/>
    <n v="1.0790228998469584"/>
    <n v="0.90933567693352424"/>
    <n v="-1"/>
    <n v="-1"/>
    <n v="-1"/>
    <n v="-1"/>
    <n v="-1"/>
    <n v="-1"/>
    <n v="-5.5"/>
    <n v="-6"/>
    <n v="-5"/>
    <n v="-4"/>
    <n v="-3"/>
    <s v="TDP HardCore"/>
  </r>
  <r>
    <s v="528968cd-3665-40f7-8344-d2cdeb6c87ef"/>
    <x v="7"/>
    <s v="26/01/2026, 10:13:05"/>
    <s v="16.447294, 81.872214"/>
    <s v="1-101, Kunavaram, Andhra Pradesh, India"/>
    <x v="3"/>
    <s v="Naeem"/>
    <s v="http://164.52.221.216/localmedia/media/surveys/samples/recording_2026-01-26_10-09-38_samples_vwnnIna4kC.mp4"/>
    <x v="0"/>
    <x v="1"/>
    <x v="20"/>
    <x v="6"/>
    <s v="క్రిస్టియన్"/>
    <x v="1"/>
    <s v="jhothi"/>
    <n v="7207714092"/>
    <x v="1"/>
    <x v="5"/>
    <x v="1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0"/>
    <x v="2"/>
    <x v="2"/>
    <x v="1"/>
    <x v="1"/>
    <s v="Bhagya"/>
    <s v="Not Doing It Properly"/>
    <n v="0"/>
    <x v="0"/>
    <n v="1.3836274505214585"/>
    <n v="0.66153846153846207"/>
    <n v="1.2753497331114214"/>
    <n v="2.1645021645021645"/>
    <n v="1.1213131007097483"/>
    <n v="1.9278542477265657"/>
    <n v="1.2302776805571209"/>
    <n v="-1"/>
    <n v="-1"/>
    <n v="-1"/>
    <n v="-1"/>
    <n v="-1"/>
    <n v="-1"/>
    <n v="-5.5"/>
    <n v="-6"/>
    <n v="-5"/>
    <n v="-4"/>
    <n v="-3"/>
    <s v="TDP HardCore"/>
  </r>
  <r>
    <s v="1dc0c33b-30f0-485b-9230-864e8884800d"/>
    <x v="7"/>
    <s v="26/01/2026, 10:20:40"/>
    <s v="16.447974, 81.872161"/>
    <s v="254/4, Chintalapalli, Andhra Pradesh, India"/>
    <x v="3"/>
    <s v="Naeem"/>
    <s v="http://164.52.221.216/localmedia/media/surveys/samples/recording_2026-01-26_10-16-19_samples_SNEZTPpvAt.mp4"/>
    <x v="8"/>
    <x v="1"/>
    <x v="20"/>
    <x v="6"/>
    <s v="క్రిస్టియన్"/>
    <x v="3"/>
    <s v="namitha"/>
    <n v="7661832390"/>
    <x v="1"/>
    <x v="4"/>
    <x v="1"/>
    <x v="1"/>
    <x v="1"/>
    <x v="1"/>
    <s v="ఉద్యొగ్య అవకాశాలు కల్పించటం, విద్య రంగం అభివృద్ధి చేయటం, ఆరోగ్య రంగం అభివృద్ధి చేయటం, వ్యవసాయం, రైతు బాగుండడం"/>
    <x v="0"/>
    <x v="1"/>
    <x v="0"/>
    <x v="0"/>
    <x v="0"/>
    <x v="0"/>
    <n v="0"/>
    <s v="Correctly Done"/>
    <n v="0"/>
    <x v="0"/>
    <n v="0.80207032429970992"/>
    <n v="1.8055837563451775"/>
    <n v="2.1297134544148015"/>
    <n v="2.1645021645021645"/>
    <n v="1.1213131007097483"/>
    <n v="1.1795151827936912"/>
    <n v="1.1601898314028378"/>
    <n v="-1"/>
    <n v="-1"/>
    <n v="-1"/>
    <n v="1"/>
    <n v="1"/>
    <n v="1"/>
    <n v="-0.5"/>
    <n v="0"/>
    <n v="1"/>
    <n v="2"/>
    <n v="2"/>
    <s v="Neutral YSRCP"/>
  </r>
  <r>
    <s v="1a00bad4-8900-4ee1-ac72-5203d37d4444"/>
    <x v="7"/>
    <s v="26/01/2026, 10:20:40"/>
    <s v="16.447974, 81.872161"/>
    <s v="254/4, Chintalapalli, Andhra Pradesh, India"/>
    <x v="3"/>
    <s v="Naeem"/>
    <s v="http://164.52.221.216/localmedia/media/surveys/samples/recording_2026-01-26_10-16-19_samples_nbBCxQUz0k.mp4"/>
    <x v="8"/>
    <x v="1"/>
    <x v="20"/>
    <x v="6"/>
    <s v="క్రిస్టియన్"/>
    <x v="3"/>
    <s v="namitha"/>
    <n v="7661832390"/>
    <x v="1"/>
    <x v="4"/>
    <x v="1"/>
    <x v="1"/>
    <x v="1"/>
    <x v="1"/>
    <s v="ఉద్యొగ్య అవకాశాలు కల్పించటం, విద్య రంగం అభివృద్ధి చేయటం, ఆరోగ్య రంగం అభివృద్ధి చేయటం, వ్యవసాయం, రైతు బాగుండడం"/>
    <x v="0"/>
    <x v="1"/>
    <x v="0"/>
    <x v="0"/>
    <x v="0"/>
    <x v="0"/>
    <s v="Bhagya"/>
    <s v="Correctly Done"/>
    <n v="0"/>
    <x v="0"/>
    <n v="0.80207032429970992"/>
    <n v="1.8055837563451775"/>
    <n v="2.1297134544148015"/>
    <n v="2.1645021645021645"/>
    <n v="1.1213131007097483"/>
    <n v="1.1795151827936912"/>
    <n v="1.1601898314028378"/>
    <n v="-1"/>
    <n v="-1"/>
    <n v="-1"/>
    <n v="1"/>
    <n v="1"/>
    <n v="1"/>
    <n v="-0.5"/>
    <n v="0"/>
    <n v="1"/>
    <n v="2"/>
    <n v="2"/>
    <s v="Neutral YSRCP"/>
  </r>
  <r>
    <s v="569aae80-3679-40f9-bd2c-8d78fbeed7ce"/>
    <x v="7"/>
    <s v="26/01/2026, 10:26:42"/>
    <s v="16.447188, 81.872743"/>
    <s v="5, RAZOLE MANDAL, Andhra Pradesh, India"/>
    <x v="3"/>
    <s v="Naeem"/>
    <s v="http://164.52.221.216/localmedia/media/surveys/samples/recording_2026-01-26_10-23-59_samples_SVd4ghNVr5.mp4"/>
    <x v="8"/>
    <x v="1"/>
    <x v="20"/>
    <x v="6"/>
    <s v="క్రిస్టియన్"/>
    <x v="1"/>
    <s v="nagalakahi"/>
    <n v="9908832420"/>
    <x v="1"/>
    <x v="4"/>
    <x v="1"/>
    <x v="1"/>
    <x v="1"/>
    <x v="1"/>
    <s v="రోడ్లు వేయటం, విద్య రంగం అభివృద్ధి చేయటం, ఆరోగ్య రంగం అభివృద్ధి చేయటం"/>
    <x v="1"/>
    <x v="1"/>
    <x v="1"/>
    <x v="1"/>
    <x v="1"/>
    <x v="1"/>
    <s v="Bhagya"/>
    <s v="Not Doing It Properly"/>
    <n v="0"/>
    <x v="0"/>
    <n v="0.80207032429970992"/>
    <n v="1.0795332136445241"/>
    <n v="1.2733258158237817"/>
    <n v="2.1645021645021645"/>
    <n v="1.1213131007097483"/>
    <n v="1.1795151827936912"/>
    <n v="1.1601898314028378"/>
    <n v="-1"/>
    <n v="-1"/>
    <n v="-1"/>
    <n v="-1"/>
    <n v="-1"/>
    <n v="-1"/>
    <n v="-5.5"/>
    <n v="-6"/>
    <n v="-5"/>
    <n v="-4"/>
    <n v="-3"/>
    <s v="TDP HardCore"/>
  </r>
  <r>
    <s v="937fbb31-3c97-4bcf-9009-3f6e6cf975fb"/>
    <x v="7"/>
    <s v="26/01/2026, 10:31:36"/>
    <s v="16.448038, 81.871866"/>
    <s v="254/4, Chintalapalli, Andhra Pradesh, India"/>
    <x v="3"/>
    <s v="Naeem"/>
    <s v="http://164.52.221.216/localmedia/media/surveys/samples/recording_2026-01-26_10-28-23_samples_PqoUPDHs3I.mp4"/>
    <x v="8"/>
    <x v="1"/>
    <x v="20"/>
    <x v="0"/>
    <s v="క్రిస్టియన్"/>
    <x v="1"/>
    <s v="naveen"/>
    <n v="7075515503"/>
    <x v="0"/>
    <x v="4"/>
    <x v="1"/>
    <x v="1"/>
    <x v="1"/>
    <x v="1"/>
    <s v="రోడ్లు వేయటం, ఉద్యొగ్య అవకాశాలు కల్పించటం, ఆరోగ్య రంగం అభివృద్ధి చేయటం"/>
    <x v="1"/>
    <x v="0"/>
    <x v="2"/>
    <x v="2"/>
    <x v="1"/>
    <x v="1"/>
    <s v="Bhagya"/>
    <s v="Not Doing It Properly"/>
    <n v="0"/>
    <x v="0"/>
    <n v="0.80207032429970992"/>
    <n v="0.66153846153846207"/>
    <n v="0.40196997604764051"/>
    <n v="0.85034013605442171"/>
    <n v="1.1213131007097483"/>
    <n v="0.60762903356038633"/>
    <n v="0.38672994380094594"/>
    <n v="-1"/>
    <n v="-1"/>
    <n v="-1"/>
    <n v="-1"/>
    <n v="-1"/>
    <n v="-1"/>
    <n v="-5.5"/>
    <n v="-6"/>
    <n v="-5"/>
    <n v="-4"/>
    <n v="-3"/>
    <s v="TDP HardCore"/>
  </r>
  <r>
    <s v="71853e8d-2afa-4b43-b6af-454ae3c900f5"/>
    <x v="7"/>
    <s v="26/01/2026, 10:38:19"/>
    <s v="16.448113, 81.871395"/>
    <s v="No address"/>
    <x v="3"/>
    <s v="Naeem"/>
    <s v="http://164.52.221.216/localmedia/media/surveys/samples/recording_2026-01-26_10-34-42_samples_RN5cEynn3l.mp4"/>
    <x v="6"/>
    <x v="1"/>
    <x v="20"/>
    <x v="6"/>
    <s v="హిందూ"/>
    <x v="1"/>
    <s v="malleswari"/>
    <n v="9908556028"/>
    <x v="1"/>
    <x v="2"/>
    <x v="1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"/>
    <x v="1"/>
    <x v="0"/>
    <x v="2"/>
    <x v="2"/>
    <x v="1"/>
    <x v="1"/>
    <s v="Bhagya"/>
    <s v="Correctly Done"/>
    <s v="Respondent voice is too low"/>
    <x v="0"/>
    <n v="1.2612194085121222"/>
    <n v="0.66153846153846207"/>
    <n v="1.6028209406152043"/>
    <n v="2.1645021645021645"/>
    <n v="1.1213131007097483"/>
    <n v="2.4228688637206557"/>
    <n v="1.6647158900419725"/>
    <n v="-1"/>
    <n v="-1"/>
    <n v="-1"/>
    <n v="-1"/>
    <n v="-1"/>
    <n v="-1"/>
    <n v="-5.5"/>
    <n v="-6"/>
    <n v="-5"/>
    <n v="-4"/>
    <n v="-3"/>
    <s v="TDP HardCore"/>
  </r>
  <r>
    <s v="a4cb84cc-9205-4a82-9d32-3b853816ed15"/>
    <x v="7"/>
    <s v="26/01/2026, 10:44:40"/>
    <s v="16.448206, 81.870810"/>
    <s v="CVXC+49V, Chintalapalli, Andhra Pradesh, India"/>
    <x v="3"/>
    <s v="Naeem"/>
    <s v="http://164.52.221.216/localmedia/media/surveys/samples/recording_2026-01-26_10-39-56_samples_FJ2M76OmXv.mp4"/>
    <x v="0"/>
    <x v="1"/>
    <x v="20"/>
    <x v="6"/>
    <s v="క్రిస్టియన్"/>
    <x v="0"/>
    <s v="venkata lakshmi"/>
    <n v="9949861640"/>
    <x v="1"/>
    <x v="2"/>
    <x v="1"/>
    <x v="1"/>
    <x v="0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0"/>
    <x v="1"/>
    <x v="1"/>
    <x v="1"/>
    <x v="1"/>
    <s v="Bhagya"/>
    <s v="Correctly Done"/>
    <n v="0"/>
    <x v="0"/>
    <n v="1.3836274505214585"/>
    <n v="1.0795332136445241"/>
    <n v="2.0811826914865059"/>
    <n v="2.1645021645021645"/>
    <n v="1.1213131007097483"/>
    <n v="1.9278542477265657"/>
    <n v="1.2302776805571209"/>
    <n v="-1"/>
    <n v="1"/>
    <n v="-1"/>
    <n v="-1"/>
    <n v="-1"/>
    <n v="-1"/>
    <n v="-3.5"/>
    <n v="-4"/>
    <n v="-5"/>
    <n v="-4"/>
    <n v="-3"/>
    <s v="TDP Sympathiser"/>
  </r>
  <r>
    <s v="4f5e0630-a388-41a7-b373-00c31f76f96e"/>
    <x v="7"/>
    <s v="26/01/2026, 10:56:44"/>
    <s v="16.447710, 81.870739"/>
    <s v="CVXC+49V, Chintalapalli, Andhra Pradesh, India"/>
    <x v="3"/>
    <s v="Naeem"/>
    <s v="http://164.52.221.216/localmedia/media/surveys/samples/recording_2026-01-26_10-47-53_samples_ncHjg6FQPB.mp4"/>
    <x v="6"/>
    <x v="1"/>
    <x v="20"/>
    <x v="0"/>
    <s v="హిందూ"/>
    <x v="0"/>
    <s v="ramudu"/>
    <n v="9999999999"/>
    <x v="0"/>
    <x v="2"/>
    <x v="1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0"/>
    <x v="1"/>
    <x v="1"/>
    <x v="1"/>
    <x v="1"/>
    <s v="Bhagya"/>
    <s v="Correctly Done"/>
    <n v="0"/>
    <x v="0"/>
    <n v="1.2612194085121222"/>
    <n v="1.0795332136445241"/>
    <n v="0.92029223709519836"/>
    <n v="0.85034013605442171"/>
    <n v="1.1213131007097483"/>
    <n v="0.85249089649430487"/>
    <n v="1.3317727120335781"/>
    <n v="-1"/>
    <n v="-1"/>
    <n v="-1"/>
    <n v="-1"/>
    <n v="-1"/>
    <n v="-1"/>
    <n v="-5.5"/>
    <n v="-6"/>
    <n v="-5"/>
    <n v="-4"/>
    <n v="-3"/>
    <s v="TDP HardCore"/>
  </r>
  <r>
    <s v="27e5cf43-75fb-4089-a173-c86088343796"/>
    <x v="7"/>
    <s v="26/01/2026, 10:56:45"/>
    <s v="16.447710, 81.870739"/>
    <s v="CVXC+49V, Chintalapalli, Andhra Pradesh, India"/>
    <x v="3"/>
    <s v="Naeem"/>
    <s v="http://164.52.221.216/localmedia/media/surveys/samples/recording_2026-01-26_10-47-53_samples_NjsCBSJf8J.mp4"/>
    <x v="6"/>
    <x v="1"/>
    <x v="20"/>
    <x v="0"/>
    <s v="హిందూ"/>
    <x v="0"/>
    <s v="ramudu"/>
    <n v="9999999999"/>
    <x v="0"/>
    <x v="2"/>
    <x v="1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0"/>
    <x v="1"/>
    <x v="1"/>
    <x v="1"/>
    <x v="1"/>
    <n v="0"/>
    <s v="Correctly Done"/>
    <n v="0"/>
    <x v="0"/>
    <n v="1.2612194085121222"/>
    <n v="1.0795332136445241"/>
    <n v="0.92029223709519836"/>
    <n v="0.85034013605442171"/>
    <n v="1.1213131007097483"/>
    <n v="0.85249089649430487"/>
    <n v="1.3317727120335781"/>
    <n v="-1"/>
    <n v="-1"/>
    <n v="-1"/>
    <n v="-1"/>
    <n v="-1"/>
    <n v="-1"/>
    <n v="-5.5"/>
    <n v="-6"/>
    <n v="-5"/>
    <n v="-4"/>
    <n v="-3"/>
    <s v="TDP HardCore"/>
  </r>
  <r>
    <s v="e876e7c2-a806-45d5-8cd8-929d5f0f0338"/>
    <x v="7"/>
    <s v="26/01/2026, 11:04:05"/>
    <s v="16.448178, 81.871025"/>
    <s v="CVXC+49V, Chintalapalli, Andhra Pradesh, India"/>
    <x v="3"/>
    <s v="Naeem"/>
    <s v="http://164.52.221.216/localmedia/media/surveys/samples/recording_2026-01-26_10-59-31_samples_CceWAc3QKU.mp4"/>
    <x v="0"/>
    <x v="1"/>
    <x v="20"/>
    <x v="2"/>
    <s v="హిందూ"/>
    <x v="1"/>
    <s v="rani"/>
    <n v="9855334473"/>
    <x v="1"/>
    <x v="5"/>
    <x v="1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0"/>
    <x v="1"/>
    <x v="1"/>
    <x v="1"/>
    <x v="1"/>
    <s v="Bhagya"/>
    <s v="Correctly Done"/>
    <n v="0"/>
    <x v="0"/>
    <n v="1.3836274505214585"/>
    <n v="1.0795332136445241"/>
    <n v="2.0811826914865059"/>
    <n v="2.1645021645021645"/>
    <n v="1.1213131007097483"/>
    <n v="1.9278542477265657"/>
    <n v="1.2302776805571209"/>
    <n v="-1"/>
    <n v="-1"/>
    <n v="-1"/>
    <n v="-1"/>
    <n v="-1"/>
    <n v="-1"/>
    <n v="-5.5"/>
    <n v="-6"/>
    <n v="-5"/>
    <n v="-4"/>
    <n v="-3"/>
    <s v="TDP HardCore"/>
  </r>
  <r>
    <s v="0bde770a-bae3-454e-8f97-4f204a5fe240"/>
    <x v="7"/>
    <s v="26/01/2026, 11:12:26"/>
    <s v="16.447579, 81.871029"/>
    <s v="CVXC+49V, Chintalapalli, Andhra Pradesh, India"/>
    <x v="3"/>
    <s v="Naeem"/>
    <s v="http://164.52.221.216/localmedia/media/surveys/samples/recording_2026-01-26_11-09-36_samples_RdJuivitlk.mp4"/>
    <x v="1"/>
    <x v="1"/>
    <x v="20"/>
    <x v="0"/>
    <s v="హిందూ"/>
    <x v="2"/>
    <s v="ch. siryanarayana"/>
    <n v="9908323949"/>
    <x v="0"/>
    <x v="2"/>
    <x v="1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0"/>
    <x v="0"/>
    <x v="1"/>
    <x v="1"/>
    <x v="1"/>
    <s v="Bhagya"/>
    <s v="Not Doing It Properly"/>
    <s v="Didn't asked caste"/>
    <x v="0"/>
    <n v="1.1705128247062893"/>
    <n v="1.0795332136445241"/>
    <n v="0.86308903171383233"/>
    <n v="0.85034013605442171"/>
    <n v="1.1213131007097483"/>
    <n v="0.79950206330384943"/>
    <n v="0.7401439088249181"/>
    <n v="-1"/>
    <n v="-1"/>
    <n v="-1"/>
    <n v="-1"/>
    <n v="-1"/>
    <n v="1"/>
    <n v="-3.5"/>
    <n v="-4"/>
    <n v="-3"/>
    <n v="-2"/>
    <s v="ND"/>
    <s v="ND"/>
  </r>
  <r>
    <s v="de5b0b81-4969-405a-8d1e-4733b4c026e6"/>
    <x v="7"/>
    <s v="26/01/2026, 11:18:42"/>
    <s v="16.447378, 81.871555"/>
    <s v="Shop No. 1, Chintalapalli, Andhra Pradesh, India"/>
    <x v="3"/>
    <s v="Naeem"/>
    <s v="http://164.52.221.216/localmedia/media/surveys/samples/recording_2026-01-26_11-15-16_samples_rDPU9tsN6D.mp4"/>
    <x v="1"/>
    <x v="1"/>
    <x v="20"/>
    <x v="6"/>
    <s v="హిందూ"/>
    <x v="0"/>
    <s v="venkatalakshmi"/>
    <n v="9849627592"/>
    <x v="1"/>
    <x v="2"/>
    <x v="1"/>
    <x v="1"/>
    <x v="0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0"/>
    <x v="2"/>
    <x v="1"/>
    <x v="1"/>
    <x v="1"/>
    <n v="0"/>
    <s v="Correctly Done"/>
    <n v="0"/>
    <x v="0"/>
    <n v="1.1705128247062893"/>
    <n v="1.0795332136445241"/>
    <n v="2.3577066232182737"/>
    <n v="2.1645021645021645"/>
    <n v="1.1213131007097483"/>
    <n v="2.1840056363422229"/>
    <n v="0.95944580773600496"/>
    <n v="-1"/>
    <n v="1"/>
    <n v="-1"/>
    <n v="-1"/>
    <n v="-1"/>
    <n v="-1"/>
    <n v="-3.5"/>
    <n v="-4"/>
    <n v="-5"/>
    <n v="-4"/>
    <n v="-3"/>
    <s v="TDP Sympathiser"/>
  </r>
  <r>
    <s v="779ccd70-0921-458c-91bb-2ca1ac2324c2"/>
    <x v="7"/>
    <s v="26/01/2026, 11:18:42"/>
    <s v="16.447378, 81.871555"/>
    <s v="Shop No. 1, Chintalapalli, Andhra Pradesh, India"/>
    <x v="3"/>
    <s v="Naeem"/>
    <s v="http://164.52.221.216/localmedia/media/surveys/samples/recording_2026-01-26_11-15-16_samples_542O42UXKU.mp4"/>
    <x v="1"/>
    <x v="1"/>
    <x v="20"/>
    <x v="6"/>
    <s v="హిందూ"/>
    <x v="0"/>
    <s v="venkatalakshmi"/>
    <n v="9849627592"/>
    <x v="1"/>
    <x v="2"/>
    <x v="1"/>
    <x v="1"/>
    <x v="0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0"/>
    <x v="2"/>
    <x v="1"/>
    <x v="1"/>
    <x v="1"/>
    <n v="0"/>
    <s v="Correctly Done"/>
    <n v="0"/>
    <x v="0"/>
    <n v="1.1705128247062893"/>
    <n v="1.0795332136445241"/>
    <n v="2.3577066232182737"/>
    <n v="2.1645021645021645"/>
    <n v="1.1213131007097483"/>
    <n v="2.1840056363422229"/>
    <n v="0.95944580773600496"/>
    <n v="-1"/>
    <n v="1"/>
    <n v="-1"/>
    <n v="-1"/>
    <n v="-1"/>
    <n v="-1"/>
    <n v="-3.5"/>
    <n v="-4"/>
    <n v="-5"/>
    <n v="-4"/>
    <n v="-3"/>
    <s v="TDP Sympathiser"/>
  </r>
  <r>
    <s v="54ed1d01-bbcf-4451-86f0-0c7ff4c7e7f0"/>
    <x v="7"/>
    <s v="26/01/2026, 11:18:42"/>
    <s v="16.447378, 81.871555"/>
    <s v="Shop No. 1, Chintalapalli, Andhra Pradesh, India"/>
    <x v="3"/>
    <s v="Naeem"/>
    <s v="http://164.52.221.216/localmedia/media/surveys/samples/recording_2026-01-26_11-15-16_samples_YS2K4rZQYw.mp4"/>
    <x v="1"/>
    <x v="1"/>
    <x v="20"/>
    <x v="6"/>
    <s v="హిందూ"/>
    <x v="0"/>
    <s v="venkatalakshmi"/>
    <n v="9849627592"/>
    <x v="1"/>
    <x v="2"/>
    <x v="1"/>
    <x v="1"/>
    <x v="0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0"/>
    <x v="2"/>
    <x v="1"/>
    <x v="1"/>
    <x v="1"/>
    <s v="Bhagya"/>
    <s v="Correctly Done"/>
    <n v="0"/>
    <x v="0"/>
    <n v="1.1705128247062893"/>
    <n v="1.0795332136445241"/>
    <n v="2.3577066232182737"/>
    <n v="2.1645021645021645"/>
    <n v="1.1213131007097483"/>
    <n v="2.1840056363422229"/>
    <n v="0.95944580773600496"/>
    <n v="-1"/>
    <n v="1"/>
    <n v="-1"/>
    <n v="-1"/>
    <n v="-1"/>
    <n v="-1"/>
    <n v="-3.5"/>
    <n v="-4"/>
    <n v="-5"/>
    <n v="-4"/>
    <n v="-3"/>
    <s v="TDP Sympathiser"/>
  </r>
  <r>
    <s v="634256cc-d2fe-4fc8-a846-0202d90e9080"/>
    <x v="7"/>
    <s v="26/01/2026, 11:32:24"/>
    <s v="16.447255, 81.871019"/>
    <s v="CVXC+49V, Chintalapalli, Andhra Pradesh, India"/>
    <x v="3"/>
    <s v="Naeem"/>
    <s v="http://164.52.221.216/localmedia/media/surveys/samples/recording_2026-01-26_11-27-07_samples_bYtZ4m3Pzn.mp4"/>
    <x v="1"/>
    <x v="1"/>
    <x v="20"/>
    <x v="0"/>
    <s v="హిందూ"/>
    <x v="2"/>
    <s v="billa suryanarayana"/>
    <n v="8179755345"/>
    <x v="0"/>
    <x v="2"/>
    <x v="1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0"/>
    <x v="1"/>
    <x v="1"/>
    <x v="1"/>
    <x v="1"/>
    <s v="Bhagya"/>
    <s v="Not Doing It Properly"/>
    <s v="Didn't asked caste"/>
    <x v="0"/>
    <n v="1.1705128247062893"/>
    <n v="1.0795332136445241"/>
    <n v="0.86308903171383233"/>
    <n v="0.85034013605442171"/>
    <n v="1.1213131007097483"/>
    <n v="0.79950206330384943"/>
    <n v="0.7401439088249181"/>
    <n v="-1"/>
    <n v="-1"/>
    <n v="-1"/>
    <n v="-1"/>
    <n v="-1"/>
    <n v="-1"/>
    <n v="-5.5"/>
    <n v="-6"/>
    <n v="-5"/>
    <n v="-4"/>
    <n v="-3"/>
    <s v="TDP HardCore"/>
  </r>
  <r>
    <s v="2066f312-a1b0-42aa-8c37-196c6eb9f8ff"/>
    <x v="7"/>
    <s v="26/01/2026, 11:57:46"/>
    <s v="16.441824, 81.870811"/>
    <s v="CVRC+97F, Kunavaram, Andhra Pradesh, India"/>
    <x v="3"/>
    <s v="Naeem"/>
    <s v="http://164.52.221.216/localmedia/media/surveys/samples/recording_2026-01-26_11-55-06_samples_VBIUhsxbqH.mp4"/>
    <x v="2"/>
    <x v="1"/>
    <x v="20"/>
    <x v="0"/>
    <s v="హిందూ"/>
    <x v="1"/>
    <s v="durga"/>
    <n v="8121047796"/>
    <x v="1"/>
    <x v="1"/>
    <x v="1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"/>
    <x v="1"/>
    <x v="0"/>
    <x v="1"/>
    <x v="1"/>
    <x v="1"/>
    <x v="1"/>
    <s v="Deepika"/>
    <s v="Correctly Done"/>
    <n v="0"/>
    <x v="0"/>
    <n v="1.1461625511156397"/>
    <n v="1.0795332136445241"/>
    <n v="3.0326483876590018"/>
    <n v="2.1645021645021645"/>
    <n v="1.1213131007097483"/>
    <n v="2.8092219390089208"/>
    <n v="1.8020838461961379"/>
    <n v="-1"/>
    <n v="-1"/>
    <n v="-1"/>
    <n v="-1"/>
    <n v="-1"/>
    <n v="-1"/>
    <n v="-5.5"/>
    <n v="-6"/>
    <n v="-5"/>
    <n v="-4"/>
    <n v="-3"/>
    <s v="TDP HardCore"/>
  </r>
  <r>
    <s v="c9f1b222-82dd-4808-958b-c6dd9f62e16b"/>
    <x v="7"/>
    <s v="26/01/2026, 12:05:22"/>
    <s v="16.441381, 81.868403"/>
    <s v="Rudra vari meraka, Chintalapalli, Andhra Pradesh, India"/>
    <x v="3"/>
    <s v="Naeem"/>
    <s v="http://164.52.221.216/localmedia/media/surveys/samples/recording_2026-01-26_12-01-41_samples_QByJohnSX5.mp4"/>
    <x v="2"/>
    <x v="1"/>
    <x v="20"/>
    <x v="0"/>
    <s v="హిందూ"/>
    <x v="1"/>
    <s v="parvathi"/>
    <n v="9121679612"/>
    <x v="1"/>
    <x v="5"/>
    <x v="1"/>
    <x v="1"/>
    <x v="1"/>
    <x v="1"/>
    <s v="ఉద్యొగ్య అవకాశాలు కల్పించటం, విద్య రంగం అభివృద్ధి చేయటం, ఆరోగ్య రంగం అభివృద్ధి చేయటం"/>
    <x v="1"/>
    <x v="0"/>
    <x v="2"/>
    <x v="2"/>
    <x v="1"/>
    <x v="1"/>
    <s v="Deepika"/>
    <s v="Not Doing It Properly"/>
    <s v="Q5,7,10 kept his own"/>
    <x v="0"/>
    <n v="1.1461625511156397"/>
    <n v="0.66153846153846207"/>
    <n v="1.8584083596520569"/>
    <n v="2.1645021645021645"/>
    <n v="1.1213131007097483"/>
    <n v="2.8092219390089208"/>
    <n v="1.8020838461961379"/>
    <n v="-1"/>
    <n v="-1"/>
    <n v="-1"/>
    <n v="-1"/>
    <n v="-1"/>
    <n v="-1"/>
    <n v="-5.5"/>
    <n v="-6"/>
    <n v="-5"/>
    <n v="-4"/>
    <n v="-3"/>
    <s v="TDP HardCore"/>
  </r>
  <r>
    <s v="7e3b1b05-a7ff-4e03-afab-3a5944c04030"/>
    <x v="7"/>
    <s v="26/01/2026, 12:11:15"/>
    <s v="16.448102, 81.865632"/>
    <s v="SHOP NO.2-4 SAI COMPLEX MAIN ROAD, Razole, Andhra Pradesh, India"/>
    <x v="3"/>
    <s v="Naeem"/>
    <s v="http://164.52.221.216/localmedia/media/surveys/samples/recording_2026-01-26_12-07-44_samples_3VKzIwk396.mp4"/>
    <x v="2"/>
    <x v="1"/>
    <x v="20"/>
    <x v="5"/>
    <s v="హిందూ"/>
    <x v="3"/>
    <s v="no"/>
    <n v="9999999999"/>
    <x v="1"/>
    <x v="5"/>
    <x v="1"/>
    <x v="1"/>
    <x v="1"/>
    <x v="1"/>
    <s v="ఉద్యొగ్య అవకాశాలు కల్పించటం, ఆరోగ్య రంగం అభివృద్ధి చేయటం, వ్యవసాయం, రైతు బాగుండడం"/>
    <x v="1"/>
    <x v="0"/>
    <x v="1"/>
    <x v="2"/>
    <x v="1"/>
    <x v="1"/>
    <s v="Deepika"/>
    <s v="Not Doing It Properly"/>
    <s v="Q10 kept his own not asking phone number"/>
    <x v="0"/>
    <n v="1.1461625511156397"/>
    <n v="0.66153846153846207"/>
    <n v="1.8584083596520569"/>
    <n v="2.1645021645021645"/>
    <n v="1.1213131007097483"/>
    <n v="2.8092219390089208"/>
    <n v="1.8020838461961379"/>
    <n v="-1"/>
    <n v="-1"/>
    <n v="-1"/>
    <n v="-1"/>
    <n v="-1"/>
    <n v="-1"/>
    <n v="-5.5"/>
    <n v="-6"/>
    <n v="-5"/>
    <n v="-4"/>
    <n v="-3"/>
    <s v="TDP HardCore"/>
  </r>
  <r>
    <s v="55c42c61-6582-4757-a2f9-3a7a1af85f1f"/>
    <x v="7"/>
    <s v="26/01/2026, 12:16:18"/>
    <s v="16.441581, 81.867346"/>
    <s v="CVR8+HFX, Chintapalle, Andhra Pradesh, India"/>
    <x v="3"/>
    <s v="Naeem"/>
    <s v="http://164.52.221.216/localmedia/media/surveys/samples/recording_2026-01-26_12-12-42_samples_2I7tIzClv7.mp4"/>
    <x v="2"/>
    <x v="1"/>
    <x v="20"/>
    <x v="1"/>
    <s v="హిందూ"/>
    <x v="2"/>
    <s v="satyanarayana "/>
    <n v="9999999999"/>
    <x v="0"/>
    <x v="5"/>
    <x v="1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"/>
    <x v="1"/>
    <x v="0"/>
    <x v="2"/>
    <x v="2"/>
    <x v="1"/>
    <x v="1"/>
    <s v="Deepika"/>
    <s v="Correctly Done"/>
    <n v="0"/>
    <x v="0"/>
    <n v="1.1461625511156397"/>
    <n v="0.66153846153846207"/>
    <n v="0.47627550925756229"/>
    <n v="0.85034013605442171"/>
    <n v="1.1213131007097483"/>
    <n v="0.71995135120329123"/>
    <n v="1.3370299504035861"/>
    <n v="-1"/>
    <n v="-1"/>
    <n v="-1"/>
    <n v="-1"/>
    <n v="-1"/>
    <n v="-1"/>
    <n v="-5.5"/>
    <n v="-6"/>
    <n v="-5"/>
    <n v="-4"/>
    <n v="-3"/>
    <s v="TDP HardCore"/>
  </r>
  <r>
    <s v="983039bc-cd0e-475e-8701-e80d0505bdf1"/>
    <x v="7"/>
    <s v="26/01/2026, 12:16:19"/>
    <s v="16.441581, 81.867346"/>
    <s v="CVR8+HFX, Chintapalle, Andhra Pradesh, India"/>
    <x v="3"/>
    <s v="Naeem"/>
    <s v="http://164.52.221.216/localmedia/media/surveys/samples/recording_2026-01-26_12-12-42_samples_1SysNcPUWg.mp4"/>
    <x v="2"/>
    <x v="1"/>
    <x v="20"/>
    <x v="1"/>
    <s v="హిందూ"/>
    <x v="2"/>
    <s v="satyanarayana "/>
    <n v="9999999999"/>
    <x v="0"/>
    <x v="5"/>
    <x v="1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"/>
    <x v="1"/>
    <x v="0"/>
    <x v="2"/>
    <x v="2"/>
    <x v="1"/>
    <x v="1"/>
    <n v="0"/>
    <s v="Correctly Done"/>
    <n v="0"/>
    <x v="0"/>
    <n v="1.1461625511156397"/>
    <n v="0.66153846153846207"/>
    <n v="0.47627550925756229"/>
    <n v="0.85034013605442171"/>
    <n v="1.1213131007097483"/>
    <n v="0.71995135120329123"/>
    <n v="1.3370299504035861"/>
    <n v="-1"/>
    <n v="-1"/>
    <n v="-1"/>
    <n v="-1"/>
    <n v="-1"/>
    <n v="-1"/>
    <n v="-5.5"/>
    <n v="-6"/>
    <n v="-5"/>
    <n v="-4"/>
    <n v="-3"/>
    <s v="TDP HardCore"/>
  </r>
  <r>
    <s v="6df90f0c-52ba-4dd7-8cbb-66f6baf2693c"/>
    <x v="7"/>
    <s v="26/01/2026, 12:23:07"/>
    <s v="16.441640, 81.865615"/>
    <s v="No address"/>
    <x v="3"/>
    <s v="Naeem"/>
    <s v="http://164.52.221.216/localmedia/media/surveys/samples/recording_2026-01-26_12-20-07_samples_vd9P7QFjlp.mp4"/>
    <x v="2"/>
    <x v="1"/>
    <x v="20"/>
    <x v="2"/>
    <s v="హిందూ"/>
    <x v="1"/>
    <s v="mamatha"/>
    <n v="9959760651"/>
    <x v="1"/>
    <x v="5"/>
    <x v="2"/>
    <x v="1"/>
    <x v="1"/>
    <x v="0"/>
    <s v="ఉద్యొగ్య అవకాశాలు కల్పించటం, శాంతి భద్రతలను కాపాడటం, వ్యవసాయం, రైతు బాగుండడం"/>
    <x v="1"/>
    <x v="0"/>
    <x v="1"/>
    <x v="1"/>
    <x v="1"/>
    <x v="1"/>
    <s v="Deepika"/>
    <s v="Not Doing It Properly"/>
    <s v="Q1 kept his own"/>
    <x v="0"/>
    <n v="1.1461625511156397"/>
    <n v="1.0795332136445241"/>
    <n v="3.0326483876590018"/>
    <n v="2.1645021645021645"/>
    <n v="1.1213131007097483"/>
    <n v="2.8092219390089208"/>
    <n v="1.8020838461961379"/>
    <n v="-1"/>
    <n v="-1"/>
    <n v="1"/>
    <n v="-1"/>
    <n v="-1"/>
    <n v="-1"/>
    <n v="-3.5"/>
    <n v="-4"/>
    <n v="-3"/>
    <n v="-2"/>
    <n v="-3"/>
    <s v="Neutral TDP"/>
  </r>
  <r>
    <s v="f02558d8-a1a7-40f4-8c17-98d41a53c4d1"/>
    <x v="7"/>
    <s v="26/01/2026, 12:45:01"/>
    <s v="16.447182, 81.860261"/>
    <s v="Gubbalapalem panchayithi, Gudapalli, Andhra Pradesh, India"/>
    <x v="3"/>
    <s v="Naeem"/>
    <s v="http://164.52.221.216/localmedia/media/surveys/samples/recording_2026-01-26_12-42-30_samples_IIOQVmDbd4.mp4"/>
    <x v="1"/>
    <x v="1"/>
    <x v="20"/>
    <x v="6"/>
    <s v="హిందూ"/>
    <x v="1"/>
    <s v="devi"/>
    <n v="9908879345"/>
    <x v="1"/>
    <x v="2"/>
    <x v="1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0"/>
    <x v="1"/>
    <x v="1"/>
    <x v="1"/>
    <x v="1"/>
    <s v="Deepika"/>
    <s v="Correctly Done"/>
    <n v="0"/>
    <x v="0"/>
    <n v="1.1705128247062893"/>
    <n v="1.0795332136445241"/>
    <n v="2.3577066232182737"/>
    <n v="2.1645021645021645"/>
    <n v="1.1213131007097483"/>
    <n v="2.1840056363422229"/>
    <n v="0.95944580773600496"/>
    <n v="-1"/>
    <n v="-1"/>
    <n v="-1"/>
    <n v="-1"/>
    <n v="-1"/>
    <n v="-1"/>
    <n v="-5.5"/>
    <n v="-6"/>
    <n v="-5"/>
    <n v="-4"/>
    <n v="-3"/>
    <s v="TDP HardCore"/>
  </r>
  <r>
    <s v="32f85e48-3e9a-41de-9e8c-830e5cbac702"/>
    <x v="7"/>
    <s v="26/01/2026, 12:50:05"/>
    <s v="16.447497, 81.859554"/>
    <s v="CVX5+374, Chintalapalli, Andhra Pradesh, India"/>
    <x v="3"/>
    <s v="Naeem"/>
    <s v="http://164.52.221.216/localmedia/media/surveys/samples/recording_2026-01-26_12-47-05_samples_Oq5qeTy3Xg.mp4"/>
    <x v="6"/>
    <x v="1"/>
    <x v="20"/>
    <x v="0"/>
    <s v="హిందూ"/>
    <x v="1"/>
    <s v="a. vasu"/>
    <n v="7893513605"/>
    <x v="0"/>
    <x v="5"/>
    <x v="1"/>
    <x v="1"/>
    <x v="1"/>
    <x v="1"/>
    <s v="ఉద్యొగ్య అవకాశాలు కల్పించటం, శాంతి భద్రతలను కాపాడటం, విద్య రంగం అభివృద్ధి చేయటం"/>
    <x v="1"/>
    <x v="0"/>
    <x v="0"/>
    <x v="1"/>
    <x v="1"/>
    <x v="1"/>
    <s v="Deepika"/>
    <s v="Correctly Done"/>
    <n v="0"/>
    <x v="0"/>
    <n v="1.2612194085121222"/>
    <n v="1.0795332136445241"/>
    <n v="0.92029223709519836"/>
    <n v="0.85034013605442171"/>
    <n v="1.1213131007097483"/>
    <n v="0.85249089649430487"/>
    <n v="1.3317727120335781"/>
    <n v="-1"/>
    <n v="-1"/>
    <n v="-1"/>
    <n v="-1"/>
    <n v="-1"/>
    <n v="1"/>
    <n v="-3.5"/>
    <n v="-4"/>
    <n v="-3"/>
    <n v="-2"/>
    <s v="ND"/>
    <s v="ND"/>
  </r>
  <r>
    <s v="0e107848-85ee-41d3-86d0-83411bb7be50"/>
    <x v="7"/>
    <s v="26/01/2026, 12:55:19"/>
    <s v="16.447579, 81.859031"/>
    <s v="CVX5+374, Chintalapalli, Andhra Pradesh, India"/>
    <x v="3"/>
    <s v="Naeem"/>
    <s v="http://164.52.221.216/localmedia/media/surveys/samples/recording_2026-01-26_12-51-58_samples_ahcMKvpCOM.mp4"/>
    <x v="1"/>
    <x v="1"/>
    <x v="20"/>
    <x v="0"/>
    <s v="హిందూ"/>
    <x v="2"/>
    <s v="srirama murthy"/>
    <n v="9949136581"/>
    <x v="0"/>
    <x v="5"/>
    <x v="1"/>
    <x v="1"/>
    <x v="1"/>
    <x v="1"/>
    <s v="రోడ్లు వేయటం, ఉద్యొగ్య అవకాశాలు కల్పించటం, ఆరోగ్య రంగం అభివృద్ధి చేయటం"/>
    <x v="1"/>
    <x v="0"/>
    <x v="1"/>
    <x v="1"/>
    <x v="1"/>
    <x v="1"/>
    <s v="Deepika"/>
    <s v="Correctly Done"/>
    <n v="0"/>
    <x v="0"/>
    <n v="1.1705128247062893"/>
    <n v="1.0795332136445241"/>
    <n v="0.86308903171383233"/>
    <n v="0.85034013605442171"/>
    <n v="1.1213131007097483"/>
    <n v="0.79950206330384943"/>
    <n v="0.7401439088249181"/>
    <n v="-1"/>
    <n v="-1"/>
    <n v="-1"/>
    <n v="-1"/>
    <n v="-1"/>
    <n v="-1"/>
    <n v="-5.5"/>
    <n v="-6"/>
    <n v="-5"/>
    <n v="-4"/>
    <n v="-3"/>
    <s v="TDP HardCore"/>
  </r>
  <r>
    <s v="1439551f-f822-401d-a8f6-f8920607f234"/>
    <x v="7"/>
    <s v="26/01/2026, 13:04:23"/>
    <s v="16.447636, 81.857821"/>
    <s v="CVX5+374, Chintalapalli, Andhra Pradesh, India"/>
    <x v="3"/>
    <s v="Naeem"/>
    <s v="http://164.52.221.216/localmedia/media/surveys/samples/recording_2026-01-26_13-01-37_samples_2KpA8MXMkW.mp4"/>
    <x v="1"/>
    <x v="1"/>
    <x v="20"/>
    <x v="4"/>
    <s v="క్రిస్టియన్"/>
    <x v="3"/>
    <s v="sadolu"/>
    <n v="9553463807"/>
    <x v="0"/>
    <x v="5"/>
    <x v="1"/>
    <x v="1"/>
    <x v="1"/>
    <x v="1"/>
    <s v="రోడ్లు వేయటం, ఉద్యొగ్య అవకాశాలు కల్పించటం, విద్య రంగం అభివృద్ధి చేయటం"/>
    <x v="0"/>
    <x v="0"/>
    <x v="2"/>
    <x v="2"/>
    <x v="1"/>
    <x v="1"/>
    <s v="Deepika"/>
    <s v="Correctly Done"/>
    <n v="0"/>
    <x v="0"/>
    <n v="1.1705128247062893"/>
    <n v="0.66153846153846207"/>
    <n v="0.52890136495485462"/>
    <n v="0.85034013605442171"/>
    <n v="1.1213131007097483"/>
    <n v="0.79950206330384943"/>
    <n v="0.7401439088249181"/>
    <n v="-1"/>
    <n v="-1"/>
    <n v="-1"/>
    <n v="1"/>
    <n v="-1"/>
    <n v="-1"/>
    <n v="-3.5"/>
    <n v="-4"/>
    <n v="-3"/>
    <n v="-2"/>
    <n v="-3"/>
    <s v="Neutral TDP"/>
  </r>
  <r>
    <s v="22ffcd48-3cc3-42f0-b754-eabac81b40d8"/>
    <x v="7"/>
    <s v="26/01/2026, 13:10:17"/>
    <s v="16.447522, 81.856887"/>
    <s v="Thompson.Geddam, Chintapalle, Andhra Pradesh, India"/>
    <x v="3"/>
    <s v="Naeem"/>
    <s v="http://164.52.221.216/localmedia/media/surveys/samples/recording_2026-01-26_13-07-19_samples_7eOgjG5XQJ.mp4"/>
    <x v="0"/>
    <x v="1"/>
    <x v="20"/>
    <x v="2"/>
    <s v="క్రిస్టియన్"/>
    <x v="1"/>
    <s v="anu"/>
    <n v="8919638247"/>
    <x v="0"/>
    <x v="3"/>
    <x v="2"/>
    <x v="0"/>
    <x v="0"/>
    <x v="0"/>
    <s v="రోడ్లు వేయటం, ఉద్యొగ్య అవకాశాలు కల్పించటం, శాంతి భద్రతలను కాపాడటం, విద్య రంగం అభివృద్ధి చేయటం"/>
    <x v="0"/>
    <x v="1"/>
    <x v="0"/>
    <x v="0"/>
    <x v="0"/>
    <x v="0"/>
    <s v="Deepika"/>
    <s v="Correctly Done"/>
    <n v="0"/>
    <x v="0"/>
    <n v="1.3836274505214585"/>
    <n v="1.8055837563451775"/>
    <n v="1.9482662206881376"/>
    <n v="0.85034013605442171"/>
    <n v="1.1213131007097483"/>
    <n v="1.0790228998469584"/>
    <n v="0.90933567693352424"/>
    <n v="1"/>
    <n v="1"/>
    <n v="1"/>
    <n v="1"/>
    <n v="1"/>
    <n v="1"/>
    <n v="5.5"/>
    <n v="6"/>
    <n v="5"/>
    <n v="4"/>
    <n v="3"/>
    <s v="YSRCP HardCore"/>
  </r>
  <r>
    <s v="3e83793b-1f47-45b9-a22f-df9d5f9341e5"/>
    <x v="7"/>
    <s v="26/01/2026, 13:14:56"/>
    <s v="16.447328, 81.855510"/>
    <s v="Thompson.Geddam, Chintapalle, Andhra Pradesh, India"/>
    <x v="3"/>
    <s v="Naeem"/>
    <s v="http://164.52.221.216/localmedia/media/surveys/samples/recording_2026-01-26_13-12-18_samples_8HhnpvjJ5J.mp4"/>
    <x v="0"/>
    <x v="1"/>
    <x v="20"/>
    <x v="3"/>
    <s v="హిందూ"/>
    <x v="2"/>
    <s v="krashna rao"/>
    <n v="8179385569"/>
    <x v="0"/>
    <x v="5"/>
    <x v="1"/>
    <x v="1"/>
    <x v="0"/>
    <x v="1"/>
    <s v="రోడ్లు వేయటం, శాంతి భద్రతలను కాపాడటం, విద్య రంగం అభివృద్ధి చేయటం"/>
    <x v="1"/>
    <x v="0"/>
    <x v="2"/>
    <x v="1"/>
    <x v="1"/>
    <x v="1"/>
    <s v="Deepika"/>
    <s v="Correctly Done"/>
    <n v="0"/>
    <x v="0"/>
    <n v="1.3836274505214585"/>
    <n v="1.0795332136445241"/>
    <n v="1.1648410586678206"/>
    <n v="0.85034013605442171"/>
    <n v="1.1213131007097483"/>
    <n v="1.0790228998469584"/>
    <n v="0.90933567693352424"/>
    <n v="-1"/>
    <n v="1"/>
    <n v="-1"/>
    <n v="-1"/>
    <n v="-1"/>
    <n v="-1"/>
    <n v="-3.5"/>
    <n v="-4"/>
    <n v="-5"/>
    <n v="-4"/>
    <n v="-3"/>
    <s v="TDP Sympathiser"/>
  </r>
  <r>
    <s v="59dfa38f-9f0f-4712-986d-695b10d178ad"/>
    <x v="7"/>
    <s v="26/01/2026, 13:15:01"/>
    <s v="16.447328, 81.855510"/>
    <s v="Thompson.Geddam, Chintapalle, Andhra Pradesh, India"/>
    <x v="3"/>
    <s v="Naeem"/>
    <s v="http://164.52.221.216/localmedia/media/surveys/samples/recording_2026-01-26_13-12-18_samples_PhigsVHiqe.mp4"/>
    <x v="0"/>
    <x v="1"/>
    <x v="20"/>
    <x v="3"/>
    <s v="హిందూ"/>
    <x v="2"/>
    <s v="krashna rao"/>
    <n v="8179385569"/>
    <x v="0"/>
    <x v="5"/>
    <x v="1"/>
    <x v="1"/>
    <x v="0"/>
    <x v="1"/>
    <s v="రోడ్లు వేయటం, శాంతి భద్రతలను కాపాడటం, విద్య రంగం అభివృద్ధి చేయటం"/>
    <x v="1"/>
    <x v="0"/>
    <x v="2"/>
    <x v="1"/>
    <x v="1"/>
    <x v="1"/>
    <n v="0"/>
    <s v="Correctly Done"/>
    <n v="0"/>
    <x v="0"/>
    <n v="1.3836274505214585"/>
    <n v="1.0795332136445241"/>
    <n v="1.1648410586678206"/>
    <n v="0.85034013605442171"/>
    <n v="1.1213131007097483"/>
    <n v="1.0790228998469584"/>
    <n v="0.90933567693352424"/>
    <n v="-1"/>
    <n v="1"/>
    <n v="-1"/>
    <n v="-1"/>
    <n v="-1"/>
    <n v="-1"/>
    <n v="-3.5"/>
    <n v="-4"/>
    <n v="-5"/>
    <n v="-4"/>
    <n v="-3"/>
    <s v="TDP Sympathiser"/>
  </r>
  <r>
    <s v="f1c2a1c0-ecea-4763-9a4d-3debdbd0d999"/>
    <x v="7"/>
    <s v="26/01/2026, 13:15:05"/>
    <s v="16.447328, 81.855510"/>
    <s v="Thompson.Geddam, Chintapalle, Andhra Pradesh, India"/>
    <x v="3"/>
    <s v="Naeem"/>
    <s v="http://164.52.221.216/localmedia/media/surveys/samples/recording_2026-01-26_13-12-18_samples_Yn8T8cRAUt.mp4"/>
    <x v="0"/>
    <x v="1"/>
    <x v="20"/>
    <x v="3"/>
    <s v="హిందూ"/>
    <x v="2"/>
    <s v="krashna rao"/>
    <n v="8179385569"/>
    <x v="0"/>
    <x v="5"/>
    <x v="1"/>
    <x v="1"/>
    <x v="0"/>
    <x v="1"/>
    <s v="రోడ్లు వేయటం, శాంతి భద్రతలను కాపాడటం, విద్య రంగం అభివృద్ధి చేయటం"/>
    <x v="1"/>
    <x v="0"/>
    <x v="2"/>
    <x v="1"/>
    <x v="1"/>
    <x v="1"/>
    <n v="0"/>
    <s v="Correctly Done"/>
    <n v="0"/>
    <x v="0"/>
    <n v="1.3836274505214585"/>
    <n v="1.0795332136445241"/>
    <n v="1.1648410586678206"/>
    <n v="0.85034013605442171"/>
    <n v="1.1213131007097483"/>
    <n v="1.0790228998469584"/>
    <n v="0.90933567693352424"/>
    <n v="-1"/>
    <n v="1"/>
    <n v="-1"/>
    <n v="-1"/>
    <n v="-1"/>
    <n v="-1"/>
    <n v="-3.5"/>
    <n v="-4"/>
    <n v="-5"/>
    <n v="-4"/>
    <n v="-3"/>
    <s v="TDP Sympathiser"/>
  </r>
  <r>
    <s v="afba9d4b-3786-4bbf-91b1-cb54f99cffd6"/>
    <x v="7"/>
    <s v="26/01/2026, 13:39:19"/>
    <s v="16.444766, 81.854790"/>
    <s v="CVV3+RWM, Razole, Andhra Pradesh, India"/>
    <x v="3"/>
    <s v="Naeem"/>
    <s v="http://164.52.221.216/localmedia/media/surveys/samples/recording_2026-01-26_13-36-35_samples_YTGcejXqy2.mp4"/>
    <x v="1"/>
    <x v="1"/>
    <x v="20"/>
    <x v="6"/>
    <s v="హిందూ"/>
    <x v="1"/>
    <s v="xh. sai lakshmi"/>
    <n v="6304232338"/>
    <x v="1"/>
    <x v="2"/>
    <x v="1"/>
    <x v="1"/>
    <x v="0"/>
    <x v="1"/>
    <s v="ఉద్యొగ్య అవకాశాలు కల్పించటం, శాంతి భద్రతలను కాపాడటం, విద్య రంగం అభివృద్ధి చేయటం"/>
    <x v="1"/>
    <x v="0"/>
    <x v="2"/>
    <x v="1"/>
    <x v="1"/>
    <x v="1"/>
    <s v="Deepika"/>
    <s v="Correctly Done"/>
    <n v="0"/>
    <x v="0"/>
    <n v="1.1705128247062893"/>
    <n v="1.0795332136445241"/>
    <n v="2.3577066232182737"/>
    <n v="2.1645021645021645"/>
    <n v="1.1213131007097483"/>
    <n v="2.1840056363422229"/>
    <n v="0.95944580773600496"/>
    <n v="-1"/>
    <n v="1"/>
    <n v="-1"/>
    <n v="-1"/>
    <n v="-1"/>
    <n v="-1"/>
    <n v="-3.5"/>
    <n v="-4"/>
    <n v="-5"/>
    <n v="-4"/>
    <n v="-3"/>
    <s v="TDP Sympathiser"/>
  </r>
  <r>
    <s v="0e58d0f1-dbda-4cb6-9e4a-61687ed561f1"/>
    <x v="7"/>
    <s v="26/01/2026, 13:39:20"/>
    <s v="16.444766, 81.854790"/>
    <s v="CVV3+RWM, Razole, Andhra Pradesh, India"/>
    <x v="3"/>
    <s v="Naeem"/>
    <s v="http://164.52.221.216/localmedia/media/surveys/samples/recording_2026-01-26_13-36-35_samples_9Nu7e75tLp.mp4"/>
    <x v="1"/>
    <x v="1"/>
    <x v="20"/>
    <x v="6"/>
    <s v="హిందూ"/>
    <x v="1"/>
    <s v="xh. sai lakshmi"/>
    <n v="6304232338"/>
    <x v="1"/>
    <x v="2"/>
    <x v="1"/>
    <x v="1"/>
    <x v="0"/>
    <x v="1"/>
    <s v="ఉద్యొగ్య అవకాశాలు కల్పించటం, శాంతి భద్రతలను కాపాడటం, విద్య రంగం అభివృద్ధి చేయటం"/>
    <x v="1"/>
    <x v="0"/>
    <x v="2"/>
    <x v="1"/>
    <x v="1"/>
    <x v="1"/>
    <n v="0"/>
    <s v="Correctly Done"/>
    <n v="0"/>
    <x v="0"/>
    <n v="1.1705128247062893"/>
    <n v="1.0795332136445241"/>
    <n v="2.3577066232182737"/>
    <n v="2.1645021645021645"/>
    <n v="1.1213131007097483"/>
    <n v="2.1840056363422229"/>
    <n v="0.95944580773600496"/>
    <n v="-1"/>
    <n v="1"/>
    <n v="-1"/>
    <n v="-1"/>
    <n v="-1"/>
    <n v="-1"/>
    <n v="-3.5"/>
    <n v="-4"/>
    <n v="-5"/>
    <n v="-4"/>
    <n v="-3"/>
    <s v="TDP Sympathiser"/>
  </r>
  <r>
    <s v="657a4635-5471-4261-968f-ea624efc81bc"/>
    <x v="7"/>
    <s v="26/01/2026, 13:39:24"/>
    <s v="16.444766, 81.854790"/>
    <s v="CVV3+RWM, Razole, Andhra Pradesh, India"/>
    <x v="3"/>
    <s v="Naeem"/>
    <s v="http://164.52.221.216/localmedia/media/surveys/samples/recording_2026-01-26_13-36-35_samples_nTj1FcdLGM.mp4"/>
    <x v="1"/>
    <x v="1"/>
    <x v="20"/>
    <x v="6"/>
    <s v="హిందూ"/>
    <x v="1"/>
    <s v="xh. sai lakshmi"/>
    <n v="6304232338"/>
    <x v="1"/>
    <x v="2"/>
    <x v="1"/>
    <x v="1"/>
    <x v="0"/>
    <x v="1"/>
    <s v="ఉద్యొగ్య అవకాశాలు కల్పించటం, శాంతి భద్రతలను కాపాడటం, విద్య రంగం అభివృద్ధి చేయటం"/>
    <x v="1"/>
    <x v="0"/>
    <x v="2"/>
    <x v="1"/>
    <x v="1"/>
    <x v="1"/>
    <n v="0"/>
    <s v="Correctly Done"/>
    <n v="0"/>
    <x v="0"/>
    <n v="1.1705128247062893"/>
    <n v="1.0795332136445241"/>
    <n v="2.3577066232182737"/>
    <n v="2.1645021645021645"/>
    <n v="1.1213131007097483"/>
    <n v="2.1840056363422229"/>
    <n v="0.95944580773600496"/>
    <n v="-1"/>
    <n v="1"/>
    <n v="-1"/>
    <n v="-1"/>
    <n v="-1"/>
    <n v="-1"/>
    <n v="-3.5"/>
    <n v="-4"/>
    <n v="-5"/>
    <n v="-4"/>
    <n v="-3"/>
    <s v="TDP Sympathiser"/>
  </r>
  <r>
    <s v="fbec91da-22f7-4650-8453-aebd9c03cf51"/>
    <x v="7"/>
    <s v="26/01/2026, 13:46:24"/>
    <s v="16.444823, 81.855392"/>
    <s v="CVV3+RWM, Razole, Andhra Pradesh, India"/>
    <x v="3"/>
    <s v="Naeem"/>
    <s v="http://164.52.221.216/localmedia/media/surveys/samples/recording_2026-01-26_13-40-20_samples_uEQIAdBQDc.mp4"/>
    <x v="0"/>
    <x v="1"/>
    <x v="20"/>
    <x v="0"/>
    <s v="హిందూ"/>
    <x v="1"/>
    <s v="durga"/>
    <n v="8501036617"/>
    <x v="1"/>
    <x v="5"/>
    <x v="1"/>
    <x v="1"/>
    <x v="1"/>
    <x v="0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0"/>
    <x v="0"/>
    <x v="0"/>
    <x v="0"/>
    <x v="0"/>
    <x v="4"/>
    <s v="Deepika"/>
    <s v="Correctly Done"/>
    <n v="0"/>
    <x v="0"/>
    <n v="1.3836274505214585"/>
    <n v="1.8055837563451775"/>
    <n v="3.4809023142961388"/>
    <n v="2.1645021645021645"/>
    <n v="1.1213131007097483"/>
    <n v="1.9278542477265657"/>
    <n v="1.2302776805571209"/>
    <n v="-1"/>
    <n v="-1"/>
    <n v="1"/>
    <n v="1"/>
    <n v="1"/>
    <n v="1"/>
    <n v="1.5"/>
    <n v="2"/>
    <n v="3"/>
    <n v="4"/>
    <n v="2"/>
    <s v="YSRCP Sympathiser"/>
  </r>
  <r>
    <s v="73f60f73-1831-4f09-b236-1994b3bdc889"/>
    <x v="7"/>
    <s v="26/01/2026, 13:46:38"/>
    <s v="16.444823, 81.855392"/>
    <s v="CVV3+RWM, Razole, Andhra Pradesh, India"/>
    <x v="3"/>
    <s v="Naeem"/>
    <s v="http://164.52.221.216/localmedia/media/surveys/samples/recording_2026-01-26_13-40-20_samples_KStOIs8ooT.mp4"/>
    <x v="0"/>
    <x v="1"/>
    <x v="20"/>
    <x v="0"/>
    <s v="హిందూ"/>
    <x v="1"/>
    <s v="durga"/>
    <n v="8501036617"/>
    <x v="1"/>
    <x v="5"/>
    <x v="1"/>
    <x v="1"/>
    <x v="1"/>
    <x v="0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0"/>
    <x v="0"/>
    <x v="0"/>
    <x v="0"/>
    <x v="0"/>
    <x v="4"/>
    <n v="0"/>
    <s v="Correctly Done"/>
    <n v="0"/>
    <x v="0"/>
    <n v="1.3836274505214585"/>
    <n v="1.8055837563451775"/>
    <n v="3.4809023142961388"/>
    <n v="2.1645021645021645"/>
    <n v="1.1213131007097483"/>
    <n v="1.9278542477265657"/>
    <n v="1.2302776805571209"/>
    <n v="-1"/>
    <n v="-1"/>
    <n v="1"/>
    <n v="1"/>
    <n v="1"/>
    <n v="1"/>
    <n v="1.5"/>
    <n v="2"/>
    <n v="3"/>
    <n v="4"/>
    <n v="2"/>
    <s v="YSRCP Sympathiser"/>
  </r>
  <r>
    <s v="0fc51288-f33b-4e1b-ba45-6905fae55164"/>
    <x v="7"/>
    <s v="26/01/2026, 13:55:16"/>
    <s v="16.445406, 81.855808"/>
    <s v="CVV3+RWM, Razole, Andhra Pradesh, India"/>
    <x v="3"/>
    <s v="Naeem"/>
    <s v="http://164.52.221.216/localmedia/media/surveys/samples/recording_2026-01-26_13-52-47_samples_MbPwviZD15.mp4"/>
    <x v="1"/>
    <x v="1"/>
    <x v="20"/>
    <x v="0"/>
    <s v="హిందూ"/>
    <x v="0"/>
    <s v="v. eswari"/>
    <n v="9618604376"/>
    <x v="1"/>
    <x v="3"/>
    <x v="1"/>
    <x v="1"/>
    <x v="1"/>
    <x v="1"/>
    <s v="రోడ్లు వేయటం, ఉద్యొగ్య అవకాశాలు కల్పించటం, శాంతి భద్రతలను కాపాడటం"/>
    <x v="1"/>
    <x v="0"/>
    <x v="1"/>
    <x v="1"/>
    <x v="1"/>
    <x v="1"/>
    <s v="Deepika"/>
    <s v="Correctly Done"/>
    <n v="0"/>
    <x v="0"/>
    <n v="1.1705128247062893"/>
    <n v="1.0795332136445241"/>
    <n v="2.3577066232182737"/>
    <n v="2.1645021645021645"/>
    <n v="1.1213131007097483"/>
    <n v="2.1840056363422229"/>
    <n v="0.95944580773600496"/>
    <n v="-1"/>
    <n v="-1"/>
    <n v="-1"/>
    <n v="-1"/>
    <n v="-1"/>
    <n v="-1"/>
    <n v="-5.5"/>
    <n v="-6"/>
    <n v="-5"/>
    <n v="-4"/>
    <n v="-3"/>
    <s v="TDP HardCore"/>
  </r>
  <r>
    <s v="bb872674-5b37-4e9e-9cc0-7c86e81e8adf"/>
    <x v="7"/>
    <s v="26/01/2026, 14:04:49"/>
    <s v="16.447241, 81.854168"/>
    <s v="No address"/>
    <x v="3"/>
    <s v="Naeem"/>
    <s v="http://164.52.221.216/localmedia/media/surveys/samples/recording_2026-01-26_14-00-45_samples_69WWnJOR7x.mp4"/>
    <x v="0"/>
    <x v="1"/>
    <x v="20"/>
    <x v="6"/>
    <s v="హిందూ"/>
    <x v="0"/>
    <s v="nirmalakumari"/>
    <n v="9999999999"/>
    <x v="1"/>
    <x v="5"/>
    <x v="1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0"/>
    <x v="1"/>
    <x v="1"/>
    <x v="1"/>
    <x v="1"/>
    <s v="Deepika"/>
    <s v="Not Doing It Properly"/>
    <s v="Q5,6,7 kept his own"/>
    <x v="0"/>
    <n v="1.3836274505214585"/>
    <n v="1.0795332136445241"/>
    <n v="2.0811826914865059"/>
    <n v="2.1645021645021645"/>
    <n v="1.1213131007097483"/>
    <n v="1.9278542477265657"/>
    <n v="1.2302776805571209"/>
    <n v="-1"/>
    <n v="-1"/>
    <n v="-1"/>
    <n v="-1"/>
    <n v="-1"/>
    <n v="-1"/>
    <n v="-5.5"/>
    <n v="-6"/>
    <n v="-5"/>
    <n v="-4"/>
    <n v="-3"/>
    <s v="TDP HardCore"/>
  </r>
  <r>
    <s v="b265d3ed-8cdd-4817-a5ca-98589d60c369"/>
    <x v="7"/>
    <s v="26/01/2026, 14:11:58"/>
    <s v="16.447330, 81.853253"/>
    <s v="1, Chintalapalli, Andhra Pradesh, India"/>
    <x v="3"/>
    <s v="Naeem"/>
    <s v="http://164.52.221.216/localmedia/media/surveys/samples/recording_2026-01-26_14-07-44_samples_HCrMhKIelp.mp4"/>
    <x v="0"/>
    <x v="1"/>
    <x v="20"/>
    <x v="8"/>
    <s v="హిందూ"/>
    <x v="2"/>
    <s v="lakshmanrao "/>
    <n v="8096052256"/>
    <x v="0"/>
    <x v="3"/>
    <x v="1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0"/>
    <x v="0"/>
    <x v="1"/>
    <x v="1"/>
    <x v="1"/>
    <x v="1"/>
    <s v="Deepika"/>
    <s v="Correctly Done"/>
    <n v="0"/>
    <x v="0"/>
    <n v="1.3836274505214585"/>
    <n v="1.0795332136445241"/>
    <n v="1.1648410586678206"/>
    <n v="0.85034013605442171"/>
    <n v="1.1213131007097483"/>
    <n v="1.0790228998469584"/>
    <n v="0.90933567693352424"/>
    <n v="-1"/>
    <n v="-1"/>
    <n v="-1"/>
    <n v="1"/>
    <n v="-1"/>
    <n v="-1"/>
    <n v="-3.5"/>
    <n v="-4"/>
    <n v="-3"/>
    <n v="-2"/>
    <n v="-3"/>
    <s v="Neutral TDP"/>
  </r>
  <r>
    <s v="81e14a48-3faa-447d-aee8-f43d072fee58"/>
    <x v="7"/>
    <s v="26/01/2026, 14:17:21"/>
    <s v="16.447275, 81.851759"/>
    <s v="1-299, Chintalapalli, Andhra Pradesh, India"/>
    <x v="3"/>
    <s v="Naeem"/>
    <s v="http://164.52.221.216/localmedia/media/surveys/samples/recording_2026-01-26_14-14-22_samples_aAIkdIqrtX.mp4"/>
    <x v="0"/>
    <x v="1"/>
    <x v="20"/>
    <x v="7"/>
    <s v="హిందూ"/>
    <x v="1"/>
    <s v="juothi"/>
    <n v="9704438771"/>
    <x v="1"/>
    <x v="5"/>
    <x v="1"/>
    <x v="1"/>
    <x v="1"/>
    <x v="1"/>
    <s v="ఉద్యొగ్య అవకాశాలు కల్పించటం, విద్య రంగం అభివృద్ధి చేయటం, ఆరోగ్య రంగం అభివృద్ధి చేయటం"/>
    <x v="1"/>
    <x v="0"/>
    <x v="1"/>
    <x v="1"/>
    <x v="1"/>
    <x v="1"/>
    <s v="Deepika"/>
    <s v="Correctly Done"/>
    <n v="0"/>
    <x v="0"/>
    <n v="1.3836274505214585"/>
    <n v="1.0795332136445241"/>
    <n v="2.0811826914865059"/>
    <n v="2.1645021645021645"/>
    <n v="1.1213131007097483"/>
    <n v="1.9278542477265657"/>
    <n v="1.2302776805571209"/>
    <n v="-1"/>
    <n v="-1"/>
    <n v="-1"/>
    <n v="-1"/>
    <n v="-1"/>
    <n v="-1"/>
    <n v="-5.5"/>
    <n v="-6"/>
    <n v="-5"/>
    <n v="-4"/>
    <n v="-3"/>
    <s v="TDP HardCore"/>
  </r>
  <r>
    <s v="444f2948-0b1b-4e44-89b8-d436a7a5f6f5"/>
    <x v="7"/>
    <s v="26/01/2026, 14:26:58"/>
    <s v="16.447470, 81.853769"/>
    <s v="No 1, Chintalapalli, Andhra Pradesh, India"/>
    <x v="3"/>
    <s v="Naeem"/>
    <s v="http://164.52.221.216/localmedia/media/surveys/samples/recording_2026-01-26_14-22-11_samples_CFtzGjMwFF.mp4"/>
    <x v="0"/>
    <x v="1"/>
    <x v="20"/>
    <x v="6"/>
    <s v="హిందూ"/>
    <x v="0"/>
    <s v="pushpa latha"/>
    <n v="8186944572"/>
    <x v="1"/>
    <x v="5"/>
    <x v="1"/>
    <x v="0"/>
    <x v="0"/>
    <x v="0"/>
    <s v="రోడ్లు వేయటం, ఉద్యొగ్య అవకాశాలు కల్పించటం, ఆరోగ్య రంగం అభివృద్ధి చేయటం"/>
    <x v="0"/>
    <x v="0"/>
    <x v="0"/>
    <x v="0"/>
    <x v="0"/>
    <x v="0"/>
    <n v="0"/>
    <s v="Correctly Done"/>
    <n v="0"/>
    <x v="0"/>
    <n v="1.3836274505214585"/>
    <n v="1.8055837563451775"/>
    <n v="3.4809023142961388"/>
    <n v="2.1645021645021645"/>
    <n v="1.1213131007097483"/>
    <n v="1.9278542477265657"/>
    <n v="1.2302776805571209"/>
    <n v="1"/>
    <n v="1"/>
    <n v="1"/>
    <n v="1"/>
    <n v="1"/>
    <n v="1"/>
    <n v="5.5"/>
    <n v="6"/>
    <n v="5"/>
    <n v="4"/>
    <n v="3"/>
    <s v="YSRCP HardCore"/>
  </r>
  <r>
    <s v="48ab12af-b164-40c1-ab4e-c27ec5f629cd"/>
    <x v="7"/>
    <s v="26/01/2026, 14:27:40"/>
    <s v="16.447470, 81.853769"/>
    <s v="No 1, Chintalapalli, Andhra Pradesh, India"/>
    <x v="3"/>
    <s v="Naeem"/>
    <s v="http://164.52.221.216/localmedia/media/surveys/samples/recording_2026-01-26_14-22-11_samples_hTjTeboajJ.mp4"/>
    <x v="0"/>
    <x v="1"/>
    <x v="20"/>
    <x v="6"/>
    <s v="హిందూ"/>
    <x v="0"/>
    <s v="pushpa latha"/>
    <n v="8186944572"/>
    <x v="1"/>
    <x v="5"/>
    <x v="1"/>
    <x v="0"/>
    <x v="0"/>
    <x v="0"/>
    <s v="రోడ్లు వేయటం, ఉద్యొగ్య అవకాశాలు కల్పించటం, ఆరోగ్య రంగం అభివృద్ధి చేయటం"/>
    <x v="0"/>
    <x v="0"/>
    <x v="0"/>
    <x v="0"/>
    <x v="0"/>
    <x v="0"/>
    <s v="Ashish"/>
    <s v="Correctly Done"/>
    <n v="0"/>
    <x v="0"/>
    <n v="1.3836274505214585"/>
    <n v="1.8055837563451775"/>
    <n v="3.4809023142961388"/>
    <n v="2.1645021645021645"/>
    <n v="1.1213131007097483"/>
    <n v="1.9278542477265657"/>
    <n v="1.2302776805571209"/>
    <n v="1"/>
    <n v="1"/>
    <n v="1"/>
    <n v="1"/>
    <n v="1"/>
    <n v="1"/>
    <n v="5.5"/>
    <n v="6"/>
    <n v="5"/>
    <n v="4"/>
    <n v="3"/>
    <s v="YSRCP HardCore"/>
  </r>
  <r>
    <s v="81acd977-6abe-4103-b7a2-b101024858fa"/>
    <x v="7"/>
    <s v="26/01/2026, 15:35:43"/>
    <s v="16.461739, 81.837397"/>
    <s v="FR6P+VG6, Sivakodu, Andhra Pradesh, India"/>
    <x v="3"/>
    <s v="Naeem"/>
    <s v="http://164.52.221.216/localmedia/media/surveys/samples/recording_2026-01-26_15-29-58_samples_yhvRB8c7OM.mp4"/>
    <x v="0"/>
    <x v="1"/>
    <x v="19"/>
    <x v="8"/>
    <s v="క్రిస్టియన్"/>
    <x v="2"/>
    <s v="tatarao"/>
    <n v="7672086323"/>
    <x v="0"/>
    <x v="5"/>
    <x v="1"/>
    <x v="1"/>
    <x v="0"/>
    <x v="1"/>
    <s v="రోడ్లు వేయటం, ఉద్యొగ్య అవకాశాలు కల్పించటం, ఆరోగ్య రంగం అభివృద్ధి చేయటం"/>
    <x v="1"/>
    <x v="0"/>
    <x v="1"/>
    <x v="1"/>
    <x v="1"/>
    <x v="1"/>
    <s v="Ashish"/>
    <s v="Correctly Done"/>
    <n v="0"/>
    <x v="0"/>
    <n v="1.3836274505214585"/>
    <n v="1.0795332136445241"/>
    <n v="1.1648410586678206"/>
    <n v="0.85034013605442171"/>
    <n v="1.1213131007097483"/>
    <n v="1.0790228998469584"/>
    <n v="0.90933567693352424"/>
    <n v="-1"/>
    <n v="1"/>
    <n v="-1"/>
    <n v="-1"/>
    <n v="-1"/>
    <n v="-1"/>
    <n v="-3.5"/>
    <n v="-4"/>
    <n v="-5"/>
    <n v="-4"/>
    <n v="-3"/>
    <s v="TDP Sympathiser"/>
  </r>
  <r>
    <s v="31b36549-c0a6-4c48-ae07-9f7fe46273b2"/>
    <x v="7"/>
    <s v="26/01/2026, 15:44:30"/>
    <s v="16.463697, 81.838681"/>
    <s v="FR7Q+86, Sivakodu, Andhra Pradesh, India"/>
    <x v="3"/>
    <s v="Naeem"/>
    <s v="http://164.52.221.216/localmedia/media/surveys/samples/recording_2026-01-26_15-42-11_samples_ASvIc6De1q.mp4"/>
    <x v="1"/>
    <x v="1"/>
    <x v="19"/>
    <x v="0"/>
    <s v="హిందూ"/>
    <x v="0"/>
    <s v="rambabu"/>
    <n v="9949385964"/>
    <x v="0"/>
    <x v="5"/>
    <x v="1"/>
    <x v="1"/>
    <x v="1"/>
    <x v="1"/>
    <s v="రోడ్లు వేయటం, ఆరోగ్య రంగం అభివృద్ధి చేయటం, సంక్షేమ పథకాలు (నగదు)"/>
    <x v="1"/>
    <x v="0"/>
    <x v="1"/>
    <x v="1"/>
    <x v="1"/>
    <x v="1"/>
    <s v="Ashish"/>
    <s v="Not Doing It Properly"/>
    <s v="Q9 kept on his own"/>
    <x v="0"/>
    <n v="1.1705128247062893"/>
    <n v="1.0795332136445241"/>
    <n v="0.86308903171383233"/>
    <n v="0.85034013605442171"/>
    <n v="1.1213131007097483"/>
    <n v="0.79950206330384943"/>
    <n v="0.7401439088249181"/>
    <n v="-1"/>
    <n v="-1"/>
    <n v="-1"/>
    <n v="-1"/>
    <n v="-1"/>
    <n v="-1"/>
    <n v="-5.5"/>
    <n v="-6"/>
    <n v="-5"/>
    <n v="-4"/>
    <n v="-3"/>
    <s v="TDP HardCore"/>
  </r>
  <r>
    <s v="62e5a34e-c09d-4f1a-8923-2dca88668dfc"/>
    <x v="7"/>
    <s v="26/01/2026, 15:57:30"/>
    <s v="16.465294, 81.839618"/>
    <s v="FR8Q+3CC, Razole, Andhra Pradesh, India"/>
    <x v="3"/>
    <s v="Naeem"/>
    <s v="http://164.52.221.216/localmedia/media/surveys/samples/recording_2026-01-26_15-54-30_samples_KG2Ty7nZ0L.mp4"/>
    <x v="0"/>
    <x v="1"/>
    <x v="19"/>
    <x v="0"/>
    <s v="హిందూ"/>
    <x v="2"/>
    <s v="veranna"/>
    <n v="9999999999"/>
    <x v="0"/>
    <x v="5"/>
    <x v="0"/>
    <x v="1"/>
    <x v="0"/>
    <x v="0"/>
    <s v="ఉద్యొగ్య అవకాశాలు కల్పించటం, శాంతి భద్రతలను కాపాడటం, విద్య రంగం అభివృద్ధి చేయటం, వ్యవసాయం, రైతు బాగుండడం"/>
    <x v="0"/>
    <x v="0"/>
    <x v="0"/>
    <x v="0"/>
    <x v="0"/>
    <x v="0"/>
    <s v="Ashish"/>
    <s v="Correctly Done"/>
    <n v="0"/>
    <x v="0"/>
    <n v="1.3836274505214585"/>
    <n v="1.8055837563451775"/>
    <n v="1.9482662206881376"/>
    <n v="0.85034013605442171"/>
    <n v="1.1213131007097483"/>
    <n v="1.0790228998469584"/>
    <n v="0.90933567693352424"/>
    <n v="-1"/>
    <n v="1"/>
    <n v="1"/>
    <n v="1"/>
    <n v="1"/>
    <n v="1"/>
    <n v="3.5"/>
    <n v="4"/>
    <n v="3"/>
    <n v="4"/>
    <n v="2"/>
    <s v="YSRCP Sympathiser"/>
  </r>
  <r>
    <s v="d6c14a0e-70a4-48f7-b449-f3ce8b9551e5"/>
    <x v="7"/>
    <s v="26/01/2026, 16:02:26"/>
    <s v="16.465018, 81.842577"/>
    <s v="FR7V+X7, Razole, Andhra Pradesh, India"/>
    <x v="3"/>
    <s v="Naeem"/>
    <s v="http://164.52.221.216/localmedia/media/surveys/samples/recording_2026-01-26_16-00-03_samples_gag8Bz8dqm.mp4"/>
    <x v="6"/>
    <x v="1"/>
    <x v="19"/>
    <x v="0"/>
    <s v="హిందూ"/>
    <x v="1"/>
    <s v="pram lumar"/>
    <n v="7569850117"/>
    <x v="0"/>
    <x v="2"/>
    <x v="1"/>
    <x v="1"/>
    <x v="1"/>
    <x v="1"/>
    <s v="రోడ్లు వేయటం, శాంతి భద్రతలను కాపాడటం, ఆరోగ్య రంగం అభివృద్ధి చేయటం"/>
    <x v="1"/>
    <x v="0"/>
    <x v="1"/>
    <x v="1"/>
    <x v="1"/>
    <x v="1"/>
    <s v="Ashish"/>
    <s v="Correctly Done"/>
    <n v="0"/>
    <x v="0"/>
    <n v="1.2612194085121222"/>
    <n v="1.0795332136445241"/>
    <n v="0.92029223709519836"/>
    <n v="0.85034013605442171"/>
    <n v="1.1213131007097483"/>
    <n v="0.85249089649430487"/>
    <n v="1.3317727120335781"/>
    <n v="-1"/>
    <n v="-1"/>
    <n v="-1"/>
    <n v="-1"/>
    <n v="-1"/>
    <n v="-1"/>
    <n v="-5.5"/>
    <n v="-6"/>
    <n v="-5"/>
    <n v="-4"/>
    <n v="-3"/>
    <s v="TDP HardCore"/>
  </r>
  <r>
    <s v="ec05e108-9572-4e92-95ce-6dc38f805150"/>
    <x v="7"/>
    <s v="26/01/2026, 16:09:21"/>
    <s v="16.465006, 81.843065"/>
    <s v="FR7V+X7, Razole, Andhra Pradesh, India"/>
    <x v="3"/>
    <s v="Naeem"/>
    <s v="http://164.52.221.216/localmedia/media/surveys/samples/recording_2026-01-26_16-04-15_samples_ykkfElvs14.mp4"/>
    <x v="6"/>
    <x v="1"/>
    <x v="19"/>
    <x v="6"/>
    <s v="హిందూ"/>
    <x v="1"/>
    <s v="bhavani"/>
    <n v="9652147986"/>
    <x v="1"/>
    <x v="2"/>
    <x v="1"/>
    <x v="1"/>
    <x v="1"/>
    <x v="0"/>
    <s v="రోడ్లు వేయటం, ఉద్యొగ్య అవకాశాలు కల్పించటం, వ్యవసాయం, రైతు బాగుండడం"/>
    <x v="0"/>
    <x v="0"/>
    <x v="1"/>
    <x v="1"/>
    <x v="1"/>
    <x v="1"/>
    <s v="Ashish"/>
    <s v="Correctly Done"/>
    <n v="0"/>
    <x v="0"/>
    <n v="1.2612194085121222"/>
    <n v="1.0795332136445241"/>
    <n v="2.6155674106916162"/>
    <n v="2.1645021645021645"/>
    <n v="1.1213131007097483"/>
    <n v="2.4228688637206557"/>
    <n v="1.6647158900419725"/>
    <n v="-1"/>
    <n v="-1"/>
    <n v="1"/>
    <n v="1"/>
    <n v="-1"/>
    <n v="-1"/>
    <n v="-1.5"/>
    <n v="-2"/>
    <n v="-1"/>
    <n v="0"/>
    <n v="-3"/>
    <s v="Neutral TDP"/>
  </r>
  <r>
    <s v="f397a75a-ed67-42c3-8ada-165097daf13e"/>
    <x v="7"/>
    <s v="26/01/2026, 16:18:32"/>
    <s v="16.464068, 81.842603"/>
    <s v="FR7V+X7, Razole, Andhra Pradesh, India"/>
    <x v="3"/>
    <s v="Naeem"/>
    <s v="http://164.52.221.216/localmedia/media/surveys/samples/recording_2026-01-26_16-16-14_samples_8oj0WN2Ax9.mp4"/>
    <x v="1"/>
    <x v="1"/>
    <x v="19"/>
    <x v="0"/>
    <s v="క్రిస్టియన్"/>
    <x v="0"/>
    <s v="savitri"/>
    <n v="999999999"/>
    <x v="1"/>
    <x v="2"/>
    <x v="0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"/>
    <x v="1"/>
    <x v="0"/>
    <x v="1"/>
    <x v="1"/>
    <x v="1"/>
    <x v="1"/>
    <s v="Ashish"/>
    <s v="Correctly Done"/>
    <n v="0"/>
    <x v="0"/>
    <n v="1.1705128247062893"/>
    <n v="1.0795332136445241"/>
    <n v="2.3577066232182737"/>
    <n v="2.1645021645021645"/>
    <n v="1.1213131007097483"/>
    <n v="2.1840056363422229"/>
    <n v="0.95944580773600496"/>
    <n v="-1"/>
    <n v="-1"/>
    <n v="-1"/>
    <n v="-1"/>
    <n v="-1"/>
    <n v="-1"/>
    <n v="-5.5"/>
    <n v="-6"/>
    <n v="-5"/>
    <n v="-4"/>
    <n v="-3"/>
    <s v="TDP HardCore"/>
  </r>
  <r>
    <s v="784e0b74-2d1c-4bad-97dc-e299eac59991"/>
    <x v="7"/>
    <s v="26/01/2026, 16:26:57"/>
    <s v="16.463612, 81.842493"/>
    <s v="FR7V+X7, Razole, Andhra Pradesh, India"/>
    <x v="3"/>
    <s v="Naeem"/>
    <s v="http://164.52.221.216/localmedia/media/surveys/samples/recording_2026-01-26_16-21-36_samples_wpeAg9GhMd.mp4"/>
    <x v="0"/>
    <x v="1"/>
    <x v="19"/>
    <x v="0"/>
    <s v="క్రిస్టియన్"/>
    <x v="0"/>
    <s v="venkateswararao "/>
    <n v="89858727777"/>
    <x v="0"/>
    <x v="2"/>
    <x v="0"/>
    <x v="0"/>
    <x v="0"/>
    <x v="0"/>
    <s v="ఉద్యొగ్య అవకాశాలు కల్పించటం, విద్య రంగం అభివృద్ధి చేయటం, వ్యవసాయం, రైతు బాగుండడం"/>
    <x v="0"/>
    <x v="0"/>
    <x v="1"/>
    <x v="0"/>
    <x v="2"/>
    <x v="4"/>
    <s v="Ashish"/>
    <s v="Correctly Done"/>
    <n v="0"/>
    <x v="0"/>
    <n v="1.3836274505214585"/>
    <n v="1.8055837563451775"/>
    <n v="1.9482662206881376"/>
    <n v="0.85034013605442171"/>
    <n v="1.1213131007097483"/>
    <n v="1.0790228998469584"/>
    <n v="0.90933567693352424"/>
    <n v="1"/>
    <n v="1"/>
    <n v="1"/>
    <n v="1"/>
    <n v="1"/>
    <n v="-1"/>
    <n v="3.5"/>
    <n v="4"/>
    <n v="3"/>
    <n v="2"/>
    <s v="ND"/>
    <s v="ND"/>
  </r>
  <r>
    <s v="c4106fca-ca2d-4362-94b4-399ba83d9bd4"/>
    <x v="7"/>
    <s v="26/01/2026, 16:26:58"/>
    <s v="16.463612, 81.842493"/>
    <s v="FR7V+X7, Razole, Andhra Pradesh, India"/>
    <x v="3"/>
    <s v="Naeem"/>
    <s v="http://164.52.221.216/localmedia/media/surveys/samples/recording_2026-01-26_16-21-36_samples_YFuzIsHKPk.mp4"/>
    <x v="0"/>
    <x v="1"/>
    <x v="19"/>
    <x v="0"/>
    <s v="క్రిస్టియన్"/>
    <x v="0"/>
    <s v="venkateswararao "/>
    <n v="89858727777"/>
    <x v="0"/>
    <x v="2"/>
    <x v="0"/>
    <x v="0"/>
    <x v="0"/>
    <x v="0"/>
    <s v="ఉద్యొగ్య అవకాశాలు కల్పించటం, విద్య రంగం అభివృద్ధి చేయటం, వ్యవసాయం, రైతు బాగుండడం"/>
    <x v="0"/>
    <x v="0"/>
    <x v="1"/>
    <x v="0"/>
    <x v="2"/>
    <x v="4"/>
    <n v="0"/>
    <s v="Correctly Done"/>
    <n v="0"/>
    <x v="0"/>
    <n v="1.3836274505214585"/>
    <n v="1.8055837563451775"/>
    <n v="1.9482662206881376"/>
    <n v="0.85034013605442171"/>
    <n v="1.1213131007097483"/>
    <n v="1.0790228998469584"/>
    <n v="0.90933567693352424"/>
    <n v="1"/>
    <n v="1"/>
    <n v="1"/>
    <n v="1"/>
    <n v="1"/>
    <n v="-1"/>
    <n v="3.5"/>
    <n v="4"/>
    <n v="3"/>
    <n v="2"/>
    <s v="ND"/>
    <s v="ND"/>
  </r>
  <r>
    <s v="8f478978-f28d-466f-96a8-192319351654"/>
    <x v="7"/>
    <s v="26/01/2026, 16:30:13"/>
    <s v="16.464078, 81.842399"/>
    <s v="FR7V+X7, Razole, Andhra Pradesh, India"/>
    <x v="3"/>
    <s v="Naeem"/>
    <s v="http://164.52.221.216/localmedia/media/surveys/samples/recording_2026-01-26_16-27-47_samples_kvhKmdqyje.mp4"/>
    <x v="1"/>
    <x v="1"/>
    <x v="19"/>
    <x v="6"/>
    <s v="హిందూ"/>
    <x v="1"/>
    <s v="satya sai"/>
    <n v="9515556783"/>
    <x v="1"/>
    <x v="2"/>
    <x v="1"/>
    <x v="1"/>
    <x v="1"/>
    <x v="1"/>
    <s v="ఉద్యొగ్య అవకాశాలు కల్పించటం, శాంతి భద్రతలను కాపాడటం, ఆరోగ్య రంగం అభివృద్ధి చేయటం"/>
    <x v="1"/>
    <x v="0"/>
    <x v="1"/>
    <x v="1"/>
    <x v="1"/>
    <x v="1"/>
    <s v="Ashish"/>
    <s v="Not Doing It Properly"/>
    <s v="Wrong caste entered - Viswabrahmin"/>
    <x v="0"/>
    <n v="1.1705128247062893"/>
    <n v="1.0795332136445241"/>
    <n v="2.3577066232182737"/>
    <n v="2.1645021645021645"/>
    <n v="1.1213131007097483"/>
    <n v="2.1840056363422229"/>
    <n v="0.95944580773600496"/>
    <n v="-1"/>
    <n v="-1"/>
    <n v="-1"/>
    <n v="-1"/>
    <n v="-1"/>
    <n v="-1"/>
    <n v="-5.5"/>
    <n v="-6"/>
    <n v="-5"/>
    <n v="-4"/>
    <n v="-3"/>
    <s v="TDP HardCore"/>
  </r>
  <r>
    <s v="9ce741f8-2073-476c-8cd0-136e9ac5d9d7"/>
    <x v="7"/>
    <s v="26/01/2026, 16:35:57"/>
    <s v="16.463134, 81.842403"/>
    <s v="FR7V+2JC, Sivakodu, Andhra Pradesh, India"/>
    <x v="3"/>
    <s v="Naeem"/>
    <s v="http://164.52.221.216/localmedia/media/surveys/samples/recording_2026-01-26_16-33-52_samples_myXsnXGHwJ.mp4"/>
    <x v="0"/>
    <x v="1"/>
    <x v="19"/>
    <x v="6"/>
    <s v="హిందూ"/>
    <x v="1"/>
    <s v="bhagya lakshmi"/>
    <n v="999999999"/>
    <x v="1"/>
    <x v="2"/>
    <x v="1"/>
    <x v="1"/>
    <x v="1"/>
    <x v="1"/>
    <s v="ఉద్యొగ్య అవకాశాలు కల్పించటం, విద్య రంగం అభివృద్ధి చేయటం, ఆరోగ్య రంగం అభివృద్ధి చేయటం"/>
    <x v="1"/>
    <x v="0"/>
    <x v="1"/>
    <x v="1"/>
    <x v="1"/>
    <x v="1"/>
    <s v="Ashish"/>
    <s v="Correctly Done"/>
    <n v="0"/>
    <x v="0"/>
    <n v="1.3836274505214585"/>
    <n v="1.0795332136445241"/>
    <n v="2.0811826914865059"/>
    <n v="2.1645021645021645"/>
    <n v="1.1213131007097483"/>
    <n v="1.9278542477265657"/>
    <n v="1.2302776805571209"/>
    <n v="-1"/>
    <n v="-1"/>
    <n v="-1"/>
    <n v="-1"/>
    <n v="-1"/>
    <n v="-1"/>
    <n v="-5.5"/>
    <n v="-6"/>
    <n v="-5"/>
    <n v="-4"/>
    <n v="-3"/>
    <s v="TDP HardCore"/>
  </r>
  <r>
    <s v="04e304af-182d-4d5d-8372-b1adbbcb8960"/>
    <x v="7"/>
    <s v="26/01/2026, 16:35:58"/>
    <s v="16.463134, 81.842403"/>
    <s v="FR7V+2JC, Sivakodu, Andhra Pradesh, India"/>
    <x v="3"/>
    <s v="Naeem"/>
    <s v="http://164.52.221.216/localmedia/media/surveys/samples/recording_2026-01-26_16-33-52_samples_6DazYKsHJ2.mp4"/>
    <x v="0"/>
    <x v="1"/>
    <x v="19"/>
    <x v="6"/>
    <s v="హిందూ"/>
    <x v="1"/>
    <s v="bhagya lakshmi"/>
    <n v="999999999"/>
    <x v="1"/>
    <x v="2"/>
    <x v="1"/>
    <x v="1"/>
    <x v="1"/>
    <x v="1"/>
    <s v="ఉద్యొగ్య అవకాశాలు కల్పించటం, విద్య రంగం అభివృద్ధి చేయటం, ఆరోగ్య రంగం అభివృద్ధి చేయటం"/>
    <x v="1"/>
    <x v="0"/>
    <x v="1"/>
    <x v="1"/>
    <x v="1"/>
    <x v="1"/>
    <n v="0"/>
    <s v="Correctly Done"/>
    <n v="0"/>
    <x v="0"/>
    <n v="1.3836274505214585"/>
    <n v="1.0795332136445241"/>
    <n v="2.0811826914865059"/>
    <n v="2.1645021645021645"/>
    <n v="1.1213131007097483"/>
    <n v="1.9278542477265657"/>
    <n v="1.2302776805571209"/>
    <n v="-1"/>
    <n v="-1"/>
    <n v="-1"/>
    <n v="-1"/>
    <n v="-1"/>
    <n v="-1"/>
    <n v="-5.5"/>
    <n v="-6"/>
    <n v="-5"/>
    <n v="-4"/>
    <n v="-3"/>
    <s v="TDP HardCore"/>
  </r>
  <r>
    <s v="f60afb21-84bc-4acc-9883-04c6b38ded88"/>
    <x v="7"/>
    <s v="26/01/2026, 16:36:16"/>
    <s v="16.463134, 81.842403"/>
    <s v="FR7V+2JC, Sivakodu, Andhra Pradesh, India"/>
    <x v="3"/>
    <s v="Naeem"/>
    <s v="http://164.52.221.216/localmedia/media/surveys/samples/recording_2026-01-26_16-33-52_samples_3ojFtBSMZ6.mp4"/>
    <x v="0"/>
    <x v="1"/>
    <x v="19"/>
    <x v="6"/>
    <s v="హిందూ"/>
    <x v="1"/>
    <s v="bhagya lakshmi"/>
    <n v="999999999"/>
    <x v="1"/>
    <x v="2"/>
    <x v="1"/>
    <x v="1"/>
    <x v="1"/>
    <x v="1"/>
    <s v="ఉద్యొగ్య అవకాశాలు కల్పించటం, విద్య రంగం అభివృద్ధి చేయటం, ఆరోగ్య రంగం అభివృద్ధి చేయటం"/>
    <x v="1"/>
    <x v="0"/>
    <x v="1"/>
    <x v="1"/>
    <x v="1"/>
    <x v="1"/>
    <n v="0"/>
    <s v="Correctly Done"/>
    <n v="0"/>
    <x v="0"/>
    <n v="1.3836274505214585"/>
    <n v="1.0795332136445241"/>
    <n v="2.0811826914865059"/>
    <n v="2.1645021645021645"/>
    <n v="1.1213131007097483"/>
    <n v="1.9278542477265657"/>
    <n v="1.2302776805571209"/>
    <n v="-1"/>
    <n v="-1"/>
    <n v="-1"/>
    <n v="-1"/>
    <n v="-1"/>
    <n v="-1"/>
    <n v="-5.5"/>
    <n v="-6"/>
    <n v="-5"/>
    <n v="-4"/>
    <n v="-3"/>
    <s v="TDP HardCore"/>
  </r>
  <r>
    <s v="1e34f5d1-5537-4681-8212-c8a5d9a7a45d"/>
    <x v="7"/>
    <s v="26/01/2026, 16:40:33"/>
    <s v="16.462667, 81.842307"/>
    <s v="FR7V+2JC, Sivakodu, Andhra Pradesh, India"/>
    <x v="3"/>
    <s v="Naeem"/>
    <s v="http://164.52.221.216/localmedia/media/surveys/samples/recording_2026-01-26_16-38-12_samples_o1ca3L4Pwv.mp4"/>
    <x v="2"/>
    <x v="1"/>
    <x v="19"/>
    <x v="2"/>
    <s v="హిందూ"/>
    <x v="1"/>
    <s v="mani kanta"/>
    <n v="9949795002"/>
    <x v="0"/>
    <x v="2"/>
    <x v="1"/>
    <x v="1"/>
    <x v="0"/>
    <x v="1"/>
    <s v="రోడ్లు వేయటం, ఉద్యొగ్య అవకాశాలు కల్పించటం, విద్య రంగం అభివృద్ధి చేయటం"/>
    <x v="1"/>
    <x v="0"/>
    <x v="1"/>
    <x v="1"/>
    <x v="1"/>
    <x v="1"/>
    <s v="Ashish"/>
    <s v="Correctly Done"/>
    <n v="0"/>
    <x v="0"/>
    <n v="1.1461625511156397"/>
    <n v="1.0795332136445241"/>
    <n v="0.77721139583220644"/>
    <n v="0.85034013605442171"/>
    <n v="1.1213131007097483"/>
    <n v="0.71995135120329123"/>
    <n v="1.3370299504035861"/>
    <n v="-1"/>
    <n v="1"/>
    <n v="-1"/>
    <n v="-1"/>
    <n v="-1"/>
    <n v="-1"/>
    <n v="-3.5"/>
    <n v="-4"/>
    <n v="-5"/>
    <n v="-4"/>
    <n v="-3"/>
    <s v="TDP Sympathiser"/>
  </r>
  <r>
    <s v="377722c1-127f-4e16-9907-7746e58a8ffe"/>
    <x v="7"/>
    <s v="26/01/2026, 16:40:34"/>
    <s v="16.462667, 81.842307"/>
    <s v="FR7V+2JC, Sivakodu, Andhra Pradesh, India"/>
    <x v="3"/>
    <s v="Naeem"/>
    <s v="http://164.52.221.216/localmedia/media/surveys/samples/recording_2026-01-26_16-38-12_samples_EskWzIYRU2.mp4"/>
    <x v="2"/>
    <x v="1"/>
    <x v="19"/>
    <x v="2"/>
    <s v="హిందూ"/>
    <x v="1"/>
    <s v="mani kanta"/>
    <n v="9949795002"/>
    <x v="0"/>
    <x v="2"/>
    <x v="1"/>
    <x v="1"/>
    <x v="0"/>
    <x v="1"/>
    <s v="రోడ్లు వేయటం, ఉద్యొగ్య అవకాశాలు కల్పించటం, విద్య రంగం అభివృద్ధి చేయటం"/>
    <x v="1"/>
    <x v="0"/>
    <x v="1"/>
    <x v="1"/>
    <x v="1"/>
    <x v="1"/>
    <n v="0"/>
    <s v="Correctly Done"/>
    <n v="0"/>
    <x v="0"/>
    <n v="1.1461625511156397"/>
    <n v="1.0795332136445241"/>
    <n v="0.77721139583220644"/>
    <n v="0.85034013605442171"/>
    <n v="1.1213131007097483"/>
    <n v="0.71995135120329123"/>
    <n v="1.3370299504035861"/>
    <n v="-1"/>
    <n v="1"/>
    <n v="-1"/>
    <n v="-1"/>
    <n v="-1"/>
    <n v="-1"/>
    <n v="-3.5"/>
    <n v="-4"/>
    <n v="-5"/>
    <n v="-4"/>
    <n v="-3"/>
    <s v="TDP Sympathiser"/>
  </r>
  <r>
    <s v="b059ea09-293e-4ff5-ac63-c78337416979"/>
    <x v="7"/>
    <s v="26/01/2026, 16:51:01"/>
    <s v="16.463961, 81.842759"/>
    <s v="FR7V+X7, Razole, Andhra Pradesh, India"/>
    <x v="3"/>
    <s v="Naeem"/>
    <s v="http://164.52.221.216/localmedia/media/surveys/samples/recording_2026-01-26_16-46-58_samples_cokzn4jCDC.mp4"/>
    <x v="2"/>
    <x v="1"/>
    <x v="19"/>
    <x v="6"/>
    <s v="హిందూ"/>
    <x v="0"/>
    <s v="k. satya vathi "/>
    <n v="9704989566"/>
    <x v="1"/>
    <x v="2"/>
    <x v="1"/>
    <x v="1"/>
    <x v="1"/>
    <x v="1"/>
    <s v="రోడ్లు వేయటం, ఉద్యొగ్య అవకాశాలు కల్పించటం, వ్యవసాయం, రైతు బాగుండడం"/>
    <x v="1"/>
    <x v="0"/>
    <x v="1"/>
    <x v="1"/>
    <x v="1"/>
    <x v="1"/>
    <s v="Ashish"/>
    <s v="Correctly Done"/>
    <n v="0"/>
    <x v="0"/>
    <n v="1.1461625511156397"/>
    <n v="1.0795332136445241"/>
    <n v="3.0326483876590018"/>
    <n v="2.1645021645021645"/>
    <n v="1.1213131007097483"/>
    <n v="2.8092219390089208"/>
    <n v="1.8020838461961379"/>
    <n v="-1"/>
    <n v="-1"/>
    <n v="-1"/>
    <n v="-1"/>
    <n v="-1"/>
    <n v="-1"/>
    <n v="-5.5"/>
    <n v="-6"/>
    <n v="-5"/>
    <n v="-4"/>
    <n v="-3"/>
    <s v="TDP HardCore"/>
  </r>
  <r>
    <s v="c822e1ec-98ba-42eb-9759-ac4d512cb677"/>
    <x v="7"/>
    <s v="26/01/2026, 16:57:21"/>
    <s v="16.464941, 81.842918"/>
    <s v="FR7V+X7, Razole, Andhra Pradesh, India"/>
    <x v="3"/>
    <s v="Naeem"/>
    <s v="http://164.52.221.216/localmedia/media/surveys/samples/recording_2026-01-26_16-55-02_samples_GUpoLMx1rU.mp4"/>
    <x v="6"/>
    <x v="1"/>
    <x v="19"/>
    <x v="0"/>
    <s v="క్రిస్టియన్"/>
    <x v="2"/>
    <s v="m. nagaraku"/>
    <n v="99999999"/>
    <x v="0"/>
    <x v="2"/>
    <x v="0"/>
    <x v="1"/>
    <x v="0"/>
    <x v="1"/>
    <s v="రోడ్లు వేయటం, ఉద్యొగ్య అవకాశాలు కల్పించటం, ఆరోగ్య రంగం అభివృద్ధి చేయటం, వ్యవసాయం, రైతు బాగుండడం"/>
    <x v="1"/>
    <x v="0"/>
    <x v="1"/>
    <x v="1"/>
    <x v="1"/>
    <x v="1"/>
    <s v="Ashish"/>
    <s v="Correctly Done"/>
    <n v="0"/>
    <x v="0"/>
    <n v="1.2612194085121222"/>
    <n v="1.0795332136445241"/>
    <n v="0.92029223709519836"/>
    <n v="0.85034013605442171"/>
    <n v="1.1213131007097483"/>
    <n v="0.85249089649430487"/>
    <n v="1.3317727120335781"/>
    <n v="-1"/>
    <n v="1"/>
    <n v="-1"/>
    <n v="-1"/>
    <n v="-1"/>
    <n v="-1"/>
    <n v="-3.5"/>
    <n v="-4"/>
    <n v="-5"/>
    <n v="-4"/>
    <n v="-3"/>
    <s v="TDP Sympathiser"/>
  </r>
  <r>
    <s v="3f12cf6d-e3cc-4326-b4f4-01e64a43912f"/>
    <x v="7"/>
    <s v="26/01/2026, 17:12:44"/>
    <s v="16.465023, 81.843963"/>
    <s v="FR7V+X7, Razole, Andhra Pradesh, India"/>
    <x v="3"/>
    <s v="Naeem"/>
    <s v="http://164.52.221.216/localmedia/media/surveys/samples/recording_2026-01-26_17-10-35_samples_OdCWqYCnxe.mp4"/>
    <x v="0"/>
    <x v="1"/>
    <x v="19"/>
    <x v="2"/>
    <s v="హిందూ"/>
    <x v="1"/>
    <s v="ch. naresh kumar"/>
    <n v="9696806806"/>
    <x v="0"/>
    <x v="2"/>
    <x v="1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0"/>
    <x v="1"/>
    <x v="1"/>
    <x v="1"/>
    <x v="1"/>
    <s v="Ashish"/>
    <s v="Correctly Done"/>
    <n v="0"/>
    <x v="0"/>
    <n v="1.3836274505214585"/>
    <n v="1.0795332136445241"/>
    <n v="1.1648410586678206"/>
    <n v="0.85034013605442171"/>
    <n v="1.1213131007097483"/>
    <n v="1.0790228998469584"/>
    <n v="0.90933567693352424"/>
    <n v="-1"/>
    <n v="-1"/>
    <n v="-1"/>
    <n v="-1"/>
    <n v="-1"/>
    <n v="-1"/>
    <n v="-5.5"/>
    <n v="-6"/>
    <n v="-5"/>
    <n v="-4"/>
    <n v="-3"/>
    <s v="TDP HardCore"/>
  </r>
  <r>
    <s v="243db275-b060-4212-a6e9-621c7f9e31a2"/>
    <x v="7"/>
    <s v="26/01/2026, 17:19:15"/>
    <s v="16.465653, 81.843388"/>
    <s v="FR7V+X7, Razole, Andhra Pradesh, India"/>
    <x v="3"/>
    <s v="Naeem"/>
    <s v="http://164.52.221.216/localmedia/media/surveys/samples/recording_2026-01-26_17-15-56_samples_R9zSlDUoAp.mp4"/>
    <x v="1"/>
    <x v="1"/>
    <x v="19"/>
    <x v="6"/>
    <s v="హిందూ"/>
    <x v="0"/>
    <s v="jaya lakshmi"/>
    <n v="9010705893"/>
    <x v="1"/>
    <x v="3"/>
    <x v="1"/>
    <x v="1"/>
    <x v="1"/>
    <x v="1"/>
    <s v="రోడ్లు వేయటం, ఉద్యొగ్య అవకాశాలు కల్పించటం, వ్యవసాయం, రైతు బాగుండడం"/>
    <x v="1"/>
    <x v="0"/>
    <x v="1"/>
    <x v="1"/>
    <x v="1"/>
    <x v="1"/>
    <s v="Ashish"/>
    <s v="Not Doing It Properly"/>
    <s v="wrong caste enetered"/>
    <x v="0"/>
    <n v="1.1705128247062893"/>
    <n v="1.0795332136445241"/>
    <n v="2.3577066232182737"/>
    <n v="2.1645021645021645"/>
    <n v="1.1213131007097483"/>
    <n v="2.1840056363422229"/>
    <n v="0.95944580773600496"/>
    <n v="-1"/>
    <n v="-1"/>
    <n v="-1"/>
    <n v="-1"/>
    <n v="-1"/>
    <n v="-1"/>
    <n v="-5.5"/>
    <n v="-6"/>
    <n v="-5"/>
    <n v="-4"/>
    <n v="-3"/>
    <s v="TDP HardCore"/>
  </r>
  <r>
    <s v="7a7aa911-e7d1-43bf-bd2a-e7ad5e2c5a99"/>
    <x v="7"/>
    <s v="26/01/2026, 17:25:23"/>
    <s v="16.464988, 81.843182"/>
    <s v="FR7V+X7, Razole, Andhra Pradesh, India"/>
    <x v="3"/>
    <s v="Naeem"/>
    <s v="http://164.52.221.216/localmedia/media/surveys/samples/recording_2026-01-26_17-21-09_samples_IqGuslv2lr.mp4"/>
    <x v="2"/>
    <x v="1"/>
    <x v="19"/>
    <x v="1"/>
    <s v="హిందూ"/>
    <x v="2"/>
    <s v="g. satyanarayana "/>
    <n v="99999999999"/>
    <x v="0"/>
    <x v="5"/>
    <x v="1"/>
    <x v="1"/>
    <x v="0"/>
    <x v="1"/>
    <s v="రోడ్లు వేయటం, ఉద్యొగ్య అవకాశాలు కల్పించటం, ఆరోగ్య రంగం అభివృద్ధి చేయటం"/>
    <x v="1"/>
    <x v="0"/>
    <x v="0"/>
    <x v="2"/>
    <x v="1"/>
    <x v="1"/>
    <s v="Ashish"/>
    <s v="Correctly Done"/>
    <n v="0"/>
    <x v="0"/>
    <n v="1.1461625511156397"/>
    <n v="0.66153846153846207"/>
    <n v="0.47627550925756229"/>
    <n v="0.85034013605442171"/>
    <n v="1.1213131007097483"/>
    <n v="0.71995135120329123"/>
    <n v="1.3370299504035861"/>
    <n v="-1"/>
    <n v="1"/>
    <n v="-1"/>
    <n v="-1"/>
    <n v="-1"/>
    <n v="1"/>
    <n v="-1.5"/>
    <n v="-2"/>
    <n v="-3"/>
    <n v="-2"/>
    <s v="ND"/>
    <s v="ND"/>
  </r>
  <r>
    <s v="65ae159c-9e90-4fd9-8afb-84d9bce17ef9"/>
    <x v="7"/>
    <s v="26/01/2026, 17:32:44"/>
    <s v="16.465246, 81.839790"/>
    <s v="FR8Q+3CC, Razole, Andhra Pradesh, India"/>
    <x v="3"/>
    <s v="Naeem"/>
    <s v="http://164.52.221.216/localmedia/media/surveys/samples/recording_2026-01-26_17-29-50_samples_HgJ0WuRZbI.mp4"/>
    <x v="0"/>
    <x v="1"/>
    <x v="19"/>
    <x v="0"/>
    <s v="హిందూ"/>
    <x v="0"/>
    <s v="chitti babu"/>
    <n v="9999999999"/>
    <x v="0"/>
    <x v="5"/>
    <x v="1"/>
    <x v="1"/>
    <x v="1"/>
    <x v="1"/>
    <s v="రోడ్లు వేయటం, శాంతి భద్రతలను కాపాడటం, విద్య రంగం అభివృద్ధి చేయటం"/>
    <x v="1"/>
    <x v="0"/>
    <x v="1"/>
    <x v="1"/>
    <x v="1"/>
    <x v="1"/>
    <s v="Bhagya"/>
    <s v="Correctly Done"/>
    <n v="0"/>
    <x v="0"/>
    <n v="1.3836274505214585"/>
    <n v="1.0795332136445241"/>
    <n v="1.1648410586678206"/>
    <n v="0.85034013605442171"/>
    <n v="1.1213131007097483"/>
    <n v="1.0790228998469584"/>
    <n v="0.90933567693352424"/>
    <n v="-1"/>
    <n v="-1"/>
    <n v="-1"/>
    <n v="-1"/>
    <n v="-1"/>
    <n v="-1"/>
    <n v="-5.5"/>
    <n v="-6"/>
    <n v="-5"/>
    <n v="-4"/>
    <n v="-3"/>
    <s v="TDP HardCore"/>
  </r>
  <r>
    <s v="ffaa91c8-7feb-454f-a2b5-bf71b3f85537"/>
    <x v="8"/>
    <s v="27/01/2026, 09:20:31"/>
    <s v="16.460126, 81.829758"/>
    <s v="FR5H+WQX, Sivakodu, Andhra Pradesh, India"/>
    <x v="3"/>
    <s v="Naeem"/>
    <s v="http://164.52.221.216/localmedia/media/surveys/samples/recording_2026-01-27_09-15-27_samples_XMPbJdF6IC.mp4"/>
    <x v="1"/>
    <x v="1"/>
    <x v="19"/>
    <x v="6"/>
    <s v="క్రిస్టియన్"/>
    <x v="0"/>
    <s v="adi Lakshmi's "/>
    <n v="9999999999"/>
    <x v="1"/>
    <x v="2"/>
    <x v="1"/>
    <x v="1"/>
    <x v="0"/>
    <x v="0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0"/>
    <x v="2"/>
    <x v="2"/>
    <x v="1"/>
    <x v="1"/>
    <s v="Bhagya H"/>
    <s v="Not Doing It Properly"/>
    <s v="Caste- Kummari,"/>
    <x v="0"/>
    <n v="1.1705128247062893"/>
    <n v="0.66153846153846207"/>
    <n v="1.444803728657164"/>
    <n v="2.1645021645021645"/>
    <n v="1.1213131007097483"/>
    <n v="2.1840056363422229"/>
    <n v="0.95944580773600496"/>
    <n v="-1"/>
    <n v="1"/>
    <n v="1"/>
    <n v="-1"/>
    <n v="-1"/>
    <n v="-1"/>
    <n v="-1.5"/>
    <n v="-2"/>
    <n v="-3"/>
    <n v="-2"/>
    <n v="-3"/>
    <s v="Neutral TDP"/>
  </r>
  <r>
    <s v="8bfa91e4-3d53-4284-baa5-ee799a616a73"/>
    <x v="8"/>
    <s v="27/01/2026, 09:12:19"/>
    <s v="16.462101, 81.829491"/>
    <s v="FR7H+5VP, Sivakodu, Andhra Pradesh, India"/>
    <x v="3"/>
    <s v="Naeem"/>
    <s v="http://164.52.221.216/localmedia/media/surveys/samples/recording_2026-01-27_09-09-35_samples_L2DaLhv5ol.mp4"/>
    <x v="1"/>
    <x v="1"/>
    <x v="19"/>
    <x v="6"/>
    <s v="హిందూ"/>
    <x v="1"/>
    <s v="Durgabhavani "/>
    <n v="999999999"/>
    <x v="1"/>
    <x v="5"/>
    <x v="1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0"/>
    <x v="1"/>
    <x v="1"/>
    <x v="1"/>
    <x v="1"/>
    <s v="Deepika D"/>
    <s v="Correctly Done"/>
    <s v="Correctly Done"/>
    <x v="0"/>
    <n v="1.1705128247062893"/>
    <n v="1.0795332136445241"/>
    <n v="2.3577066232182737"/>
    <n v="2.1645021645021645"/>
    <n v="1.1213131007097483"/>
    <n v="2.1840056363422229"/>
    <n v="0.95944580773600496"/>
    <n v="-1"/>
    <n v="-1"/>
    <n v="-1"/>
    <n v="-1"/>
    <n v="-1"/>
    <n v="-1"/>
    <n v="-5.5"/>
    <n v="-6"/>
    <n v="-5"/>
    <n v="-4"/>
    <n v="-3"/>
    <s v="TDP HardCore"/>
  </r>
  <r>
    <s v="849fea61-a448-40f6-82df-9fffdb6bb3aa"/>
    <x v="8"/>
    <s v="27/01/2026, 09:27:44"/>
    <s v="16.459829, 81.829312"/>
    <s v="FR5H+WQX, Sivakodu, Andhra Pradesh, India"/>
    <x v="3"/>
    <s v="Naeem"/>
    <s v="http://164.52.221.216/localmedia/media/surveys/samples/recording_2026-01-27_09-24-29_samples_VaGlwAwvSz.mp4"/>
    <x v="2"/>
    <x v="1"/>
    <x v="19"/>
    <x v="6"/>
    <s v="హిందూ"/>
    <x v="3"/>
    <s v="navya sri "/>
    <n v="9573610926"/>
    <x v="1"/>
    <x v="2"/>
    <x v="1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0"/>
    <x v="0"/>
    <x v="0"/>
    <x v="1"/>
    <x v="1"/>
    <x v="1"/>
    <s v="Ashish Sk"/>
    <s v="Correctly Done"/>
    <s v="No Remarks"/>
    <x v="0"/>
    <n v="1.1461625511156397"/>
    <n v="1.0795332136445241"/>
    <n v="3.0326483876590018"/>
    <n v="2.1645021645021645"/>
    <n v="1.1213131007097483"/>
    <n v="2.8092219390089208"/>
    <n v="1.8020838461961379"/>
    <n v="-1"/>
    <n v="-1"/>
    <n v="-1"/>
    <n v="1"/>
    <n v="-1"/>
    <n v="1"/>
    <n v="-1.5"/>
    <n v="-2"/>
    <n v="-1"/>
    <n v="0"/>
    <s v="ND"/>
    <s v="ND"/>
  </r>
  <r>
    <s v="e35b0dce-b5a7-44a5-aba5-65ed0a79fc12"/>
    <x v="8"/>
    <s v="27/01/2026, 09:35:02"/>
    <s v="16.459817, 81.828817"/>
    <s v="FR5H+WQX, Sivakodu, Andhra Pradesh, India"/>
    <x v="3"/>
    <s v="Naeem"/>
    <s v="http://164.52.221.216/localmedia/media/surveys/samples/recording_2026-01-27_09-31-07_samples_andhWSV5ci.mp4"/>
    <x v="2"/>
    <x v="1"/>
    <x v="19"/>
    <x v="0"/>
    <s v="హిందూ"/>
    <x v="2"/>
    <s v="surya narayana "/>
    <n v="9177633067"/>
    <x v="0"/>
    <x v="2"/>
    <x v="1"/>
    <x v="1"/>
    <x v="1"/>
    <x v="0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0"/>
    <x v="1"/>
    <x v="1"/>
    <x v="1"/>
    <x v="1"/>
    <s v="Bhagya H"/>
    <s v="Correctly Done"/>
    <s v="Repeated Sample"/>
    <x v="0"/>
    <n v="1.1461625511156397"/>
    <n v="1.0795332136445241"/>
    <n v="0.77721139583220644"/>
    <n v="0.85034013605442171"/>
    <n v="1.1213131007097483"/>
    <n v="0.71995135120329123"/>
    <n v="1.3370299504035861"/>
    <n v="-1"/>
    <n v="-1"/>
    <n v="1"/>
    <n v="-1"/>
    <n v="-1"/>
    <n v="-1"/>
    <n v="-3.5"/>
    <n v="-4"/>
    <n v="-3"/>
    <n v="-2"/>
    <n v="-3"/>
    <s v="Neutral TDP"/>
  </r>
  <r>
    <s v="86a66fd9-d196-48d4-88a5-2dfaa0b6c1bd"/>
    <x v="8"/>
    <s v="27/01/2026, 10:07:56"/>
    <s v="16.461935, 81.822404"/>
    <s v="FR6C+RRJ, Sivakodu, Andhra Pradesh, India"/>
    <x v="3"/>
    <s v="Naeem"/>
    <s v="http://164.52.221.216/localmedia/media/surveys/samples/recording_2026-01-27_10-03-22_samples_cVdbmSstOb.mp4"/>
    <x v="0"/>
    <x v="1"/>
    <x v="19"/>
    <x v="6"/>
    <s v="క్రిస్టియన్"/>
    <x v="1"/>
    <s v="venktrao"/>
    <n v="7702226980"/>
    <x v="0"/>
    <x v="5"/>
    <x v="1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0"/>
    <x v="0"/>
    <x v="0"/>
    <x v="0"/>
    <x v="0"/>
    <s v="Bhagya H"/>
    <s v="Not Doing It Properly"/>
    <s v="Q12 kept on his own"/>
    <x v="0"/>
    <n v="1.3836274505214585"/>
    <n v="1.8055837563451775"/>
    <n v="1.9482662206881376"/>
    <n v="0.85034013605442171"/>
    <n v="1.1213131007097483"/>
    <n v="1.0790228998469584"/>
    <n v="0.90933567693352424"/>
    <n v="-1"/>
    <n v="-1"/>
    <n v="-1"/>
    <n v="-1"/>
    <n v="1"/>
    <n v="1"/>
    <n v="-2.5"/>
    <n v="-2"/>
    <n v="-1"/>
    <n v="0"/>
    <n v="2"/>
    <s v="Neutral YSRCP"/>
  </r>
  <r>
    <s v="46e03513-348d-4505-b105-affbb8cc386b"/>
    <x v="8"/>
    <s v="27/01/2026, 09:35:02"/>
    <s v="16.459817, 81.828817"/>
    <s v="FR5H+WQX, Sivakodu, Andhra Pradesh, India"/>
    <x v="3"/>
    <s v="Naeem"/>
    <s v="http://164.52.221.216/localmedia/media/surveys/samples/recording_2026-01-27_09-31-07_samples_HChg9pRJoe.mp4"/>
    <x v="2"/>
    <x v="1"/>
    <x v="19"/>
    <x v="0"/>
    <s v="హిందూ"/>
    <x v="2"/>
    <s v="surya narayana "/>
    <n v="9177633067"/>
    <x v="0"/>
    <x v="2"/>
    <x v="1"/>
    <x v="1"/>
    <x v="1"/>
    <x v="0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0"/>
    <x v="1"/>
    <x v="1"/>
    <x v="1"/>
    <x v="1"/>
    <s v="Deepika D"/>
    <s v="Correctly Done"/>
    <s v="Repeated sample"/>
    <x v="0"/>
    <n v="1.1461625511156397"/>
    <n v="1.0795332136445241"/>
    <n v="0.77721139583220644"/>
    <n v="0.85034013605442171"/>
    <n v="1.1213131007097483"/>
    <n v="0.71995135120329123"/>
    <n v="1.3370299504035861"/>
    <n v="-1"/>
    <n v="-1"/>
    <n v="1"/>
    <n v="-1"/>
    <n v="-1"/>
    <n v="-1"/>
    <n v="-3.5"/>
    <n v="-4"/>
    <n v="-3"/>
    <n v="-2"/>
    <n v="-3"/>
    <s v="Neutral TDP"/>
  </r>
  <r>
    <s v="3da7c9a1-2ad8-4ba7-9e4e-7aec82ff3386"/>
    <x v="8"/>
    <s v="27/01/2026, 09:35:02"/>
    <s v="16.459817, 81.828817"/>
    <s v="FR5H+WQX, Sivakodu, Andhra Pradesh, India"/>
    <x v="3"/>
    <s v="Naeem"/>
    <s v="http://164.52.221.216/localmedia/media/surveys/samples/recording_2026-01-27_09-31-07_samples_809dz1HVnP.mp4"/>
    <x v="2"/>
    <x v="1"/>
    <x v="19"/>
    <x v="0"/>
    <s v="హిందూ"/>
    <x v="2"/>
    <s v="surya narayana "/>
    <n v="9177633067"/>
    <x v="0"/>
    <x v="2"/>
    <x v="1"/>
    <x v="1"/>
    <x v="1"/>
    <x v="0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0"/>
    <x v="1"/>
    <x v="1"/>
    <x v="1"/>
    <x v="1"/>
    <s v="Deepika D"/>
    <s v="Correctly Done"/>
    <s v="Repeated sample"/>
    <x v="0"/>
    <n v="1.1461625511156397"/>
    <n v="1.0795332136445241"/>
    <n v="0.77721139583220644"/>
    <n v="0.85034013605442171"/>
    <n v="1.1213131007097483"/>
    <n v="0.71995135120329123"/>
    <n v="1.3370299504035861"/>
    <n v="-1"/>
    <n v="-1"/>
    <n v="1"/>
    <n v="-1"/>
    <n v="-1"/>
    <n v="-1"/>
    <n v="-3.5"/>
    <n v="-4"/>
    <n v="-3"/>
    <n v="-2"/>
    <n v="-3"/>
    <s v="Neutral TDP"/>
  </r>
  <r>
    <s v="891e5607-3cfa-49f9-8730-f5110a83c5a6"/>
    <x v="8"/>
    <s v="27/01/2026, 09:35:02"/>
    <s v="16.459817, 81.828817"/>
    <s v="FR5H+WQX, Sivakodu, Andhra Pradesh, India"/>
    <x v="3"/>
    <s v="Naeem"/>
    <s v="http://164.52.221.216/localmedia/media/surveys/samples/recording_2026-01-27_09-31-07_samples_cLoEoaGSrt.mp4"/>
    <x v="2"/>
    <x v="1"/>
    <x v="19"/>
    <x v="0"/>
    <s v="హిందూ"/>
    <x v="2"/>
    <s v="surya narayana "/>
    <n v="9177633067"/>
    <x v="0"/>
    <x v="2"/>
    <x v="1"/>
    <x v="1"/>
    <x v="1"/>
    <x v="0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0"/>
    <x v="1"/>
    <x v="1"/>
    <x v="1"/>
    <x v="1"/>
    <s v="Ashish Sk"/>
    <s v="Correctly Done"/>
    <s v="-"/>
    <x v="0"/>
    <n v="1.1461625511156397"/>
    <n v="1.0795332136445241"/>
    <n v="0.77721139583220644"/>
    <n v="0.85034013605442171"/>
    <n v="1.1213131007097483"/>
    <n v="0.71995135120329123"/>
    <n v="1.3370299504035861"/>
    <n v="-1"/>
    <n v="-1"/>
    <n v="1"/>
    <n v="-1"/>
    <n v="-1"/>
    <n v="-1"/>
    <n v="-3.5"/>
    <n v="-4"/>
    <n v="-3"/>
    <n v="-2"/>
    <n v="-3"/>
    <s v="Neutral TDP"/>
  </r>
  <r>
    <s v="b1bfb3f0-581c-48f2-8c6d-67ee16ea75cc"/>
    <x v="8"/>
    <s v="27/01/2026, 09:36:51"/>
    <s v="16.459817, 81.828817"/>
    <s v="FR5H+WQX, Sivakodu, Andhra Pradesh, India"/>
    <x v="3"/>
    <s v="Naeem"/>
    <s v="http://164.52.221.216/localmedia/media/surveys/samples/recording_2026-01-27_09-31-07_samples_tTaU7oGTnQ.mp4"/>
    <x v="2"/>
    <x v="1"/>
    <x v="19"/>
    <x v="0"/>
    <s v="హిందూ"/>
    <x v="2"/>
    <s v="surya narayana "/>
    <n v="9177633067"/>
    <x v="0"/>
    <x v="2"/>
    <x v="1"/>
    <x v="1"/>
    <x v="1"/>
    <x v="0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0"/>
    <x v="1"/>
    <x v="1"/>
    <x v="1"/>
    <x v="1"/>
    <s v="Bhagya H"/>
    <s v="Correctly Done"/>
    <s v="No Remarks"/>
    <x v="0"/>
    <n v="1.1461625511156397"/>
    <n v="1.0795332136445241"/>
    <n v="0.77721139583220644"/>
    <n v="0.85034013605442171"/>
    <n v="1.1213131007097483"/>
    <n v="0.71995135120329123"/>
    <n v="1.3370299504035861"/>
    <n v="-1"/>
    <n v="-1"/>
    <n v="1"/>
    <n v="-1"/>
    <n v="-1"/>
    <n v="-1"/>
    <n v="-3.5"/>
    <n v="-4"/>
    <n v="-3"/>
    <n v="-2"/>
    <n v="-3"/>
    <s v="Neutral TDP"/>
  </r>
  <r>
    <s v="95e88317-2e4e-4e76-a77e-e432c6d1f43f"/>
    <x v="8"/>
    <s v="27/01/2026, 10:07:55"/>
    <s v="16.461935, 81.822404"/>
    <s v="FR6C+RRJ, Sivakodu, Andhra Pradesh, India"/>
    <x v="3"/>
    <s v="Naeem"/>
    <s v="http://164.52.221.216/localmedia/media/surveys/samples/recording_2026-01-27_10-03-22_samples_cVqIRSsiqW.mp4"/>
    <x v="0"/>
    <x v="1"/>
    <x v="19"/>
    <x v="6"/>
    <s v="క్రిస్టియన్"/>
    <x v="1"/>
    <s v="venktrao"/>
    <n v="7702226980"/>
    <x v="0"/>
    <x v="5"/>
    <x v="1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0"/>
    <x v="0"/>
    <x v="0"/>
    <x v="0"/>
    <x v="0"/>
    <s v="Deepika D"/>
    <s v="Not Doing It Properly"/>
    <s v="Q12 kept his own"/>
    <x v="0"/>
    <n v="1.3836274505214585"/>
    <n v="1.8055837563451775"/>
    <n v="1.9482662206881376"/>
    <n v="0.85034013605442171"/>
    <n v="1.1213131007097483"/>
    <n v="1.0790228998469584"/>
    <n v="0.90933567693352424"/>
    <n v="-1"/>
    <n v="-1"/>
    <n v="-1"/>
    <n v="-1"/>
    <n v="1"/>
    <n v="1"/>
    <n v="-2.5"/>
    <n v="-2"/>
    <n v="-1"/>
    <n v="0"/>
    <n v="2"/>
    <s v="Neutral YSRCP"/>
  </r>
  <r>
    <s v="18de4356-ada6-4070-a9df-615bac1c46f5"/>
    <x v="8"/>
    <s v="27/01/2026, 10:08:07"/>
    <s v="16.461935, 81.822404"/>
    <s v="FR6C+RRJ, Sivakodu, Andhra Pradesh, India"/>
    <x v="3"/>
    <s v="Naeem"/>
    <s v="http://164.52.221.216/localmedia/media/surveys/samples/recording_2026-01-27_10-03-22_samples_UzuZtOZAyj.mp4"/>
    <x v="0"/>
    <x v="1"/>
    <x v="19"/>
    <x v="6"/>
    <s v="క్రిస్టియన్"/>
    <x v="1"/>
    <s v="venktrao"/>
    <n v="7702226980"/>
    <x v="0"/>
    <x v="5"/>
    <x v="1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0"/>
    <x v="0"/>
    <x v="0"/>
    <x v="0"/>
    <x v="0"/>
    <s v="Ashish Sk"/>
    <s v="Correctly Done"/>
    <s v="Repeated Sample"/>
    <x v="0"/>
    <n v="1.3836274505214585"/>
    <n v="1.8055837563451775"/>
    <n v="1.9482662206881376"/>
    <n v="0.85034013605442171"/>
    <n v="1.1213131007097483"/>
    <n v="1.0790228998469584"/>
    <n v="0.90933567693352424"/>
    <n v="-1"/>
    <n v="-1"/>
    <n v="-1"/>
    <n v="-1"/>
    <n v="1"/>
    <n v="1"/>
    <n v="-2.5"/>
    <n v="-2"/>
    <n v="-1"/>
    <n v="0"/>
    <n v="2"/>
    <s v="Neutral YSRCP"/>
  </r>
  <r>
    <s v="4e62093c-cfed-4bb9-b50b-6388612e627e"/>
    <x v="8"/>
    <s v="27/01/2026, 10:15:07"/>
    <s v="16.461580, 81.823057"/>
    <s v="FR6F+H6R, Sivakodu Palem, Andhra Pradesh, India"/>
    <x v="3"/>
    <s v="Naeem"/>
    <s v="http://164.52.221.216/localmedia/media/surveys/samples/recording_2026-01-27_10-12-15_samples_I0q9SW8fbQ.mp4"/>
    <x v="1"/>
    <x v="1"/>
    <x v="19"/>
    <x v="0"/>
    <s v="హిందూ"/>
    <x v="1"/>
    <s v="shiva"/>
    <n v="7730931878"/>
    <x v="0"/>
    <x v="1"/>
    <x v="1"/>
    <x v="1"/>
    <x v="1"/>
    <x v="1"/>
    <s v="ఉద్యొగ్య అవకాశాలు కల్పించటం, విద్య రంగం అభివృద్ధి చేయటం, ఆరోగ్య రంగం అభివృద్ధి చేయటం, వ్యవసాయం, రైతు బాగుండడం"/>
    <x v="1"/>
    <x v="0"/>
    <x v="1"/>
    <x v="0"/>
    <x v="3"/>
    <x v="0"/>
    <s v="Deepika D"/>
    <s v="Correctly Done"/>
    <s v="Correctly done"/>
    <x v="0"/>
    <n v="1.1705128247062893"/>
    <n v="1.8055837563451775"/>
    <n v="1.4435679386658844"/>
    <n v="0.85034013605442171"/>
    <n v="1.1213131007097483"/>
    <n v="0.79950206330384943"/>
    <n v="0.7401439088249181"/>
    <n v="-1"/>
    <n v="-1"/>
    <n v="-1"/>
    <n v="-1"/>
    <n v="1"/>
    <n v="-1"/>
    <n v="-4.5"/>
    <n v="-4"/>
    <n v="-3"/>
    <n v="-2"/>
    <n v="-2"/>
    <s v="Neutral TDP"/>
  </r>
  <r>
    <s v="76b8c3dd-d919-435e-aa23-f098b46ffbe6"/>
    <x v="8"/>
    <s v="27/01/2026, 10:22:14"/>
    <s v="16.461632, 81.822381"/>
    <s v="No address"/>
    <x v="3"/>
    <s v="Naeem"/>
    <s v="http://164.52.221.216/localmedia/media/surveys/samples/recording_2026-01-27_10-18-20_samples_IEptYji1rI.mp4"/>
    <x v="0"/>
    <x v="1"/>
    <x v="19"/>
    <x v="0"/>
    <s v="హిందూ"/>
    <x v="0"/>
    <s v="tani"/>
    <n v="8499822859"/>
    <x v="1"/>
    <x v="5"/>
    <x v="2"/>
    <x v="0"/>
    <x v="1"/>
    <x v="0"/>
    <s v="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"/>
    <x v="0"/>
    <x v="0"/>
    <x v="0"/>
    <x v="0"/>
    <x v="0"/>
    <x v="0"/>
    <s v="Bhagya H"/>
    <s v="Correctly Done"/>
    <s v="No Remarks"/>
    <x v="0"/>
    <n v="1.3836274505214585"/>
    <n v="1.8055837563451775"/>
    <n v="3.4809023142961388"/>
    <n v="2.1645021645021645"/>
    <n v="1.1213131007097483"/>
    <n v="1.9278542477265657"/>
    <n v="1.2302776805571209"/>
    <n v="1"/>
    <n v="-1"/>
    <n v="1"/>
    <n v="1"/>
    <n v="1"/>
    <n v="1"/>
    <n v="3.5"/>
    <n v="4"/>
    <n v="5"/>
    <n v="4"/>
    <n v="3"/>
    <s v="YSRCP Sympathiser"/>
  </r>
  <r>
    <s v="45b65591-29ec-4d61-82ce-73f4f3c2c030"/>
    <x v="8"/>
    <s v="27/01/2026, 10:37:40"/>
    <s v="16.462928, 81.815614"/>
    <s v="22024/544, Sivakodu, Andhra Pradesh, India"/>
    <x v="3"/>
    <s v="Naeem"/>
    <s v="http://164.52.221.216/localmedia/media/surveys/samples/recording_2026-01-27_10-33-34_samples_rluz3UVRRB.mp4"/>
    <x v="0"/>
    <x v="1"/>
    <x v="19"/>
    <x v="6"/>
    <s v="క్రిస్టియన్"/>
    <x v="1"/>
    <s v="jarika"/>
    <n v="999999999"/>
    <x v="1"/>
    <x v="4"/>
    <x v="0"/>
    <x v="0"/>
    <x v="0"/>
    <x v="0"/>
    <s v="ఉద్యొగ్య అవకాశాలు కల్పించటం, శాంతి భద్రతలను కాపాడటం, ఆరోగ్య రంగం అభివృద్ధి చేయటం"/>
    <x v="0"/>
    <x v="2"/>
    <x v="0"/>
    <x v="0"/>
    <x v="3"/>
    <x v="0"/>
    <s v="Ashish Sk"/>
    <s v="Correctly Done"/>
    <s v="No Remark"/>
    <x v="0"/>
    <n v="1.3836274505214585"/>
    <n v="1.8055837563451775"/>
    <n v="3.4809023142961388"/>
    <n v="2.1645021645021645"/>
    <n v="1.1213131007097483"/>
    <n v="1.9278542477265657"/>
    <n v="1.2302776805571209"/>
    <n v="1"/>
    <n v="1"/>
    <n v="1"/>
    <n v="1"/>
    <n v="1"/>
    <n v="1"/>
    <n v="5.5"/>
    <n v="6"/>
    <n v="5"/>
    <n v="4"/>
    <n v="3"/>
    <s v="YSRCP HardCore"/>
  </r>
  <r>
    <s v="0b463210-cf70-4292-99e1-407dbef3ca57"/>
    <x v="8"/>
    <s v="27/01/2026, 10:37:41"/>
    <s v="16.462928, 81.815614"/>
    <s v="22024/544, Sivakodu, Andhra Pradesh, India"/>
    <x v="3"/>
    <s v="Naeem"/>
    <s v="http://164.52.221.216/localmedia/media/surveys/samples/recording_2026-01-27_10-33-34_samples_5nHOJZu7WQ.mp4"/>
    <x v="0"/>
    <x v="1"/>
    <x v="19"/>
    <x v="6"/>
    <s v="క్రిస్టియన్"/>
    <x v="1"/>
    <s v="jarika"/>
    <n v="999999999"/>
    <x v="1"/>
    <x v="4"/>
    <x v="0"/>
    <x v="0"/>
    <x v="0"/>
    <x v="0"/>
    <s v="ఉద్యొగ్య అవకాశాలు కల్పించటం, శాంతి భద్రతలను కాపాడటం, ఆరోగ్య రంగం అభివృద్ధి చేయటం"/>
    <x v="0"/>
    <x v="2"/>
    <x v="0"/>
    <x v="0"/>
    <x v="3"/>
    <x v="0"/>
    <s v="Deepika D"/>
    <s v="Correctly Done"/>
    <s v="Correctly done"/>
    <x v="0"/>
    <n v="1.3836274505214585"/>
    <n v="1.8055837563451775"/>
    <n v="3.4809023142961388"/>
    <n v="2.1645021645021645"/>
    <n v="1.1213131007097483"/>
    <n v="1.9278542477265657"/>
    <n v="1.2302776805571209"/>
    <n v="1"/>
    <n v="1"/>
    <n v="1"/>
    <n v="1"/>
    <n v="1"/>
    <n v="1"/>
    <n v="5.5"/>
    <n v="6"/>
    <n v="5"/>
    <n v="4"/>
    <n v="3"/>
    <s v="YSRCP HardCore"/>
  </r>
  <r>
    <s v="482f63f6-a9a7-4667-9329-31ca73980242"/>
    <x v="8"/>
    <s v="27/01/2026, 10:52:01"/>
    <s v="16.465106, 81.815690"/>
    <s v="SHOP NO.4, Sivakodu, Andhra Pradesh, India"/>
    <x v="3"/>
    <s v="Naeem"/>
    <s v="http://164.52.221.216/localmedia/media/surveys/samples/recording_2026-01-27_10-42-34_samples_rlp0WmN10W.mp4"/>
    <x v="0"/>
    <x v="1"/>
    <x v="19"/>
    <x v="4"/>
    <s v="హిందూ"/>
    <x v="2"/>
    <s v="p. ramachandrao"/>
    <n v="9502234661"/>
    <x v="0"/>
    <x v="3"/>
    <x v="1"/>
    <x v="1"/>
    <x v="0"/>
    <x v="1"/>
    <s v="ఉద్యొగ్య అవకాశాలు కల్పించటం, శాంతి భద్రతలను కాపాడటం, ఆరోగ్య రంగం అభివృద్ధి చేయటం"/>
    <x v="1"/>
    <x v="0"/>
    <x v="2"/>
    <x v="4"/>
    <x v="1"/>
    <x v="1"/>
    <s v="Bhagya H"/>
    <s v="Correctly Done"/>
    <s v="Repeated Sample"/>
    <x v="0"/>
    <n v="1.3836274505214585"/>
    <n v="0.66153846153846207"/>
    <n v="0.71381514912952693"/>
    <n v="0.85034013605442171"/>
    <n v="1.1213131007097483"/>
    <n v="1.0790228998469584"/>
    <n v="0.90933567693352424"/>
    <n v="-1"/>
    <n v="1"/>
    <n v="-1"/>
    <n v="-1"/>
    <n v="-1"/>
    <n v="-1"/>
    <n v="-3.5"/>
    <n v="-4"/>
    <n v="-5"/>
    <n v="-4"/>
    <n v="-3"/>
    <s v="TDP Sympathiser"/>
  </r>
  <r>
    <s v="46b1572a-3571-4cbc-9e8e-731392bfb3f9"/>
    <x v="8"/>
    <s v="27/01/2026, 10:52:01"/>
    <s v="16.465106, 81.815690"/>
    <s v="SHOP NO.4, Sivakodu, Andhra Pradesh, India"/>
    <x v="3"/>
    <s v="Naeem"/>
    <s v="http://164.52.221.216/localmedia/media/surveys/samples/recording_2026-01-27_10-42-34_samples_hIiUIMT6Om.mp4"/>
    <x v="0"/>
    <x v="1"/>
    <x v="19"/>
    <x v="4"/>
    <s v="హిందూ"/>
    <x v="2"/>
    <s v="p. ramachandrao"/>
    <n v="9502234661"/>
    <x v="0"/>
    <x v="3"/>
    <x v="1"/>
    <x v="1"/>
    <x v="0"/>
    <x v="1"/>
    <s v="ఉద్యొగ్య అవకాశాలు కల్పించటం, శాంతి భద్రతలను కాపాడటం, ఆరోగ్య రంగం అభివృద్ధి చేయటం"/>
    <x v="1"/>
    <x v="0"/>
    <x v="2"/>
    <x v="4"/>
    <x v="1"/>
    <x v="1"/>
    <s v="Ashish Sk"/>
    <s v="Correctly Done"/>
    <s v="No Remark"/>
    <x v="0"/>
    <n v="1.3836274505214585"/>
    <n v="0.66153846153846207"/>
    <n v="0.71381514912952693"/>
    <n v="0.85034013605442171"/>
    <n v="1.1213131007097483"/>
    <n v="1.0790228998469584"/>
    <n v="0.90933567693352424"/>
    <n v="-1"/>
    <n v="1"/>
    <n v="-1"/>
    <n v="-1"/>
    <n v="-1"/>
    <n v="-1"/>
    <n v="-3.5"/>
    <n v="-4"/>
    <n v="-5"/>
    <n v="-4"/>
    <n v="-3"/>
    <s v="TDP Sympathiser"/>
  </r>
  <r>
    <s v="52934fe9-8732-467d-ba5b-40f1bdb48294"/>
    <x v="8"/>
    <s v="27/01/2026, 10:52:14"/>
    <s v="16.465106, 81.815690"/>
    <s v="SHOP NO.4, Sivakodu, Andhra Pradesh, India"/>
    <x v="3"/>
    <s v="Naeem"/>
    <s v="http://164.52.221.216/localmedia/media/surveys/samples/recording_2026-01-27_10-42-34_samples_bjzwT8bGc8.mp4"/>
    <x v="0"/>
    <x v="1"/>
    <x v="19"/>
    <x v="4"/>
    <s v="హిందూ"/>
    <x v="2"/>
    <s v="p. ramachandrao"/>
    <n v="9502234661"/>
    <x v="0"/>
    <x v="3"/>
    <x v="1"/>
    <x v="1"/>
    <x v="0"/>
    <x v="1"/>
    <s v="ఉద్యొగ్య అవకాశాలు కల్పించటం, శాంతి భద్రతలను కాపాడటం, ఆరోగ్య రంగం అభివృద్ధి చేయటం"/>
    <x v="1"/>
    <x v="0"/>
    <x v="2"/>
    <x v="4"/>
    <x v="1"/>
    <x v="1"/>
    <s v="Deepika D"/>
    <s v="Correctly Done"/>
    <s v="Correctly done"/>
    <x v="0"/>
    <n v="1.3836274505214585"/>
    <n v="0.66153846153846207"/>
    <n v="0.71381514912952693"/>
    <n v="0.85034013605442171"/>
    <n v="1.1213131007097483"/>
    <n v="1.0790228998469584"/>
    <n v="0.90933567693352424"/>
    <n v="-1"/>
    <n v="1"/>
    <n v="-1"/>
    <n v="-1"/>
    <n v="-1"/>
    <n v="-1"/>
    <n v="-3.5"/>
    <n v="-4"/>
    <n v="-5"/>
    <n v="-4"/>
    <n v="-3"/>
    <s v="TDP Sympathiser"/>
  </r>
  <r>
    <s v="05da66c5-8731-497b-b84b-8f2481fb6a01"/>
    <x v="8"/>
    <s v="27/01/2026, 11:05:06"/>
    <s v="16.463777, 81.816238"/>
    <s v="214, Gudimellanka, Andhra Pradesh, India"/>
    <x v="3"/>
    <s v="Naeem"/>
    <s v="http://164.52.221.216/localmedia/media/surveys/samples/recording_2026-01-27_11-02-10_samples_BGtQH9N4Ub.mp4"/>
    <x v="0"/>
    <x v="1"/>
    <x v="19"/>
    <x v="6"/>
    <s v="క్రిస్టియన్"/>
    <x v="0"/>
    <s v="santha kumari"/>
    <n v="99999999"/>
    <x v="1"/>
    <x v="5"/>
    <x v="1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0"/>
    <x v="1"/>
    <x v="1"/>
    <x v="1"/>
    <x v="1"/>
    <s v="Bhagya H"/>
    <s v="Correctly Done"/>
    <s v="No Remarks"/>
    <x v="0"/>
    <n v="1.3836274505214585"/>
    <n v="1.0795332136445241"/>
    <n v="2.0811826914865059"/>
    <n v="2.1645021645021645"/>
    <n v="1.1213131007097483"/>
    <n v="1.9278542477265657"/>
    <n v="1.2302776805571209"/>
    <n v="-1"/>
    <n v="-1"/>
    <n v="-1"/>
    <n v="-1"/>
    <n v="-1"/>
    <n v="-1"/>
    <n v="-5.5"/>
    <n v="-6"/>
    <n v="-5"/>
    <n v="-4"/>
    <n v="-3"/>
    <s v="TDP HardCore"/>
  </r>
  <r>
    <s v="9c32fd50-8524-4038-80fd-33be8ffc3012"/>
    <x v="8"/>
    <s v="27/01/2026, 11:25:51"/>
    <s v="16.465992, 81.812510"/>
    <s v="FR87+M46, Razole, Andhra Pradesh, India"/>
    <x v="3"/>
    <s v="Naeem"/>
    <s v="http://164.52.221.216/localmedia/media/surveys/samples/recording_2026-01-27_11-23-09_samples_C3joKCW5Pi.mp4"/>
    <x v="1"/>
    <x v="1"/>
    <x v="19"/>
    <x v="6"/>
    <s v="హిందూ"/>
    <x v="0"/>
    <s v="k. krishnaveni"/>
    <n v="9989342843"/>
    <x v="1"/>
    <x v="2"/>
    <x v="1"/>
    <x v="1"/>
    <x v="1"/>
    <x v="1"/>
    <s v="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"/>
    <x v="1"/>
    <x v="0"/>
    <x v="1"/>
    <x v="1"/>
    <x v="1"/>
    <x v="1"/>
    <s v="Ashish Sk"/>
    <s v="Correctly Done"/>
    <s v="No Remark"/>
    <x v="0"/>
    <n v="1.1705128247062893"/>
    <n v="1.0795332136445241"/>
    <n v="2.3577066232182737"/>
    <n v="2.1645021645021645"/>
    <n v="1.1213131007097483"/>
    <n v="2.1840056363422229"/>
    <n v="0.95944580773600496"/>
    <n v="-1"/>
    <n v="-1"/>
    <n v="-1"/>
    <n v="-1"/>
    <n v="-1"/>
    <n v="-1"/>
    <n v="-5.5"/>
    <n v="-6"/>
    <n v="-5"/>
    <n v="-4"/>
    <n v="-3"/>
    <s v="TDP HardCore"/>
  </r>
  <r>
    <s v="aa5bd37a-6d1a-4354-9aff-e007df81a6b8"/>
    <x v="8"/>
    <s v="27/01/2026, 11:31:45"/>
    <s v="16.466046, 81.811986"/>
    <s v="FR86+PV, Sivakodu, Andhra Pradesh, India"/>
    <x v="3"/>
    <s v="Naeem"/>
    <s v="http://164.52.221.216/localmedia/media/surveys/samples/recording_2026-01-27_11-28-23_samples_aCM3li6o6Q.mp4"/>
    <x v="1"/>
    <x v="1"/>
    <x v="19"/>
    <x v="6"/>
    <s v="హిందూ"/>
    <x v="1"/>
    <s v="srilakshmi"/>
    <n v="9848314436"/>
    <x v="1"/>
    <x v="2"/>
    <x v="1"/>
    <x v="1"/>
    <x v="1"/>
    <x v="1"/>
    <s v="రోడ్లు వేయటం, ఉద్యొగ్య అవకాశాలు కల్పించటం, వ్యవసాయం, రైతు బాగుండడం"/>
    <x v="1"/>
    <x v="0"/>
    <x v="2"/>
    <x v="2"/>
    <x v="1"/>
    <x v="1"/>
    <s v="Deepika D"/>
    <s v="Correctly Done"/>
    <s v="Correctly done"/>
    <x v="0"/>
    <n v="1.1705128247062893"/>
    <n v="0.66153846153846207"/>
    <n v="1.444803728657164"/>
    <n v="2.1645021645021645"/>
    <n v="1.1213131007097483"/>
    <n v="2.1840056363422229"/>
    <n v="0.95944580773600496"/>
    <n v="-1"/>
    <n v="-1"/>
    <n v="-1"/>
    <n v="-1"/>
    <n v="-1"/>
    <n v="-1"/>
    <n v="-5.5"/>
    <n v="-6"/>
    <n v="-5"/>
    <n v="-4"/>
    <n v="-3"/>
    <s v="TDP HardCore"/>
  </r>
  <r>
    <s v="b1b7570e-51a7-4573-952c-9c34b17bd6e8"/>
    <x v="8"/>
    <s v="27/01/2026, 12:18:26"/>
    <s v="16.459133, 81.812157"/>
    <s v="FR56+GRX Komabathula Anil, Sivakodu Palem, Andhra Pradesh, India"/>
    <x v="3"/>
    <s v="Naeem"/>
    <s v="http://164.52.221.216/localmedia/media/surveys/samples/recording_2026-01-27_12-14-23_samples_zmDenpzuU8.mp4"/>
    <x v="0"/>
    <x v="1"/>
    <x v="19"/>
    <x v="6"/>
    <s v="క్రిస్టియన్"/>
    <x v="0"/>
    <s v="kyotho"/>
    <n v="99999999"/>
    <x v="1"/>
    <x v="5"/>
    <x v="1"/>
    <x v="1"/>
    <x v="1"/>
    <x v="1"/>
    <s v="రోడ్లు వేయటం, ఆరోగ్య రంగం అభివృద్ధి చేయటం, వ్యవసాయం, రైతు బాగుండడం"/>
    <x v="1"/>
    <x v="0"/>
    <x v="0"/>
    <x v="0"/>
    <x v="3"/>
    <x v="0"/>
    <s v="Deepika D"/>
    <s v="Not Doing It Properly"/>
    <s v="Q5, kept his own"/>
    <x v="0"/>
    <n v="1.3836274505214585"/>
    <n v="1.8055837563451775"/>
    <n v="3.4809023142961388"/>
    <n v="2.1645021645021645"/>
    <n v="1.1213131007097483"/>
    <n v="1.9278542477265657"/>
    <n v="1.2302776805571209"/>
    <n v="-1"/>
    <n v="-1"/>
    <n v="-1"/>
    <n v="-1"/>
    <n v="1"/>
    <n v="1"/>
    <n v="-2.5"/>
    <n v="-2"/>
    <n v="-1"/>
    <n v="0"/>
    <n v="2"/>
    <s v="Neutral YSRCP"/>
  </r>
  <r>
    <s v="276fb6d6-ac05-4a4d-bc0d-e16b7659b7ae"/>
    <x v="8"/>
    <s v="27/01/2026, 11:37:17"/>
    <s v="16.466467, 81.811594"/>
    <s v="FR86+PV, Sivakodu, Andhra Pradesh, India"/>
    <x v="3"/>
    <s v="Naeem"/>
    <s v="http://164.52.221.216/localmedia/media/surveys/samples/recording_2026-01-27_11-33-01_samples_K3Hq1htybi.mp4"/>
    <x v="1"/>
    <x v="1"/>
    <x v="19"/>
    <x v="6"/>
    <s v="హిందూ"/>
    <x v="0"/>
    <s v="chelayamma"/>
    <n v="9999999999"/>
    <x v="1"/>
    <x v="4"/>
    <x v="1"/>
    <x v="1"/>
    <x v="1"/>
    <x v="1"/>
    <s v="రోడ్లు వేయటం, ఉద్యొగ్య అవకాశాలు కల్పించటం, ఆరోగ్య రంగం అభివృద్ధి చేయటం"/>
    <x v="1"/>
    <x v="0"/>
    <x v="1"/>
    <x v="1"/>
    <x v="1"/>
    <x v="1"/>
    <s v="Bhagya H"/>
    <s v="Correctly Done"/>
    <s v="No Remarks"/>
    <x v="0"/>
    <n v="1.1705128247062893"/>
    <n v="1.0795332136445241"/>
    <n v="2.3577066232182737"/>
    <n v="2.1645021645021645"/>
    <n v="1.1213131007097483"/>
    <n v="2.1840056363422229"/>
    <n v="0.95944580773600496"/>
    <n v="-1"/>
    <n v="-1"/>
    <n v="-1"/>
    <n v="-1"/>
    <n v="-1"/>
    <n v="-1"/>
    <n v="-5.5"/>
    <n v="-6"/>
    <n v="-5"/>
    <n v="-4"/>
    <n v="-3"/>
    <s v="TDP HardCore"/>
  </r>
  <r>
    <s v="df1b52d7-b436-4adb-b567-09e06fcc4146"/>
    <x v="8"/>
    <s v="27/01/2026, 12:25:29"/>
    <s v="16.458841, 81.813459"/>
    <s v="FR56+GRX Komabathula Anil, Sivakodu Palem, Andhra Pradesh, India"/>
    <x v="3"/>
    <s v="Naeem"/>
    <s v="http://164.52.221.216/localmedia/media/surveys/samples/recording_2026-01-27_12-21-25_samples_61suxjJ54X.mp4"/>
    <x v="0"/>
    <x v="1"/>
    <x v="19"/>
    <x v="2"/>
    <s v="క్రిస్టియన్"/>
    <x v="1"/>
    <s v="sroothi"/>
    <n v="9999999999"/>
    <x v="1"/>
    <x v="3"/>
    <x v="1"/>
    <x v="0"/>
    <x v="1"/>
    <x v="0"/>
    <s v="ఉద్యొగ్య అవకాశాలు కల్పించటం, విద్య రంగం అభివృద్ధి చేయటం, ఆరోగ్య రంగం అభివృద్ధి చేయటం"/>
    <x v="0"/>
    <x v="2"/>
    <x v="0"/>
    <x v="2"/>
    <x v="1"/>
    <x v="1"/>
    <s v="Bhagya H"/>
    <s v="Correctly Done"/>
    <s v="No Remarks"/>
    <x v="0"/>
    <n v="1.3836274505214585"/>
    <n v="0.66153846153846207"/>
    <n v="1.2753497331114214"/>
    <n v="2.1645021645021645"/>
    <n v="1.1213131007097483"/>
    <n v="1.9278542477265657"/>
    <n v="1.2302776805571209"/>
    <n v="1"/>
    <n v="-1"/>
    <n v="1"/>
    <n v="1"/>
    <n v="-1"/>
    <n v="1"/>
    <n v="2.5"/>
    <n v="2"/>
    <n v="3"/>
    <n v="2"/>
    <n v="2"/>
    <s v="Neutral YSRCP"/>
  </r>
  <r>
    <s v="ec5609eb-6f5c-4810-a6f1-6a2a858c6610"/>
    <x v="8"/>
    <s v="27/01/2026, 09:40:24"/>
    <s v="16.460475, 81.828315"/>
    <s v="FR6H+HF3, Sivakodu, Andhra Pradesh, India"/>
    <x v="3"/>
    <s v="Naeem"/>
    <s v="http://164.52.221.216/localmedia/media/surveys/samples/recording_2026-01-27_09-37-02_samples_HWouZVtu5l.mp4"/>
    <x v="1"/>
    <x v="1"/>
    <x v="19"/>
    <x v="6"/>
    <s v="హిందూ"/>
    <x v="0"/>
    <s v="lakshmi"/>
    <n v="9999999999"/>
    <x v="1"/>
    <x v="2"/>
    <x v="1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0"/>
    <x v="1"/>
    <x v="1"/>
    <x v="1"/>
    <x v="1"/>
    <s v="Ashish Sk"/>
    <s v="Not Doing It Properly"/>
    <s v="Wrong Caste entered"/>
    <x v="0"/>
    <n v="1.1705128247062893"/>
    <n v="1.0795332136445241"/>
    <n v="2.3577066232182737"/>
    <n v="2.1645021645021645"/>
    <n v="1.1213131007097483"/>
    <n v="2.1840056363422229"/>
    <n v="0.95944580773600496"/>
    <n v="-1"/>
    <n v="-1"/>
    <n v="-1"/>
    <n v="-1"/>
    <n v="-1"/>
    <n v="-1"/>
    <n v="-5.5"/>
    <n v="-6"/>
    <n v="-5"/>
    <n v="-4"/>
    <n v="-3"/>
    <s v="TDP HardCore"/>
  </r>
  <r>
    <s v="7c48abd8-ddde-4afd-8662-680f0bad8612"/>
    <x v="8"/>
    <s v="27/01/2026, 12:32:14"/>
    <s v="16.458719, 81.814040"/>
    <s v="FR56+GRX Komabathula Anil, Sivakodu Palem, Andhra Pradesh, India"/>
    <x v="3"/>
    <s v="Naeem"/>
    <s v="http://164.52.221.216/localmedia/media/surveys/samples/recording_2026-01-27_12-27-03_samples_JUUIytjzvN.mp4"/>
    <x v="0"/>
    <x v="1"/>
    <x v="19"/>
    <x v="6"/>
    <s v="హిందూ"/>
    <x v="2"/>
    <s v="mangamma"/>
    <n v="1111111111"/>
    <x v="1"/>
    <x v="2"/>
    <x v="2"/>
    <x v="0"/>
    <x v="0"/>
    <x v="0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"/>
    <x v="0"/>
    <x v="0"/>
    <x v="0"/>
    <x v="0"/>
    <x v="3"/>
    <x v="3"/>
    <s v="Ashish Sk"/>
    <s v="Correctly Done"/>
    <s v="No Remark"/>
    <x v="0"/>
    <n v="1.3836274505214585"/>
    <n v="1.8055837563451775"/>
    <n v="3.4809023142961388"/>
    <n v="2.1645021645021645"/>
    <n v="1.1213131007097483"/>
    <n v="1.9278542477265657"/>
    <n v="1.2302776805571209"/>
    <n v="1"/>
    <n v="1"/>
    <n v="1"/>
    <n v="1"/>
    <n v="1"/>
    <n v="1"/>
    <n v="5.5"/>
    <n v="6"/>
    <n v="5"/>
    <n v="4"/>
    <n v="3"/>
    <s v="YSRCP HardCore"/>
  </r>
  <r>
    <s v="fef4ac65-5783-4cc2-b784-925a099b2fe9"/>
    <x v="8"/>
    <s v="27/01/2026, 12:51:14"/>
    <s v="16.457564, 81.803954"/>
    <s v="FR43+RX4, Sivakodu Palem, Andhra Pradesh, India"/>
    <x v="3"/>
    <s v="Naeem"/>
    <s v="http://164.52.221.216/localmedia/media/surveys/samples/recording_2026-01-27_12-47-20_samples_dLBp4HXmzN.mp4"/>
    <x v="1"/>
    <x v="1"/>
    <x v="19"/>
    <x v="6"/>
    <s v="హిందూ"/>
    <x v="2"/>
    <s v="lakshmi"/>
    <n v="9948138114"/>
    <x v="1"/>
    <x v="3"/>
    <x v="1"/>
    <x v="1"/>
    <x v="0"/>
    <x v="1"/>
    <s v="రోడ్లు వేయటం, ఉద్యొగ్య అవకాశాలు కల్పించటం, ఆరోగ్య రంగం అభివృద్ధి చేయటం"/>
    <x v="1"/>
    <x v="0"/>
    <x v="2"/>
    <x v="2"/>
    <x v="1"/>
    <x v="1"/>
    <s v="Deepika D"/>
    <s v="Correctly Done"/>
    <s v="Correctly done"/>
    <x v="0"/>
    <n v="1.1705128247062893"/>
    <n v="0.66153846153846207"/>
    <n v="1.444803728657164"/>
    <n v="2.1645021645021645"/>
    <n v="1.1213131007097483"/>
    <n v="2.1840056363422229"/>
    <n v="0.95944580773600496"/>
    <n v="-1"/>
    <n v="1"/>
    <n v="-1"/>
    <n v="-1"/>
    <n v="-1"/>
    <n v="-1"/>
    <n v="-3.5"/>
    <n v="-4"/>
    <n v="-5"/>
    <n v="-4"/>
    <n v="-3"/>
    <s v="TDP Sympathiser"/>
  </r>
  <r>
    <s v="376f5a86-3f20-4803-a85b-607378020168"/>
    <x v="8"/>
    <s v="27/01/2026, 13:10:32"/>
    <s v="16.457568, 81.807306"/>
    <s v="FR44+WW4, Sivakodu Palem, Andhra Pradesh, India"/>
    <x v="3"/>
    <s v="Naeem"/>
    <s v="http://164.52.221.216/localmedia/media/surveys/samples/recording_2026-01-27_13-06-26_samples_M1ztanCg8f.mp4"/>
    <x v="1"/>
    <x v="1"/>
    <x v="19"/>
    <x v="0"/>
    <s v="హిందూ"/>
    <x v="0"/>
    <s v="venkatalakshmi"/>
    <n v="9848964091"/>
    <x v="1"/>
    <x v="5"/>
    <x v="0"/>
    <x v="1"/>
    <x v="1"/>
    <x v="0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0"/>
    <x v="0"/>
    <x v="2"/>
    <x v="1"/>
    <x v="1"/>
    <x v="1"/>
    <s v="Bhagya H"/>
    <s v="Correctly Done"/>
    <s v="No Remarks"/>
    <x v="0"/>
    <n v="1.1705128247062893"/>
    <n v="1.0795332136445241"/>
    <n v="2.3577066232182737"/>
    <n v="2.1645021645021645"/>
    <n v="1.1213131007097483"/>
    <n v="2.1840056363422229"/>
    <n v="0.95944580773600496"/>
    <n v="-1"/>
    <n v="-1"/>
    <n v="1"/>
    <n v="1"/>
    <n v="-1"/>
    <n v="-1"/>
    <n v="-1.5"/>
    <n v="-2"/>
    <n v="-1"/>
    <n v="0"/>
    <n v="-3"/>
    <s v="Neutral TDP"/>
  </r>
  <r>
    <s v="eb7a8048-ecba-4f7c-9d71-087d37731b4f"/>
    <x v="8"/>
    <s v="27/01/2026, 12:04:07"/>
    <s v="16.460738, 81.808169"/>
    <s v="FR65+877, Sivakodu, Andhra Pradesh, India"/>
    <x v="3"/>
    <s v="Naeem"/>
    <s v="http://164.52.221.216/localmedia/media/surveys/samples/recording_2026-01-27_12-00-55_samples_R6Pj53AUl7.mp4"/>
    <x v="2"/>
    <x v="1"/>
    <x v="19"/>
    <x v="1"/>
    <s v="హిందూ"/>
    <x v="0"/>
    <s v="yesu babu"/>
    <n v="8466921359"/>
    <x v="0"/>
    <x v="0"/>
    <x v="1"/>
    <x v="1"/>
    <x v="0"/>
    <x v="1"/>
    <s v="రోడ్లు వేయటం, ఉద్యొగ్య అవకాశాలు కల్పించటం, వ్యవసాయం, రైతు బాగుండడం"/>
    <x v="1"/>
    <x v="0"/>
    <x v="1"/>
    <x v="1"/>
    <x v="1"/>
    <x v="1"/>
    <s v="Ashish Sk"/>
    <s v="Not Doing It Properly"/>
    <s v="Wrong Caste entered - Kamma"/>
    <x v="0"/>
    <n v="1.1461625511156397"/>
    <n v="1.0795332136445241"/>
    <n v="0.77721139583220644"/>
    <n v="0.85034013605442171"/>
    <n v="1.1213131007097483"/>
    <n v="0.71995135120329123"/>
    <n v="1.3370299504035861"/>
    <n v="-1"/>
    <n v="1"/>
    <n v="-1"/>
    <n v="-1"/>
    <n v="-1"/>
    <n v="-1"/>
    <n v="-3.5"/>
    <n v="-4"/>
    <n v="-5"/>
    <n v="-4"/>
    <n v="-3"/>
    <s v="TDP Sympathiser"/>
  </r>
  <r>
    <s v="88d34fbe-31d9-4151-93de-5e459f0adff1"/>
    <x v="8"/>
    <s v="27/01/2026, 14:28:38"/>
    <s v="16.472992, 81.835579"/>
    <s v="FRFP+44M, Razole, Andhra Pradesh, India"/>
    <x v="3"/>
    <s v="Naeem"/>
    <s v="http://164.52.221.216/localmedia/media/surveys/samples/recording_2026-01-27_14-25-53_samples_3iRyDL7zPi.mp4"/>
    <x v="1"/>
    <x v="1"/>
    <x v="1"/>
    <x v="6"/>
    <s v="క్రిస్టియన్"/>
    <x v="0"/>
    <s v="malle swari"/>
    <n v="999999999"/>
    <x v="1"/>
    <x v="2"/>
    <x v="0"/>
    <x v="0"/>
    <x v="0"/>
    <x v="0"/>
    <s v="రోడ్లు వేయటం, ఉద్యొగ్య అవకాశాలు కల్పించటం, శాంతి భద్రతలను కాపాడటం"/>
    <x v="0"/>
    <x v="0"/>
    <x v="0"/>
    <x v="0"/>
    <x v="0"/>
    <x v="3"/>
    <s v="Deepika D"/>
    <s v="Correctly Done"/>
    <s v="Correctly done"/>
    <x v="0"/>
    <n v="1.1705128247062893"/>
    <n v="1.8055837563451775"/>
    <n v="3.9434051007458306"/>
    <n v="2.1645021645021645"/>
    <n v="1.1213131007097483"/>
    <n v="2.1840056363422229"/>
    <n v="0.95944580773600496"/>
    <n v="1"/>
    <n v="1"/>
    <n v="1"/>
    <n v="1"/>
    <n v="1"/>
    <n v="1"/>
    <n v="5.5"/>
    <n v="6"/>
    <n v="5"/>
    <n v="4"/>
    <n v="3"/>
    <s v="YSRCP HardCore"/>
  </r>
  <r>
    <s v="ba945796-0913-4157-b92f-cf8c86ef7d56"/>
    <x v="8"/>
    <s v="27/01/2026, 13:17:44"/>
    <s v="16.457636, 81.808584"/>
    <s v="FR55+24, Sivakodu Palem, Andhra Pradesh, India"/>
    <x v="3"/>
    <s v="Naeem"/>
    <s v="http://164.52.221.216/localmedia/media/surveys/samples/recording_2026-01-27_13-14-37_samples_i5VGOxehdU.mp4"/>
    <x v="1"/>
    <x v="1"/>
    <x v="19"/>
    <x v="0"/>
    <s v="హిందూ"/>
    <x v="1"/>
    <s v="raju"/>
    <n v="99129184912"/>
    <x v="0"/>
    <x v="2"/>
    <x v="1"/>
    <x v="1"/>
    <x v="1"/>
    <x v="1"/>
    <s v="రోడ్లు వేయటం, శాంతి భద్రతలను కాపాడటం, విద్య రంగం అభివృద్ధి చేయటం"/>
    <x v="0"/>
    <x v="0"/>
    <x v="1"/>
    <x v="1"/>
    <x v="1"/>
    <x v="1"/>
    <s v="Ashish Sk"/>
    <s v="Not Doing It Properly"/>
    <s v="Q9 entered on his own, need to ask twice and confirm the party for Q9"/>
    <x v="0"/>
    <n v="1.1705128247062893"/>
    <n v="1.0795332136445241"/>
    <n v="0.86308903171383233"/>
    <n v="0.85034013605442171"/>
    <n v="1.1213131007097483"/>
    <n v="0.79950206330384943"/>
    <n v="0.7401439088249181"/>
    <n v="-1"/>
    <n v="-1"/>
    <n v="-1"/>
    <n v="1"/>
    <n v="-1"/>
    <n v="-1"/>
    <n v="-3.5"/>
    <n v="-4"/>
    <n v="-3"/>
    <n v="-2"/>
    <n v="-3"/>
    <s v="Neutral TDP"/>
  </r>
  <r>
    <s v="e0aae530-cbf4-48c3-b5fe-5b5838881926"/>
    <x v="8"/>
    <s v="27/01/2026, 14:45:11"/>
    <s v="16.473214, 81.833025"/>
    <s v="FRFM+9G9, Razole, Andhra Pradesh, India"/>
    <x v="3"/>
    <s v="Naeem"/>
    <s v="http://164.52.221.216/localmedia/media/surveys/samples/recording_2026-01-27_14-41-44_samples_vjWprh9DGt.mp4"/>
    <x v="0"/>
    <x v="1"/>
    <x v="1"/>
    <x v="2"/>
    <s v="క్రిస్టియన్"/>
    <x v="1"/>
    <s v="durga prasad"/>
    <n v="6301480557"/>
    <x v="0"/>
    <x v="2"/>
    <x v="1"/>
    <x v="1"/>
    <x v="1"/>
    <x v="0"/>
    <s v="ఉద్యొగ్య అవకాశాలు కల్పించటం, ఆరోగ్య రంగం అభివృద్ధి చేయటం, వ్యవసాయం, రైతు బాగుండడం"/>
    <x v="0"/>
    <x v="0"/>
    <x v="0"/>
    <x v="0"/>
    <x v="0"/>
    <x v="0"/>
    <s v="Ashish Sk"/>
    <s v="Correctly Done"/>
    <s v="No remark"/>
    <x v="0"/>
    <n v="1.3836274505214585"/>
    <n v="1.8055837563451775"/>
    <n v="1.9482662206881376"/>
    <n v="0.85034013605442171"/>
    <n v="1.1213131007097483"/>
    <n v="1.0790228998469584"/>
    <n v="0.90933567693352424"/>
    <n v="-1"/>
    <n v="-1"/>
    <n v="1"/>
    <n v="1"/>
    <n v="1"/>
    <n v="1"/>
    <n v="1.5"/>
    <n v="2"/>
    <n v="3"/>
    <n v="4"/>
    <n v="2"/>
    <s v="YSRCP Sympathiser"/>
  </r>
  <r>
    <s v="e0e5e633-c21f-4cee-b9df-0cac4688663c"/>
    <x v="8"/>
    <s v="27/01/2026, 14:57:55"/>
    <s v="16.474996, 81.834042"/>
    <s v="FRFM+RHR, Razole, Andhra Pradesh, India"/>
    <x v="3"/>
    <s v="Naeem"/>
    <s v="http://164.52.221.216/localmedia/media/surveys/samples/recording_2026-01-27_14-55-10_samples_Juw2Z2xnSp.mp4"/>
    <x v="1"/>
    <x v="1"/>
    <x v="1"/>
    <x v="1"/>
    <s v="హిందూ"/>
    <x v="2"/>
    <s v="venkateswararao "/>
    <n v="8897398189"/>
    <x v="0"/>
    <x v="2"/>
    <x v="1"/>
    <x v="1"/>
    <x v="1"/>
    <x v="1"/>
    <s v="రోడ్లు వేయటం, ఉద్యొగ్య అవకాశాలు కల్పించటం, ఆరోగ్య రంగం అభివృద్ధి చేయటం"/>
    <x v="1"/>
    <x v="0"/>
    <x v="1"/>
    <x v="1"/>
    <x v="1"/>
    <x v="1"/>
    <s v="Deepika D"/>
    <s v="Correctly Done"/>
    <s v="Correctly Done"/>
    <x v="0"/>
    <n v="1.1705128247062893"/>
    <n v="1.0795332136445241"/>
    <n v="0.86308903171383233"/>
    <n v="0.85034013605442171"/>
    <n v="1.1213131007097483"/>
    <n v="0.79950206330384943"/>
    <n v="0.7401439088249181"/>
    <n v="-1"/>
    <n v="-1"/>
    <n v="-1"/>
    <n v="-1"/>
    <n v="-1"/>
    <n v="-1"/>
    <n v="-5.5"/>
    <n v="-6"/>
    <n v="-5"/>
    <n v="-4"/>
    <n v="-3"/>
    <s v="TDP HardCore"/>
  </r>
  <r>
    <s v="87a18e84-a9fe-4d19-bdcd-c886a7054326"/>
    <x v="8"/>
    <s v="27/01/2026, 15:24:22"/>
    <s v="16.476725, 81.837059"/>
    <s v="FRGP+JWM Goverment Hospital Razol, Razole, Andhra Pradesh, India"/>
    <x v="3"/>
    <s v="Naeem"/>
    <s v="http://164.52.221.216/localmedia/media/surveys/samples/recording_2026-01-27_15-22-01_samples_MdjuygSO8R.mp4"/>
    <x v="2"/>
    <x v="1"/>
    <x v="1"/>
    <x v="1"/>
    <s v="హిందూ"/>
    <x v="1"/>
    <s v="venkateswararao "/>
    <n v="9959252678"/>
    <x v="0"/>
    <x v="3"/>
    <x v="1"/>
    <x v="1"/>
    <x v="1"/>
    <x v="1"/>
    <s v="రోడ్లు వేయటం, ఉద్యొగ్య అవకాశాలు కల్పించటం, విద్య రంగం అభివృద్ధి చేయటం, ఆరోగ్య రంగం అభివృద్ధి చేయటం"/>
    <x v="1"/>
    <x v="0"/>
    <x v="1"/>
    <x v="1"/>
    <x v="1"/>
    <x v="1"/>
    <s v="Ashish Sk"/>
    <s v="Correctly Done"/>
    <s v="No Remark"/>
    <x v="0"/>
    <n v="1.1461625511156397"/>
    <n v="1.0795332136445241"/>
    <n v="0.77721139583220644"/>
    <n v="0.85034013605442171"/>
    <n v="1.1213131007097483"/>
    <n v="0.71995135120329123"/>
    <n v="1.3370299504035861"/>
    <n v="-1"/>
    <n v="-1"/>
    <n v="-1"/>
    <n v="-1"/>
    <n v="-1"/>
    <n v="-1"/>
    <n v="-5.5"/>
    <n v="-6"/>
    <n v="-5"/>
    <n v="-4"/>
    <n v="-3"/>
    <s v="TDP HardCore"/>
  </r>
  <r>
    <s v="3fe22e32-9497-4f42-a423-423074fd1a2c"/>
    <x v="8"/>
    <s v="27/01/2026, 15:28:30"/>
    <s v="16.475645, 81.836409"/>
    <s v="Addala's Residency, Razole, Andhra Pradesh, India"/>
    <x v="3"/>
    <s v="Naeem"/>
    <s v="http://164.52.221.216/localmedia/media/surveys/samples/recording_2026-01-27_15-25-50_samples_dMmW6p7ZIp.mp4"/>
    <x v="2"/>
    <x v="1"/>
    <x v="1"/>
    <x v="0"/>
    <s v="హిందూ"/>
    <x v="1"/>
    <s v="seilakshmi"/>
    <n v="9701884430"/>
    <x v="1"/>
    <x v="5"/>
    <x v="1"/>
    <x v="1"/>
    <x v="1"/>
    <x v="1"/>
    <s v="రోడ్లు వేయటం, ఉద్యొగ్య అవకాశాలు కల్పించటం, విద్య రంగం అభివృద్ధి చేయటం, ఆరోగ్య రంగం అభివృద్ధి చేయటం"/>
    <x v="1"/>
    <x v="0"/>
    <x v="1"/>
    <x v="1"/>
    <x v="1"/>
    <x v="1"/>
    <s v="Deepika D"/>
    <s v="Correctly Done"/>
    <s v="Correctly done"/>
    <x v="0"/>
    <n v="1.1461625511156397"/>
    <n v="1.0795332136445241"/>
    <n v="3.0326483876590018"/>
    <n v="2.1645021645021645"/>
    <n v="1.1213131007097483"/>
    <n v="2.8092219390089208"/>
    <n v="1.8020838461961379"/>
    <n v="-1"/>
    <n v="-1"/>
    <n v="-1"/>
    <n v="-1"/>
    <n v="-1"/>
    <n v="-1"/>
    <n v="-5.5"/>
    <n v="-6"/>
    <n v="-5"/>
    <n v="-4"/>
    <n v="-3"/>
    <s v="TDP HardCore"/>
  </r>
  <r>
    <s v="e5de2374-2a52-41ee-a275-187752098893"/>
    <x v="8"/>
    <s v="27/01/2026, 15:45:16"/>
    <s v="16.474953, 81.833620"/>
    <s v="FRFM+VF9, Razole, Andhra Pradesh, India"/>
    <x v="3"/>
    <s v="Naeem"/>
    <s v="http://164.52.221.216/localmedia/media/surveys/samples/recording_2026-01-27_15-41-44_samples_FWMMMLFh5d.mp4"/>
    <x v="2"/>
    <x v="1"/>
    <x v="1"/>
    <x v="1"/>
    <s v="హిందూ"/>
    <x v="2"/>
    <s v="suribabu"/>
    <n v="9999999999"/>
    <x v="0"/>
    <x v="2"/>
    <x v="0"/>
    <x v="1"/>
    <x v="1"/>
    <x v="1"/>
    <s v="రోడ్లు వేయటం, విద్య రంగం అభివృద్ధి చేయటం, ఆరోగ్య రంగం అభివృద్ధి చేయటం"/>
    <x v="1"/>
    <x v="0"/>
    <x v="1"/>
    <x v="1"/>
    <x v="1"/>
    <x v="1"/>
    <s v="Ashish Sk"/>
    <s v="Correctly Done"/>
    <s v="No Remark"/>
    <x v="0"/>
    <n v="1.1461625511156397"/>
    <n v="1.0795332136445241"/>
    <n v="0.77721139583220644"/>
    <n v="0.85034013605442171"/>
    <n v="1.1213131007097483"/>
    <n v="0.71995135120329123"/>
    <n v="1.3370299504035861"/>
    <n v="-1"/>
    <n v="-1"/>
    <n v="-1"/>
    <n v="-1"/>
    <n v="-1"/>
    <n v="-1"/>
    <n v="-5.5"/>
    <n v="-6"/>
    <n v="-5"/>
    <n v="-4"/>
    <n v="-3"/>
    <s v="TDP HardCore"/>
  </r>
  <r>
    <s v="38f254b8-c52d-402a-9e4d-e3c2da9a64a3"/>
    <x v="8"/>
    <s v="27/01/2026, 15:49:55"/>
    <s v="16.474900, 81.833121"/>
    <s v="FRFM+VF9, Razole, Andhra Pradesh, India"/>
    <x v="3"/>
    <s v="Naeem"/>
    <s v="http://164.52.221.216/localmedia/media/surveys/samples/recording_2026-01-27_15-47-16_samples_nRFa1jim4F.mp4"/>
    <x v="1"/>
    <x v="1"/>
    <x v="1"/>
    <x v="0"/>
    <s v="హిందూ"/>
    <x v="1"/>
    <s v="satyanarayana "/>
    <n v="8332802765"/>
    <x v="0"/>
    <x v="5"/>
    <x v="1"/>
    <x v="1"/>
    <x v="1"/>
    <x v="1"/>
    <s v="రోడ్లు వేయటం, ఉద్యొగ్య అవకాశాలు కల్పించటం, విద్య రంగం అభివృద్ధి చేయటం, ఆరోగ్య రంగం అభివృద్ధి చేయటం"/>
    <x v="1"/>
    <x v="0"/>
    <x v="1"/>
    <x v="1"/>
    <x v="1"/>
    <x v="1"/>
    <s v="Deepika D"/>
    <s v="Correctly Done"/>
    <s v="Correctly done"/>
    <x v="0"/>
    <n v="1.1705128247062893"/>
    <n v="1.0795332136445241"/>
    <n v="0.86308903171383233"/>
    <n v="0.85034013605442171"/>
    <n v="1.1213131007097483"/>
    <n v="0.79950206330384943"/>
    <n v="0.7401439088249181"/>
    <n v="-1"/>
    <n v="-1"/>
    <n v="-1"/>
    <n v="-1"/>
    <n v="-1"/>
    <n v="-1"/>
    <n v="-5.5"/>
    <n v="-6"/>
    <n v="-5"/>
    <n v="-4"/>
    <n v="-3"/>
    <s v="TDP HardCore"/>
  </r>
  <r>
    <s v="01d48f88-9f4a-41aa-b02b-fcecfa29dc5f"/>
    <x v="8"/>
    <s v="27/01/2026, 14:39:48"/>
    <s v="16.472548, 81.833406"/>
    <s v="FRFM+4C5, Razole, Andhra Pradesh, India"/>
    <x v="3"/>
    <s v="Naeem"/>
    <s v="http://164.52.221.216/localmedia/media/surveys/samples/recording_2026-01-27_14-38-16_samples_w6wlzWJmYF.mp4"/>
    <x v="6"/>
    <x v="1"/>
    <x v="1"/>
    <x v="0"/>
    <s v="హిందూ"/>
    <x v="1"/>
    <s v="anhi"/>
    <n v="99999999"/>
    <x v="0"/>
    <x v="5"/>
    <x v="1"/>
    <x v="1"/>
    <x v="1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0"/>
    <x v="1"/>
    <x v="1"/>
    <x v="1"/>
    <x v="1"/>
    <s v="Bhagya H"/>
    <s v="Not Doing It Properly"/>
    <s v="Q6 Not asking Properly"/>
    <x v="0"/>
    <n v="1.2612194085121222"/>
    <n v="1.0795332136445241"/>
    <n v="0.92029223709519836"/>
    <n v="0.85034013605442171"/>
    <n v="1.1213131007097483"/>
    <n v="0.85249089649430487"/>
    <n v="1.3317727120335781"/>
    <n v="-1"/>
    <n v="-1"/>
    <n v="-1"/>
    <n v="-1"/>
    <n v="-1"/>
    <n v="-1"/>
    <n v="-5.5"/>
    <n v="-6"/>
    <n v="-5"/>
    <n v="-4"/>
    <n v="-3"/>
    <s v="TDP HardCore"/>
  </r>
  <r>
    <s v="df7e68b7-8e62-4b69-8b16-f1de009bdc46"/>
    <x v="8"/>
    <s v="27/01/2026, 15:06:27"/>
    <s v="16.476033, 81.834053"/>
    <s v="New, Razole, Andhra Pradesh, India"/>
    <x v="3"/>
    <s v="Naeem"/>
    <s v="http://164.52.221.216/localmedia/media/surveys/samples/recording_2026-01-27_15-02-47_samples_SbnXk1ZVBC.mp4"/>
    <x v="1"/>
    <x v="1"/>
    <x v="1"/>
    <x v="0"/>
    <s v="హిందూ"/>
    <x v="1"/>
    <s v="mani kumar"/>
    <n v="999999999"/>
    <x v="0"/>
    <x v="2"/>
    <x v="1"/>
    <x v="1"/>
    <x v="0"/>
    <x v="1"/>
    <s v="రోడ్లు వేయటం, విద్య రంగం అభివృద్ధి చేయటం, ఆరోగ్య రంగం అభివృద్ధి చేయటం"/>
    <x v="1"/>
    <x v="0"/>
    <x v="2"/>
    <x v="1"/>
    <x v="1"/>
    <x v="1"/>
    <s v="Bhagya H"/>
    <s v="Not Doing It Properly"/>
    <s v="Didn't asked Caste - kept on his own"/>
    <x v="0"/>
    <n v="1.1705128247062893"/>
    <n v="1.0795332136445241"/>
    <n v="0.86308903171383233"/>
    <n v="0.85034013605442171"/>
    <n v="1.1213131007097483"/>
    <n v="0.79950206330384943"/>
    <n v="0.7401439088249181"/>
    <n v="-1"/>
    <n v="1"/>
    <n v="-1"/>
    <n v="-1"/>
    <n v="-1"/>
    <n v="-1"/>
    <n v="-3.5"/>
    <n v="-4"/>
    <n v="-5"/>
    <n v="-4"/>
    <n v="-3"/>
    <s v="TDP Sympathiser"/>
  </r>
  <r>
    <s v="a6a77582-f980-41d0-ac07-f1f10fe76acd"/>
    <x v="8"/>
    <s v="27/01/2026, 15:33:25"/>
    <s v="16.475225, 81.836911"/>
    <s v="NH-214, Razole, Andhra Pradesh, India"/>
    <x v="3"/>
    <s v="Naeem"/>
    <s v="http://164.52.221.216/localmedia/media/surveys/samples/recording_2026-01-27_15-30-27_samples_hyT2ClFTok.mp4"/>
    <x v="1"/>
    <x v="1"/>
    <x v="1"/>
    <x v="0"/>
    <s v="ముస్లిం"/>
    <x v="0"/>
    <s v="sakhila"/>
    <n v="8309831044"/>
    <x v="1"/>
    <x v="4"/>
    <x v="1"/>
    <x v="1"/>
    <x v="1"/>
    <x v="1"/>
    <s v="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"/>
    <x v="1"/>
    <x v="0"/>
    <x v="1"/>
    <x v="1"/>
    <x v="1"/>
    <x v="1"/>
    <s v="Bhagya H"/>
    <s v="Not Doing It Properly"/>
    <s v="Didn't asked caste - Kept on his own , Caste - Muslim"/>
    <x v="0"/>
    <n v="1.1705128247062893"/>
    <n v="1.0795332136445241"/>
    <n v="2.3577066232182737"/>
    <n v="2.1645021645021645"/>
    <n v="1.1213131007097483"/>
    <n v="2.1840056363422229"/>
    <n v="0.95944580773600496"/>
    <n v="-1"/>
    <n v="-1"/>
    <n v="-1"/>
    <n v="-1"/>
    <n v="-1"/>
    <n v="-1"/>
    <n v="-5.5"/>
    <n v="-6"/>
    <n v="-5"/>
    <n v="-4"/>
    <n v="-3"/>
    <s v="TDP HardCore"/>
  </r>
  <r>
    <s v="162db01e-6fcf-4290-881b-d82f27a9b5f8"/>
    <x v="8"/>
    <s v="27/01/2026, 15:56:30"/>
    <s v="16.474759, 81.834699"/>
    <s v="FRGP+24X, Razole, Andhra Pradesh, India"/>
    <x v="3"/>
    <s v="Naeem"/>
    <s v="http://164.52.221.216/localmedia/media/surveys/samples/recording_2026-01-27_15-54-03_samples_34JQciuJoz.mp4"/>
    <x v="1"/>
    <x v="1"/>
    <x v="1"/>
    <x v="1"/>
    <s v="హిందూ"/>
    <x v="1"/>
    <s v="durga"/>
    <n v="8523031600"/>
    <x v="1"/>
    <x v="2"/>
    <x v="1"/>
    <x v="1"/>
    <x v="0"/>
    <x v="1"/>
    <s v="రోడ్లు వేయటం, ఉద్యొగ్య అవకాశాలు కల్పించటం, వ్యవసాయం, రైతు బాగుండడం"/>
    <x v="1"/>
    <x v="0"/>
    <x v="1"/>
    <x v="1"/>
    <x v="1"/>
    <x v="1"/>
    <s v="Bhagya H"/>
    <s v="Correctly Done"/>
    <s v="No Remarks"/>
    <x v="0"/>
    <n v="1.1705128247062893"/>
    <n v="1.0795332136445241"/>
    <n v="2.3577066232182737"/>
    <n v="2.1645021645021645"/>
    <n v="1.1213131007097483"/>
    <n v="2.1840056363422229"/>
    <n v="0.95944580773600496"/>
    <n v="-1"/>
    <n v="1"/>
    <n v="-1"/>
    <n v="-1"/>
    <n v="-1"/>
    <n v="-1"/>
    <n v="-3.5"/>
    <n v="-4"/>
    <n v="-5"/>
    <n v="-4"/>
    <n v="-3"/>
    <s v="TDP Sympathiser"/>
  </r>
  <r>
    <s v="8fca0c82-7c49-43a9-ab89-1b8129cd9a97"/>
    <x v="8"/>
    <s v="27/01/2026, 16:12:29"/>
    <s v="16.475181, 81.829138"/>
    <s v="FRGJ+99X, Razole, Andhra Pradesh, India"/>
    <x v="3"/>
    <s v="Naeem"/>
    <s v="http://164.52.221.216/localmedia/media/surveys/samples/recording_2026-01-27_16-06-25_samples_4cmbuHiWWi.mp4"/>
    <x v="6"/>
    <x v="1"/>
    <x v="1"/>
    <x v="1"/>
    <s v="క్రిస్టియన్"/>
    <x v="2"/>
    <s v="b. kumari"/>
    <n v="9346425654"/>
    <x v="1"/>
    <x v="3"/>
    <x v="1"/>
    <x v="1"/>
    <x v="1"/>
    <x v="0"/>
    <s v="రోడ్లు వేయటం, ఉద్యొగ్య అవకాశాలు కల్పించటం, విద్య రంగం అభివృద్ధి చేయటం"/>
    <x v="1"/>
    <x v="0"/>
    <x v="1"/>
    <x v="1"/>
    <x v="1"/>
    <x v="1"/>
    <s v="Ashish Sk"/>
    <s v="Correctly Done"/>
    <s v="no remark"/>
    <x v="0"/>
    <n v="1.2612194085121222"/>
    <n v="1.0795332136445241"/>
    <n v="2.6155674106916162"/>
    <n v="2.1645021645021645"/>
    <n v="1.1213131007097483"/>
    <n v="2.4228688637206557"/>
    <n v="1.6647158900419725"/>
    <n v="-1"/>
    <n v="-1"/>
    <n v="1"/>
    <n v="-1"/>
    <n v="-1"/>
    <n v="-1"/>
    <n v="-3.5"/>
    <n v="-4"/>
    <n v="-3"/>
    <n v="-2"/>
    <n v="-3"/>
    <s v="Neutral TDP"/>
  </r>
  <r>
    <s v="7375531d-28b7-49dc-87b5-4f00b4a8077e"/>
    <x v="8"/>
    <s v="27/01/2026, 16:20:44"/>
    <s v="16.475634, 81.829213"/>
    <s v="FRGJ+99X, Razole, Andhra Pradesh, India"/>
    <x v="3"/>
    <s v="Naeem"/>
    <s v="http://164.52.221.216/localmedia/media/surveys/samples/recording_2026-01-27_16-16-57_samples_Gq5BxuCOYI.mp4"/>
    <x v="6"/>
    <x v="1"/>
    <x v="1"/>
    <x v="0"/>
    <s v="హిందూ"/>
    <x v="0"/>
    <s v="yesu raju"/>
    <n v="7702509670"/>
    <x v="0"/>
    <x v="3"/>
    <x v="2"/>
    <x v="1"/>
    <x v="1"/>
    <x v="1"/>
    <s v="రోడ్లు వేయటం, ఉద్యొగ్య అవకాశాలు కల్పించటం, ఆరోగ్య రంగం అభివృద్ధి చేయటం"/>
    <x v="1"/>
    <x v="0"/>
    <x v="1"/>
    <x v="1"/>
    <x v="1"/>
    <x v="1"/>
    <s v="Deepika D"/>
    <s v="Correctly Done"/>
    <s v="Correctly done"/>
    <x v="0"/>
    <n v="1.2612194085121222"/>
    <n v="1.0795332136445241"/>
    <n v="0.92029223709519836"/>
    <n v="0.85034013605442171"/>
    <n v="1.1213131007097483"/>
    <n v="0.85249089649430487"/>
    <n v="1.3317727120335781"/>
    <n v="-1"/>
    <n v="-1"/>
    <n v="-1"/>
    <n v="-1"/>
    <n v="-1"/>
    <n v="-1"/>
    <n v="-5.5"/>
    <n v="-6"/>
    <n v="-5"/>
    <n v="-4"/>
    <n v="-3"/>
    <s v="TDP HardCore"/>
  </r>
  <r>
    <s v="4926e304-1a7d-4f55-bb16-60f535dc2bd4"/>
    <x v="8"/>
    <s v="27/01/2026, 16:33:51"/>
    <s v="16.474672, 81.827267"/>
    <s v="FRFG+GP8, Razole, Andhra Pradesh, India"/>
    <x v="3"/>
    <s v="Naeem"/>
    <s v="http://164.52.221.216/localmedia/media/surveys/samples/recording_2026-01-27_16-30-16_samples_PLyCmhpJuu.mp4"/>
    <x v="6"/>
    <x v="1"/>
    <x v="1"/>
    <x v="0"/>
    <s v="క్రిస్టియన్"/>
    <x v="1"/>
    <s v="raju"/>
    <n v="6309318226"/>
    <x v="0"/>
    <x v="3"/>
    <x v="1"/>
    <x v="1"/>
    <x v="1"/>
    <x v="1"/>
    <s v="రోడ్లు వేయటం, ఉద్యొగ్య అవకాశాలు కల్పించటం, విద్య రంగం అభివృద్ధి చేయటం, ఆరోగ్య రంగం అభివృద్ధి చేయటం"/>
    <x v="1"/>
    <x v="0"/>
    <x v="1"/>
    <x v="2"/>
    <x v="1"/>
    <x v="1"/>
    <s v="Bhagya H"/>
    <s v="Correctly Done"/>
    <s v="No Remarks"/>
    <x v="0"/>
    <n v="1.2612194085121222"/>
    <n v="0.66153846153846207"/>
    <n v="0.5639555161423867"/>
    <n v="0.85034013605442171"/>
    <n v="1.1213131007097483"/>
    <n v="0.85249089649430487"/>
    <n v="1.3317727120335781"/>
    <n v="-1"/>
    <n v="-1"/>
    <n v="-1"/>
    <n v="-1"/>
    <n v="-1"/>
    <n v="-1"/>
    <n v="-5.5"/>
    <n v="-6"/>
    <n v="-5"/>
    <n v="-4"/>
    <n v="-3"/>
    <s v="TDP HardCore"/>
  </r>
  <r>
    <s v="6e862935-5e26-460f-860b-9bfd0e0fea78"/>
    <x v="8"/>
    <s v="27/01/2026, 16:41:35"/>
    <s v="16.474097, 81.826839"/>
    <s v="FRFG+GP8, Razole, Andhra Pradesh, India"/>
    <x v="3"/>
    <s v="Naeem"/>
    <s v="http://164.52.221.216/localmedia/media/surveys/samples/recording_2026-01-27_16-37-17_samples_2P05bWMJx6.mp4"/>
    <x v="6"/>
    <x v="1"/>
    <x v="1"/>
    <x v="0"/>
    <s v="క్రిస్టియన్"/>
    <x v="0"/>
    <s v="bulaksjmi"/>
    <n v="9999999999"/>
    <x v="1"/>
    <x v="3"/>
    <x v="0"/>
    <x v="1"/>
    <x v="1"/>
    <x v="1"/>
    <s v="ఉద్యొగ్య అవకాశాలు కల్పించటం, శాంతి భద్రతలను కాపాడటం, విద్య రంగం అభివృద్ధి చేయటం"/>
    <x v="0"/>
    <x v="0"/>
    <x v="0"/>
    <x v="0"/>
    <x v="3"/>
    <x v="0"/>
    <s v="Ashish Sk"/>
    <s v="Correctly Done"/>
    <s v="no remark"/>
    <x v="0"/>
    <n v="1.2612194085121222"/>
    <n v="1.8055837563451775"/>
    <n v="4.3746926640885135"/>
    <n v="2.1645021645021645"/>
    <n v="1.1213131007097483"/>
    <n v="2.4228688637206557"/>
    <n v="1.6647158900419725"/>
    <n v="-1"/>
    <n v="-1"/>
    <n v="-1"/>
    <n v="1"/>
    <n v="1"/>
    <n v="1"/>
    <n v="-0.5"/>
    <n v="0"/>
    <n v="1"/>
    <n v="2"/>
    <n v="2"/>
    <s v="Neutral YSRCP"/>
  </r>
  <r>
    <s v="4d5f8fe6-9220-4f75-9f41-4e339c2da80f"/>
    <x v="8"/>
    <s v="27/01/2026, 16:54:48"/>
    <s v="16.473303, 81.825460"/>
    <s v="FRFG+GP8, Razole, Andhra Pradesh, India"/>
    <x v="3"/>
    <s v="Naeem"/>
    <s v="http://164.52.221.216/localmedia/media/surveys/samples/recording_2026-01-27_16-51-47_samples_PUKT22vRMf.mp4"/>
    <x v="6"/>
    <x v="1"/>
    <x v="1"/>
    <x v="0"/>
    <s v="హిందూ"/>
    <x v="2"/>
    <s v="anjaneyulu"/>
    <n v="8790582878"/>
    <x v="0"/>
    <x v="3"/>
    <x v="1"/>
    <x v="1"/>
    <x v="1"/>
    <x v="1"/>
    <s v="రోడ్లు వేయటం, ఉద్యొగ్య అవకాశాలు కల్పించటం, విద్య రంగం అభివృద్ధి చేయటం"/>
    <x v="1"/>
    <x v="0"/>
    <x v="1"/>
    <x v="1"/>
    <x v="1"/>
    <x v="1"/>
    <s v="Deepika D"/>
    <s v="Correctly Done"/>
    <s v="Correctly done"/>
    <x v="0"/>
    <n v="1.2612194085121222"/>
    <n v="1.0795332136445241"/>
    <n v="0.92029223709519836"/>
    <n v="0.85034013605442171"/>
    <n v="1.1213131007097483"/>
    <n v="0.85249089649430487"/>
    <n v="1.3317727120335781"/>
    <n v="-1"/>
    <n v="-1"/>
    <n v="-1"/>
    <n v="-1"/>
    <n v="-1"/>
    <n v="-1"/>
    <n v="-5.5"/>
    <n v="-6"/>
    <n v="-5"/>
    <n v="-4"/>
    <n v="-3"/>
    <s v="TDP HardCore"/>
  </r>
  <r>
    <s v="8e285bd7-e97c-4dd7-aa45-687ad4bc4fbd"/>
    <x v="8"/>
    <s v="27/01/2026, 17:01:45"/>
    <s v="16.474024, 81.825026"/>
    <s v="FRFG+GP8, Razole, Andhra Pradesh, India"/>
    <x v="3"/>
    <s v="Naeem"/>
    <s v="http://164.52.221.216/localmedia/media/surveys/samples/recording_2026-01-27_16-57-43_samples_N1CoElGeYl.mp4"/>
    <x v="6"/>
    <x v="1"/>
    <x v="1"/>
    <x v="0"/>
    <s v="హిందూ"/>
    <x v="3"/>
    <s v="durga"/>
    <n v="7416837449"/>
    <x v="1"/>
    <x v="3"/>
    <x v="1"/>
    <x v="0"/>
    <x v="1"/>
    <x v="0"/>
    <s v="ఉద్యొగ్య అవకాశాలు కల్పించటం, విద్య రంగం అభివృద్ధి చేయటం, ఆరోగ్య రంగం అభివృద్ధి చేయటం"/>
    <x v="1"/>
    <x v="2"/>
    <x v="1"/>
    <x v="1"/>
    <x v="1"/>
    <x v="1"/>
    <s v="Bhagya H"/>
    <s v="Correctly Done"/>
    <s v="No Remarks"/>
    <x v="0"/>
    <n v="1.2612194085121222"/>
    <n v="1.0795332136445241"/>
    <n v="2.6155674106916162"/>
    <n v="2.1645021645021645"/>
    <n v="1.1213131007097483"/>
    <n v="2.4228688637206557"/>
    <n v="1.6647158900419725"/>
    <n v="1"/>
    <n v="-1"/>
    <n v="1"/>
    <n v="-1"/>
    <n v="-1"/>
    <n v="-1"/>
    <n v="-1.5"/>
    <n v="-2"/>
    <n v="-1"/>
    <n v="-2"/>
    <n v="-2"/>
    <s v="Neutral TDP"/>
  </r>
  <r>
    <s v="e887f4a8-5309-4b16-9d71-592f9b1b13e9"/>
    <x v="8"/>
    <s v="27/01/2026, 17:12:23"/>
    <s v="16.473887, 81.825764"/>
    <s v="FRFG+GP8, Razole, Andhra Pradesh, India"/>
    <x v="3"/>
    <s v="Naeem"/>
    <s v="http://164.52.221.216/localmedia/media/surveys/samples/recording_2026-01-27_17-07-20_samples_afIqeAcBNw.mp4"/>
    <x v="6"/>
    <x v="1"/>
    <x v="1"/>
    <x v="6"/>
    <s v="హిందూ"/>
    <x v="3"/>
    <s v="p. dhana lumari"/>
    <n v="8106443788"/>
    <x v="1"/>
    <x v="1"/>
    <x v="2"/>
    <x v="0"/>
    <x v="0"/>
    <x v="0"/>
    <s v="రోడ్లు వేయటం, విద్య రంగం అభివృద్ధి చేయటం, ఆరోగ్య రంగం అభివృద్ధి చేయటం"/>
    <x v="1"/>
    <x v="0"/>
    <x v="2"/>
    <x v="2"/>
    <x v="1"/>
    <x v="1"/>
    <s v="Ashish Sk"/>
    <s v="Correctly Done"/>
    <s v="No Remarks"/>
    <x v="0"/>
    <n v="1.2612194085121222"/>
    <n v="0.66153846153846207"/>
    <n v="1.6028209406152043"/>
    <n v="2.1645021645021645"/>
    <n v="1.1213131007097483"/>
    <n v="2.4228688637206557"/>
    <n v="1.6647158900419725"/>
    <n v="1"/>
    <n v="1"/>
    <n v="1"/>
    <n v="-1"/>
    <n v="-1"/>
    <n v="-1"/>
    <n v="0.5"/>
    <n v="0"/>
    <n v="-1"/>
    <n v="-2"/>
    <n v="-2"/>
    <s v="Neutral TDP"/>
  </r>
  <r>
    <s v="7fadbad5-5b0e-4ba3-a0dd-1f4bc207382d"/>
    <x v="8"/>
    <s v="27/01/2026, 17:23:11"/>
    <s v="16.473886, 81.825249"/>
    <s v="FRFG+GP8, Razole, Andhra Pradesh, India"/>
    <x v="3"/>
    <s v="Naeem"/>
    <s v="http://164.52.221.216/localmedia/media/surveys/samples/recording_2026-01-27_17-15-44_samples_270E0yjPAw.mp4"/>
    <x v="6"/>
    <x v="1"/>
    <x v="1"/>
    <x v="0"/>
    <s v="హిందూ"/>
    <x v="1"/>
    <s v="jagade swari"/>
    <n v="7207464236"/>
    <x v="1"/>
    <x v="4"/>
    <x v="1"/>
    <x v="1"/>
    <x v="0"/>
    <x v="1"/>
    <s v="రోడ్లు వేయటం, ఉద్యొగ్య అవకాశాలు కల్పించటం, శాంతి భద్రతలను కాపాడటం, విద్య రంగం అభివృద్ధి చేయటం, ఆరోగ్య రంగం అభివృద్ధి చేయటం, వ్యవసాయం, రైతు బాగుండడం, సంక్షేమ పథకాలు (నగదు)"/>
    <x v="1"/>
    <x v="0"/>
    <x v="2"/>
    <x v="3"/>
    <x v="1"/>
    <x v="1"/>
    <s v="Deepika D"/>
    <s v="Not Doing It Properly"/>
    <s v="q5,9,10 kept his own"/>
    <x v="0"/>
    <n v="1.2612194085121222"/>
    <n v="0.66153846153846207"/>
    <n v="1.6028209406152043"/>
    <n v="2.1645021645021645"/>
    <n v="1.1213131007097483"/>
    <n v="2.4228688637206557"/>
    <n v="1.6647158900419725"/>
    <n v="-1"/>
    <n v="1"/>
    <n v="-1"/>
    <n v="-1"/>
    <n v="-1"/>
    <n v="-1"/>
    <n v="-3.5"/>
    <n v="-4"/>
    <n v="-5"/>
    <n v="-4"/>
    <n v="-3"/>
    <s v="TDP Sympathiser"/>
  </r>
  <r>
    <s v="e74ef77a-8013-494c-8c9a-764bd1979b94"/>
    <x v="9"/>
    <s v="1/28/2026, 11:44:33 AM"/>
    <s v="16.471348, 81.843784"/>
    <s v="FRCV+JQ4, Betamallipudisavaram, Andhra Pradesh, India"/>
    <x v="3"/>
    <s v="Naeem"/>
    <s v="http://164.52.221.216/localmedia/media/surveys/samples/recording_2026-01-28_11-40-17_samples_RWQ39L86JI.mp4"/>
    <x v="0"/>
    <x v="1"/>
    <x v="1"/>
    <x v="0"/>
    <s v="క్రిస్టియన్"/>
    <x v="0"/>
    <s v="peditlamma"/>
    <n v="7095775571"/>
    <x v="1"/>
    <x v="2"/>
    <x v="2"/>
    <x v="0"/>
    <x v="1"/>
    <x v="0"/>
    <s v="శాంతి భద్రతలను కాపాడటం"/>
    <x v="0"/>
    <x v="0"/>
    <x v="0"/>
    <x v="0"/>
    <x v="2"/>
    <x v="3"/>
    <s v="Bhagya H"/>
    <n v="0"/>
    <n v="0"/>
    <x v="0"/>
    <n v="1.3836274505214585"/>
    <n v="1.8055837563451775"/>
    <n v="3.4809023142961388"/>
    <n v="2.1645021645021645"/>
    <n v="1.1213131007097483"/>
    <n v="1.9278542477265657"/>
    <n v="1.2302776805571209"/>
    <n v="1"/>
    <n v="-1"/>
    <n v="1"/>
    <n v="1"/>
    <n v="1"/>
    <n v="1"/>
    <n v="3.5"/>
    <n v="4"/>
    <n v="5"/>
    <n v="4"/>
    <n v="3"/>
    <s v="YSRCP Sympathiser"/>
  </r>
  <r>
    <s v="e062ec10-a502-45d1-96e0-12ec821e9d01"/>
    <x v="9"/>
    <s v="1/28/2026, 11:27:56 AM"/>
    <s v="16.471320, 81.843503"/>
    <s v="FRCV+JQ4, Betamallipudisavaram, Andhra Pradesh, India"/>
    <x v="3"/>
    <s v="Naeem"/>
    <s v="http://164.52.221.216/localmedia/media/surveys/samples/recording_2026-01-28_11-24-07_samples_fHOmOePS0j.mp4"/>
    <x v="0"/>
    <x v="1"/>
    <x v="1"/>
    <x v="7"/>
    <s v="హిందూ"/>
    <x v="0"/>
    <s v="n. syam banu"/>
    <n v="9515848261"/>
    <x v="0"/>
    <x v="3"/>
    <x v="0"/>
    <x v="0"/>
    <x v="0"/>
    <x v="0"/>
    <s v="రోడ్లు వేయటం, విద్య రంగం అభివృద్ధి చేయటం, ఆరోగ్య రంగం అభివృద్ధి చేయటం"/>
    <x v="0"/>
    <x v="0"/>
    <x v="0"/>
    <x v="0"/>
    <x v="0"/>
    <x v="0"/>
    <s v="Bhagya H"/>
    <s v="Correctly Done"/>
    <s v="No Remarks"/>
    <x v="0"/>
    <n v="1.3836274505214585"/>
    <n v="1.8055837563451775"/>
    <n v="1.9482662206881376"/>
    <n v="0.85034013605442171"/>
    <n v="1.1213131007097483"/>
    <n v="1.0790228998469584"/>
    <n v="0.90933567693352424"/>
    <n v="1"/>
    <n v="1"/>
    <n v="1"/>
    <n v="1"/>
    <n v="1"/>
    <n v="1"/>
    <n v="5.5"/>
    <n v="6"/>
    <n v="5"/>
    <n v="4"/>
    <n v="3"/>
    <s v="YSRCP HardCore"/>
  </r>
  <r>
    <s v="68176fc6-6163-4acc-92e2-70e7ec522971"/>
    <x v="9"/>
    <s v="1/28/2026, 11:34:43 AM"/>
    <s v="16.472118, 81.844464"/>
    <s v="FRCV+RJ5, Razole, Andhra Pradesh, India"/>
    <x v="3"/>
    <s v="Naeem"/>
    <s v="http://164.52.221.216/localmedia/media/surveys/samples/recording_2026-01-28_11-30-33_samples_n484GH85ew.mp4"/>
    <x v="0"/>
    <x v="1"/>
    <x v="1"/>
    <x v="2"/>
    <s v="హిందూ"/>
    <x v="1"/>
    <s v="marasima raju"/>
    <n v="9701437857"/>
    <x v="0"/>
    <x v="4"/>
    <x v="2"/>
    <x v="0"/>
    <x v="1"/>
    <x v="0"/>
    <s v="రోడ్లు వేయటం, విద్య రంగం అభివృద్ధి చేయటం, ఆరోగ్య రంగం అభివృద్ధి చేయటం"/>
    <x v="1"/>
    <x v="0"/>
    <x v="0"/>
    <x v="1"/>
    <x v="1"/>
    <x v="1"/>
    <s v="Ashish Sk"/>
    <s v="Correctly Done"/>
    <s v="No Remark"/>
    <x v="0"/>
    <n v="1.3836274505214585"/>
    <n v="1.0795332136445241"/>
    <n v="1.1648410586678206"/>
    <n v="0.85034013605442171"/>
    <n v="1.1213131007097483"/>
    <n v="1.0790228998469584"/>
    <n v="0.90933567693352424"/>
    <n v="1"/>
    <n v="-1"/>
    <n v="1"/>
    <n v="-1"/>
    <n v="-1"/>
    <n v="1"/>
    <n v="0.5"/>
    <n v="0"/>
    <n v="1"/>
    <n v="0"/>
    <n v="2"/>
    <s v="Neutral YSRCP"/>
  </r>
  <r>
    <s v="06187d59-9007-4fbd-89f9-7a392968e47d"/>
    <x v="9"/>
    <s v="1/28/2026, 11:48:54 AM"/>
    <s v="16.471795, 81.843947"/>
    <s v="FRCV+RJ5, Razole, Andhra Pradesh, India"/>
    <x v="3"/>
    <s v="Naeem"/>
    <s v="http://164.52.221.216/localmedia/media/surveys/samples/recording_2026-01-28_11-46-17_samples_5jKXAYKnNn.mp4"/>
    <x v="0"/>
    <x v="1"/>
    <x v="1"/>
    <x v="2"/>
    <s v="క్రిస్టియన్"/>
    <x v="1"/>
    <s v="vinay kumar"/>
    <n v="7416770273"/>
    <x v="0"/>
    <x v="3"/>
    <x v="2"/>
    <x v="0"/>
    <x v="0"/>
    <x v="0"/>
    <s v="విద్య రంగం అభివృద్ధి చేయటం, ఆరోగ్య రంగం అభివృద్ధి చేయటం, సంక్షేమ పథకాలు (నగదు)"/>
    <x v="0"/>
    <x v="0"/>
    <x v="0"/>
    <x v="0"/>
    <x v="0"/>
    <x v="3"/>
    <s v="Ashish Sk"/>
    <n v="0"/>
    <n v="0"/>
    <x v="0"/>
    <n v="1.3836274505214585"/>
    <n v="1.8055837563451775"/>
    <n v="1.9482662206881376"/>
    <n v="0.85034013605442171"/>
    <n v="1.1213131007097483"/>
    <n v="1.0790228998469584"/>
    <n v="0.90933567693352424"/>
    <n v="1"/>
    <n v="1"/>
    <n v="1"/>
    <n v="1"/>
    <n v="1"/>
    <n v="1"/>
    <n v="5.5"/>
    <n v="6"/>
    <n v="5"/>
    <n v="4"/>
    <n v="3"/>
    <s v="YSRCP HardCore"/>
  </r>
  <r>
    <s v="f352b584-2cb7-4fdb-bbc6-d591a3febf5f"/>
    <x v="9"/>
    <s v="1/28/2026, 9:34:05 AM"/>
    <s v="16.480535, 81.845942"/>
    <s v="FRJW+P27, Somapalle, Andhra Pradesh, India"/>
    <x v="3"/>
    <s v="Naeem"/>
    <s v="http://164.52.221.216/localmedia/media/surveys/samples/recording_2026-01-28_09-31-44_samples_7nlhTlvH0c.mp4"/>
    <x v="0"/>
    <x v="1"/>
    <x v="1"/>
    <x v="4"/>
    <s v="క్రిస్టియన్"/>
    <x v="1"/>
    <s v="dharmendra"/>
    <n v="9885284003"/>
    <x v="0"/>
    <x v="5"/>
    <x v="0"/>
    <x v="0"/>
    <x v="0"/>
    <x v="0"/>
    <s v="రోడ్లు వేయటం, ఉద్యొగ్య అవకాశాలు కల్పించటం, శాంతి భద్రతలను కాపాడటం, విద్య రంగం అభివృద్ధి చేయటం"/>
    <x v="0"/>
    <x v="0"/>
    <x v="0"/>
    <x v="0"/>
    <x v="0"/>
    <x v="5"/>
    <s v="Bhagya H"/>
    <s v="Correctly Done"/>
    <s v="No Remarks"/>
    <x v="0"/>
    <n v="1.3836274505214585"/>
    <n v="1.8055837563451775"/>
    <n v="1.9482662206881376"/>
    <n v="0.85034013605442171"/>
    <n v="1.1213131007097483"/>
    <n v="1.0790228998469584"/>
    <n v="0.90933567693352424"/>
    <n v="1"/>
    <n v="1"/>
    <n v="1"/>
    <n v="1"/>
    <n v="1"/>
    <n v="1"/>
    <n v="5.5"/>
    <n v="6"/>
    <n v="5"/>
    <n v="4"/>
    <n v="3"/>
    <s v="YSRCP HardCore"/>
  </r>
  <r>
    <s v="a0a41cca-05a1-46ef-a492-5980ea487462"/>
    <x v="9"/>
    <s v="1/28/2026, 9:42:34 AM"/>
    <s v="16.481787, 81.848156"/>
    <s v="FRJX+G97, Somapalle, Andhra Pradesh, India"/>
    <x v="3"/>
    <s v="Naeem"/>
    <s v="http://164.52.221.216/localmedia/media/surveys/samples/recording_2026-01-28_09-38-16_samples_emZsagkH26.mp4"/>
    <x v="0"/>
    <x v="1"/>
    <x v="1"/>
    <x v="0"/>
    <s v="హిందూ"/>
    <x v="1"/>
    <s v="njamu"/>
    <n v="999999999"/>
    <x v="1"/>
    <x v="5"/>
    <x v="1"/>
    <x v="1"/>
    <x v="1"/>
    <x v="1"/>
    <s v="రోడ్లు వేయటం, ఉద్యొగ్య అవకాశాలు కల్పించటం, ఆరోగ్య రంగం అభివృద్ధి చేయటం"/>
    <x v="0"/>
    <x v="0"/>
    <x v="2"/>
    <x v="2"/>
    <x v="1"/>
    <x v="1"/>
    <s v="Ashish Sk"/>
    <s v="Correctly Done"/>
    <s v="No Remark"/>
    <x v="0"/>
    <n v="1.3836274505214585"/>
    <n v="0.66153846153846207"/>
    <n v="1.2753497331114214"/>
    <n v="2.1645021645021645"/>
    <n v="1.1213131007097483"/>
    <n v="1.9278542477265657"/>
    <n v="1.2302776805571209"/>
    <n v="-1"/>
    <n v="-1"/>
    <n v="-1"/>
    <n v="1"/>
    <n v="-1"/>
    <n v="-1"/>
    <n v="-3.5"/>
    <n v="-4"/>
    <n v="-3"/>
    <n v="-2"/>
    <n v="-3"/>
    <s v="Neutral TDP"/>
  </r>
  <r>
    <s v="05a5c04f-9155-4b88-b2c8-213f0bdc6df4"/>
    <x v="9"/>
    <s v="1/28/2026, 11:39:39 AM"/>
    <s v="16.472031, 81.843816"/>
    <s v="FRCV+WC5, Razole, Andhra Pradesh, India"/>
    <x v="3"/>
    <s v="Naeem"/>
    <s v="http://164.52.221.216/localmedia/media/surveys/samples/recording_2026-01-28_11-34-56_samples_bWFZtkeu4Q.mp4"/>
    <x v="0"/>
    <x v="1"/>
    <x v="1"/>
    <x v="4"/>
    <s v="క్రిస్టియన్"/>
    <x v="3"/>
    <s v="mojesh"/>
    <n v="7702213343"/>
    <x v="0"/>
    <x v="4"/>
    <x v="2"/>
    <x v="0"/>
    <x v="0"/>
    <x v="0"/>
    <s v="రోడ్లు వేయటం, ఉద్యొగ్య అవకాశాలు కల్పించటం, విద్య రంగం అభివృద్ధి చేయటం"/>
    <x v="0"/>
    <x v="0"/>
    <x v="0"/>
    <x v="0"/>
    <x v="3"/>
    <x v="3"/>
    <s v="Deepika D"/>
    <n v="0"/>
    <n v="0"/>
    <x v="0"/>
    <n v="1.3836274505214585"/>
    <n v="1.8055837563451775"/>
    <n v="1.9482662206881376"/>
    <n v="0.85034013605442171"/>
    <n v="1.1213131007097483"/>
    <n v="1.0790228998469584"/>
    <n v="0.90933567693352424"/>
    <n v="1"/>
    <n v="1"/>
    <n v="1"/>
    <n v="1"/>
    <n v="1"/>
    <n v="1"/>
    <n v="5.5"/>
    <n v="6"/>
    <n v="5"/>
    <n v="4"/>
    <n v="3"/>
    <s v="YSRCP HardCore"/>
  </r>
  <r>
    <s v="412d1d79-db43-444d-8947-0164a778291a"/>
    <x v="9"/>
    <s v="1/28/2026, 10:07:00 AM"/>
    <s v="16.475979, 81.843925"/>
    <s v="SHOP NO.C46/3-41 BAARAM VARI STREET, Razole, Andhra Pradesh, India"/>
    <x v="3"/>
    <s v="Naeem"/>
    <s v="http://164.52.221.216/localmedia/media/surveys/samples/recording_2026-01-28_10-04-23_samples_mavhDA2TXD.mp4"/>
    <x v="1"/>
    <x v="1"/>
    <x v="1"/>
    <x v="0"/>
    <s v="హిందూ"/>
    <x v="0"/>
    <s v="no"/>
    <n v="9999999999"/>
    <x v="0"/>
    <x v="5"/>
    <x v="2"/>
    <x v="0"/>
    <x v="0"/>
    <x v="0"/>
    <s v="రోడ్లు వేయటం, ఉద్యొగ్య అవకాశాలు కల్పించటం, ఆరోగ్య రంగం అభివృద్ధి చేయటం"/>
    <x v="0"/>
    <x v="0"/>
    <x v="2"/>
    <x v="3"/>
    <x v="1"/>
    <x v="1"/>
    <s v="Deepika D"/>
    <n v="0"/>
    <n v="0"/>
    <x v="0"/>
    <n v="1.1705128247062893"/>
    <n v="0.66153846153846207"/>
    <n v="0.52890136495485462"/>
    <n v="0.85034013605442171"/>
    <n v="1.1213131007097483"/>
    <n v="0.79950206330384943"/>
    <n v="0.7401439088249181"/>
    <n v="1"/>
    <n v="1"/>
    <n v="1"/>
    <n v="1"/>
    <n v="-1"/>
    <n v="-1"/>
    <n v="2.5"/>
    <n v="2"/>
    <n v="1"/>
    <n v="0"/>
    <n v="-2"/>
    <s v="Neutral TDP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D579CF-F359-4BF7-8DFF-DBC9ACF5C42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N33:O38" firstHeaderRow="1" firstDataRow="1" firstDataCol="1" rowPageCount="1" colPageCount="1"/>
  <pivotFields count="5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2"/>
        <item x="1"/>
        <item x="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">
        <item x="1"/>
        <item x="0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32" item="1" hier="-1"/>
  </pageFields>
  <dataFields count="1">
    <dataField name="Count of Q18: Gender" fld="16" subtotal="count" baseField="0" baseItem="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627972-D0A6-48C9-AB27-96BAA250C50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F33:H55" firstHeaderRow="1" firstDataRow="1" firstDataCol="2" rowPageCount="1" colPageCount="1"/>
  <pivotFields count="5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2"/>
        <item x="1"/>
        <item x="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1">
        <item x="3"/>
        <item x="2"/>
        <item x="1"/>
        <item x="4"/>
        <item x="5"/>
        <item x="6"/>
        <item x="7"/>
        <item x="8"/>
        <item x="9"/>
        <item x="10"/>
        <item x="12"/>
        <item x="13"/>
        <item x="0"/>
        <item x="15"/>
        <item x="16"/>
        <item x="14"/>
        <item x="17"/>
        <item x="18"/>
        <item x="19"/>
        <item x="2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">
        <item x="1"/>
        <item x="0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9"/>
    <field x="10"/>
  </rowFields>
  <rowItems count="22">
    <i>
      <x/>
      <x/>
    </i>
    <i r="1">
      <x v="1"/>
    </i>
    <i r="1">
      <x v="3"/>
    </i>
    <i r="1">
      <x v="4"/>
    </i>
    <i>
      <x v="1"/>
      <x v="2"/>
    </i>
    <i r="1">
      <x v="9"/>
    </i>
    <i r="1">
      <x v="13"/>
    </i>
    <i r="1">
      <x v="16"/>
    </i>
    <i r="1">
      <x v="17"/>
    </i>
    <i r="1">
      <x v="18"/>
    </i>
    <i r="1">
      <x v="19"/>
    </i>
    <i>
      <x v="2"/>
      <x v="5"/>
    </i>
    <i r="1">
      <x v="6"/>
    </i>
    <i r="1">
      <x v="7"/>
    </i>
    <i r="1">
      <x v="8"/>
    </i>
    <i r="1">
      <x v="10"/>
    </i>
    <i r="1">
      <x v="11"/>
    </i>
    <i>
      <x v="3"/>
      <x v="12"/>
    </i>
    <i r="1">
      <x v="14"/>
    </i>
    <i r="1">
      <x v="15"/>
    </i>
    <i r="1">
      <x v="20"/>
    </i>
    <i t="grand">
      <x/>
    </i>
  </rowItems>
  <colItems count="1">
    <i/>
  </colItems>
  <pageFields count="1">
    <pageField fld="32" item="1" hier="-1"/>
  </pageFields>
  <dataFields count="1">
    <dataField name="Count of Q18: Gender" fld="16" subtotal="count" baseField="0" baseItem="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0CDCFB-53CB-4F2F-8890-31B3F48B24A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T33:W39" firstHeaderRow="1" firstDataRow="2" firstDataCol="1" rowPageCount="1" colPageCount="1"/>
  <pivotFields count="5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2"/>
        <item x="1"/>
        <item x="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dataField="1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">
        <item x="1"/>
        <item x="0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16"/>
  </colFields>
  <colItems count="3">
    <i>
      <x/>
    </i>
    <i>
      <x v="1"/>
    </i>
    <i t="grand">
      <x/>
    </i>
  </colItems>
  <pageFields count="1">
    <pageField fld="32" item="1" hier="-1"/>
  </pageFields>
  <dataFields count="1">
    <dataField name="Count of Q18: Gender" fld="16" subtotal="count" baseField="0" baseItem="0"/>
  </dataFields>
  <formats count="3">
    <format dxfId="641">
      <pivotArea outline="0" collapsedLevelsAreSubtotals="1" fieldPosition="0"/>
    </format>
    <format dxfId="640">
      <pivotArea outline="0" collapsedLevelsAreSubtotals="1" fieldPosition="0"/>
    </format>
    <format dxfId="639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CCC189-9B98-4629-86B1-5DB98028FC7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9" firstHeaderRow="1" firstDataRow="1" firstDataCol="2" rowPageCount="1" colPageCount="1"/>
  <pivotFields count="5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7">
        <item x="4"/>
        <item x="6"/>
        <item x="0"/>
        <item x="1"/>
        <item x="2"/>
        <item x="5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">
        <item x="1"/>
        <item x="0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5"/>
  </rowFields>
  <rowItems count="26">
    <i>
      <x/>
      <x v="2"/>
    </i>
    <i r="1">
      <x v="3"/>
    </i>
    <i>
      <x v="1"/>
      <x v="4"/>
    </i>
    <i r="1">
      <x v="6"/>
    </i>
    <i>
      <x v="2"/>
      <x/>
    </i>
    <i r="1">
      <x v="3"/>
    </i>
    <i r="1">
      <x v="6"/>
    </i>
    <i>
      <x v="3"/>
      <x/>
    </i>
    <i r="1">
      <x v="3"/>
    </i>
    <i r="1">
      <x v="6"/>
    </i>
    <i>
      <x v="4"/>
      <x/>
    </i>
    <i r="1">
      <x v="3"/>
    </i>
    <i r="1">
      <x v="5"/>
    </i>
    <i r="1">
      <x v="6"/>
    </i>
    <i>
      <x v="5"/>
      <x/>
    </i>
    <i r="1">
      <x v="1"/>
    </i>
    <i r="1">
      <x v="2"/>
    </i>
    <i r="1">
      <x v="3"/>
    </i>
    <i r="1">
      <x v="5"/>
    </i>
    <i r="1">
      <x v="6"/>
    </i>
    <i>
      <x v="6"/>
      <x v="2"/>
    </i>
    <i r="1">
      <x v="6"/>
    </i>
    <i>
      <x v="7"/>
      <x v="6"/>
    </i>
    <i>
      <x v="8"/>
      <x v="6"/>
    </i>
    <i>
      <x v="9"/>
      <x v="6"/>
    </i>
    <i t="grand">
      <x/>
    </i>
  </rowItems>
  <colItems count="1">
    <i/>
  </colItems>
  <pageFields count="1">
    <pageField fld="32" item="1" hier="-1"/>
  </pageFields>
  <dataFields count="1">
    <dataField name="Count of Q18: Gender" fld="16" subtotal="count" baseField="0" baseItem="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F686EA-C347-4466-A80F-DF8D36DB36F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1:C27" firstHeaderRow="0" firstDataRow="1" firstDataCol="1" rowPageCount="1" colPageCount="1"/>
  <pivotFields count="5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2024 AE" axis="axisRow" compact="0" outline="0" showAll="0" defaultSubtotal="0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">
        <item x="1"/>
        <item x="0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32" item="1" hier="-1"/>
  </pageFields>
  <dataFields count="2">
    <dataField name="Count of Q18: Gender" fld="16" subtotal="count" baseField="0" baseItem="0"/>
    <dataField name="Count of Q18: Gender2" fld="16" subtotal="count" showDataAs="percentOfCol" baseField="0" baseItem="0" numFmtId="164"/>
  </dataFields>
  <formats count="19">
    <format dxfId="563">
      <pivotArea type="all" dataOnly="0" outline="0" fieldPosition="0"/>
    </format>
    <format dxfId="562">
      <pivotArea outline="0" collapsedLevelsAreSubtotals="1" fieldPosition="0"/>
    </format>
    <format dxfId="561">
      <pivotArea field="26" type="button" dataOnly="0" labelOnly="1" outline="0" axis="axisRow" fieldPosition="0"/>
    </format>
    <format dxfId="560">
      <pivotArea dataOnly="0" labelOnly="1" outline="0" fieldPosition="0">
        <references count="1">
          <reference field="26" count="0"/>
        </references>
      </pivotArea>
    </format>
    <format dxfId="559">
      <pivotArea dataOnly="0" labelOnly="1" grandRow="1" outline="0" fieldPosition="0"/>
    </format>
    <format dxfId="558">
      <pivotArea dataOnly="0" labelOnly="1" outline="0" axis="axisValues" fieldPosition="0"/>
    </format>
    <format dxfId="557">
      <pivotArea type="all" dataOnly="0" outline="0" fieldPosition="0"/>
    </format>
    <format dxfId="556">
      <pivotArea dataOnly="0" labelOnly="1" outline="0" axis="axisValues" fieldPosition="0"/>
    </format>
    <format dxfId="555">
      <pivotArea outline="0" fieldPosition="0">
        <references count="1">
          <reference field="4294967294" count="1">
            <x v="1"/>
          </reference>
        </references>
      </pivotArea>
    </format>
    <format dxfId="554">
      <pivotArea type="all" dataOnly="0" outline="0" fieldPosition="0"/>
    </format>
    <format dxfId="553">
      <pivotArea outline="0" fieldPosition="0">
        <references count="1">
          <reference field="4294967294" count="1" selected="0">
            <x v="1"/>
          </reference>
        </references>
      </pivotArea>
    </format>
    <format dxfId="552">
      <pivotArea outline="0" fieldPosition="0">
        <references count="1">
          <reference field="4294967294" count="1" selected="0">
            <x v="1"/>
          </reference>
        </references>
      </pivotArea>
    </format>
    <format dxfId="551">
      <pivotArea type="all" dataOnly="0" outline="0" fieldPosition="0"/>
    </format>
    <format dxfId="550">
      <pivotArea outline="0" collapsedLevelsAreSubtotals="1" fieldPosition="0"/>
    </format>
    <format dxfId="549">
      <pivotArea field="26" type="button" dataOnly="0" labelOnly="1" outline="0" axis="axisRow" fieldPosition="0"/>
    </format>
    <format dxfId="548">
      <pivotArea dataOnly="0" labelOnly="1" outline="0" fieldPosition="0">
        <references count="1">
          <reference field="26" count="0"/>
        </references>
      </pivotArea>
    </format>
    <format dxfId="547">
      <pivotArea dataOnly="0" labelOnly="1" grandRow="1" outline="0" fieldPosition="0"/>
    </format>
    <format dxfId="54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45">
      <pivotArea outline="0" fieldPosition="0">
        <references count="1">
          <reference field="4294967294" count="1" selected="0">
            <x v="0"/>
          </reference>
        </references>
      </pivotArea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CB3370-62EB-48BB-8358-C61690C93EBB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A3:AE45" firstHeaderRow="1" firstDataRow="2" firstDataCol="2" rowPageCount="1" colPageCount="1"/>
  <pivotFields count="5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">
        <item x="0"/>
        <item x="2"/>
        <item x="1"/>
        <item x="6"/>
        <item x="8"/>
        <item x="4"/>
        <item x="9"/>
        <item x="3"/>
        <item x="7"/>
        <item x="5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2"/>
        <item x="1"/>
        <item x="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dataField="1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2024 AE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">
        <item x="1"/>
        <item x="0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9"/>
    <field x="8"/>
  </rowFields>
  <rowItems count="41">
    <i>
      <x/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Fields count="1">
    <field x="16"/>
  </colFields>
  <colItems count="3">
    <i>
      <x/>
    </i>
    <i>
      <x v="1"/>
    </i>
    <i t="grand">
      <x/>
    </i>
  </colItems>
  <pageFields count="1">
    <pageField fld="32" item="1" hier="-1"/>
  </pageFields>
  <dataFields count="1">
    <dataField name="Count of Q18: Gender" fld="16" subtotal="count" baseField="0" baseItem="0"/>
  </dataFields>
  <formats count="23">
    <format dxfId="586">
      <pivotArea type="all" dataOnly="0" outline="0" fieldPosition="0"/>
    </format>
    <format dxfId="585">
      <pivotArea outline="0" collapsedLevelsAreSubtotals="1" fieldPosition="0"/>
    </format>
    <format dxfId="584">
      <pivotArea field="9" type="button" dataOnly="0" labelOnly="1" outline="0" axis="axisRow" fieldPosition="0"/>
    </format>
    <format dxfId="583">
      <pivotArea dataOnly="0" labelOnly="1" outline="0" fieldPosition="0">
        <references count="1">
          <reference field="9" count="1">
            <x v="0"/>
          </reference>
        </references>
      </pivotArea>
    </format>
    <format dxfId="582">
      <pivotArea dataOnly="0" labelOnly="1" grandRow="1" outline="0" fieldPosition="0"/>
    </format>
    <format dxfId="581">
      <pivotArea dataOnly="0" labelOnly="1" outline="0" axis="axisValues" fieldPosition="0"/>
    </format>
    <format dxfId="580">
      <pivotArea type="all" dataOnly="0" outline="0" fieldPosition="0"/>
    </format>
    <format dxfId="579">
      <pivotArea outline="0" collapsedLevelsAreSubtotals="1" fieldPosition="0"/>
    </format>
    <format dxfId="578">
      <pivotArea type="origin" dataOnly="0" labelOnly="1" outline="0" fieldPosition="0"/>
    </format>
    <format dxfId="577">
      <pivotArea field="16" type="button" dataOnly="0" labelOnly="1" outline="0" axis="axisCol" fieldPosition="0"/>
    </format>
    <format dxfId="576">
      <pivotArea type="topRight" dataOnly="0" labelOnly="1" outline="0" fieldPosition="0"/>
    </format>
    <format dxfId="575">
      <pivotArea field="9" type="button" dataOnly="0" labelOnly="1" outline="0" axis="axisRow" fieldPosition="0"/>
    </format>
    <format dxfId="574">
      <pivotArea field="8" type="button" dataOnly="0" labelOnly="1" outline="0" axis="axisRow" fieldPosition="1"/>
    </format>
    <format dxfId="573">
      <pivotArea dataOnly="0" labelOnly="1" outline="0" fieldPosition="0">
        <references count="1">
          <reference field="9" count="1">
            <x v="0"/>
          </reference>
        </references>
      </pivotArea>
    </format>
    <format dxfId="572">
      <pivotArea dataOnly="0" labelOnly="1" grandRow="1" outline="0" fieldPosition="0"/>
    </format>
    <format dxfId="571">
      <pivotArea dataOnly="0" labelOnly="1" outline="0" fieldPosition="0">
        <references count="2">
          <reference field="8" count="8">
            <x v="0"/>
            <x v="1"/>
            <x v="2"/>
            <x v="3"/>
            <x v="4"/>
            <x v="5"/>
            <x v="7"/>
            <x v="8"/>
          </reference>
          <reference field="9" count="1" selected="0">
            <x v="0"/>
          </reference>
        </references>
      </pivotArea>
    </format>
    <format dxfId="570">
      <pivotArea dataOnly="0" labelOnly="1" outline="0" fieldPosition="0">
        <references count="1">
          <reference field="16" count="0"/>
        </references>
      </pivotArea>
    </format>
    <format dxfId="569">
      <pivotArea dataOnly="0" labelOnly="1" grandCol="1" outline="0" fieldPosition="0"/>
    </format>
    <format dxfId="568">
      <pivotArea outline="0" collapsedLevelsAreSubtotals="1" fieldPosition="0"/>
    </format>
    <format dxfId="567">
      <pivotArea field="16" type="button" dataOnly="0" labelOnly="1" outline="0" axis="axisCol" fieldPosition="0"/>
    </format>
    <format dxfId="566">
      <pivotArea type="topRight" dataOnly="0" labelOnly="1" outline="0" fieldPosition="0"/>
    </format>
    <format dxfId="565">
      <pivotArea dataOnly="0" labelOnly="1" outline="0" fieldPosition="0">
        <references count="1">
          <reference field="16" count="2">
            <x v="0"/>
            <x v="1"/>
          </reference>
        </references>
      </pivotArea>
    </format>
    <format dxfId="564">
      <pivotArea dataOnly="0" labelOnly="1" grandCol="1" outline="0" fieldPosition="0"/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72C7FD-3B96-45E3-B510-EFF0ADFC55CA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2:C47" firstHeaderRow="0" firstDataRow="1" firstDataCol="1" rowPageCount="1" colPageCount="1"/>
  <pivotFields count="5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0"/>
        <item x="2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2024 AE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">
        <item x="1"/>
        <item x="0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32" item="1" hier="-1"/>
  </pageFields>
  <dataFields count="2">
    <dataField name="Count of Q18: Gender" fld="16" subtotal="count" baseField="0" baseItem="0"/>
    <dataField name="Count of Q18: Gender2" fld="16" subtotal="count" showDataAs="percentOfCol" baseField="0" baseItem="0" numFmtId="9"/>
  </dataFields>
  <formats count="27">
    <format dxfId="613">
      <pivotArea type="all" dataOnly="0" outline="0" fieldPosition="0"/>
    </format>
    <format dxfId="612">
      <pivotArea outline="0" collapsedLevelsAreSubtotals="1" fieldPosition="0"/>
    </format>
    <format dxfId="611">
      <pivotArea field="9" type="button" dataOnly="0" labelOnly="1" outline="0" axis="axisRow" fieldPosition="0"/>
    </format>
    <format dxfId="610">
      <pivotArea dataOnly="0" labelOnly="1" outline="0" fieldPosition="0">
        <references count="1">
          <reference field="9" count="1">
            <x v="1"/>
          </reference>
        </references>
      </pivotArea>
    </format>
    <format dxfId="609">
      <pivotArea dataOnly="0" labelOnly="1" grandRow="1" outline="0" fieldPosition="0"/>
    </format>
    <format dxfId="608">
      <pivotArea dataOnly="0" labelOnly="1" outline="0" axis="axisValues" fieldPosition="0"/>
    </format>
    <format dxfId="607">
      <pivotArea outline="0" fieldPosition="0">
        <references count="1">
          <reference field="4294967294" count="1">
            <x v="1"/>
          </reference>
        </references>
      </pivotArea>
    </format>
    <format dxfId="606">
      <pivotArea outline="0" fieldPosition="0">
        <references count="1">
          <reference field="4294967294" count="1" selected="0">
            <x v="1"/>
          </reference>
        </references>
      </pivotArea>
    </format>
    <format dxfId="605">
      <pivotArea outline="0" fieldPosition="0">
        <references count="1">
          <reference field="4294967294" count="1" selected="0">
            <x v="1"/>
          </reference>
        </references>
      </pivotArea>
    </format>
    <format dxfId="604">
      <pivotArea type="all" dataOnly="0" outline="0" fieldPosition="0"/>
    </format>
    <format dxfId="603">
      <pivotArea outline="0" collapsedLevelsAreSubtotals="1" fieldPosition="0"/>
    </format>
    <format dxfId="602">
      <pivotArea field="9" type="button" dataOnly="0" labelOnly="1" outline="0" axis="axisRow" fieldPosition="0"/>
    </format>
    <format dxfId="601">
      <pivotArea dataOnly="0" labelOnly="1" grandRow="1" outline="0" fieldPosition="0"/>
    </format>
    <format dxfId="60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99">
      <pivotArea outline="0" fieldPosition="0">
        <references count="1">
          <reference field="9" count="0" selected="0"/>
        </references>
      </pivotArea>
    </format>
    <format dxfId="598">
      <pivotArea dataOnly="0" labelOnly="1" outline="0" fieldPosition="0">
        <references count="1">
          <reference field="9" count="0"/>
        </references>
      </pivotArea>
    </format>
    <format dxfId="597">
      <pivotArea type="all" dataOnly="0" outline="0" fieldPosition="0"/>
    </format>
    <format dxfId="596">
      <pivotArea outline="0" collapsedLevelsAreSubtotals="1" fieldPosition="0"/>
    </format>
    <format dxfId="595">
      <pivotArea field="9" type="button" dataOnly="0" labelOnly="1" outline="0" axis="axisRow" fieldPosition="0"/>
    </format>
    <format dxfId="594">
      <pivotArea dataOnly="0" labelOnly="1" outline="0" fieldPosition="0">
        <references count="1">
          <reference field="9" count="0"/>
        </references>
      </pivotArea>
    </format>
    <format dxfId="593">
      <pivotArea dataOnly="0" labelOnly="1" grandRow="1" outline="0" fieldPosition="0"/>
    </format>
    <format dxfId="59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91">
      <pivotArea field="9" type="button" dataOnly="0" labelOnly="1" outline="0" axis="axisRow" fieldPosition="0"/>
    </format>
    <format dxfId="590">
      <pivotArea dataOnly="0" labelOnly="1" outline="0" fieldPosition="0">
        <references count="1">
          <reference field="9" count="0"/>
        </references>
      </pivotArea>
    </format>
    <format dxfId="589">
      <pivotArea dataOnly="0" labelOnly="1" grandRow="1" outline="0" fieldPosition="0"/>
    </format>
    <format dxfId="588">
      <pivotArea outline="0" fieldPosition="0">
        <references count="1">
          <reference field="9" count="0" selected="0"/>
        </references>
      </pivotArea>
    </format>
    <format dxfId="587">
      <pivotArea field="9" grandRow="1" outline="0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7D9D45-2FCE-46D2-BA78-4635688551E5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3:C58" firstHeaderRow="0" firstDataRow="1" firstDataCol="1" rowPageCount="1" colPageCount="1"/>
  <pivotFields count="5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3"/>
        <item x="1"/>
        <item x="0"/>
        <item x="2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2024 AE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">
        <item x="1"/>
        <item x="0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32" item="1" hier="-1"/>
  </pageFields>
  <dataFields count="2">
    <dataField name="Count of Q18: Gender" fld="16" subtotal="count" baseField="0" baseItem="0"/>
    <dataField name="Count of Q18: Gender2" fld="16" subtotal="count" showDataAs="percentOfCol" baseField="0" baseItem="0" numFmtId="9"/>
  </dataFields>
  <formats count="9">
    <format dxfId="622">
      <pivotArea type="all" dataOnly="0" outline="0" fieldPosition="0"/>
    </format>
    <format dxfId="621">
      <pivotArea outline="0" collapsedLevelsAreSubtotals="1" fieldPosition="0"/>
    </format>
    <format dxfId="620">
      <pivotArea field="13" type="button" dataOnly="0" labelOnly="1" outline="0" axis="axisRow" fieldPosition="0"/>
    </format>
    <format dxfId="619">
      <pivotArea dataOnly="0" labelOnly="1" outline="0" fieldPosition="0">
        <references count="1">
          <reference field="13" count="0"/>
        </references>
      </pivotArea>
    </format>
    <format dxfId="618">
      <pivotArea dataOnly="0" labelOnly="1" grandRow="1" outline="0" fieldPosition="0"/>
    </format>
    <format dxfId="617">
      <pivotArea dataOnly="0" labelOnly="1" outline="0" axis="axisValues" fieldPosition="0"/>
    </format>
    <format dxfId="616">
      <pivotArea outline="0" fieldPosition="0">
        <references count="1">
          <reference field="4294967294" count="1">
            <x v="1"/>
          </reference>
        </references>
      </pivotArea>
    </format>
    <format dxfId="615">
      <pivotArea outline="0" fieldPosition="0">
        <references count="1">
          <reference field="4294967294" count="1" selected="0">
            <x v="1"/>
          </reference>
        </references>
      </pivotArea>
    </format>
    <format dxfId="614">
      <pivotArea outline="0" fieldPosition="0">
        <references count="1">
          <reference field="4294967294" count="1" selected="0">
            <x v="1"/>
          </reference>
        </references>
      </pivotArea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B0DF92-2209-4129-89AC-06CA46AEADF2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3:C36" firstHeaderRow="0" firstDataRow="1" firstDataCol="1" rowPageCount="1" colPageCount="1"/>
  <pivotFields count="5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2024 AE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">
        <item x="1"/>
        <item x="0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6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32" item="1" hier="-1"/>
  </pageFields>
  <dataFields count="2">
    <dataField name="Count of Q18: Gender" fld="16" subtotal="count" baseField="0" baseItem="0"/>
    <dataField name="Count of Q18: Gender2" fld="16" subtotal="count" showDataAs="percentOfCol" baseField="0" baseItem="0" numFmtId="9"/>
  </dataFields>
  <formats count="16">
    <format dxfId="638">
      <pivotArea type="all" dataOnly="0" outline="0" fieldPosition="0"/>
    </format>
    <format dxfId="637">
      <pivotArea outline="0" collapsedLevelsAreSubtotals="1" fieldPosition="0"/>
    </format>
    <format dxfId="636">
      <pivotArea field="16" type="button" dataOnly="0" labelOnly="1" outline="0" axis="axisRow" fieldPosition="0"/>
    </format>
    <format dxfId="635">
      <pivotArea dataOnly="0" labelOnly="1" outline="0" fieldPosition="0">
        <references count="1">
          <reference field="16" count="0"/>
        </references>
      </pivotArea>
    </format>
    <format dxfId="634">
      <pivotArea dataOnly="0" labelOnly="1" grandRow="1" outline="0" fieldPosition="0"/>
    </format>
    <format dxfId="633">
      <pivotArea dataOnly="0" labelOnly="1" outline="0" axis="axisValues" fieldPosition="0"/>
    </format>
    <format dxfId="632">
      <pivotArea outline="0" fieldPosition="0">
        <references count="1">
          <reference field="4294967294" count="1">
            <x v="1"/>
          </reference>
        </references>
      </pivotArea>
    </format>
    <format dxfId="631">
      <pivotArea outline="0" fieldPosition="0">
        <references count="1">
          <reference field="4294967294" count="1" selected="0">
            <x v="1"/>
          </reference>
        </references>
      </pivotArea>
    </format>
    <format dxfId="630">
      <pivotArea outline="0" fieldPosition="0">
        <references count="1">
          <reference field="4294967294" count="1" selected="0">
            <x v="1"/>
          </reference>
        </references>
      </pivotArea>
    </format>
    <format dxfId="629">
      <pivotArea type="all" dataOnly="0" outline="0" fieldPosition="0"/>
    </format>
    <format dxfId="628">
      <pivotArea outline="0" collapsedLevelsAreSubtotals="1" fieldPosition="0"/>
    </format>
    <format dxfId="627">
      <pivotArea field="16" type="button" dataOnly="0" labelOnly="1" outline="0" axis="axisRow" fieldPosition="0"/>
    </format>
    <format dxfId="626">
      <pivotArea dataOnly="0" labelOnly="1" outline="0" fieldPosition="0">
        <references count="1">
          <reference field="16" count="0"/>
        </references>
      </pivotArea>
    </format>
    <format dxfId="625">
      <pivotArea dataOnly="0" labelOnly="1" grandRow="1" outline="0" fieldPosition="0"/>
    </format>
    <format dxfId="6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23">
      <pivotArea outline="0" collapsedLevelsAreSubtotals="1" fieldPosition="0"/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1337DD-FE76-4245-AAE6-17641156AFB7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4:G8" firstHeaderRow="0" firstDataRow="1" firstDataCol="1" rowPageCount="2" colPageCount="1"/>
  <pivotFields count="5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4">
        <item x="2"/>
        <item x="1"/>
        <item x="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1">
        <item x="3"/>
        <item x="2"/>
        <item x="1"/>
        <item x="4"/>
        <item x="5"/>
        <item x="6"/>
        <item x="7"/>
        <item x="8"/>
        <item x="9"/>
        <item x="10"/>
        <item x="12"/>
        <item x="13"/>
        <item x="0"/>
        <item x="15"/>
        <item x="16"/>
        <item x="14"/>
        <item x="17"/>
        <item x="18"/>
        <item x="19"/>
        <item x="2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5">
        <item x="1"/>
        <item x="0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1"/>
        <item x="0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">
        <item x="1"/>
        <item x="0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7"/>
  </rowFields>
  <rowItems count="4"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2">
    <pageField fld="32" item="1" hier="-1"/>
    <pageField fld="26" item="1" hier="-1"/>
  </pageFields>
  <dataFields count="2">
    <dataField name="Count of Q18: Gender" fld="16" subtotal="count" showDataAs="percentOfCol" baseField="0" baseItem="0" numFmtId="9"/>
    <dataField name="Count of Q18: Gender2" fld="16" subtotal="count" baseField="0" baseItem="0"/>
  </dataFields>
  <formats count="15">
    <format dxfId="510">
      <pivotArea type="all" dataOnly="0" outline="0" fieldPosition="0"/>
    </format>
    <format dxfId="509">
      <pivotArea field="9" type="button" dataOnly="0" labelOnly="1" outline="0"/>
    </format>
    <format dxfId="508">
      <pivotArea field="10" type="button" dataOnly="0" labelOnly="1" outline="0"/>
    </format>
    <format dxfId="507">
      <pivotArea field="27" type="button" dataOnly="0" labelOnly="1" outline="0" axis="axisRow" fieldPosition="0"/>
    </format>
    <format dxfId="506">
      <pivotArea field="27" type="button" dataOnly="0" labelOnly="1" outline="0" axis="axisRow" fieldPosition="0"/>
    </format>
    <format dxfId="505">
      <pivotArea type="all" dataOnly="0" outline="0" fieldPosition="0"/>
    </format>
    <format dxfId="504">
      <pivotArea outline="0" collapsedLevelsAreSubtotals="1" fieldPosition="0"/>
    </format>
    <format dxfId="503">
      <pivotArea dataOnly="0" labelOnly="1" outline="0" fieldPosition="0">
        <references count="1">
          <reference field="27" count="2">
            <x v="1"/>
            <x v="2"/>
          </reference>
        </references>
      </pivotArea>
    </format>
    <format dxfId="502">
      <pivotArea dataOnly="0" labelOnly="1" grandRow="1" outline="0" fieldPosition="0"/>
    </format>
    <format dxfId="501">
      <pivotArea dataOnly="0" labelOnly="1" outline="0" axis="axisValues" fieldPosition="0"/>
    </format>
    <format dxfId="500">
      <pivotArea field="27" type="button" dataOnly="0" labelOnly="1" outline="0" axis="axisRow" fieldPosition="0"/>
    </format>
    <format dxfId="499">
      <pivotArea outline="0" fieldPosition="0">
        <references count="1">
          <reference field="4294967294" count="1">
            <x v="0"/>
          </reference>
        </references>
      </pivotArea>
    </format>
    <format dxfId="498">
      <pivotArea outline="0" collapsedLevelsAreSubtotals="1" fieldPosition="0"/>
    </format>
    <format dxfId="497">
      <pivotArea outline="0" collapsedLevelsAreSubtotals="1" fieldPosition="0"/>
    </format>
    <format dxfId="496">
      <pivotArea outline="0" fieldPosition="0">
        <references count="1">
          <reference field="4294967294" count="1" selected="0">
            <x v="1"/>
          </reference>
        </references>
      </pivotArea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C69BAF-7DFC-4AB3-AC49-2790A79C08C0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C8" firstHeaderRow="0" firstDataRow="1" firstDataCol="1" rowPageCount="1" colPageCount="1"/>
  <pivotFields count="5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2029 Party Pref" axis="axisRow" compact="0" outline="0" showAll="0" defaultSubtotal="0">
      <items count="4">
        <item x="1"/>
        <item x="0"/>
        <item x="2"/>
        <item m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">
        <item x="1"/>
        <item x="0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32" item="1" hier="-1"/>
  </pageFields>
  <dataFields count="2">
    <dataField name="Count of Q18: Gender" fld="16" subtotal="count" showDataAs="percentOfCol" baseField="0" baseItem="0" numFmtId="9"/>
    <dataField name="Count of Q18: Gender2" fld="16" subtotal="count" baseField="0" baseItem="0"/>
  </dataFields>
  <formats count="12">
    <format dxfId="522">
      <pivotArea type="all" dataOnly="0" outline="0" fieldPosition="0"/>
    </format>
    <format dxfId="521">
      <pivotArea outline="0" collapsedLevelsAreSubtotals="1" fieldPosition="0"/>
    </format>
    <format dxfId="520">
      <pivotArea field="25" type="button" dataOnly="0" labelOnly="1" outline="0" axis="axisRow" fieldPosition="0"/>
    </format>
    <format dxfId="519">
      <pivotArea dataOnly="0" labelOnly="1" outline="0" fieldPosition="0">
        <references count="1">
          <reference field="25" count="0"/>
        </references>
      </pivotArea>
    </format>
    <format dxfId="518">
      <pivotArea dataOnly="0" labelOnly="1" grandRow="1" outline="0" fieldPosition="0"/>
    </format>
    <format dxfId="517">
      <pivotArea dataOnly="0" labelOnly="1" outline="0" axis="axisValues" fieldPosition="0"/>
    </format>
    <format dxfId="516">
      <pivotArea outline="0" fieldPosition="0">
        <references count="1">
          <reference field="4294967294" count="1">
            <x v="0"/>
          </reference>
        </references>
      </pivotArea>
    </format>
    <format dxfId="515">
      <pivotArea outline="0" collapsedLevelsAreSubtotals="1" fieldPosition="0"/>
    </format>
    <format dxfId="514">
      <pivotArea outline="0" collapsedLevelsAreSubtotals="1" fieldPosition="0"/>
    </format>
    <format dxfId="513">
      <pivotArea outline="0" fieldPosition="0">
        <references count="1">
          <reference field="4294967294" count="1" selected="0">
            <x v="1"/>
          </reference>
        </references>
      </pivotArea>
    </format>
    <format dxfId="512">
      <pivotArea outline="0" collapsedLevelsAreSubtotals="1" fieldPosition="0"/>
    </format>
    <format dxfId="511">
      <pivotArea outline="0" fieldPosition="0">
        <references count="2">
          <reference field="4294967294" count="1" selected="0">
            <x v="1"/>
          </reference>
          <reference field="25" count="1" selected="0">
            <x v="2"/>
          </reference>
        </references>
      </pivotArea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5431FE-C847-4D07-B4DF-6D7904E7D37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4:B17" firstHeaderRow="1" firstDataRow="1" firstDataCol="1"/>
  <pivotFields count="5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2029 Party Pref" compact="0" outline="0" showAll="0" defaultSubtotal="0">
      <items count="4">
        <item x="1"/>
        <item x="0"/>
        <item x="2"/>
        <item m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3">
        <item x="1"/>
        <item x="0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2"/>
  </rowFields>
  <rowItems count="3">
    <i>
      <x/>
    </i>
    <i>
      <x v="1"/>
    </i>
    <i t="grand">
      <x/>
    </i>
  </rowItems>
  <colItems count="1">
    <i/>
  </colItems>
  <dataFields count="1">
    <dataField name="Sample Count" fld="16" subtotal="count" baseField="0" baseItem="0"/>
  </dataFields>
  <formats count="8">
    <format dxfId="530">
      <pivotArea type="all" dataOnly="0" outline="0" fieldPosition="0"/>
    </format>
    <format dxfId="529">
      <pivotArea outline="0" collapsedLevelsAreSubtotals="1" fieldPosition="0"/>
    </format>
    <format dxfId="528">
      <pivotArea field="25" type="button" dataOnly="0" labelOnly="1" outline="0"/>
    </format>
    <format dxfId="527">
      <pivotArea dataOnly="0" labelOnly="1" grandRow="1" outline="0" fieldPosition="0"/>
    </format>
    <format dxfId="526">
      <pivotArea dataOnly="0" labelOnly="1" outline="0" axis="axisValues" fieldPosition="0"/>
    </format>
    <format dxfId="525">
      <pivotArea outline="0" collapsedLevelsAreSubtotals="1" fieldPosition="0"/>
    </format>
    <format dxfId="524">
      <pivotArea outline="0" collapsedLevelsAreSubtotals="1" fieldPosition="0"/>
    </format>
    <format dxfId="523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B7F772-93F3-4FD9-AC4C-512769C956FB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14:G20" firstHeaderRow="0" firstDataRow="1" firstDataCol="1" rowPageCount="2" colPageCount="1"/>
  <pivotFields count="5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4">
        <item x="2"/>
        <item x="1"/>
        <item x="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1">
        <item x="3"/>
        <item x="2"/>
        <item x="1"/>
        <item x="4"/>
        <item x="5"/>
        <item x="6"/>
        <item x="7"/>
        <item x="8"/>
        <item x="9"/>
        <item x="10"/>
        <item x="12"/>
        <item x="13"/>
        <item x="0"/>
        <item x="15"/>
        <item x="16"/>
        <item x="14"/>
        <item x="17"/>
        <item x="18"/>
        <item x="19"/>
        <item x="2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5">
        <item x="1"/>
        <item x="0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">
        <item x="1"/>
        <item x="0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8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2">
    <pageField fld="32" item="1" hier="-1"/>
    <pageField fld="26" item="1" hier="-1"/>
  </pageFields>
  <dataFields count="2">
    <dataField name="Count of Q18: Gender" fld="16" subtotal="count" showDataAs="percentOfCol" baseField="0" baseItem="0" numFmtId="9"/>
    <dataField name="Count of Q18: Gender2" fld="16" subtotal="count" baseField="0" baseItem="0"/>
  </dataFields>
  <formats count="14">
    <format dxfId="544">
      <pivotArea type="all" dataOnly="0" outline="0" fieldPosition="0"/>
    </format>
    <format dxfId="543">
      <pivotArea field="9" type="button" dataOnly="0" labelOnly="1" outline="0"/>
    </format>
    <format dxfId="542">
      <pivotArea field="10" type="button" dataOnly="0" labelOnly="1" outline="0"/>
    </format>
    <format dxfId="541">
      <pivotArea field="28" type="button" dataOnly="0" labelOnly="1" outline="0" axis="axisRow" fieldPosition="0"/>
    </format>
    <format dxfId="540">
      <pivotArea field="28" type="button" dataOnly="0" labelOnly="1" outline="0" axis="axisRow" fieldPosition="0"/>
    </format>
    <format dxfId="539">
      <pivotArea type="all" dataOnly="0" outline="0" fieldPosition="0"/>
    </format>
    <format dxfId="538">
      <pivotArea outline="0" collapsedLevelsAreSubtotals="1" fieldPosition="0"/>
    </format>
    <format dxfId="537">
      <pivotArea dataOnly="0" labelOnly="1" outline="0" fieldPosition="0">
        <references count="1">
          <reference field="28" count="2">
            <x v="0"/>
            <x v="2"/>
          </reference>
        </references>
      </pivotArea>
    </format>
    <format dxfId="536">
      <pivotArea dataOnly="0" labelOnly="1" grandRow="1" outline="0" fieldPosition="0"/>
    </format>
    <format dxfId="535">
      <pivotArea dataOnly="0" labelOnly="1" outline="0" axis="axisValues" fieldPosition="0"/>
    </format>
    <format dxfId="534">
      <pivotArea field="28" type="button" dataOnly="0" labelOnly="1" outline="0" axis="axisRow" fieldPosition="0"/>
    </format>
    <format dxfId="533">
      <pivotArea outline="0" collapsedLevelsAreSubtotals="1" fieldPosition="0"/>
    </format>
    <format dxfId="532">
      <pivotArea outline="0" collapsedLevelsAreSubtotals="1" fieldPosition="0"/>
    </format>
    <format dxfId="531">
      <pivotArea outline="0" fieldPosition="0">
        <references count="1">
          <reference field="4294967294" count="1" selected="0">
            <x v="1"/>
          </reference>
        </references>
      </pivotArea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8F1119-1DA8-4A02-B5A7-68FD70447A9E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97:E103" firstHeaderRow="1" firstDataRow="2" firstDataCol="1" rowPageCount="1" colPageCount="1"/>
  <pivotFields count="5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3"/>
        <item x="1"/>
        <item x="0"/>
        <item x="2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2029 Party Pref" axis="axisCol" compact="0" outline="0" showAll="0" defaultSubtotal="0">
      <items count="4">
        <item x="0"/>
        <item x="1"/>
        <item x="2"/>
        <item m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">
        <item x="1"/>
        <item x="0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25"/>
  </colFields>
  <colItems count="4">
    <i>
      <x/>
    </i>
    <i>
      <x v="1"/>
    </i>
    <i>
      <x v="2"/>
    </i>
    <i t="grand">
      <x/>
    </i>
  </colItems>
  <pageFields count="1">
    <pageField fld="32" item="1" hier="-1"/>
  </pageFields>
  <dataFields count="1">
    <dataField name="Sum of Multi Factor" fld="35" showDataAs="percentOfRow" baseField="21" baseItem="2" numFmtId="9"/>
  </dataFields>
  <formats count="22"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25" type="button" dataOnly="0" labelOnly="1" outline="0" axis="axisCol" fieldPosition="0"/>
    </format>
    <format dxfId="72">
      <pivotArea dataOnly="0" labelOnly="1" outline="0" fieldPosition="0">
        <references count="1">
          <reference field="25" count="0"/>
        </references>
      </pivotArea>
    </format>
    <format dxfId="71">
      <pivotArea dataOnly="0" labelOnly="1" grandRow="1" outline="0" fieldPosition="0"/>
    </format>
    <format dxfId="70">
      <pivotArea dataOnly="0" labelOnly="1" outline="0" axis="axisValues" fieldPosition="0"/>
    </format>
    <format dxfId="69">
      <pivotArea outline="0" collapsedLevelsAreSubtotals="1" fieldPosition="0"/>
    </format>
    <format dxfId="68">
      <pivotArea outline="0" collapsedLevelsAreSubtotals="1" fieldPosition="0"/>
    </format>
    <format dxfId="67">
      <pivotArea outline="0" fieldPosition="0">
        <references count="1">
          <reference field="4294967294" count="1">
            <x v="0"/>
          </reference>
        </references>
      </pivotArea>
    </format>
    <format dxfId="66">
      <pivotArea outline="0" fieldPosition="0">
        <references count="1">
          <reference field="4294967294" count="1" selected="0">
            <x v="0"/>
          </reference>
        </references>
      </pivotArea>
    </format>
    <format dxfId="65">
      <pivotArea field="32" type="button" dataOnly="0" labelOnly="1" outline="0" axis="axisPage" fieldPosition="0"/>
    </format>
    <format dxfId="64">
      <pivotArea field="25" type="button" dataOnly="0" labelOnly="1" outline="0" axis="axisCol" fieldPosition="0"/>
    </format>
    <format dxfId="63">
      <pivotArea dataOnly="0" labelOnly="1" outline="0" fieldPosition="0">
        <references count="1">
          <reference field="25" count="0"/>
        </references>
      </pivotArea>
    </format>
    <format dxfId="62">
      <pivotArea dataOnly="0" labelOnly="1" grandRow="1" outline="0" fieldPosition="0"/>
    </format>
    <format dxfId="61">
      <pivotArea field="32" type="button" dataOnly="0" labelOnly="1" outline="0" axis="axisPage" fieldPosition="0"/>
    </format>
    <format dxfId="60">
      <pivotArea field="25" type="button" dataOnly="0" labelOnly="1" outline="0" axis="axisCol" fieldPosition="0"/>
    </format>
    <format dxfId="59">
      <pivotArea dataOnly="0" labelOnly="1" outline="0" fieldPosition="0">
        <references count="1">
          <reference field="25" count="0"/>
        </references>
      </pivotArea>
    </format>
    <format dxfId="58">
      <pivotArea dataOnly="0" labelOnly="1" grandRow="1" outline="0" fieldPosition="0"/>
    </format>
    <format dxfId="57">
      <pivotArea field="32" type="button" dataOnly="0" labelOnly="1" outline="0" axis="axisPage" fieldPosition="0"/>
    </format>
    <format dxfId="56">
      <pivotArea field="25" type="button" dataOnly="0" labelOnly="1" outline="0" axis="axisCol" fieldPosition="0"/>
    </format>
    <format dxfId="55">
      <pivotArea dataOnly="0" labelOnly="1" outline="0" fieldPosition="0">
        <references count="1">
          <reference field="25" count="0"/>
        </references>
      </pivotArea>
    </format>
    <format dxfId="54">
      <pivotArea dataOnly="0" labelOnly="1" grandRow="1" outline="0" fieldPosition="0"/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B4F40D-98E1-4B21-A4CA-D8A949D90E0E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7:E73" firstHeaderRow="1" firstDataRow="2" firstDataCol="1" rowPageCount="1" colPageCount="1"/>
  <pivotFields count="5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0"/>
        <item x="2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2029 Party Pref" axis="axisCol" compact="0" outline="0" showAll="0" defaultSubtotal="0">
      <items count="4">
        <item x="0"/>
        <item x="1"/>
        <item m="1" x="3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">
        <item x="1"/>
        <item x="0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25"/>
  </colFields>
  <colItems count="4">
    <i>
      <x/>
    </i>
    <i>
      <x v="1"/>
    </i>
    <i>
      <x v="3"/>
    </i>
    <i t="grand">
      <x/>
    </i>
  </colItems>
  <pageFields count="1">
    <pageField fld="32" item="1" hier="-1"/>
  </pageFields>
  <dataFields count="1">
    <dataField name="Sum of Multi Factor" fld="35" showDataAs="percentOfRow" baseField="21" baseItem="2" numFmtId="9"/>
  </dataFields>
  <formats count="22">
    <format dxfId="97">
      <pivotArea type="all" dataOnly="0" outline="0" fieldPosition="0"/>
    </format>
    <format dxfId="96">
      <pivotArea outline="0" collapsedLevelsAreSubtotals="1" fieldPosition="0"/>
    </format>
    <format dxfId="95">
      <pivotArea field="25" type="button" dataOnly="0" labelOnly="1" outline="0" axis="axisCol" fieldPosition="0"/>
    </format>
    <format dxfId="94">
      <pivotArea dataOnly="0" labelOnly="1" outline="0" fieldPosition="0">
        <references count="1">
          <reference field="25" count="0"/>
        </references>
      </pivotArea>
    </format>
    <format dxfId="93">
      <pivotArea dataOnly="0" labelOnly="1" grandRow="1" outline="0" fieldPosition="0"/>
    </format>
    <format dxfId="92">
      <pivotArea dataOnly="0" labelOnly="1" outline="0" axis="axisValues" fieldPosition="0"/>
    </format>
    <format dxfId="91">
      <pivotArea outline="0" collapsedLevelsAreSubtotals="1" fieldPosition="0"/>
    </format>
    <format dxfId="90">
      <pivotArea outline="0" collapsedLevelsAreSubtotals="1" fieldPosition="0"/>
    </format>
    <format dxfId="89">
      <pivotArea outline="0" fieldPosition="0">
        <references count="1">
          <reference field="4294967294" count="1">
            <x v="0"/>
          </reference>
        </references>
      </pivotArea>
    </format>
    <format dxfId="88">
      <pivotArea outline="0" fieldPosition="0">
        <references count="1">
          <reference field="4294967294" count="1" selected="0">
            <x v="0"/>
          </reference>
        </references>
      </pivotArea>
    </format>
    <format dxfId="87">
      <pivotArea field="32" type="button" dataOnly="0" labelOnly="1" outline="0" axis="axisPage" fieldPosition="0"/>
    </format>
    <format dxfId="86">
      <pivotArea field="25" type="button" dataOnly="0" labelOnly="1" outline="0" axis="axisCol" fieldPosition="0"/>
    </format>
    <format dxfId="85">
      <pivotArea dataOnly="0" labelOnly="1" outline="0" fieldPosition="0">
        <references count="1">
          <reference field="25" count="0"/>
        </references>
      </pivotArea>
    </format>
    <format dxfId="84">
      <pivotArea dataOnly="0" labelOnly="1" grandRow="1" outline="0" fieldPosition="0"/>
    </format>
    <format dxfId="83">
      <pivotArea field="32" type="button" dataOnly="0" labelOnly="1" outline="0" axis="axisPage" fieldPosition="0"/>
    </format>
    <format dxfId="82">
      <pivotArea field="25" type="button" dataOnly="0" labelOnly="1" outline="0" axis="axisCol" fieldPosition="0"/>
    </format>
    <format dxfId="81">
      <pivotArea dataOnly="0" labelOnly="1" outline="0" fieldPosition="0">
        <references count="1">
          <reference field="25" count="0"/>
        </references>
      </pivotArea>
    </format>
    <format dxfId="80">
      <pivotArea dataOnly="0" labelOnly="1" grandRow="1" outline="0" fieldPosition="0"/>
    </format>
    <format dxfId="79">
      <pivotArea field="32" type="button" dataOnly="0" labelOnly="1" outline="0" axis="axisPage" fieldPosition="0"/>
    </format>
    <format dxfId="78">
      <pivotArea field="25" type="button" dataOnly="0" labelOnly="1" outline="0" axis="axisCol" fieldPosition="0"/>
    </format>
    <format dxfId="77">
      <pivotArea dataOnly="0" labelOnly="1" outline="0" fieldPosition="0">
        <references count="1">
          <reference field="25" count="0"/>
        </references>
      </pivotArea>
    </format>
    <format dxfId="76">
      <pivotArea dataOnly="0" labelOnly="1" grandRow="1" outline="0" fieldPosition="0"/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D23919-CC06-493A-BF82-C64DAC33602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2:B26" firstHeaderRow="1" firstDataRow="1" firstDataCol="1" rowPageCount="1" colPageCount="1"/>
  <pivotFields count="5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MLA Satisfaction" axis="axisRow" compact="0" outline="0" showAll="0" defaultSubtotal="0">
      <items count="3"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2029 Party Pref" compact="0" outline="0" showAll="0" defaultSubtotal="0">
      <items count="4">
        <item x="0"/>
        <item x="1"/>
        <item x="2"/>
        <item m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">
        <item x="1"/>
        <item x="0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8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32" item="1" hier="-1"/>
  </pageFields>
  <dataFields count="1">
    <dataField name="Sum of Multi Factor" fld="35" showDataAs="percentOfCol" baseField="21" baseItem="2" numFmtId="9"/>
  </dataFields>
  <formats count="22">
    <format dxfId="119">
      <pivotArea type="all" dataOnly="0" outline="0" fieldPosition="0"/>
    </format>
    <format dxfId="118">
      <pivotArea outline="0" collapsedLevelsAreSubtotals="1" fieldPosition="0"/>
    </format>
    <format dxfId="117">
      <pivotArea field="25" type="button" dataOnly="0" labelOnly="1" outline="0"/>
    </format>
    <format dxfId="116">
      <pivotArea dataOnly="0" labelOnly="1" grandRow="1" outline="0" fieldPosition="0"/>
    </format>
    <format dxfId="115">
      <pivotArea dataOnly="0" labelOnly="1" outline="0" axis="axisValues" fieldPosition="0"/>
    </format>
    <format dxfId="114">
      <pivotArea outline="0" collapsedLevelsAreSubtotals="1" fieldPosition="0"/>
    </format>
    <format dxfId="113">
      <pivotArea outline="0" collapsedLevelsAreSubtotals="1" fieldPosition="0"/>
    </format>
    <format dxfId="112">
      <pivotArea outline="0" fieldPosition="0">
        <references count="1">
          <reference field="4294967294" count="1">
            <x v="0"/>
          </reference>
        </references>
      </pivotArea>
    </format>
    <format dxfId="111">
      <pivotArea outline="0" fieldPosition="0">
        <references count="1">
          <reference field="4294967294" count="1" selected="0">
            <x v="0"/>
          </reference>
        </references>
      </pivotArea>
    </format>
    <format dxfId="110">
      <pivotArea field="18" type="button" dataOnly="0" labelOnly="1" outline="0" axis="axisRow" fieldPosition="0"/>
    </format>
    <format dxfId="109">
      <pivotArea field="32" type="button" dataOnly="0" labelOnly="1" outline="0" axis="axisPage" fieldPosition="0"/>
    </format>
    <format dxfId="108">
      <pivotArea field="18" type="button" dataOnly="0" labelOnly="1" outline="0" axis="axisRow" fieldPosition="0"/>
    </format>
    <format dxfId="107">
      <pivotArea dataOnly="0" labelOnly="1" outline="0" fieldPosition="0">
        <references count="1">
          <reference field="18" count="0"/>
        </references>
      </pivotArea>
    </format>
    <format dxfId="106">
      <pivotArea dataOnly="0" labelOnly="1" grandRow="1" outline="0" fieldPosition="0"/>
    </format>
    <format dxfId="105">
      <pivotArea field="32" type="button" dataOnly="0" labelOnly="1" outline="0" axis="axisPage" fieldPosition="0"/>
    </format>
    <format dxfId="104">
      <pivotArea field="18" type="button" dataOnly="0" labelOnly="1" outline="0" axis="axisRow" fieldPosition="0"/>
    </format>
    <format dxfId="103">
      <pivotArea dataOnly="0" labelOnly="1" outline="0" fieldPosition="0">
        <references count="1">
          <reference field="18" count="0"/>
        </references>
      </pivotArea>
    </format>
    <format dxfId="102">
      <pivotArea dataOnly="0" labelOnly="1" grandRow="1" outline="0" fieldPosition="0"/>
    </format>
    <format dxfId="101">
      <pivotArea field="32" type="button" dataOnly="0" labelOnly="1" outline="0" axis="axisPage" fieldPosition="0"/>
    </format>
    <format dxfId="100">
      <pivotArea field="18" type="button" dataOnly="0" labelOnly="1" outline="0" axis="axisRow" fieldPosition="0"/>
    </format>
    <format dxfId="99">
      <pivotArea dataOnly="0" labelOnly="1" outline="0" fieldPosition="0">
        <references count="1">
          <reference field="18" count="0"/>
        </references>
      </pivotArea>
    </format>
    <format dxfId="98">
      <pivotArea dataOnly="0" labelOnly="1" grandRow="1" outline="0" fieldPosition="0"/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31D2CD-93C9-40D5-AE99-6F7CF3BD5BF3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07:E111" firstHeaderRow="1" firstDataRow="2" firstDataCol="1" rowPageCount="1" colPageCount="1"/>
  <pivotFields count="5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2029 Party Pref" axis="axisCol" compact="0" outline="0" showAll="0" defaultSubtotal="0">
      <items count="4">
        <item x="0"/>
        <item x="1"/>
        <item x="2"/>
        <item m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">
        <item x="1"/>
        <item x="0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6"/>
  </rowFields>
  <rowItems count="3">
    <i>
      <x/>
    </i>
    <i>
      <x v="1"/>
    </i>
    <i t="grand">
      <x/>
    </i>
  </rowItems>
  <colFields count="1">
    <field x="25"/>
  </colFields>
  <colItems count="4">
    <i>
      <x/>
    </i>
    <i>
      <x v="1"/>
    </i>
    <i>
      <x v="2"/>
    </i>
    <i t="grand">
      <x/>
    </i>
  </colItems>
  <pageFields count="1">
    <pageField fld="32" item="1" hier="-1"/>
  </pageFields>
  <dataFields count="1">
    <dataField name="Sum of Multi Factor" fld="35" showDataAs="percentOfRow" baseField="21" baseItem="2" numFmtId="9"/>
  </dataFields>
  <formats count="22">
    <format dxfId="141">
      <pivotArea type="all" dataOnly="0" outline="0" fieldPosition="0"/>
    </format>
    <format dxfId="140">
      <pivotArea outline="0" collapsedLevelsAreSubtotals="1" fieldPosition="0"/>
    </format>
    <format dxfId="139">
      <pivotArea field="25" type="button" dataOnly="0" labelOnly="1" outline="0" axis="axisCol" fieldPosition="0"/>
    </format>
    <format dxfId="138">
      <pivotArea dataOnly="0" labelOnly="1" outline="0" fieldPosition="0">
        <references count="1">
          <reference field="25" count="0"/>
        </references>
      </pivotArea>
    </format>
    <format dxfId="137">
      <pivotArea dataOnly="0" labelOnly="1" grandRow="1" outline="0" fieldPosition="0"/>
    </format>
    <format dxfId="136">
      <pivotArea dataOnly="0" labelOnly="1" outline="0" axis="axisValues" fieldPosition="0"/>
    </format>
    <format dxfId="135">
      <pivotArea outline="0" collapsedLevelsAreSubtotals="1" fieldPosition="0"/>
    </format>
    <format dxfId="134">
      <pivotArea outline="0" collapsedLevelsAreSubtotals="1" fieldPosition="0"/>
    </format>
    <format dxfId="133">
      <pivotArea outline="0" fieldPosition="0">
        <references count="1">
          <reference field="4294967294" count="1">
            <x v="0"/>
          </reference>
        </references>
      </pivotArea>
    </format>
    <format dxfId="132">
      <pivotArea outline="0" fieldPosition="0">
        <references count="1">
          <reference field="4294967294" count="1" selected="0">
            <x v="0"/>
          </reference>
        </references>
      </pivotArea>
    </format>
    <format dxfId="131">
      <pivotArea field="32" type="button" dataOnly="0" labelOnly="1" outline="0" axis="axisPage" fieldPosition="0"/>
    </format>
    <format dxfId="130">
      <pivotArea field="25" type="button" dataOnly="0" labelOnly="1" outline="0" axis="axisCol" fieldPosition="0"/>
    </format>
    <format dxfId="129">
      <pivotArea dataOnly="0" labelOnly="1" outline="0" fieldPosition="0">
        <references count="1">
          <reference field="25" count="0"/>
        </references>
      </pivotArea>
    </format>
    <format dxfId="128">
      <pivotArea dataOnly="0" labelOnly="1" grandRow="1" outline="0" fieldPosition="0"/>
    </format>
    <format dxfId="127">
      <pivotArea field="32" type="button" dataOnly="0" labelOnly="1" outline="0" axis="axisPage" fieldPosition="0"/>
    </format>
    <format dxfId="126">
      <pivotArea field="25" type="button" dataOnly="0" labelOnly="1" outline="0" axis="axisCol" fieldPosition="0"/>
    </format>
    <format dxfId="125">
      <pivotArea dataOnly="0" labelOnly="1" outline="0" fieldPosition="0">
        <references count="1">
          <reference field="25" count="0"/>
        </references>
      </pivotArea>
    </format>
    <format dxfId="124">
      <pivotArea dataOnly="0" labelOnly="1" grandRow="1" outline="0" fieldPosition="0"/>
    </format>
    <format dxfId="123">
      <pivotArea field="32" type="button" dataOnly="0" labelOnly="1" outline="0" axis="axisPage" fieldPosition="0"/>
    </format>
    <format dxfId="122">
      <pivotArea field="25" type="button" dataOnly="0" labelOnly="1" outline="0" axis="axisCol" fieldPosition="0"/>
    </format>
    <format dxfId="121">
      <pivotArea dataOnly="0" labelOnly="1" outline="0" fieldPosition="0">
        <references count="1">
          <reference field="25" count="0"/>
        </references>
      </pivotArea>
    </format>
    <format dxfId="120">
      <pivotArea dataOnly="0" labelOnly="1" grandRow="1" outline="0" fieldPosition="0"/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58AADF-0822-4B57-9CAC-BC53BDC7AFC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3:B17" firstHeaderRow="1" firstDataRow="1" firstDataCol="1" rowPageCount="1" colPageCount="1"/>
  <pivotFields count="5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2029 Party Pref" axis="axisRow" compact="0" outline="0" showAll="0" defaultSubtotal="0">
      <items count="4">
        <item x="0"/>
        <item x="1"/>
        <item x="2"/>
        <item m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">
        <item x="1"/>
        <item x="0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5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32" item="1" hier="-1"/>
  </pageFields>
  <dataFields count="1">
    <dataField name="Sum of Multi Factor" fld="35" showDataAs="percentOfCol" baseField="21" baseItem="2" numFmtId="9"/>
  </dataFields>
  <formats count="23">
    <format dxfId="164">
      <pivotArea type="all" dataOnly="0" outline="0" fieldPosition="0"/>
    </format>
    <format dxfId="163">
      <pivotArea outline="0" collapsedLevelsAreSubtotals="1" fieldPosition="0"/>
    </format>
    <format dxfId="162">
      <pivotArea field="25" type="button" dataOnly="0" labelOnly="1" outline="0" axis="axisRow" fieldPosition="0"/>
    </format>
    <format dxfId="161">
      <pivotArea dataOnly="0" labelOnly="1" outline="0" fieldPosition="0">
        <references count="1">
          <reference field="25" count="0"/>
        </references>
      </pivotArea>
    </format>
    <format dxfId="160">
      <pivotArea dataOnly="0" labelOnly="1" grandRow="1" outline="0" fieldPosition="0"/>
    </format>
    <format dxfId="159">
      <pivotArea dataOnly="0" labelOnly="1" outline="0" axis="axisValues" fieldPosition="0"/>
    </format>
    <format dxfId="158">
      <pivotArea outline="0" collapsedLevelsAreSubtotals="1" fieldPosition="0"/>
    </format>
    <format dxfId="157">
      <pivotArea outline="0" collapsedLevelsAreSubtotals="1" fieldPosition="0"/>
    </format>
    <format dxfId="156">
      <pivotArea outline="0" fieldPosition="0">
        <references count="1">
          <reference field="4294967294" count="1">
            <x v="0"/>
          </reference>
        </references>
      </pivotArea>
    </format>
    <format dxfId="155">
      <pivotArea outline="0" fieldPosition="0">
        <references count="1">
          <reference field="4294967294" count="1" selected="0">
            <x v="0"/>
          </reference>
        </references>
      </pivotArea>
    </format>
    <format dxfId="154">
      <pivotArea field="32" type="button" dataOnly="0" labelOnly="1" outline="0" axis="axisPage" fieldPosition="0"/>
    </format>
    <format dxfId="153">
      <pivotArea field="25" type="button" dataOnly="0" labelOnly="1" outline="0" axis="axisRow" fieldPosition="0"/>
    </format>
    <format dxfId="152">
      <pivotArea dataOnly="0" labelOnly="1" outline="0" fieldPosition="0">
        <references count="1">
          <reference field="25" count="0"/>
        </references>
      </pivotArea>
    </format>
    <format dxfId="151">
      <pivotArea dataOnly="0" labelOnly="1" grandRow="1" outline="0" fieldPosition="0"/>
    </format>
    <format dxfId="150">
      <pivotArea field="32" type="button" dataOnly="0" labelOnly="1" outline="0" axis="axisPage" fieldPosition="0"/>
    </format>
    <format dxfId="149">
      <pivotArea field="25" type="button" dataOnly="0" labelOnly="1" outline="0" axis="axisRow" fieldPosition="0"/>
    </format>
    <format dxfId="148">
      <pivotArea dataOnly="0" labelOnly="1" outline="0" fieldPosition="0">
        <references count="1">
          <reference field="25" count="0"/>
        </references>
      </pivotArea>
    </format>
    <format dxfId="147">
      <pivotArea dataOnly="0" labelOnly="1" grandRow="1" outline="0" fieldPosition="0"/>
    </format>
    <format dxfId="146">
      <pivotArea field="32" type="button" dataOnly="0" labelOnly="1" outline="0" axis="axisPage" fieldPosition="0"/>
    </format>
    <format dxfId="145">
      <pivotArea field="25" type="button" dataOnly="0" labelOnly="1" outline="0" axis="axisRow" fieldPosition="0"/>
    </format>
    <format dxfId="144">
      <pivotArea dataOnly="0" labelOnly="1" outline="0" fieldPosition="0">
        <references count="1">
          <reference field="25" count="0"/>
        </references>
      </pivotArea>
    </format>
    <format dxfId="143">
      <pivotArea dataOnly="0" labelOnly="1" grandRow="1" outline="0" fieldPosition="0"/>
    </format>
    <format dxfId="142">
      <pivotArea outline="0" fieldPosition="0">
        <references count="1">
          <reference field="25" count="0" selected="0"/>
        </references>
      </pivotArea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0AA398-29C5-461A-AFEC-63884D3F3D08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79:E92" firstHeaderRow="1" firstDataRow="2" firstDataCol="1" rowPageCount="1" colPageCount="1"/>
  <pivotFields count="5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">
        <item x="0"/>
        <item x="2"/>
        <item x="1"/>
        <item x="6"/>
        <item x="8"/>
        <item x="4"/>
        <item x="9"/>
        <item x="3"/>
        <item x="5"/>
        <item x="7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2029 Party Pref" axis="axisCol" compact="0" outline="0" showAll="0" defaultSubtotal="0">
      <items count="4">
        <item x="0"/>
        <item x="1"/>
        <item x="2"/>
        <item m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">
        <item x="1"/>
        <item x="0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8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25"/>
  </colFields>
  <colItems count="4">
    <i>
      <x/>
    </i>
    <i>
      <x v="1"/>
    </i>
    <i>
      <x v="2"/>
    </i>
    <i t="grand">
      <x/>
    </i>
  </colItems>
  <pageFields count="1">
    <pageField fld="32" item="1" hier="-1"/>
  </pageFields>
  <dataFields count="1">
    <dataField name="Sum of Multi Factor" fld="35" showDataAs="percentOfRow" baseField="21" baseItem="2" numFmtId="9"/>
  </dataFields>
  <formats count="22">
    <format dxfId="186">
      <pivotArea type="all" dataOnly="0" outline="0" fieldPosition="0"/>
    </format>
    <format dxfId="185">
      <pivotArea outline="0" collapsedLevelsAreSubtotals="1" fieldPosition="0"/>
    </format>
    <format dxfId="184">
      <pivotArea field="25" type="button" dataOnly="0" labelOnly="1" outline="0" axis="axisCol" fieldPosition="0"/>
    </format>
    <format dxfId="183">
      <pivotArea dataOnly="0" labelOnly="1" outline="0" fieldPosition="0">
        <references count="1">
          <reference field="25" count="0"/>
        </references>
      </pivotArea>
    </format>
    <format dxfId="182">
      <pivotArea dataOnly="0" labelOnly="1" grandRow="1" outline="0" fieldPosition="0"/>
    </format>
    <format dxfId="181">
      <pivotArea dataOnly="0" labelOnly="1" outline="0" axis="axisValues" fieldPosition="0"/>
    </format>
    <format dxfId="180">
      <pivotArea outline="0" collapsedLevelsAreSubtotals="1" fieldPosition="0"/>
    </format>
    <format dxfId="179">
      <pivotArea outline="0" collapsedLevelsAreSubtotals="1" fieldPosition="0"/>
    </format>
    <format dxfId="178">
      <pivotArea outline="0" fieldPosition="0">
        <references count="1">
          <reference field="4294967294" count="1">
            <x v="0"/>
          </reference>
        </references>
      </pivotArea>
    </format>
    <format dxfId="177">
      <pivotArea outline="0" fieldPosition="0">
        <references count="1">
          <reference field="4294967294" count="1" selected="0">
            <x v="0"/>
          </reference>
        </references>
      </pivotArea>
    </format>
    <format dxfId="176">
      <pivotArea field="32" type="button" dataOnly="0" labelOnly="1" outline="0" axis="axisPage" fieldPosition="0"/>
    </format>
    <format dxfId="175">
      <pivotArea field="25" type="button" dataOnly="0" labelOnly="1" outline="0" axis="axisCol" fieldPosition="0"/>
    </format>
    <format dxfId="174">
      <pivotArea dataOnly="0" labelOnly="1" outline="0" fieldPosition="0">
        <references count="1">
          <reference field="25" count="0"/>
        </references>
      </pivotArea>
    </format>
    <format dxfId="173">
      <pivotArea dataOnly="0" labelOnly="1" grandRow="1" outline="0" fieldPosition="0"/>
    </format>
    <format dxfId="172">
      <pivotArea field="32" type="button" dataOnly="0" labelOnly="1" outline="0" axis="axisPage" fieldPosition="0"/>
    </format>
    <format dxfId="171">
      <pivotArea field="25" type="button" dataOnly="0" labelOnly="1" outline="0" axis="axisCol" fieldPosition="0"/>
    </format>
    <format dxfId="170">
      <pivotArea dataOnly="0" labelOnly="1" outline="0" fieldPosition="0">
        <references count="1">
          <reference field="25" count="0"/>
        </references>
      </pivotArea>
    </format>
    <format dxfId="169">
      <pivotArea dataOnly="0" labelOnly="1" grandRow="1" outline="0" fieldPosition="0"/>
    </format>
    <format dxfId="168">
      <pivotArea field="32" type="button" dataOnly="0" labelOnly="1" outline="0" axis="axisPage" fieldPosition="0"/>
    </format>
    <format dxfId="167">
      <pivotArea field="25" type="button" dataOnly="0" labelOnly="1" outline="0" axis="axisCol" fieldPosition="0"/>
    </format>
    <format dxfId="166">
      <pivotArea dataOnly="0" labelOnly="1" outline="0" fieldPosition="0">
        <references count="1">
          <reference field="25" count="0"/>
        </references>
      </pivotArea>
    </format>
    <format dxfId="165">
      <pivotArea dataOnly="0" labelOnly="1" grandRow="1" outline="0" fieldPosition="0"/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6292E5-E817-4566-A8B1-B9076300B420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8:B52" firstHeaderRow="1" firstDataRow="1" firstDataCol="1" rowPageCount="1" colPageCount="1"/>
  <pivotFields count="5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2029 Party Pref" compact="0" outline="0" showAll="0" defaultSubtotal="0">
      <items count="4">
        <item x="0"/>
        <item x="1"/>
        <item x="2"/>
        <item m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">
        <item x="1"/>
        <item x="0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4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32" item="1" hier="-1"/>
  </pageFields>
  <dataFields count="1">
    <dataField name="Sum of Multi Factor" fld="35" showDataAs="percentOfCol" baseField="21" baseItem="2" numFmtId="9"/>
  </dataFields>
  <formats count="27">
    <format dxfId="213">
      <pivotArea type="all" dataOnly="0" outline="0" fieldPosition="0"/>
    </format>
    <format dxfId="212">
      <pivotArea outline="0" collapsedLevelsAreSubtotals="1" fieldPosition="0"/>
    </format>
    <format dxfId="211">
      <pivotArea field="25" type="button" dataOnly="0" labelOnly="1" outline="0"/>
    </format>
    <format dxfId="210">
      <pivotArea dataOnly="0" labelOnly="1" grandRow="1" outline="0" fieldPosition="0"/>
    </format>
    <format dxfId="209">
      <pivotArea dataOnly="0" labelOnly="1" outline="0" axis="axisValues" fieldPosition="0"/>
    </format>
    <format dxfId="208">
      <pivotArea outline="0" collapsedLevelsAreSubtotals="1" fieldPosition="0"/>
    </format>
    <format dxfId="207">
      <pivotArea outline="0" collapsedLevelsAreSubtotals="1" fieldPosition="0"/>
    </format>
    <format dxfId="206">
      <pivotArea outline="0" fieldPosition="0">
        <references count="1">
          <reference field="4294967294" count="1">
            <x v="0"/>
          </reference>
        </references>
      </pivotArea>
    </format>
    <format dxfId="205">
      <pivotArea outline="0" fieldPosition="0">
        <references count="1">
          <reference field="4294967294" count="1" selected="0">
            <x v="0"/>
          </reference>
        </references>
      </pivotArea>
    </format>
    <format dxfId="204">
      <pivotArea field="18" type="button" dataOnly="0" labelOnly="1" outline="0"/>
    </format>
    <format dxfId="203">
      <pivotArea field="19" type="button" dataOnly="0" labelOnly="1" outline="0"/>
    </format>
    <format dxfId="202">
      <pivotArea field="20" type="button" dataOnly="0" labelOnly="1" outline="0"/>
    </format>
    <format dxfId="201">
      <pivotArea field="21" type="button" dataOnly="0" labelOnly="1" outline="0"/>
    </format>
    <format dxfId="200">
      <pivotArea field="23" type="button" dataOnly="0" labelOnly="1" outline="0"/>
    </format>
    <format dxfId="199">
      <pivotArea field="24" type="button" dataOnly="0" labelOnly="1" outline="0" axis="axisRow" fieldPosition="0"/>
    </format>
    <format dxfId="198">
      <pivotArea field="32" type="button" dataOnly="0" labelOnly="1" outline="0" axis="axisPage" fieldPosition="0"/>
    </format>
    <format dxfId="197">
      <pivotArea field="24" type="button" dataOnly="0" labelOnly="1" outline="0" axis="axisRow" fieldPosition="0"/>
    </format>
    <format dxfId="196">
      <pivotArea dataOnly="0" labelOnly="1" outline="0" fieldPosition="0">
        <references count="1">
          <reference field="24" count="0"/>
        </references>
      </pivotArea>
    </format>
    <format dxfId="195">
      <pivotArea dataOnly="0" labelOnly="1" grandRow="1" outline="0" fieldPosition="0"/>
    </format>
    <format dxfId="194">
      <pivotArea field="32" type="button" dataOnly="0" labelOnly="1" outline="0" axis="axisPage" fieldPosition="0"/>
    </format>
    <format dxfId="193">
      <pivotArea field="24" type="button" dataOnly="0" labelOnly="1" outline="0" axis="axisRow" fieldPosition="0"/>
    </format>
    <format dxfId="192">
      <pivotArea dataOnly="0" labelOnly="1" outline="0" fieldPosition="0">
        <references count="1">
          <reference field="24" count="0"/>
        </references>
      </pivotArea>
    </format>
    <format dxfId="191">
      <pivotArea dataOnly="0" labelOnly="1" grandRow="1" outline="0" fieldPosition="0"/>
    </format>
    <format dxfId="190">
      <pivotArea field="32" type="button" dataOnly="0" labelOnly="1" outline="0" axis="axisPage" fieldPosition="0"/>
    </format>
    <format dxfId="189">
      <pivotArea field="24" type="button" dataOnly="0" labelOnly="1" outline="0" axis="axisRow" fieldPosition="0"/>
    </format>
    <format dxfId="188">
      <pivotArea dataOnly="0" labelOnly="1" outline="0" fieldPosition="0">
        <references count="1">
          <reference field="24" count="0"/>
        </references>
      </pivotArea>
    </format>
    <format dxfId="187">
      <pivotArea dataOnly="0" labelOnly="1" grandRow="1" outline="0" fieldPosition="0"/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A4052D-64F7-4198-A241-96974E800D7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2:B35" firstHeaderRow="1" firstDataRow="1" firstDataCol="1" rowPageCount="1" colPageCount="1"/>
  <pivotFields count="5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2029 Party Pref" compact="0" outline="0" showAll="0" defaultSubtotal="0">
      <items count="4">
        <item x="0"/>
        <item x="1"/>
        <item x="2"/>
        <item m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">
        <item x="1"/>
        <item x="0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pageFields count="1">
    <pageField fld="32" item="1" hier="-1"/>
  </pageFields>
  <dataFields count="1">
    <dataField name="Sum of Multi Factor" fld="35" showDataAs="percentOfCol" baseField="21" baseItem="2" numFmtId="9"/>
  </dataFields>
  <formats count="24">
    <format dxfId="237">
      <pivotArea type="all" dataOnly="0" outline="0" fieldPosition="0"/>
    </format>
    <format dxfId="236">
      <pivotArea outline="0" collapsedLevelsAreSubtotals="1" fieldPosition="0"/>
    </format>
    <format dxfId="235">
      <pivotArea field="25" type="button" dataOnly="0" labelOnly="1" outline="0"/>
    </format>
    <format dxfId="234">
      <pivotArea dataOnly="0" labelOnly="1" grandRow="1" outline="0" fieldPosition="0"/>
    </format>
    <format dxfId="233">
      <pivotArea dataOnly="0" labelOnly="1" outline="0" axis="axisValues" fieldPosition="0"/>
    </format>
    <format dxfId="232">
      <pivotArea outline="0" collapsedLevelsAreSubtotals="1" fieldPosition="0"/>
    </format>
    <format dxfId="231">
      <pivotArea outline="0" collapsedLevelsAreSubtotals="1" fieldPosition="0"/>
    </format>
    <format dxfId="230">
      <pivotArea outline="0" fieldPosition="0">
        <references count="1">
          <reference field="4294967294" count="1">
            <x v="0"/>
          </reference>
        </references>
      </pivotArea>
    </format>
    <format dxfId="229">
      <pivotArea outline="0" fieldPosition="0">
        <references count="1">
          <reference field="4294967294" count="1" selected="0">
            <x v="0"/>
          </reference>
        </references>
      </pivotArea>
    </format>
    <format dxfId="228">
      <pivotArea field="18" type="button" dataOnly="0" labelOnly="1" outline="0"/>
    </format>
    <format dxfId="227">
      <pivotArea field="19" type="button" dataOnly="0" labelOnly="1" outline="0"/>
    </format>
    <format dxfId="226">
      <pivotArea field="20" type="button" dataOnly="0" labelOnly="1" outline="0" axis="axisRow" fieldPosition="0"/>
    </format>
    <format dxfId="225">
      <pivotArea field="32" type="button" dataOnly="0" labelOnly="1" outline="0" axis="axisPage" fieldPosition="0"/>
    </format>
    <format dxfId="224">
      <pivotArea field="20" type="button" dataOnly="0" labelOnly="1" outline="0" axis="axisRow" fieldPosition="0"/>
    </format>
    <format dxfId="223">
      <pivotArea dataOnly="0" labelOnly="1" outline="0" fieldPosition="0">
        <references count="1">
          <reference field="20" count="0"/>
        </references>
      </pivotArea>
    </format>
    <format dxfId="222">
      <pivotArea dataOnly="0" labelOnly="1" grandRow="1" outline="0" fieldPosition="0"/>
    </format>
    <format dxfId="221">
      <pivotArea field="32" type="button" dataOnly="0" labelOnly="1" outline="0" axis="axisPage" fieldPosition="0"/>
    </format>
    <format dxfId="220">
      <pivotArea field="20" type="button" dataOnly="0" labelOnly="1" outline="0" axis="axisRow" fieldPosition="0"/>
    </format>
    <format dxfId="219">
      <pivotArea dataOnly="0" labelOnly="1" outline="0" fieldPosition="0">
        <references count="1">
          <reference field="20" count="0"/>
        </references>
      </pivotArea>
    </format>
    <format dxfId="218">
      <pivotArea dataOnly="0" labelOnly="1" grandRow="1" outline="0" fieldPosition="0"/>
    </format>
    <format dxfId="217">
      <pivotArea field="32" type="button" dataOnly="0" labelOnly="1" outline="0" axis="axisPage" fieldPosition="0"/>
    </format>
    <format dxfId="216">
      <pivotArea field="20" type="button" dataOnly="0" labelOnly="1" outline="0" axis="axisRow" fieldPosition="0"/>
    </format>
    <format dxfId="215">
      <pivotArea dataOnly="0" labelOnly="1" outline="0" fieldPosition="0">
        <references count="1">
          <reference field="20" count="0"/>
        </references>
      </pivotArea>
    </format>
    <format dxfId="214">
      <pivotArea dataOnly="0" labelOnly="1" grandRow="1" outline="0" fieldPosition="0"/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3AB610-C650-4092-99EE-0EDA42E894FF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18:E129" firstHeaderRow="1" firstDataRow="2" firstDataCol="1" rowPageCount="1" colPageCount="1"/>
  <pivotFields count="5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6"/>
        <item x="0"/>
        <item x="3"/>
        <item x="1"/>
        <item x="7"/>
        <item x="2"/>
        <item x="4"/>
        <item x="5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2029 Party Pref" axis="axisCol" compact="0" outline="0" showAll="0" defaultSubtotal="0">
      <items count="4">
        <item x="0"/>
        <item x="1"/>
        <item x="2"/>
        <item m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">
        <item x="1"/>
        <item x="0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25"/>
  </colFields>
  <colItems count="4">
    <i>
      <x/>
    </i>
    <i>
      <x v="1"/>
    </i>
    <i>
      <x v="2"/>
    </i>
    <i t="grand">
      <x/>
    </i>
  </colItems>
  <pageFields count="1">
    <pageField fld="32" item="1" hier="-1"/>
  </pageFields>
  <dataFields count="1">
    <dataField name="Sum of Multi Factor" fld="35" showDataAs="percentOfRow" baseField="21" baseItem="2" numFmtId="9"/>
  </dataFields>
  <formats count="22">
    <format dxfId="259">
      <pivotArea type="all" dataOnly="0" outline="0" fieldPosition="0"/>
    </format>
    <format dxfId="258">
      <pivotArea outline="0" collapsedLevelsAreSubtotals="1" fieldPosition="0"/>
    </format>
    <format dxfId="257">
      <pivotArea field="25" type="button" dataOnly="0" labelOnly="1" outline="0" axis="axisCol" fieldPosition="0"/>
    </format>
    <format dxfId="256">
      <pivotArea dataOnly="0" labelOnly="1" outline="0" fieldPosition="0">
        <references count="1">
          <reference field="25" count="0"/>
        </references>
      </pivotArea>
    </format>
    <format dxfId="255">
      <pivotArea dataOnly="0" labelOnly="1" grandRow="1" outline="0" fieldPosition="0"/>
    </format>
    <format dxfId="254">
      <pivotArea dataOnly="0" labelOnly="1" outline="0" axis="axisValues" fieldPosition="0"/>
    </format>
    <format dxfId="253">
      <pivotArea outline="0" collapsedLevelsAreSubtotals="1" fieldPosition="0"/>
    </format>
    <format dxfId="252">
      <pivotArea outline="0" collapsedLevelsAreSubtotals="1" fieldPosition="0"/>
    </format>
    <format dxfId="251">
      <pivotArea outline="0" fieldPosition="0">
        <references count="1">
          <reference field="4294967294" count="1">
            <x v="0"/>
          </reference>
        </references>
      </pivotArea>
    </format>
    <format dxfId="250">
      <pivotArea outline="0" fieldPosition="0">
        <references count="1">
          <reference field="4294967294" count="1" selected="0">
            <x v="0"/>
          </reference>
        </references>
      </pivotArea>
    </format>
    <format dxfId="249">
      <pivotArea field="32" type="button" dataOnly="0" labelOnly="1" outline="0" axis="axisPage" fieldPosition="0"/>
    </format>
    <format dxfId="248">
      <pivotArea field="25" type="button" dataOnly="0" labelOnly="1" outline="0" axis="axisCol" fieldPosition="0"/>
    </format>
    <format dxfId="247">
      <pivotArea dataOnly="0" labelOnly="1" outline="0" fieldPosition="0">
        <references count="1">
          <reference field="25" count="0"/>
        </references>
      </pivotArea>
    </format>
    <format dxfId="246">
      <pivotArea dataOnly="0" labelOnly="1" grandRow="1" outline="0" fieldPosition="0"/>
    </format>
    <format dxfId="245">
      <pivotArea field="32" type="button" dataOnly="0" labelOnly="1" outline="0" axis="axisPage" fieldPosition="0"/>
    </format>
    <format dxfId="244">
      <pivotArea field="25" type="button" dataOnly="0" labelOnly="1" outline="0" axis="axisCol" fieldPosition="0"/>
    </format>
    <format dxfId="243">
      <pivotArea dataOnly="0" labelOnly="1" outline="0" fieldPosition="0">
        <references count="1">
          <reference field="25" count="0"/>
        </references>
      </pivotArea>
    </format>
    <format dxfId="242">
      <pivotArea dataOnly="0" labelOnly="1" grandRow="1" outline="0" fieldPosition="0"/>
    </format>
    <format dxfId="241">
      <pivotArea field="32" type="button" dataOnly="0" labelOnly="1" outline="0" axis="axisPage" fieldPosition="0"/>
    </format>
    <format dxfId="240">
      <pivotArea field="25" type="button" dataOnly="0" labelOnly="1" outline="0" axis="axisCol" fieldPosition="0"/>
    </format>
    <format dxfId="239">
      <pivotArea dataOnly="0" labelOnly="1" outline="0" fieldPosition="0">
        <references count="1">
          <reference field="25" count="0"/>
        </references>
      </pivotArea>
    </format>
    <format dxfId="238">
      <pivotArea dataOnly="0" labelOnly="1" grandRow="1" outline="0" fieldPosition="0"/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61C96D-0366-44C5-8E5F-0D783FB204BA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7:B61" firstHeaderRow="1" firstDataRow="1" firstDataCol="1" rowPageCount="2" colPageCount="1"/>
  <pivotFields count="5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2029 Party Pref" compact="0" outline="0" showAll="0" defaultSubtotal="0">
      <items count="4">
        <item x="0"/>
        <item x="1"/>
        <item x="2"/>
        <item m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5">
        <item x="3"/>
        <item x="2"/>
        <item x="1"/>
        <item x="0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1"/>
        <item x="0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">
        <item x="1"/>
        <item x="0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7"/>
  </rowFields>
  <rowItems count="4">
    <i>
      <x v="1"/>
    </i>
    <i>
      <x v="2"/>
    </i>
    <i>
      <x v="3"/>
    </i>
    <i t="grand">
      <x/>
    </i>
  </rowItems>
  <colItems count="1">
    <i/>
  </colItems>
  <pageFields count="2">
    <pageField fld="32" item="1" hier="-1"/>
    <pageField fld="26" item="3" hier="-1"/>
  </pageFields>
  <dataFields count="1">
    <dataField name="Sum of Multi Factor" fld="35" showDataAs="percentOfCol" baseField="21" baseItem="2" numFmtId="9"/>
  </dataFields>
  <formats count="24">
    <format dxfId="283">
      <pivotArea type="all" dataOnly="0" outline="0" fieldPosition="0"/>
    </format>
    <format dxfId="282">
      <pivotArea outline="0" collapsedLevelsAreSubtotals="1" fieldPosition="0"/>
    </format>
    <format dxfId="281">
      <pivotArea field="25" type="button" dataOnly="0" labelOnly="1" outline="0"/>
    </format>
    <format dxfId="280">
      <pivotArea dataOnly="0" labelOnly="1" grandRow="1" outline="0" fieldPosition="0"/>
    </format>
    <format dxfId="279">
      <pivotArea dataOnly="0" labelOnly="1" outline="0" axis="axisValues" fieldPosition="0"/>
    </format>
    <format dxfId="278">
      <pivotArea outline="0" collapsedLevelsAreSubtotals="1" fieldPosition="0"/>
    </format>
    <format dxfId="277">
      <pivotArea outline="0" collapsedLevelsAreSubtotals="1" fieldPosition="0"/>
    </format>
    <format dxfId="276">
      <pivotArea outline="0" fieldPosition="0">
        <references count="1">
          <reference field="4294967294" count="1">
            <x v="0"/>
          </reference>
        </references>
      </pivotArea>
    </format>
    <format dxfId="275">
      <pivotArea outline="0" fieldPosition="0">
        <references count="1">
          <reference field="4294967294" count="1" selected="0">
            <x v="0"/>
          </reference>
        </references>
      </pivotArea>
    </format>
    <format dxfId="274">
      <pivotArea field="18" type="button" dataOnly="0" labelOnly="1" outline="0"/>
    </format>
    <format dxfId="273">
      <pivotArea field="19" type="button" dataOnly="0" labelOnly="1" outline="0"/>
    </format>
    <format dxfId="272">
      <pivotArea field="20" type="button" dataOnly="0" labelOnly="1" outline="0"/>
    </format>
    <format dxfId="271">
      <pivotArea field="21" type="button" dataOnly="0" labelOnly="1" outline="0"/>
    </format>
    <format dxfId="270">
      <pivotArea field="23" type="button" dataOnly="0" labelOnly="1" outline="0"/>
    </format>
    <format dxfId="269">
      <pivotArea field="24" type="button" dataOnly="0" labelOnly="1" outline="0"/>
    </format>
    <format dxfId="268">
      <pivotArea field="32" type="button" dataOnly="0" labelOnly="1" outline="0" axis="axisPage" fieldPosition="0"/>
    </format>
    <format dxfId="267">
      <pivotArea field="24" type="button" dataOnly="0" labelOnly="1" outline="0"/>
    </format>
    <format dxfId="266">
      <pivotArea dataOnly="0" labelOnly="1" grandRow="1" outline="0" fieldPosition="0"/>
    </format>
    <format dxfId="265">
      <pivotArea field="32" type="button" dataOnly="0" labelOnly="1" outline="0" axis="axisPage" fieldPosition="0"/>
    </format>
    <format dxfId="264">
      <pivotArea field="24" type="button" dataOnly="0" labelOnly="1" outline="0"/>
    </format>
    <format dxfId="263">
      <pivotArea dataOnly="0" labelOnly="1" grandRow="1" outline="0" fieldPosition="0"/>
    </format>
    <format dxfId="262">
      <pivotArea field="27" type="button" dataOnly="0" labelOnly="1" outline="0" axis="axisRow" fieldPosition="0"/>
    </format>
    <format dxfId="261">
      <pivotArea dataOnly="0" labelOnly="1" outline="0" fieldPosition="0">
        <references count="1">
          <reference field="27" count="0"/>
        </references>
      </pivotArea>
    </format>
    <format dxfId="260">
      <pivotArea dataOnly="0" labelOnly="1" grandRow="1" outline="0" fieldPosition="0"/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DB3BE0-3DCE-4EE8-B4D9-22A1812E7DD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0:B43" firstHeaderRow="1" firstDataRow="1" firstDataCol="1" rowPageCount="1" colPageCount="1"/>
  <pivotFields count="5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2029 Party Pref" compact="0" outline="0" showAll="0" defaultSubtotal="0">
      <items count="4">
        <item x="0"/>
        <item x="1"/>
        <item x="2"/>
        <item m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">
        <item x="1"/>
        <item x="0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1"/>
  </rowFields>
  <rowItems count="3">
    <i>
      <x/>
    </i>
    <i>
      <x v="1"/>
    </i>
    <i t="grand">
      <x/>
    </i>
  </rowItems>
  <colItems count="1">
    <i/>
  </colItems>
  <pageFields count="1">
    <pageField fld="32" item="1" hier="-1"/>
  </pageFields>
  <dataFields count="1">
    <dataField name="Sum of Multi Factor" fld="35" showDataAs="percentOfCol" baseField="21" baseItem="2" numFmtId="9"/>
  </dataFields>
  <formats count="25">
    <format dxfId="308">
      <pivotArea type="all" dataOnly="0" outline="0" fieldPosition="0"/>
    </format>
    <format dxfId="307">
      <pivotArea outline="0" collapsedLevelsAreSubtotals="1" fieldPosition="0"/>
    </format>
    <format dxfId="306">
      <pivotArea field="25" type="button" dataOnly="0" labelOnly="1" outline="0"/>
    </format>
    <format dxfId="305">
      <pivotArea dataOnly="0" labelOnly="1" grandRow="1" outline="0" fieldPosition="0"/>
    </format>
    <format dxfId="304">
      <pivotArea dataOnly="0" labelOnly="1" outline="0" axis="axisValues" fieldPosition="0"/>
    </format>
    <format dxfId="303">
      <pivotArea outline="0" collapsedLevelsAreSubtotals="1" fieldPosition="0"/>
    </format>
    <format dxfId="302">
      <pivotArea outline="0" collapsedLevelsAreSubtotals="1" fieldPosition="0"/>
    </format>
    <format dxfId="301">
      <pivotArea outline="0" fieldPosition="0">
        <references count="1">
          <reference field="4294967294" count="1">
            <x v="0"/>
          </reference>
        </references>
      </pivotArea>
    </format>
    <format dxfId="300">
      <pivotArea outline="0" fieldPosition="0">
        <references count="1">
          <reference field="4294967294" count="1" selected="0">
            <x v="0"/>
          </reference>
        </references>
      </pivotArea>
    </format>
    <format dxfId="299">
      <pivotArea field="18" type="button" dataOnly="0" labelOnly="1" outline="0"/>
    </format>
    <format dxfId="298">
      <pivotArea field="19" type="button" dataOnly="0" labelOnly="1" outline="0"/>
    </format>
    <format dxfId="297">
      <pivotArea field="20" type="button" dataOnly="0" labelOnly="1" outline="0"/>
    </format>
    <format dxfId="296">
      <pivotArea field="21" type="button" dataOnly="0" labelOnly="1" outline="0" axis="axisRow" fieldPosition="0"/>
    </format>
    <format dxfId="295">
      <pivotArea field="32" type="button" dataOnly="0" labelOnly="1" outline="0" axis="axisPage" fieldPosition="0"/>
    </format>
    <format dxfId="294">
      <pivotArea field="21" type="button" dataOnly="0" labelOnly="1" outline="0" axis="axisRow" fieldPosition="0"/>
    </format>
    <format dxfId="293">
      <pivotArea dataOnly="0" labelOnly="1" outline="0" fieldPosition="0">
        <references count="1">
          <reference field="21" count="0"/>
        </references>
      </pivotArea>
    </format>
    <format dxfId="292">
      <pivotArea dataOnly="0" labelOnly="1" grandRow="1" outline="0" fieldPosition="0"/>
    </format>
    <format dxfId="291">
      <pivotArea field="32" type="button" dataOnly="0" labelOnly="1" outline="0" axis="axisPage" fieldPosition="0"/>
    </format>
    <format dxfId="290">
      <pivotArea field="21" type="button" dataOnly="0" labelOnly="1" outline="0" axis="axisRow" fieldPosition="0"/>
    </format>
    <format dxfId="289">
      <pivotArea dataOnly="0" labelOnly="1" outline="0" fieldPosition="0">
        <references count="1">
          <reference field="21" count="0"/>
        </references>
      </pivotArea>
    </format>
    <format dxfId="288">
      <pivotArea dataOnly="0" labelOnly="1" grandRow="1" outline="0" fieldPosition="0"/>
    </format>
    <format dxfId="287">
      <pivotArea field="32" type="button" dataOnly="0" labelOnly="1" outline="0" axis="axisPage" fieldPosition="0"/>
    </format>
    <format dxfId="286">
      <pivotArea field="21" type="button" dataOnly="0" labelOnly="1" outline="0" axis="axisRow" fieldPosition="0"/>
    </format>
    <format dxfId="285">
      <pivotArea dataOnly="0" labelOnly="1" outline="0" fieldPosition="0">
        <references count="1">
          <reference field="21" count="0"/>
        </references>
      </pivotArea>
    </format>
    <format dxfId="284">
      <pivotArea dataOnly="0" labelOnly="1" grandRow="1" outline="0" fieldPosition="0"/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CCCD09-DA45-44AB-9DC9-BE7A1A87C87F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H57:I62" firstHeaderRow="1" firstDataRow="1" firstDataCol="1" rowPageCount="3" colPageCount="1"/>
  <pivotFields count="5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2029 Party Pref" compact="0" outline="0" showAll="0" defaultSubtotal="0">
      <items count="4">
        <item x="0"/>
        <item x="1"/>
        <item x="2"/>
        <item m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5">
        <item x="3"/>
        <item x="2"/>
        <item x="1"/>
        <item x="0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4">
        <item x="1"/>
        <item x="0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6">
        <item x="5"/>
        <item x="3"/>
        <item h="1" x="0"/>
        <item x="4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">
        <item x="1"/>
        <item x="0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8"/>
  </rowFields>
  <rowItems count="5">
    <i>
      <x v="5"/>
    </i>
    <i>
      <x v="3"/>
    </i>
    <i>
      <x/>
    </i>
    <i>
      <x v="1"/>
    </i>
    <i t="grand">
      <x/>
    </i>
  </rowItems>
  <colItems count="1">
    <i/>
  </colItems>
  <pageFields count="3">
    <pageField fld="32" item="1" hier="-1"/>
    <pageField fld="26" item="3" hier="-1"/>
    <pageField fld="27" item="2" hier="-1"/>
  </pageFields>
  <dataFields count="1">
    <dataField name="Sum of Multi Factor" fld="35" showDataAs="percentOfCol" baseField="21" baseItem="2" numFmtId="9"/>
  </dataFields>
  <formats count="25">
    <format dxfId="333">
      <pivotArea type="all" dataOnly="0" outline="0" fieldPosition="0"/>
    </format>
    <format dxfId="332">
      <pivotArea outline="0" collapsedLevelsAreSubtotals="1" fieldPosition="0"/>
    </format>
    <format dxfId="331">
      <pivotArea field="25" type="button" dataOnly="0" labelOnly="1" outline="0"/>
    </format>
    <format dxfId="330">
      <pivotArea dataOnly="0" labelOnly="1" grandRow="1" outline="0" fieldPosition="0"/>
    </format>
    <format dxfId="329">
      <pivotArea dataOnly="0" labelOnly="1" outline="0" axis="axisValues" fieldPosition="0"/>
    </format>
    <format dxfId="328">
      <pivotArea outline="0" collapsedLevelsAreSubtotals="1" fieldPosition="0"/>
    </format>
    <format dxfId="327">
      <pivotArea outline="0" collapsedLevelsAreSubtotals="1" fieldPosition="0"/>
    </format>
    <format dxfId="326">
      <pivotArea outline="0" fieldPosition="0">
        <references count="1">
          <reference field="4294967294" count="1">
            <x v="0"/>
          </reference>
        </references>
      </pivotArea>
    </format>
    <format dxfId="325">
      <pivotArea outline="0" fieldPosition="0">
        <references count="1">
          <reference field="4294967294" count="1" selected="0">
            <x v="0"/>
          </reference>
        </references>
      </pivotArea>
    </format>
    <format dxfId="324">
      <pivotArea field="18" type="button" dataOnly="0" labelOnly="1" outline="0"/>
    </format>
    <format dxfId="323">
      <pivotArea field="19" type="button" dataOnly="0" labelOnly="1" outline="0"/>
    </format>
    <format dxfId="322">
      <pivotArea field="20" type="button" dataOnly="0" labelOnly="1" outline="0"/>
    </format>
    <format dxfId="321">
      <pivotArea field="21" type="button" dataOnly="0" labelOnly="1" outline="0"/>
    </format>
    <format dxfId="320">
      <pivotArea field="23" type="button" dataOnly="0" labelOnly="1" outline="0"/>
    </format>
    <format dxfId="319">
      <pivotArea field="24" type="button" dataOnly="0" labelOnly="1" outline="0"/>
    </format>
    <format dxfId="318">
      <pivotArea field="32" type="button" dataOnly="0" labelOnly="1" outline="0" axis="axisPage" fieldPosition="0"/>
    </format>
    <format dxfId="317">
      <pivotArea field="24" type="button" dataOnly="0" labelOnly="1" outline="0"/>
    </format>
    <format dxfId="316">
      <pivotArea dataOnly="0" labelOnly="1" grandRow="1" outline="0" fieldPosition="0"/>
    </format>
    <format dxfId="315">
      <pivotArea field="32" type="button" dataOnly="0" labelOnly="1" outline="0" axis="axisPage" fieldPosition="0"/>
    </format>
    <format dxfId="314">
      <pivotArea field="24" type="button" dataOnly="0" labelOnly="1" outline="0"/>
    </format>
    <format dxfId="313">
      <pivotArea dataOnly="0" labelOnly="1" grandRow="1" outline="0" fieldPosition="0"/>
    </format>
    <format dxfId="312">
      <pivotArea field="27" type="button" dataOnly="0" labelOnly="1" outline="0" axis="axisPage" fieldPosition="2"/>
    </format>
    <format dxfId="311">
      <pivotArea dataOnly="0" labelOnly="1" outline="0" fieldPosition="0">
        <references count="1">
          <reference field="27" count="0"/>
        </references>
      </pivotArea>
    </format>
    <format dxfId="310">
      <pivotArea dataOnly="0" labelOnly="1" grandRow="1" outline="0" fieldPosition="0"/>
    </format>
    <format dxfId="309">
      <pivotArea field="28" type="button" dataOnly="0" labelOnly="1" outline="0" axis="axisRow" fieldPosition="0"/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6AA308-9B0C-4988-B6E5-F391FC8941D7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40:E43" firstHeaderRow="1" firstDataRow="1" firstDataCol="1" rowPageCount="1" colPageCount="1"/>
  <pivotFields count="5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2029 Party Pref" compact="0" outline="0" showAll="0" defaultSubtotal="0">
      <items count="4">
        <item x="0"/>
        <item x="1"/>
        <item x="2"/>
        <item m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">
        <item x="1"/>
        <item x="0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3"/>
  </rowFields>
  <rowItems count="3">
    <i>
      <x/>
    </i>
    <i>
      <x v="1"/>
    </i>
    <i t="grand">
      <x/>
    </i>
  </rowItems>
  <colItems count="1">
    <i/>
  </colItems>
  <pageFields count="1">
    <pageField fld="32" item="1" hier="-1"/>
  </pageFields>
  <dataFields count="1">
    <dataField name="Sum of Multi Factor" fld="35" showDataAs="percentOfCol" baseField="21" baseItem="2" numFmtId="9"/>
  </dataFields>
  <formats count="26">
    <format dxfId="359">
      <pivotArea type="all" dataOnly="0" outline="0" fieldPosition="0"/>
    </format>
    <format dxfId="358">
      <pivotArea outline="0" collapsedLevelsAreSubtotals="1" fieldPosition="0"/>
    </format>
    <format dxfId="357">
      <pivotArea field="25" type="button" dataOnly="0" labelOnly="1" outline="0"/>
    </format>
    <format dxfId="356">
      <pivotArea dataOnly="0" labelOnly="1" grandRow="1" outline="0" fieldPosition="0"/>
    </format>
    <format dxfId="355">
      <pivotArea dataOnly="0" labelOnly="1" outline="0" axis="axisValues" fieldPosition="0"/>
    </format>
    <format dxfId="354">
      <pivotArea outline="0" collapsedLevelsAreSubtotals="1" fieldPosition="0"/>
    </format>
    <format dxfId="353">
      <pivotArea outline="0" collapsedLevelsAreSubtotals="1" fieldPosition="0"/>
    </format>
    <format dxfId="352">
      <pivotArea outline="0" fieldPosition="0">
        <references count="1">
          <reference field="4294967294" count="1">
            <x v="0"/>
          </reference>
        </references>
      </pivotArea>
    </format>
    <format dxfId="351">
      <pivotArea outline="0" fieldPosition="0">
        <references count="1">
          <reference field="4294967294" count="1" selected="0">
            <x v="0"/>
          </reference>
        </references>
      </pivotArea>
    </format>
    <format dxfId="350">
      <pivotArea field="18" type="button" dataOnly="0" labelOnly="1" outline="0"/>
    </format>
    <format dxfId="349">
      <pivotArea field="19" type="button" dataOnly="0" labelOnly="1" outline="0"/>
    </format>
    <format dxfId="348">
      <pivotArea field="20" type="button" dataOnly="0" labelOnly="1" outline="0"/>
    </format>
    <format dxfId="347">
      <pivotArea field="21" type="button" dataOnly="0" labelOnly="1" outline="0"/>
    </format>
    <format dxfId="346">
      <pivotArea field="23" type="button" dataOnly="0" labelOnly="1" outline="0" axis="axisRow" fieldPosition="0"/>
    </format>
    <format dxfId="345">
      <pivotArea field="32" type="button" dataOnly="0" labelOnly="1" outline="0" axis="axisPage" fieldPosition="0"/>
    </format>
    <format dxfId="344">
      <pivotArea field="23" type="button" dataOnly="0" labelOnly="1" outline="0" axis="axisRow" fieldPosition="0"/>
    </format>
    <format dxfId="343">
      <pivotArea dataOnly="0" labelOnly="1" outline="0" fieldPosition="0">
        <references count="1">
          <reference field="23" count="0"/>
        </references>
      </pivotArea>
    </format>
    <format dxfId="342">
      <pivotArea dataOnly="0" labelOnly="1" grandRow="1" outline="0" fieldPosition="0"/>
    </format>
    <format dxfId="341">
      <pivotArea field="32" type="button" dataOnly="0" labelOnly="1" outline="0" axis="axisPage" fieldPosition="0"/>
    </format>
    <format dxfId="340">
      <pivotArea field="23" type="button" dataOnly="0" labelOnly="1" outline="0" axis="axisRow" fieldPosition="0"/>
    </format>
    <format dxfId="339">
      <pivotArea dataOnly="0" labelOnly="1" outline="0" fieldPosition="0">
        <references count="1">
          <reference field="23" count="0"/>
        </references>
      </pivotArea>
    </format>
    <format dxfId="338">
      <pivotArea dataOnly="0" labelOnly="1" grandRow="1" outline="0" fieldPosition="0"/>
    </format>
    <format dxfId="337">
      <pivotArea field="32" type="button" dataOnly="0" labelOnly="1" outline="0" axis="axisPage" fieldPosition="0"/>
    </format>
    <format dxfId="336">
      <pivotArea field="23" type="button" dataOnly="0" labelOnly="1" outline="0" axis="axisRow" fieldPosition="0"/>
    </format>
    <format dxfId="335">
      <pivotArea dataOnly="0" labelOnly="1" outline="0" fieldPosition="0">
        <references count="1">
          <reference field="23" count="0"/>
        </references>
      </pivotArea>
    </format>
    <format dxfId="334">
      <pivotArea dataOnly="0" labelOnly="1" grandRow="1" outline="0" fieldPosition="0"/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9455F7-BC41-4F73-B423-03E5914FF74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22:E25" firstHeaderRow="1" firstDataRow="1" firstDataCol="1" rowPageCount="1" colPageCount="1"/>
  <pivotFields count="5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CM/Current Govt Satisfaction"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2029 Party Pref" compact="0" outline="0" showAll="0" defaultSubtotal="0">
      <items count="4">
        <item x="0"/>
        <item x="1"/>
        <item x="2"/>
        <item m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">
        <item x="1"/>
        <item x="0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9"/>
  </rowFields>
  <rowItems count="3">
    <i>
      <x/>
    </i>
    <i>
      <x v="1"/>
    </i>
    <i t="grand">
      <x/>
    </i>
  </rowItems>
  <colItems count="1">
    <i/>
  </colItems>
  <pageFields count="1">
    <pageField fld="32" item="1" hier="-1"/>
  </pageFields>
  <dataFields count="1">
    <dataField name="Sum of Multi Factor" fld="35" showDataAs="percentOfCol" baseField="21" baseItem="2" numFmtId="9"/>
  </dataFields>
  <formats count="23">
    <format dxfId="382">
      <pivotArea type="all" dataOnly="0" outline="0" fieldPosition="0"/>
    </format>
    <format dxfId="381">
      <pivotArea outline="0" collapsedLevelsAreSubtotals="1" fieldPosition="0"/>
    </format>
    <format dxfId="380">
      <pivotArea field="25" type="button" dataOnly="0" labelOnly="1" outline="0"/>
    </format>
    <format dxfId="379">
      <pivotArea dataOnly="0" labelOnly="1" grandRow="1" outline="0" fieldPosition="0"/>
    </format>
    <format dxfId="378">
      <pivotArea dataOnly="0" labelOnly="1" outline="0" axis="axisValues" fieldPosition="0"/>
    </format>
    <format dxfId="377">
      <pivotArea outline="0" collapsedLevelsAreSubtotals="1" fieldPosition="0"/>
    </format>
    <format dxfId="376">
      <pivotArea outline="0" collapsedLevelsAreSubtotals="1" fieldPosition="0"/>
    </format>
    <format dxfId="375">
      <pivotArea outline="0" fieldPosition="0">
        <references count="1">
          <reference field="4294967294" count="1">
            <x v="0"/>
          </reference>
        </references>
      </pivotArea>
    </format>
    <format dxfId="374">
      <pivotArea outline="0" fieldPosition="0">
        <references count="1">
          <reference field="4294967294" count="1" selected="0">
            <x v="0"/>
          </reference>
        </references>
      </pivotArea>
    </format>
    <format dxfId="373">
      <pivotArea field="18" type="button" dataOnly="0" labelOnly="1" outline="0"/>
    </format>
    <format dxfId="372">
      <pivotArea field="19" type="button" dataOnly="0" labelOnly="1" outline="0" axis="axisRow" fieldPosition="0"/>
    </format>
    <format dxfId="371">
      <pivotArea field="32" type="button" dataOnly="0" labelOnly="1" outline="0" axis="axisPage" fieldPosition="0"/>
    </format>
    <format dxfId="370">
      <pivotArea field="19" type="button" dataOnly="0" labelOnly="1" outline="0" axis="axisRow" fieldPosition="0"/>
    </format>
    <format dxfId="369">
      <pivotArea dataOnly="0" labelOnly="1" outline="0" fieldPosition="0">
        <references count="1">
          <reference field="19" count="0"/>
        </references>
      </pivotArea>
    </format>
    <format dxfId="368">
      <pivotArea dataOnly="0" labelOnly="1" grandRow="1" outline="0" fieldPosition="0"/>
    </format>
    <format dxfId="367">
      <pivotArea field="32" type="button" dataOnly="0" labelOnly="1" outline="0" axis="axisPage" fieldPosition="0"/>
    </format>
    <format dxfId="366">
      <pivotArea field="19" type="button" dataOnly="0" labelOnly="1" outline="0" axis="axisRow" fieldPosition="0"/>
    </format>
    <format dxfId="365">
      <pivotArea dataOnly="0" labelOnly="1" outline="0" fieldPosition="0">
        <references count="1">
          <reference field="19" count="0"/>
        </references>
      </pivotArea>
    </format>
    <format dxfId="364">
      <pivotArea dataOnly="0" labelOnly="1" grandRow="1" outline="0" fieldPosition="0"/>
    </format>
    <format dxfId="363">
      <pivotArea field="32" type="button" dataOnly="0" labelOnly="1" outline="0" axis="axisPage" fieldPosition="0"/>
    </format>
    <format dxfId="362">
      <pivotArea field="19" type="button" dataOnly="0" labelOnly="1" outline="0" axis="axisRow" fieldPosition="0"/>
    </format>
    <format dxfId="361">
      <pivotArea dataOnly="0" labelOnly="1" outline="0" fieldPosition="0">
        <references count="1">
          <reference field="19" count="0"/>
        </references>
      </pivotArea>
    </format>
    <format dxfId="360">
      <pivotArea dataOnly="0" labelOnly="1" grandRow="1" outline="0" fieldPosition="0"/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38311E-B586-4791-AF90-FD92E9D92D4B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57:E63" firstHeaderRow="1" firstDataRow="1" firstDataCol="1" rowPageCount="2" colPageCount="1"/>
  <pivotFields count="5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2029 Party Pref" compact="0" outline="0" showAll="0" defaultSubtotal="0">
      <items count="4">
        <item x="0"/>
        <item x="1"/>
        <item x="2"/>
        <item m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5">
        <item x="3"/>
        <item x="2"/>
        <item x="1"/>
        <item x="0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4">
        <item x="1"/>
        <item x="0"/>
        <item x="3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6">
        <item x="3"/>
        <item x="0"/>
        <item x="4"/>
        <item x="1"/>
        <item x="2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">
        <item x="1"/>
        <item x="0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8"/>
  </rowFields>
  <rowItems count="6">
    <i>
      <x v="1"/>
    </i>
    <i>
      <x v="4"/>
    </i>
    <i>
      <x/>
    </i>
    <i>
      <x v="2"/>
    </i>
    <i>
      <x v="5"/>
    </i>
    <i t="grand">
      <x/>
    </i>
  </rowItems>
  <colItems count="1">
    <i/>
  </colItems>
  <pageFields count="2">
    <pageField fld="32" item="1" hier="-1"/>
    <pageField fld="26" item="3" hier="-1"/>
  </pageFields>
  <dataFields count="1">
    <dataField name="Sum of Multi Factor" fld="35" showDataAs="percentOfCol" baseField="21" baseItem="2" numFmtId="9"/>
  </dataFields>
  <formats count="25">
    <format dxfId="407">
      <pivotArea type="all" dataOnly="0" outline="0" fieldPosition="0"/>
    </format>
    <format dxfId="406">
      <pivotArea outline="0" collapsedLevelsAreSubtotals="1" fieldPosition="0"/>
    </format>
    <format dxfId="405">
      <pivotArea field="25" type="button" dataOnly="0" labelOnly="1" outline="0"/>
    </format>
    <format dxfId="404">
      <pivotArea dataOnly="0" labelOnly="1" grandRow="1" outline="0" fieldPosition="0"/>
    </format>
    <format dxfId="403">
      <pivotArea dataOnly="0" labelOnly="1" outline="0" axis="axisValues" fieldPosition="0"/>
    </format>
    <format dxfId="402">
      <pivotArea outline="0" collapsedLevelsAreSubtotals="1" fieldPosition="0"/>
    </format>
    <format dxfId="401">
      <pivotArea outline="0" collapsedLevelsAreSubtotals="1" fieldPosition="0"/>
    </format>
    <format dxfId="400">
      <pivotArea outline="0" fieldPosition="0">
        <references count="1">
          <reference field="4294967294" count="1">
            <x v="0"/>
          </reference>
        </references>
      </pivotArea>
    </format>
    <format dxfId="399">
      <pivotArea outline="0" fieldPosition="0">
        <references count="1">
          <reference field="4294967294" count="1" selected="0">
            <x v="0"/>
          </reference>
        </references>
      </pivotArea>
    </format>
    <format dxfId="398">
      <pivotArea field="18" type="button" dataOnly="0" labelOnly="1" outline="0"/>
    </format>
    <format dxfId="397">
      <pivotArea field="19" type="button" dataOnly="0" labelOnly="1" outline="0"/>
    </format>
    <format dxfId="396">
      <pivotArea field="20" type="button" dataOnly="0" labelOnly="1" outline="0"/>
    </format>
    <format dxfId="395">
      <pivotArea field="21" type="button" dataOnly="0" labelOnly="1" outline="0"/>
    </format>
    <format dxfId="394">
      <pivotArea field="23" type="button" dataOnly="0" labelOnly="1" outline="0"/>
    </format>
    <format dxfId="393">
      <pivotArea field="24" type="button" dataOnly="0" labelOnly="1" outline="0"/>
    </format>
    <format dxfId="392">
      <pivotArea field="32" type="button" dataOnly="0" labelOnly="1" outline="0" axis="axisPage" fieldPosition="0"/>
    </format>
    <format dxfId="391">
      <pivotArea field="24" type="button" dataOnly="0" labelOnly="1" outline="0"/>
    </format>
    <format dxfId="390">
      <pivotArea dataOnly="0" labelOnly="1" grandRow="1" outline="0" fieldPosition="0"/>
    </format>
    <format dxfId="389">
      <pivotArea field="32" type="button" dataOnly="0" labelOnly="1" outline="0" axis="axisPage" fieldPosition="0"/>
    </format>
    <format dxfId="388">
      <pivotArea field="24" type="button" dataOnly="0" labelOnly="1" outline="0"/>
    </format>
    <format dxfId="387">
      <pivotArea dataOnly="0" labelOnly="1" grandRow="1" outline="0" fieldPosition="0"/>
    </format>
    <format dxfId="386">
      <pivotArea field="27" type="button" dataOnly="0" labelOnly="1" outline="0"/>
    </format>
    <format dxfId="385">
      <pivotArea field="28" type="button" dataOnly="0" labelOnly="1" outline="0" axis="axisRow" fieldPosition="0"/>
    </format>
    <format dxfId="384">
      <pivotArea dataOnly="0" labelOnly="1" outline="0" fieldPosition="0">
        <references count="1">
          <reference field="28" count="4">
            <x v="0"/>
            <x v="1"/>
            <x v="2"/>
            <x v="4"/>
          </reference>
        </references>
      </pivotArea>
    </format>
    <format dxfId="383">
      <pivotArea dataOnly="0" labelOnly="1" grandRow="1" outline="0" fieldPosition="0"/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F85A87-E969-4355-B547-1D3B3A05ADF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H7" firstHeaderRow="0" firstDataRow="1" firstDataCol="1" rowPageCount="1" colPageCount="1"/>
  <pivotFields count="5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2029 Party Pref" axis="axisRow" compact="0" outline="0" showAll="0" defaultSubtotal="0">
      <items count="4">
        <item x="0"/>
        <item x="1"/>
        <item x="2"/>
        <item m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">
        <item x="1"/>
        <item x="0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5"/>
  </rowFields>
  <rowItems count="4">
    <i>
      <x/>
    </i>
    <i>
      <x v="1"/>
    </i>
    <i>
      <x v="2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1">
    <pageField fld="32" item="1" hier="-1"/>
  </pageFields>
  <dataFields count="7">
    <dataField name="Sum of Multi Factor" fld="35" showDataAs="percentOfCol" baseField="21" baseItem="2" numFmtId="9"/>
    <dataField name="Count of Q18: Gender" fld="16" subtotal="count" showDataAs="percentOfCol" baseField="0" baseItem="0" numFmtId="9"/>
    <dataField name="Sum of Caste Factor" fld="33" showDataAs="percentOfCol" baseField="0" baseItem="0" numFmtId="9"/>
    <dataField name="Sum of 2024 Factor" fld="34" showDataAs="percentOfCol" baseField="0" baseItem="0" numFmtId="9"/>
    <dataField name="Sum of Gender factor" fld="36" showDataAs="percentOfCol" baseField="21" baseItem="2" numFmtId="9"/>
    <dataField name="Sum of Factor_1" fld="38" showDataAs="percentOfCol" baseField="21" baseItem="2" numFmtId="9"/>
    <dataField name="Sum of Factor_2" fld="39" showDataAs="percentOfCol" baseField="21" baseItem="2" numFmtId="9"/>
  </dataFields>
  <formats count="34">
    <format dxfId="441">
      <pivotArea type="all" dataOnly="0" outline="0" fieldPosition="0"/>
    </format>
    <format dxfId="440">
      <pivotArea outline="0" collapsedLevelsAreSubtotals="1" fieldPosition="0"/>
    </format>
    <format dxfId="439">
      <pivotArea field="25" type="button" dataOnly="0" labelOnly="1" outline="0" axis="axisRow" fieldPosition="0"/>
    </format>
    <format dxfId="438">
      <pivotArea dataOnly="0" labelOnly="1" outline="0" fieldPosition="0">
        <references count="1">
          <reference field="25" count="0"/>
        </references>
      </pivotArea>
    </format>
    <format dxfId="437">
      <pivotArea dataOnly="0" labelOnly="1" grandRow="1" outline="0" fieldPosition="0"/>
    </format>
    <format dxfId="436">
      <pivotArea dataOnly="0" labelOnly="1" outline="0" axis="axisValues" fieldPosition="0"/>
    </format>
    <format dxfId="435">
      <pivotArea outline="0" fieldPosition="0">
        <references count="1">
          <reference field="4294967294" count="1">
            <x v="1"/>
          </reference>
        </references>
      </pivotArea>
    </format>
    <format dxfId="434">
      <pivotArea outline="0" collapsedLevelsAreSubtotals="1" fieldPosition="0"/>
    </format>
    <format dxfId="433">
      <pivotArea outline="0" collapsedLevelsAreSubtotals="1" fieldPosition="0"/>
    </format>
    <format dxfId="432">
      <pivotArea outline="0" fieldPosition="0">
        <references count="1">
          <reference field="4294967294" count="1">
            <x v="2"/>
          </reference>
        </references>
      </pivotArea>
    </format>
    <format dxfId="431">
      <pivotArea outline="0" fieldPosition="0">
        <references count="1">
          <reference field="4294967294" count="1">
            <x v="3"/>
          </reference>
        </references>
      </pivotArea>
    </format>
    <format dxfId="430">
      <pivotArea outline="0" fieldPosition="0">
        <references count="1">
          <reference field="4294967294" count="1">
            <x v="0"/>
          </reference>
        </references>
      </pivotArea>
    </format>
    <format dxfId="429">
      <pivotArea outline="0" fieldPosition="0">
        <references count="1">
          <reference field="4294967294" count="1">
            <x v="4"/>
          </reference>
        </references>
      </pivotArea>
    </format>
    <format dxfId="428">
      <pivotArea outline="0" fieldPosition="0">
        <references count="1">
          <reference field="4294967294" count="1">
            <x v="5"/>
          </reference>
        </references>
      </pivotArea>
    </format>
    <format dxfId="427">
      <pivotArea outline="0" fieldPosition="0">
        <references count="1">
          <reference field="4294967294" count="1">
            <x v="6"/>
          </reference>
        </references>
      </pivotArea>
    </format>
    <format dxfId="426">
      <pivotArea outline="0" fieldPosition="0">
        <references count="1">
          <reference field="4294967294" count="6" selected="0">
            <x v="0"/>
            <x v="2"/>
            <x v="3"/>
            <x v="4"/>
            <x v="5"/>
            <x v="6"/>
          </reference>
        </references>
      </pivotArea>
    </format>
    <format dxfId="425">
      <pivotArea field="32" type="button" dataOnly="0" labelOnly="1" outline="0" axis="axisPage" fieldPosition="0"/>
    </format>
    <format dxfId="424">
      <pivotArea field="25" type="button" dataOnly="0" labelOnly="1" outline="0" axis="axisRow" fieldPosition="0"/>
    </format>
    <format dxfId="423">
      <pivotArea dataOnly="0" labelOnly="1" outline="0" fieldPosition="0">
        <references count="1">
          <reference field="25" count="0"/>
        </references>
      </pivotArea>
    </format>
    <format dxfId="422">
      <pivotArea dataOnly="0" labelOnly="1" grandRow="1" outline="0" fieldPosition="0"/>
    </format>
    <format dxfId="421">
      <pivotArea field="32" type="button" dataOnly="0" labelOnly="1" outline="0" axis="axisPage" fieldPosition="0"/>
    </format>
    <format dxfId="420">
      <pivotArea field="25" type="button" dataOnly="0" labelOnly="1" outline="0" axis="axisRow" fieldPosition="0"/>
    </format>
    <format dxfId="419">
      <pivotArea dataOnly="0" labelOnly="1" outline="0" fieldPosition="0">
        <references count="1">
          <reference field="25" count="0"/>
        </references>
      </pivotArea>
    </format>
    <format dxfId="418">
      <pivotArea dataOnly="0" labelOnly="1" grandRow="1" outline="0" fieldPosition="0"/>
    </format>
    <format dxfId="417">
      <pivotArea outline="0" fieldPosition="0">
        <references count="1">
          <reference field="4294967294" count="1" selected="0">
            <x v="3"/>
          </reference>
        </references>
      </pivotArea>
    </format>
    <format dxfId="416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415">
      <pivotArea outline="0" fieldPosition="0">
        <references count="1">
          <reference field="4294967294" count="1" selected="0">
            <x v="3"/>
          </reference>
        </references>
      </pivotArea>
    </format>
    <format dxfId="414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413">
      <pivotArea field="32" type="button" dataOnly="0" labelOnly="1" outline="0" axis="axisPage" fieldPosition="0"/>
    </format>
    <format dxfId="412">
      <pivotArea field="25" type="button" dataOnly="0" labelOnly="1" outline="0" axis="axisRow" fieldPosition="0"/>
    </format>
    <format dxfId="411">
      <pivotArea dataOnly="0" labelOnly="1" outline="0" fieldPosition="0">
        <references count="1">
          <reference field="25" count="0"/>
        </references>
      </pivotArea>
    </format>
    <format dxfId="410">
      <pivotArea dataOnly="0" labelOnly="1" grandRow="1" outline="0" fieldPosition="0"/>
    </format>
    <format dxfId="409">
      <pivotArea outline="0" fieldPosition="0">
        <references count="1">
          <reference field="4294967294" count="1" selected="0">
            <x v="3"/>
          </reference>
        </references>
      </pivotArea>
    </format>
    <format dxfId="408">
      <pivotArea dataOnly="0" labelOnly="1" outline="0" fieldPosition="0">
        <references count="1">
          <reference field="4294967294" count="1">
            <x v="3"/>
          </reference>
        </references>
      </pivotArea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B924EC-A724-41FE-89E0-B1E16CDF9D18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L17:M24" firstHeaderRow="1" firstDataRow="1" firstDataCol="1" rowPageCount="1" colPageCount="1"/>
  <pivotFields count="5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2"/>
        <item x="3"/>
        <item x="1"/>
        <item x="4"/>
        <item x="0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2029 Party Pref" compact="0" outline="0" showAll="0" defaultSubtotal="0">
      <items count="4">
        <item x="0"/>
        <item x="1"/>
        <item x="2"/>
        <item m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">
        <item x="1"/>
        <item x="0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32" item="1" hier="-1"/>
  </pageFields>
  <dataFields count="1">
    <dataField name="Sum of Multi Factor" fld="35" showDataAs="percentOfCol" baseField="21" baseItem="2" numFmtId="9"/>
  </dataFields>
  <formats count="19"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25" type="button" dataOnly="0" labelOnly="1" outline="0"/>
    </format>
    <format dxfId="50">
      <pivotArea dataOnly="0" labelOnly="1" grandRow="1" outline="0" fieldPosition="0"/>
    </format>
    <format dxfId="49">
      <pivotArea dataOnly="0" labelOnly="1" outline="0" axis="axisValues" fieldPosition="0"/>
    </format>
    <format dxfId="48">
      <pivotArea outline="0" collapsedLevelsAreSubtotals="1" fieldPosition="0"/>
    </format>
    <format dxfId="47">
      <pivotArea outline="0" collapsedLevelsAreSubtotals="1" fieldPosition="0"/>
    </format>
    <format dxfId="46">
      <pivotArea outline="0" fieldPosition="0">
        <references count="1">
          <reference field="4294967294" count="1">
            <x v="0"/>
          </reference>
        </references>
      </pivotArea>
    </format>
    <format dxfId="45">
      <pivotArea outline="0" fieldPosition="0">
        <references count="1">
          <reference field="4294967294" count="1" selected="0">
            <x v="0"/>
          </reference>
        </references>
      </pivotArea>
    </format>
    <format dxfId="44">
      <pivotArea field="32" type="button" dataOnly="0" labelOnly="1" outline="0" axis="axisPage" fieldPosition="0"/>
    </format>
    <format dxfId="43">
      <pivotArea field="25" type="button" dataOnly="0" labelOnly="1" outline="0"/>
    </format>
    <format dxfId="42">
      <pivotArea dataOnly="0" labelOnly="1" grandRow="1" outline="0" fieldPosition="0"/>
    </format>
    <format dxfId="41">
      <pivotArea field="32" type="button" dataOnly="0" labelOnly="1" outline="0" axis="axisPage" fieldPosition="0"/>
    </format>
    <format dxfId="40">
      <pivotArea field="25" type="button" dataOnly="0" labelOnly="1" outline="0"/>
    </format>
    <format dxfId="39">
      <pivotArea dataOnly="0" labelOnly="1" grandRow="1" outline="0" fieldPosition="0"/>
    </format>
    <format dxfId="38">
      <pivotArea field="32" type="button" dataOnly="0" labelOnly="1" outline="0" axis="axisPage" fieldPosition="0"/>
    </format>
    <format dxfId="37">
      <pivotArea field="25" type="button" dataOnly="0" labelOnly="1" outline="0"/>
    </format>
    <format dxfId="36">
      <pivotArea dataOnly="0" labelOnly="1" grandRow="1" outline="0" fieldPosition="0"/>
    </format>
    <format dxfId="22">
      <pivotArea field="17" type="button" dataOnly="0" labelOnly="1" outline="0" axis="axisRow" fieldPosition="0"/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7BAF8C-0A9C-4229-BE86-A10DA13FC35B}" name="Table1" displayName="Table1" ref="A1:AZ911" totalsRowShown="0" headerRowDxfId="495" dataDxfId="494">
  <tableColumns count="52">
    <tableColumn id="1" xr3:uid="{BDAF5F7D-7AE6-4C05-ADE4-1BC111CB8112}" name="Sample ID" dataDxfId="493"/>
    <tableColumn id="2" xr3:uid="{F663030F-1483-44BB-A44A-BFB9BBD85942}" name="Date" dataDxfId="492"/>
    <tableColumn id="3" xr3:uid="{A1679D8F-ED08-47EA-9FFC-55C628751635}" name="Timestamp" dataDxfId="491"/>
    <tableColumn id="4" xr3:uid="{C2757972-DE5B-4F27-A295-A24640392C0C}" name="Location" dataDxfId="490"/>
    <tableColumn id="6" xr3:uid="{AB8B1B98-84F0-4CBA-843B-0FF04C691E7E}" name="Address" dataDxfId="489"/>
    <tableColumn id="8" xr3:uid="{A2EA6B23-82CF-4409-97F4-02587F9D0AA8}" name="Surveyor" dataDxfId="488"/>
    <tableColumn id="13" xr3:uid="{0DA58067-F446-4455-A5E5-A4EAEBBFE208}" name="Company" dataDxfId="487"/>
    <tableColumn id="21" xr3:uid="{F3514DE7-3DEA-4D27-A9E7-71CF78D4CB4E}" name="Audio URL" dataDxfId="486"/>
    <tableColumn id="10" xr3:uid="{A0C656C7-6D29-4E0F-B83C-0DA5AAEF8D98}" name="Caste" dataDxfId="485"/>
    <tableColumn id="11" xr3:uid="{05F2F5A1-427E-4274-87F9-345C3C5D66AF}" name="Taluka" dataDxfId="484"/>
    <tableColumn id="12" xr3:uid="{13EFF341-304A-45F8-8948-96C2AE4E908D}" name="Locality" dataDxfId="483"/>
    <tableColumn id="34" xr3:uid="{357C818B-E0FF-4912-8AD1-F776D1D3CDD6}" name="Q13: వృత్తి" dataDxfId="482"/>
    <tableColumn id="35" xr3:uid="{F71E21C7-EA69-4166-887E-F7F75BB88D53}" name="Q14: మతం" dataDxfId="481"/>
    <tableColumn id="36" xr3:uid="{4436DA62-4641-4D99-BCC8-6F2EFBBBFB15}" name="Q15: వయసు" dataDxfId="480"/>
    <tableColumn id="37" xr3:uid="{BF4FAE8B-217E-48C5-B8A1-9DEDF340AF43}" name="Q16: మీ పేరు" dataDxfId="479"/>
    <tableColumn id="38" xr3:uid="{C29BAE4B-B3A1-486C-8777-A1B45EC5E6EE}" name="Q17: మీ ఫోన్ నంబర్" dataDxfId="478"/>
    <tableColumn id="39" xr3:uid="{DB852472-1483-41B4-A3A6-9C7B127BF0F4}" name="Q18: Gender" dataDxfId="477"/>
    <tableColumn id="22" xr3:uid="{1584EAA3-4ED7-44F4-86A9-EAB5A0EDAEF7}" name="Q1: స్థానికంగా మీకున్న ప్రధానమైన సమస్యలు ఏమిటి?" dataDxfId="476"/>
    <tableColumn id="23" xr3:uid="{E27155AC-6852-47BC-9D4B-2AD78D4DF4AD}" name="Q2: మీ ఎమ్మెల్యే గారి పనితీరు ఎలాగా ఉంది?" dataDxfId="475"/>
    <tableColumn id="24" xr3:uid="{2C731A7A-41D9-4A8F-BFD3-1C158B371628}" name="Q3: చంద్రబాబు నాయుడు గారి ప్రభుత్వ పనితీరు పై మీ అభిప్రాయం?" dataDxfId="474"/>
    <tableColumn id="25" xr3:uid="{A516FED7-3C4B-43BF-9899-85E74CDFC995}" name="Q4: సూపర్ 6/7 పధకాలు ఎన్నికల ముందు చెప్పినట్లు గా అమలుఅవుతున్నాయా?" dataDxfId="473"/>
    <tableColumn id="26" xr3:uid="{9B751BBD-3497-4F17-AE78-B87A72772A73}" name="Q5: సంక్షేమ పధకాలు ఎవరి హయాంలో బాగా అమలు అయ్యాయి అని మీరు అనుకుంటున్నారు?" dataDxfId="472"/>
    <tableColumn id="27" xr3:uid="{BD14DE26-A130-4E64-AA2B-1C7DF39679EC}" name="Q6: మీ ద్రుష్టి లో అభివృద్ధి అంటే ముఖ్యంగా ఏమిటి (మీకు మ్రుఖ్యమైన 3 చెప్పండి)?" dataDxfId="471"/>
    <tableColumn id="28" xr3:uid="{F9A089DF-B6A7-4E4F-B9D6-1576090DFF75}" name="Q7: అభివృద్ధి కార్యక్రమాలు ఎవరి హయాంలో బాగా జరిగాయి అని మీరు భావిస్తున్నారు?" dataDxfId="470"/>
    <tableColumn id="29" xr3:uid="{E6E03C75-1915-4727-8006-BE1E9AD6DA24}" name="Q8: గత ఎన్నికలలో వేసిన ఓటు పై మీ అభిప్రాయం ఏమిటి?" dataDxfId="469"/>
    <tableColumn id="30" xr3:uid="{F086A3EA-E81C-4D20-BC97-05A19A1A1602}" name="Q9: 2029 లో/ ఇప్పటికి ఇప్పుడు ఎన్నికలు జరిగితే మీరు ఏ పార్టీకి ఓటు వేస్తారు ?" dataDxfId="468"/>
    <tableColumn id="31" xr3:uid="{D06EE90E-2568-4545-9E56-1E2F50FD4E00}" name="Q10: మీరు 2024 అసెంబ్లీ ఎన్నికలో ఏ పార్టీ కి వోట్ వేశారు?" dataDxfId="467"/>
    <tableColumn id="32" xr3:uid="{716FC32A-E322-488B-B5F0-5D13BAE007E6}" name="Q11: YSRCP నియోజకవర్గ  ఇంచార్జి(Gollalapalli Surya Rao) అందుబాటులో ఉంటున్నారా?" dataDxfId="466"/>
    <tableColumn id="33" xr3:uid="{FA31C766-3E4D-4E71-8C5A-4686D6E65BE6}" name="Q12: ఒకవేళ YSRCP నియోజకవర్గ ఇంచార్జి ని మార్చాల్సి వస్తే ఎవరైతే బాగుంటుంది అని మీరు భావిస్తున్నారు? (ఈ ప్రశ్న 2024 అసెంబ్లీ ఎన్నికలో YSRCPకి ఓటు వేసినవారికి మాత్రమే చూపించబడుతుంది)" dataDxfId="465"/>
    <tableColumn id="40" xr3:uid="{1F5E31E7-0365-4B57-9439-841986B58A8A}" name="QC Username" dataDxfId="464"/>
    <tableColumn id="41" xr3:uid="{3C17C9EA-C500-4376-8FE3-B0567BB0FCE4}" name="QC Comment" dataDxfId="463"/>
    <tableColumn id="42" xr3:uid="{6E7A83B8-0EE9-49B8-B4EC-B5EA07700341}" name="QC Remark" dataDxfId="462"/>
    <tableColumn id="43" xr3:uid="{90941393-EF89-4FEB-80EB-0AABC0495625}" name="Valid or Not" dataDxfId="461"/>
    <tableColumn id="9" xr3:uid="{3AE72BA7-EE7F-4A46-B89D-412983ABDA29}" name="Caste Factor" dataDxfId="460">
      <calculatedColumnFormula>VLOOKUP(Table1[[#This Row],[Caste]],Factor!$H$1:$K$13,4,0)</calculatedColumnFormula>
    </tableColumn>
    <tableColumn id="14" xr3:uid="{B10A0DF2-CAA2-4228-8EEB-6C54BB81CE4E}" name="2024 Factor" dataDxfId="459">
      <calculatedColumnFormula>IFERROR(VLOOKUP(Table1[[#This Row],[Q10: మీరు 2024 అసెంబ్లీ ఎన్నికలో ఏ పార్టీ కి వోట్ వేశారు?]],Factor!$D$22:$H$23,5,0),Factor!$H$24)</calculatedColumnFormula>
    </tableColumn>
    <tableColumn id="15" xr3:uid="{EE2DE9DA-7B8E-4FA6-8B30-EC820ED77E65}" name="Multi Factor" dataDxfId="458">
      <calculatedColumnFormula>Table1[[#This Row],[Factor_1]]*Table1[[#This Row],[2024 Factor]]</calculatedColumnFormula>
    </tableColumn>
    <tableColumn id="16" xr3:uid="{1C1AE77A-9459-42D6-9E64-D469F8615E45}" name="Gender factor" dataDxfId="457">
      <calculatedColumnFormula>VLOOKUP(Table1[[#This Row],[Q18: Gender]],Factor!$A$33:$E$35,5,0)</calculatedColumnFormula>
    </tableColumn>
    <tableColumn id="17" xr3:uid="{F8E45029-F44B-4263-9472-09A637C28EB6}" name="Mandal Factor" dataDxfId="456">
      <calculatedColumnFormula>VLOOKUP(Table1[[#This Row],[Taluka]],Factor!$A$42:$G$46,7,0)</calculatedColumnFormula>
    </tableColumn>
    <tableColumn id="18" xr3:uid="{7198170E-6D7E-4C80-A720-959C863DB088}" name="Factor_1" dataDxfId="455">
      <calculatedColumnFormula>VLOOKUP(Table1[[#This Row],[Caste]]&amp;Table1[[#This Row],[Q18: Gender]],Factor!$W$1:$X$23,2,0)</calculatedColumnFormula>
    </tableColumn>
    <tableColumn id="19" xr3:uid="{8BF6451B-E13D-4ADD-8F45-E2DAEB050ECE}" name="Factor_2" dataDxfId="454">
      <calculatedColumnFormula>VLOOKUP(Table1[[#This Row],[Taluka]]&amp;Table1[[#This Row],[Caste]]&amp;Table1[[#This Row],[Q18: Gender]],Factor!$AK$4:$AL$93,2,0)</calculatedColumnFormula>
    </tableColumn>
    <tableColumn id="20" xr3:uid="{EA353401-C79A-4CF3-BA85-289B489BF126}" name="Satis" dataDxfId="453">
      <calculatedColumnFormula>IF(T2="బాగుంది",-1,1)</calculatedColumnFormula>
    </tableColumn>
    <tableColumn id="44" xr3:uid="{19625018-F3B1-4AAD-A8A8-FCA7E2CB5F2C}" name="Sch Sat" dataDxfId="452">
      <calculatedColumnFormula>IF(U2="అమలవడం లేదు",1,-1)</calculatedColumnFormula>
    </tableColumn>
    <tableColumn id="45" xr3:uid="{A6200129-3708-4885-A6C3-649401157768}" name="Wel" dataDxfId="451">
      <calculatedColumnFormula>IF(V2="జగన్ మోహన్ రెడ్డి గారు",1,-1)</calculatedColumnFormula>
    </tableColumn>
    <tableColumn id="46" xr3:uid="{A56D4308-5C4A-4408-B5A0-5339F2617E38}" name="Dev" dataDxfId="450">
      <calculatedColumnFormula>IF(X2="జగన్ మోహన్ రెడ్డి గారు",1,-1)</calculatedColumnFormula>
    </tableColumn>
    <tableColumn id="47" xr3:uid="{3493C7FA-17E5-457C-BF6D-7BCF6F1E0DE2}" name="24" dataDxfId="449">
      <calculatedColumnFormula>IF(AA2="YSRCP (వైఎస్‌ఆర్‌సీపీ)",1,-1)</calculatedColumnFormula>
    </tableColumn>
    <tableColumn id="48" xr3:uid="{ABE6C7FA-8F48-41DE-A0D2-5DD0200C752D}" name="29" dataDxfId="448">
      <calculatedColumnFormula>IF(Z2="YSRCP (వైఎస్‌ఆర్‌సీపీ)",1,-1)</calculatedColumnFormula>
    </tableColumn>
    <tableColumn id="49" xr3:uid="{3A2F86FF-2568-4A1B-A61A-2025449B7B94}" name="Core Cal" dataDxfId="447">
      <calculatedColumnFormula>AO2+AP2+AQ2+AR2+(0.5*AS2)+AT2</calculatedColumnFormula>
    </tableColumn>
    <tableColumn id="50" xr3:uid="{90B05B11-5E02-4336-80E3-78099395D51D}" name="Hard Core Score" dataDxfId="446">
      <calculatedColumnFormula>SUM(Table1[[#This Row],[Satis]:[29]])</calculatedColumnFormula>
    </tableColumn>
    <tableColumn id="51" xr3:uid="{1D44EBA0-3E27-41D3-8859-B15E074E5DD0}" name="Sympethiser1  Score" dataDxfId="445">
      <calculatedColumnFormula>AO2+AQ2+AR2+AS2+AT2</calculatedColumnFormula>
    </tableColumn>
    <tableColumn id="52" xr3:uid="{B8397E6B-52C6-4B3D-A697-CEA5357645A0}" name="Sympethiser 2 Score" dataDxfId="444">
      <calculatedColumnFormula>AQ2+AR2+AS2+AT2</calculatedColumnFormula>
    </tableColumn>
    <tableColumn id="53" xr3:uid="{85C31137-AEFC-469F-9F45-6860B6C9FDE1}" name="Neutral Score" dataDxfId="443">
      <calculatedColumnFormula>IF(AND(AO2=1,AS2=1,AT2=1),3,IF(AND(AO2=-1,AS2=-1,AT2=-1),-3,IF(AND(AO2=1,AS2=-1,AT2=1),2,IF(AND(AO2=-1,AS2=1,AT2=-1),-2,IF(AND(AS2=1,AT2=1),2,IF(AND(AS2=-1,AT2=-1),-2,"ND"))))))</calculatedColumnFormula>
    </tableColumn>
    <tableColumn id="54" xr3:uid="{3403735A-9EF3-42BF-A78C-99C4B074714C}" name="Category" dataDxfId="442">
      <calculatedColumnFormula>IFERROR(IF(AV2=6,"YSRCP HardCore",IF(AV2=-6,"TDP HardCore",IF(AW2&gt;=4,"YSRCP Sympathiser",IF(AW2&lt;=-4,"TDP Sympathiser",IF(AX2&gt;=3,"YSRCP Sympathiser",IF(AX2&lt;=-3,"TDP Sympathiser",IF(AY2="ND","ND",IF(AY2&gt;=2,"Neutral YSRCP",IF(AY2&lt;=-2,"Neutral TDP",0))))))))),"ND")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4" Type="http://schemas.openxmlformats.org/officeDocument/2006/relationships/pivotTable" Target="../pivotTables/pivotTable1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1.xml"/><Relationship Id="rId13" Type="http://schemas.openxmlformats.org/officeDocument/2006/relationships/pivotTable" Target="../pivotTables/pivotTable26.xml"/><Relationship Id="rId3" Type="http://schemas.openxmlformats.org/officeDocument/2006/relationships/pivotTable" Target="../pivotTables/pivotTable16.xml"/><Relationship Id="rId7" Type="http://schemas.openxmlformats.org/officeDocument/2006/relationships/pivotTable" Target="../pivotTables/pivotTable20.xml"/><Relationship Id="rId12" Type="http://schemas.openxmlformats.org/officeDocument/2006/relationships/pivotTable" Target="../pivotTables/pivotTable25.xml"/><Relationship Id="rId2" Type="http://schemas.openxmlformats.org/officeDocument/2006/relationships/pivotTable" Target="../pivotTables/pivotTable15.xml"/><Relationship Id="rId16" Type="http://schemas.openxmlformats.org/officeDocument/2006/relationships/pivotTable" Target="../pivotTables/pivotTable29.xml"/><Relationship Id="rId1" Type="http://schemas.openxmlformats.org/officeDocument/2006/relationships/pivotTable" Target="../pivotTables/pivotTable14.xml"/><Relationship Id="rId6" Type="http://schemas.openxmlformats.org/officeDocument/2006/relationships/pivotTable" Target="../pivotTables/pivotTable19.xml"/><Relationship Id="rId11" Type="http://schemas.openxmlformats.org/officeDocument/2006/relationships/pivotTable" Target="../pivotTables/pivotTable24.xml"/><Relationship Id="rId5" Type="http://schemas.openxmlformats.org/officeDocument/2006/relationships/pivotTable" Target="../pivotTables/pivotTable18.xml"/><Relationship Id="rId15" Type="http://schemas.openxmlformats.org/officeDocument/2006/relationships/pivotTable" Target="../pivotTables/pivotTable28.xml"/><Relationship Id="rId10" Type="http://schemas.openxmlformats.org/officeDocument/2006/relationships/pivotTable" Target="../pivotTables/pivotTable23.xml"/><Relationship Id="rId4" Type="http://schemas.openxmlformats.org/officeDocument/2006/relationships/pivotTable" Target="../pivotTables/pivotTable17.xml"/><Relationship Id="rId9" Type="http://schemas.openxmlformats.org/officeDocument/2006/relationships/pivotTable" Target="../pivotTables/pivotTable22.xml"/><Relationship Id="rId14" Type="http://schemas.openxmlformats.org/officeDocument/2006/relationships/pivotTable" Target="../pivotTables/pivotTable2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0CACF-D2F8-4B26-B3E4-AA48F34DAB48}">
  <dimension ref="A1:AI56"/>
  <sheetViews>
    <sheetView zoomScale="85" zoomScaleNormal="85" workbookViewId="0">
      <selection activeCell="B5" sqref="B5"/>
    </sheetView>
  </sheetViews>
  <sheetFormatPr defaultRowHeight="15.6" x14ac:dyDescent="0.3"/>
  <cols>
    <col min="1" max="1" width="11.796875" bestFit="1" customWidth="1"/>
    <col min="2" max="2" width="35.69921875" bestFit="1" customWidth="1"/>
    <col min="3" max="3" width="19.59765625" bestFit="1" customWidth="1"/>
    <col min="5" max="5" width="14.69921875" customWidth="1"/>
    <col min="6" max="6" width="11.296875" customWidth="1"/>
    <col min="7" max="7" width="20" bestFit="1" customWidth="1"/>
    <col min="8" max="8" width="19.59765625" bestFit="1" customWidth="1"/>
    <col min="9" max="9" width="7.3984375" bestFit="1" customWidth="1"/>
    <col min="10" max="10" width="8.19921875" bestFit="1" customWidth="1"/>
    <col min="11" max="11" width="7.3984375" bestFit="1" customWidth="1"/>
    <col min="13" max="14" width="20.5" bestFit="1" customWidth="1"/>
    <col min="15" max="15" width="19.59765625" bestFit="1" customWidth="1"/>
    <col min="16" max="17" width="9.69921875" customWidth="1"/>
    <col min="18" max="19" width="10.8984375" customWidth="1"/>
    <col min="20" max="20" width="20.5" bestFit="1" customWidth="1"/>
    <col min="21" max="22" width="14.19921875" bestFit="1" customWidth="1"/>
    <col min="23" max="24" width="10.8984375" bestFit="1" customWidth="1"/>
    <col min="25" max="25" width="8.19921875" bestFit="1" customWidth="1"/>
    <col min="26" max="26" width="7.3984375" bestFit="1" customWidth="1"/>
    <col min="27" max="27" width="7" bestFit="1" customWidth="1"/>
    <col min="28" max="28" width="8.19921875" bestFit="1" customWidth="1"/>
    <col min="29" max="29" width="7.3984375" bestFit="1" customWidth="1"/>
    <col min="30" max="30" width="14.19921875" bestFit="1" customWidth="1"/>
    <col min="31" max="31" width="8.19921875" bestFit="1" customWidth="1"/>
    <col min="32" max="32" width="7.3984375" bestFit="1" customWidth="1"/>
    <col min="33" max="33" width="10.296875" bestFit="1" customWidth="1"/>
    <col min="34" max="34" width="8.19921875" bestFit="1" customWidth="1"/>
    <col min="35" max="35" width="7.3984375" bestFit="1" customWidth="1"/>
  </cols>
  <sheetData>
    <row r="1" spans="1:35" x14ac:dyDescent="0.3">
      <c r="A1" s="1" t="s">
        <v>195</v>
      </c>
      <c r="B1" t="s">
        <v>196</v>
      </c>
      <c r="F1" s="9" t="s">
        <v>198</v>
      </c>
      <c r="G1" s="14" t="s">
        <v>199</v>
      </c>
      <c r="H1" s="14" t="s">
        <v>200</v>
      </c>
      <c r="I1" s="10" t="s">
        <v>201</v>
      </c>
      <c r="J1" s="10" t="s">
        <v>226</v>
      </c>
      <c r="K1" s="11" t="s">
        <v>40</v>
      </c>
      <c r="M1" s="18" t="s">
        <v>233</v>
      </c>
      <c r="N1" s="3" t="s">
        <v>201</v>
      </c>
      <c r="O1" s="3" t="s">
        <v>226</v>
      </c>
      <c r="P1" s="3" t="s">
        <v>40</v>
      </c>
      <c r="Q1" s="3" t="s">
        <v>234</v>
      </c>
      <c r="R1" s="3" t="s">
        <v>5038</v>
      </c>
      <c r="T1" s="24" t="s">
        <v>6</v>
      </c>
      <c r="U1" s="23" t="s">
        <v>203</v>
      </c>
      <c r="V1" s="17" t="s">
        <v>226</v>
      </c>
      <c r="W1" s="17" t="s">
        <v>40</v>
      </c>
      <c r="X1" s="23" t="s">
        <v>37</v>
      </c>
      <c r="Y1" s="17" t="s">
        <v>226</v>
      </c>
      <c r="Z1" s="17" t="s">
        <v>40</v>
      </c>
      <c r="AA1" s="23" t="s">
        <v>71</v>
      </c>
      <c r="AB1" s="17" t="s">
        <v>226</v>
      </c>
      <c r="AC1" s="17" t="s">
        <v>40</v>
      </c>
      <c r="AD1" s="23" t="s">
        <v>219</v>
      </c>
      <c r="AE1" s="17" t="s">
        <v>226</v>
      </c>
      <c r="AF1" s="17" t="s">
        <v>40</v>
      </c>
      <c r="AG1" s="23" t="s">
        <v>182</v>
      </c>
      <c r="AH1" s="17" t="s">
        <v>226</v>
      </c>
      <c r="AI1" s="17" t="s">
        <v>40</v>
      </c>
    </row>
    <row r="2" spans="1:35" x14ac:dyDescent="0.3">
      <c r="F2" s="4" t="s">
        <v>202</v>
      </c>
      <c r="G2" s="15" t="s">
        <v>203</v>
      </c>
      <c r="H2" s="15" t="s">
        <v>204</v>
      </c>
      <c r="I2" s="6">
        <v>70</v>
      </c>
      <c r="J2" s="6">
        <f>IFERROR(VLOOKUP(G2&amp;H2,$E$34:$H$62,4,0),0)</f>
        <v>44</v>
      </c>
      <c r="K2" s="12">
        <f>I2-J2</f>
        <v>26</v>
      </c>
      <c r="M2" s="19" t="s">
        <v>203</v>
      </c>
      <c r="N2" s="5">
        <v>315</v>
      </c>
      <c r="O2" s="5">
        <f>IFERROR(VLOOKUP(M2,$N$33:$O$37,2,0),0)</f>
        <v>161</v>
      </c>
      <c r="P2" s="5">
        <f>N2-O2</f>
        <v>154</v>
      </c>
      <c r="Q2" s="21">
        <v>0.31016073763843138</v>
      </c>
      <c r="R2" s="113">
        <f>O2/$O$6</f>
        <v>0.19658119658119658</v>
      </c>
      <c r="T2" s="106" t="s">
        <v>70</v>
      </c>
      <c r="U2" s="5">
        <v>91</v>
      </c>
      <c r="V2" s="5">
        <f>COUNTIFS(Table1[Caste],$T2,Table1[Taluka],U$1,Table1[Valid or Not],"Valid")</f>
        <v>32</v>
      </c>
      <c r="W2" s="5">
        <f>U2-V2</f>
        <v>59</v>
      </c>
      <c r="X2" s="5">
        <v>32</v>
      </c>
      <c r="Y2" s="5">
        <f>COUNTIFS(Table1[Caste],$T2,Table1[Taluka],X$1,Table1[Valid or Not],"Valid")</f>
        <v>48</v>
      </c>
      <c r="Z2" s="5">
        <f>X2-Y2</f>
        <v>-16</v>
      </c>
      <c r="AA2" s="5">
        <v>90</v>
      </c>
      <c r="AB2" s="5">
        <f>COUNTIFS(Table1[Caste],$T2,Table1[Taluka],AA$1,Table1[Valid or Not],"Valid")</f>
        <v>80</v>
      </c>
      <c r="AC2" s="5">
        <f>AA2-AB2</f>
        <v>10</v>
      </c>
      <c r="AD2" s="5">
        <v>88</v>
      </c>
      <c r="AE2" s="5">
        <f>COUNTIFS(Table1[Caste],$T2,Table1[Taluka],AD$1,Table1[Valid or Not],"Valid")</f>
        <v>49</v>
      </c>
      <c r="AF2" s="5">
        <f>AD2-AE2</f>
        <v>39</v>
      </c>
      <c r="AG2" s="5">
        <v>301</v>
      </c>
      <c r="AH2" s="5">
        <f>COUNTIFS(Table1[Caste],$T2,Table1[Valid or Not],"Valid")</f>
        <v>209</v>
      </c>
      <c r="AI2" s="5">
        <f>AG2-AH2</f>
        <v>92</v>
      </c>
    </row>
    <row r="3" spans="1:35" x14ac:dyDescent="0.3">
      <c r="A3" s="1" t="s">
        <v>183</v>
      </c>
      <c r="B3" s="1" t="s">
        <v>4</v>
      </c>
      <c r="C3" t="s">
        <v>197</v>
      </c>
      <c r="F3" s="4" t="s">
        <v>202</v>
      </c>
      <c r="G3" s="15" t="s">
        <v>203</v>
      </c>
      <c r="H3" s="15" t="s">
        <v>203</v>
      </c>
      <c r="I3" s="6">
        <v>35</v>
      </c>
      <c r="J3" s="6">
        <f t="shared" ref="J3:J26" si="0">IFERROR(VLOOKUP(G3&amp;H3,$E$34:$H$62,4,0),0)</f>
        <v>42</v>
      </c>
      <c r="K3" s="12">
        <f t="shared" ref="K3:K26" si="1">I3-J3</f>
        <v>-7</v>
      </c>
      <c r="M3" s="19" t="s">
        <v>37</v>
      </c>
      <c r="N3" s="5">
        <v>140</v>
      </c>
      <c r="O3" s="5">
        <f t="shared" ref="O3:O5" si="2">IFERROR(VLOOKUP(M3,$N$33:$O$37,2,0),0)</f>
        <v>149</v>
      </c>
      <c r="P3" s="5">
        <f t="shared" ref="P3:P5" si="3">N3-O3</f>
        <v>-9</v>
      </c>
      <c r="Q3" s="21">
        <v>0.11239633167243292</v>
      </c>
      <c r="R3" s="21">
        <f t="shared" ref="R3:R5" si="4">O3/$O$6</f>
        <v>0.18192918192918192</v>
      </c>
      <c r="T3" s="106" t="s">
        <v>59</v>
      </c>
      <c r="U3" s="5">
        <v>101</v>
      </c>
      <c r="V3" s="5">
        <f>COUNTIFS(Table1[Caste],$T3,Table1[Taluka],U$1,Table1[Valid or Not],"Valid")</f>
        <v>70</v>
      </c>
      <c r="W3" s="5">
        <f t="shared" ref="W3:W13" si="5">U3-V3</f>
        <v>31</v>
      </c>
      <c r="X3" s="5">
        <v>38</v>
      </c>
      <c r="Y3" s="5">
        <f>COUNTIFS(Table1[Caste],$T3,Table1[Taluka],X$1,Table1[Valid or Not],"Valid")</f>
        <v>32</v>
      </c>
      <c r="Z3" s="5">
        <f t="shared" ref="Z3:Z12" si="6">X3-Y3</f>
        <v>6</v>
      </c>
      <c r="AA3" s="5">
        <v>70</v>
      </c>
      <c r="AB3" s="5">
        <f>COUNTIFS(Table1[Caste],$T3,Table1[Taluka],AA$1,Table1[Valid or Not],"Valid")</f>
        <v>54</v>
      </c>
      <c r="AC3" s="5">
        <f t="shared" ref="AC3:AC13" si="7">AA3-AB3</f>
        <v>16</v>
      </c>
      <c r="AD3" s="5">
        <v>85</v>
      </c>
      <c r="AE3" s="5">
        <f>COUNTIFS(Table1[Caste],$T3,Table1[Taluka],AD$1,Table1[Valid or Not],"Valid")</f>
        <v>94</v>
      </c>
      <c r="AF3" s="5">
        <f t="shared" ref="AF3:AF13" si="8">AD3-AE3</f>
        <v>-9</v>
      </c>
      <c r="AG3" s="5">
        <v>294</v>
      </c>
      <c r="AH3" s="5">
        <f>COUNTIFS(Table1[Caste],$T3,Table1[Valid or Not],"Valid")</f>
        <v>250</v>
      </c>
      <c r="AI3" s="5">
        <f t="shared" ref="AI3:AI13" si="9">AG3-AH3</f>
        <v>44</v>
      </c>
    </row>
    <row r="4" spans="1:35" x14ac:dyDescent="0.3">
      <c r="A4" s="94">
        <v>46041</v>
      </c>
      <c r="B4" t="s">
        <v>35</v>
      </c>
      <c r="C4">
        <v>14</v>
      </c>
      <c r="F4" s="4" t="s">
        <v>202</v>
      </c>
      <c r="G4" s="15" t="s">
        <v>203</v>
      </c>
      <c r="H4" s="15" t="s">
        <v>205</v>
      </c>
      <c r="I4" s="6">
        <v>35</v>
      </c>
      <c r="J4" s="6">
        <f t="shared" si="0"/>
        <v>17</v>
      </c>
      <c r="K4" s="12">
        <f t="shared" si="1"/>
        <v>18</v>
      </c>
      <c r="M4" s="19" t="s">
        <v>71</v>
      </c>
      <c r="N4" s="5">
        <v>315</v>
      </c>
      <c r="O4" s="5">
        <f t="shared" si="2"/>
        <v>258</v>
      </c>
      <c r="P4" s="5">
        <f t="shared" si="3"/>
        <v>57</v>
      </c>
      <c r="Q4" s="21">
        <v>0.2892987799831151</v>
      </c>
      <c r="R4" s="21">
        <f t="shared" si="4"/>
        <v>0.31501831501831501</v>
      </c>
      <c r="T4" s="106" t="s">
        <v>36</v>
      </c>
      <c r="U4" s="5">
        <v>45</v>
      </c>
      <c r="V4" s="5">
        <f>COUNTIFS(Table1[Caste],$T4,Table1[Taluka],U$1,Table1[Valid or Not],"Valid")</f>
        <v>28</v>
      </c>
      <c r="W4" s="5">
        <f t="shared" si="5"/>
        <v>17</v>
      </c>
      <c r="X4" s="5">
        <v>25</v>
      </c>
      <c r="Y4" s="5">
        <f>COUNTIFS(Table1[Caste],$T4,Table1[Taluka],X$1,Table1[Valid or Not],"Valid")</f>
        <v>34</v>
      </c>
      <c r="Z4" s="5">
        <f t="shared" si="6"/>
        <v>-9</v>
      </c>
      <c r="AA4" s="5">
        <v>82</v>
      </c>
      <c r="AB4" s="5">
        <f>COUNTIFS(Table1[Caste],$T4,Table1[Taluka],AA$1,Table1[Valid or Not],"Valid")</f>
        <v>62</v>
      </c>
      <c r="AC4" s="5">
        <f t="shared" si="7"/>
        <v>20</v>
      </c>
      <c r="AD4" s="5">
        <v>32</v>
      </c>
      <c r="AE4" s="5">
        <f>COUNTIFS(Table1[Caste],$T4,Table1[Taluka],AD$1,Table1[Valid or Not],"Valid")</f>
        <v>29</v>
      </c>
      <c r="AF4" s="5">
        <f t="shared" si="8"/>
        <v>3</v>
      </c>
      <c r="AG4" s="5">
        <v>184</v>
      </c>
      <c r="AH4" s="5">
        <f>COUNTIFS(Table1[Caste],$T4,Table1[Valid or Not],"Valid")</f>
        <v>153</v>
      </c>
      <c r="AI4" s="5">
        <f t="shared" si="9"/>
        <v>31</v>
      </c>
    </row>
    <row r="5" spans="1:35" x14ac:dyDescent="0.3">
      <c r="A5" s="94">
        <v>46041</v>
      </c>
      <c r="B5" t="s">
        <v>69</v>
      </c>
      <c r="C5">
        <v>1</v>
      </c>
      <c r="F5" s="4" t="s">
        <v>202</v>
      </c>
      <c r="G5" s="15" t="s">
        <v>203</v>
      </c>
      <c r="H5" s="15" t="s">
        <v>206</v>
      </c>
      <c r="I5" s="6">
        <v>35</v>
      </c>
      <c r="J5" s="6">
        <f t="shared" si="0"/>
        <v>0</v>
      </c>
      <c r="K5" s="12">
        <f t="shared" si="1"/>
        <v>35</v>
      </c>
      <c r="M5" s="19" t="s">
        <v>219</v>
      </c>
      <c r="N5" s="5">
        <v>280</v>
      </c>
      <c r="O5" s="5">
        <f t="shared" si="2"/>
        <v>251</v>
      </c>
      <c r="P5" s="5">
        <f t="shared" si="3"/>
        <v>29</v>
      </c>
      <c r="Q5" s="21">
        <v>0.28814415070602062</v>
      </c>
      <c r="R5" s="21">
        <f t="shared" si="4"/>
        <v>0.30647130647130649</v>
      </c>
      <c r="T5" s="106" t="s">
        <v>227</v>
      </c>
      <c r="U5" s="5">
        <v>25</v>
      </c>
      <c r="V5" s="5">
        <f>COUNTIFS(Table1[Caste],$T5,Table1[Taluka],U$1,Table1[Valid or Not],"Valid")</f>
        <v>12</v>
      </c>
      <c r="W5" s="5">
        <f t="shared" si="5"/>
        <v>13</v>
      </c>
      <c r="X5" s="5">
        <v>19</v>
      </c>
      <c r="Y5" s="5">
        <f>COUNTIFS(Table1[Caste],$T5,Table1[Taluka],X$1,Table1[Valid or Not],"Valid")</f>
        <v>5</v>
      </c>
      <c r="Z5" s="5">
        <f t="shared" si="6"/>
        <v>14</v>
      </c>
      <c r="AA5" s="5">
        <v>23</v>
      </c>
      <c r="AB5" s="5">
        <f>COUNTIFS(Table1[Caste],$T5,Table1[Taluka],AA$1,Table1[Valid or Not],"Valid")</f>
        <v>18</v>
      </c>
      <c r="AC5" s="5">
        <f t="shared" si="7"/>
        <v>5</v>
      </c>
      <c r="AD5" s="5">
        <v>30</v>
      </c>
      <c r="AE5" s="5">
        <f>COUNTIFS(Table1[Caste],$T5,Table1[Taluka],AD$1,Table1[Valid or Not],"Valid")</f>
        <v>38</v>
      </c>
      <c r="AF5" s="5">
        <f t="shared" si="8"/>
        <v>-8</v>
      </c>
      <c r="AG5" s="5">
        <v>97</v>
      </c>
      <c r="AH5" s="5">
        <f>COUNTIFS(Table1[Caste],$T5,Table1[Valid or Not],"Valid")</f>
        <v>73</v>
      </c>
      <c r="AI5" s="5">
        <f t="shared" si="9"/>
        <v>24</v>
      </c>
    </row>
    <row r="6" spans="1:35" x14ac:dyDescent="0.3">
      <c r="A6" s="94">
        <v>46042</v>
      </c>
      <c r="B6" t="s">
        <v>307</v>
      </c>
      <c r="C6">
        <v>11</v>
      </c>
      <c r="F6" s="4" t="s">
        <v>202</v>
      </c>
      <c r="G6" s="15" t="s">
        <v>203</v>
      </c>
      <c r="H6" s="15" t="s">
        <v>207</v>
      </c>
      <c r="I6" s="6">
        <v>35</v>
      </c>
      <c r="J6" s="6">
        <f t="shared" si="0"/>
        <v>0</v>
      </c>
      <c r="K6" s="12">
        <f t="shared" si="1"/>
        <v>35</v>
      </c>
      <c r="M6" s="18" t="s">
        <v>182</v>
      </c>
      <c r="N6" s="3">
        <v>1050</v>
      </c>
      <c r="O6" s="3">
        <f>SUM(O2:O5)</f>
        <v>819</v>
      </c>
      <c r="P6" s="3">
        <f>SUM(P2:P5)</f>
        <v>231</v>
      </c>
      <c r="Q6" s="22">
        <f>SUM(Q2:Q5)</f>
        <v>1</v>
      </c>
      <c r="R6" s="22">
        <f>SUM(R2:R5)</f>
        <v>1</v>
      </c>
      <c r="T6" s="106" t="s">
        <v>228</v>
      </c>
      <c r="U6" s="5">
        <v>12</v>
      </c>
      <c r="V6" s="5">
        <f>COUNTIFS(Table1[Caste],$T6,Table1[Taluka],U$1,Table1[Valid or Not],"Valid")</f>
        <v>6</v>
      </c>
      <c r="W6" s="5">
        <f t="shared" si="5"/>
        <v>6</v>
      </c>
      <c r="X6" s="5">
        <v>12</v>
      </c>
      <c r="Y6" s="5">
        <f>COUNTIFS(Table1[Caste],$T6,Table1[Taluka],X$1,Table1[Valid or Not],"Valid")</f>
        <v>16</v>
      </c>
      <c r="Z6" s="5">
        <f t="shared" si="6"/>
        <v>-4</v>
      </c>
      <c r="AA6" s="5">
        <v>21</v>
      </c>
      <c r="AB6" s="5">
        <f>COUNTIFS(Table1[Caste],$T6,Table1[Taluka],AA$1,Table1[Valid or Not],"Valid")</f>
        <v>20</v>
      </c>
      <c r="AC6" s="5">
        <f t="shared" si="7"/>
        <v>1</v>
      </c>
      <c r="AD6" s="5">
        <v>7</v>
      </c>
      <c r="AE6" s="5">
        <f>COUNTIFS(Table1[Caste],$T6,Table1[Taluka],AD$1,Table1[Valid or Not],"Valid")</f>
        <v>8</v>
      </c>
      <c r="AF6" s="5">
        <f t="shared" si="8"/>
        <v>-1</v>
      </c>
      <c r="AG6" s="5">
        <v>52</v>
      </c>
      <c r="AH6" s="5">
        <f>COUNTIFS(Table1[Caste],$T6,Table1[Valid or Not],"Valid")</f>
        <v>50</v>
      </c>
      <c r="AI6" s="5">
        <f t="shared" si="9"/>
        <v>2</v>
      </c>
    </row>
    <row r="7" spans="1:35" x14ac:dyDescent="0.3">
      <c r="A7" s="94">
        <v>46042</v>
      </c>
      <c r="B7" t="s">
        <v>240</v>
      </c>
      <c r="C7">
        <v>32</v>
      </c>
      <c r="F7" s="4" t="s">
        <v>202</v>
      </c>
      <c r="G7" s="15" t="s">
        <v>203</v>
      </c>
      <c r="H7" s="15" t="s">
        <v>208</v>
      </c>
      <c r="I7" s="6">
        <v>35</v>
      </c>
      <c r="J7" s="6">
        <f t="shared" si="0"/>
        <v>58</v>
      </c>
      <c r="K7" s="12">
        <f t="shared" si="1"/>
        <v>-23</v>
      </c>
      <c r="T7" s="106" t="s">
        <v>159</v>
      </c>
      <c r="U7" s="5">
        <v>10</v>
      </c>
      <c r="V7" s="5">
        <f>COUNTIFS(Table1[Caste],$T7,Table1[Taluka],U$1,Table1[Valid or Not],"Valid")</f>
        <v>5</v>
      </c>
      <c r="W7" s="5">
        <f t="shared" si="5"/>
        <v>5</v>
      </c>
      <c r="X7" s="5">
        <v>7</v>
      </c>
      <c r="Y7" s="5">
        <f>COUNTIFS(Table1[Caste],$T7,Table1[Taluka],X$1,Table1[Valid or Not],"Valid")</f>
        <v>2</v>
      </c>
      <c r="Z7" s="5">
        <f t="shared" si="6"/>
        <v>5</v>
      </c>
      <c r="AA7" s="5">
        <v>4</v>
      </c>
      <c r="AB7" s="5">
        <f>COUNTIFS(Table1[Caste],$T7,Table1[Taluka],AA$1,Table1[Valid or Not],"Valid")</f>
        <v>5</v>
      </c>
      <c r="AC7" s="5">
        <f t="shared" si="7"/>
        <v>-1</v>
      </c>
      <c r="AD7" s="5">
        <v>10</v>
      </c>
      <c r="AE7" s="5">
        <f>COUNTIFS(Table1[Caste],$T7,Table1[Taluka],AD$1,Table1[Valid or Not],"Valid")</f>
        <v>1</v>
      </c>
      <c r="AF7" s="5">
        <f t="shared" si="8"/>
        <v>9</v>
      </c>
      <c r="AG7" s="5">
        <v>31</v>
      </c>
      <c r="AH7" s="5">
        <f>COUNTIFS(Table1[Caste],$T7,Table1[Valid or Not],"Valid")</f>
        <v>13</v>
      </c>
      <c r="AI7" s="5">
        <f t="shared" si="9"/>
        <v>18</v>
      </c>
    </row>
    <row r="8" spans="1:35" x14ac:dyDescent="0.3">
      <c r="A8" s="94">
        <v>46043</v>
      </c>
      <c r="B8" t="s">
        <v>935</v>
      </c>
      <c r="C8">
        <v>12</v>
      </c>
      <c r="F8" s="4" t="s">
        <v>202</v>
      </c>
      <c r="G8" s="15" t="s">
        <v>203</v>
      </c>
      <c r="H8" s="15" t="s">
        <v>209</v>
      </c>
      <c r="I8" s="6">
        <v>35</v>
      </c>
      <c r="J8" s="6">
        <f t="shared" si="0"/>
        <v>0</v>
      </c>
      <c r="K8" s="12">
        <f t="shared" si="1"/>
        <v>35</v>
      </c>
      <c r="N8" s="20"/>
      <c r="O8" s="20"/>
      <c r="T8" s="106" t="s">
        <v>229</v>
      </c>
      <c r="U8" s="5">
        <v>10</v>
      </c>
      <c r="V8" s="5">
        <f>COUNTIFS(Table1[Caste],$T8,Table1[Taluka],U$1,Table1[Valid or Not],"Valid")</f>
        <v>1</v>
      </c>
      <c r="W8" s="5">
        <f t="shared" si="5"/>
        <v>9</v>
      </c>
      <c r="X8" s="5">
        <v>2</v>
      </c>
      <c r="Y8" s="5">
        <f>COUNTIFS(Table1[Caste],$T8,Table1[Taluka],X$1,Table1[Valid or Not],"Valid")</f>
        <v>0</v>
      </c>
      <c r="Z8" s="5">
        <f t="shared" si="6"/>
        <v>2</v>
      </c>
      <c r="AA8" s="5">
        <v>6</v>
      </c>
      <c r="AB8" s="5">
        <f>COUNTIFS(Table1[Caste],$T8,Table1[Taluka],AA$1,Table1[Valid or Not],"Valid")</f>
        <v>2</v>
      </c>
      <c r="AC8" s="5">
        <f t="shared" si="7"/>
        <v>4</v>
      </c>
      <c r="AD8" s="5">
        <v>6</v>
      </c>
      <c r="AE8" s="5">
        <f>COUNTIFS(Table1[Caste],$T8,Table1[Taluka],AD$1,Table1[Valid or Not],"Valid")</f>
        <v>16</v>
      </c>
      <c r="AF8" s="5">
        <f t="shared" si="8"/>
        <v>-10</v>
      </c>
      <c r="AG8" s="5">
        <v>24</v>
      </c>
      <c r="AH8" s="5">
        <f>COUNTIFS(Table1[Caste],$T8,Table1[Valid or Not],"Valid")</f>
        <v>19</v>
      </c>
      <c r="AI8" s="5">
        <f t="shared" si="9"/>
        <v>5</v>
      </c>
    </row>
    <row r="9" spans="1:35" x14ac:dyDescent="0.3">
      <c r="A9" s="94">
        <v>46043</v>
      </c>
      <c r="B9" t="s">
        <v>69</v>
      </c>
      <c r="C9">
        <v>59</v>
      </c>
      <c r="F9" s="4" t="s">
        <v>202</v>
      </c>
      <c r="G9" s="15" t="s">
        <v>203</v>
      </c>
      <c r="H9" s="15" t="s">
        <v>210</v>
      </c>
      <c r="I9" s="6">
        <v>35</v>
      </c>
      <c r="J9" s="6">
        <f t="shared" si="0"/>
        <v>0</v>
      </c>
      <c r="K9" s="12">
        <f t="shared" si="1"/>
        <v>35</v>
      </c>
      <c r="N9" s="20"/>
      <c r="O9" s="20"/>
      <c r="T9" s="106" t="s">
        <v>145</v>
      </c>
      <c r="U9" s="5">
        <v>8</v>
      </c>
      <c r="V9" s="5">
        <f>COUNTIFS(Table1[Caste],$T9,Table1[Taluka],U$1,Table1[Valid or Not],"Valid")</f>
        <v>3</v>
      </c>
      <c r="W9" s="5">
        <f t="shared" si="5"/>
        <v>5</v>
      </c>
      <c r="X9" s="5">
        <v>2</v>
      </c>
      <c r="Y9" s="5">
        <f>COUNTIFS(Table1[Caste],$T9,Table1[Taluka],X$1,Table1[Valid or Not],"Valid")</f>
        <v>1</v>
      </c>
      <c r="Z9" s="5">
        <f t="shared" si="6"/>
        <v>1</v>
      </c>
      <c r="AA9" s="5">
        <v>4</v>
      </c>
      <c r="AB9" s="5">
        <f>COUNTIFS(Table1[Caste],$T9,Table1[Taluka],AA$1,Table1[Valid or Not],"Valid")</f>
        <v>5</v>
      </c>
      <c r="AC9" s="5">
        <f t="shared" si="7"/>
        <v>-1</v>
      </c>
      <c r="AD9" s="5">
        <v>8</v>
      </c>
      <c r="AE9" s="5">
        <f>COUNTIFS(Table1[Caste],$T9,Table1[Taluka],AD$1,Table1[Valid or Not],"Valid")</f>
        <v>2</v>
      </c>
      <c r="AF9" s="5">
        <f t="shared" si="8"/>
        <v>6</v>
      </c>
      <c r="AG9" s="5">
        <v>22</v>
      </c>
      <c r="AH9" s="5">
        <f>COUNTIFS(Table1[Caste],$T9,Table1[Valid or Not],"Valid")</f>
        <v>11</v>
      </c>
      <c r="AI9" s="5">
        <f t="shared" si="9"/>
        <v>11</v>
      </c>
    </row>
    <row r="10" spans="1:35" x14ac:dyDescent="0.3">
      <c r="A10" s="94">
        <v>46043</v>
      </c>
      <c r="B10" t="s">
        <v>240</v>
      </c>
      <c r="C10">
        <v>53</v>
      </c>
      <c r="F10" s="4" t="s">
        <v>202</v>
      </c>
      <c r="G10" s="15" t="s">
        <v>37</v>
      </c>
      <c r="H10" s="15" t="s">
        <v>211</v>
      </c>
      <c r="I10" s="6">
        <v>35</v>
      </c>
      <c r="J10" s="6">
        <f t="shared" si="0"/>
        <v>42</v>
      </c>
      <c r="K10" s="12">
        <f t="shared" si="1"/>
        <v>-7</v>
      </c>
      <c r="T10" s="106" t="s">
        <v>168</v>
      </c>
      <c r="U10" s="5">
        <v>5</v>
      </c>
      <c r="V10" s="5">
        <f>COUNTIFS(Table1[Caste],$T10,Table1[Taluka],U$1,Table1[Valid or Not],"Valid")</f>
        <v>3</v>
      </c>
      <c r="W10" s="5">
        <f t="shared" si="5"/>
        <v>2</v>
      </c>
      <c r="X10" s="5">
        <v>2</v>
      </c>
      <c r="Y10" s="5">
        <f>COUNTIFS(Table1[Caste],$T10,Table1[Taluka],X$1,Table1[Valid or Not],"Valid")</f>
        <v>7</v>
      </c>
      <c r="Z10" s="5">
        <f t="shared" si="6"/>
        <v>-5</v>
      </c>
      <c r="AA10" s="5">
        <v>8</v>
      </c>
      <c r="AB10" s="5">
        <f>COUNTIFS(Table1[Caste],$T10,Table1[Taluka],AA$1,Table1[Valid or Not],"Valid")</f>
        <v>3</v>
      </c>
      <c r="AC10" s="5">
        <f t="shared" si="7"/>
        <v>5</v>
      </c>
      <c r="AD10" s="5">
        <v>6</v>
      </c>
      <c r="AE10" s="5">
        <f>COUNTIFS(Table1[Caste],$T10,Table1[Taluka],AD$1,Table1[Valid or Not],"Valid")</f>
        <v>6</v>
      </c>
      <c r="AF10" s="5">
        <f t="shared" si="8"/>
        <v>0</v>
      </c>
      <c r="AG10" s="5">
        <v>21</v>
      </c>
      <c r="AH10" s="5">
        <f>COUNTIFS(Table1[Caste],$T10,Table1[Valid or Not],"Valid")</f>
        <v>19</v>
      </c>
      <c r="AI10" s="5">
        <f t="shared" si="9"/>
        <v>2</v>
      </c>
    </row>
    <row r="11" spans="1:35" x14ac:dyDescent="0.3">
      <c r="A11" s="94">
        <v>46044</v>
      </c>
      <c r="B11" t="s">
        <v>935</v>
      </c>
      <c r="C11">
        <v>29</v>
      </c>
      <c r="F11" s="4" t="s">
        <v>202</v>
      </c>
      <c r="G11" s="15" t="s">
        <v>37</v>
      </c>
      <c r="H11" s="15" t="s">
        <v>38</v>
      </c>
      <c r="I11" s="6">
        <v>35</v>
      </c>
      <c r="J11" s="6">
        <f t="shared" si="0"/>
        <v>32</v>
      </c>
      <c r="K11" s="12">
        <f t="shared" si="1"/>
        <v>3</v>
      </c>
      <c r="T11" s="106" t="s">
        <v>230</v>
      </c>
      <c r="U11" s="5">
        <v>5</v>
      </c>
      <c r="V11" s="5">
        <f>COUNTIFS(Table1[Caste],$T11,Table1[Taluka],U$1,Table1[Valid or Not],"Valid")</f>
        <v>1</v>
      </c>
      <c r="W11" s="5">
        <f t="shared" si="5"/>
        <v>4</v>
      </c>
      <c r="X11" s="5">
        <v>0</v>
      </c>
      <c r="Y11" s="5">
        <f>COUNTIFS(Table1[Caste],$T11,Table1[Taluka],X$1,Table1[Valid or Not],"Valid")</f>
        <v>4</v>
      </c>
      <c r="Z11" s="5">
        <f t="shared" si="6"/>
        <v>-4</v>
      </c>
      <c r="AA11" s="5">
        <v>1</v>
      </c>
      <c r="AB11" s="5">
        <f>COUNTIFS(Table1[Caste],$T11,Table1[Taluka],AA$1,Table1[Valid or Not],"Valid")</f>
        <v>7</v>
      </c>
      <c r="AC11" s="5">
        <f t="shared" si="7"/>
        <v>-6</v>
      </c>
      <c r="AD11" s="5">
        <v>7</v>
      </c>
      <c r="AE11" s="5">
        <f>COUNTIFS(Table1[Caste],$T11,Table1[Taluka],AD$1,Table1[Valid or Not],"Valid")</f>
        <v>0</v>
      </c>
      <c r="AF11" s="5">
        <f t="shared" si="8"/>
        <v>7</v>
      </c>
      <c r="AG11" s="5">
        <v>13</v>
      </c>
      <c r="AH11" s="5">
        <f>COUNTIFS(Table1[Caste],$T11,Table1[Valid or Not],"Valid")</f>
        <v>12</v>
      </c>
      <c r="AI11" s="5">
        <f t="shared" si="9"/>
        <v>1</v>
      </c>
    </row>
    <row r="12" spans="1:35" x14ac:dyDescent="0.3">
      <c r="A12" s="94">
        <v>46044</v>
      </c>
      <c r="B12" t="s">
        <v>69</v>
      </c>
      <c r="C12">
        <v>67</v>
      </c>
      <c r="F12" s="4" t="s">
        <v>202</v>
      </c>
      <c r="G12" s="15" t="s">
        <v>37</v>
      </c>
      <c r="H12" s="15" t="s">
        <v>212</v>
      </c>
      <c r="I12" s="6">
        <v>35</v>
      </c>
      <c r="J12" s="6">
        <f t="shared" si="0"/>
        <v>41</v>
      </c>
      <c r="K12" s="12">
        <f t="shared" si="1"/>
        <v>-6</v>
      </c>
      <c r="T12" s="106" t="s">
        <v>231</v>
      </c>
      <c r="U12" s="5">
        <v>2</v>
      </c>
      <c r="V12" s="5">
        <f>COUNTIFS(Table1[Caste],$T12,Table1[Taluka],U$1,Table1[Valid or Not],"Valid")</f>
        <v>0</v>
      </c>
      <c r="W12" s="5">
        <f t="shared" si="5"/>
        <v>2</v>
      </c>
      <c r="X12" s="5">
        <v>1</v>
      </c>
      <c r="Y12" s="5">
        <f>COUNTIFS(Table1[Caste],$T12,Table1[Taluka],X$1,Table1[Valid or Not],"Valid")</f>
        <v>0</v>
      </c>
      <c r="Z12" s="5">
        <f t="shared" si="6"/>
        <v>1</v>
      </c>
      <c r="AA12" s="5">
        <v>6</v>
      </c>
      <c r="AB12" s="5">
        <f>COUNTIFS(Table1[Caste],$T12,Table1[Taluka],AA$1,Table1[Valid or Not],"Valid")</f>
        <v>2</v>
      </c>
      <c r="AC12" s="5">
        <f t="shared" si="7"/>
        <v>4</v>
      </c>
      <c r="AD12" s="5">
        <v>2</v>
      </c>
      <c r="AE12" s="5">
        <f>COUNTIFS(Table1[Caste],$T12,Table1[Taluka],AD$1,Table1[Valid or Not],"Valid")</f>
        <v>8</v>
      </c>
      <c r="AF12" s="5">
        <f t="shared" si="8"/>
        <v>-6</v>
      </c>
      <c r="AG12" s="5">
        <v>11</v>
      </c>
      <c r="AH12" s="5">
        <f>COUNTIFS(Table1[Caste],$T12,Table1[Valid or Not],"Valid")</f>
        <v>10</v>
      </c>
      <c r="AI12" s="5">
        <f t="shared" si="9"/>
        <v>1</v>
      </c>
    </row>
    <row r="13" spans="1:35" x14ac:dyDescent="0.3">
      <c r="A13" s="94">
        <v>46044</v>
      </c>
      <c r="B13" t="s">
        <v>240</v>
      </c>
      <c r="C13">
        <v>29</v>
      </c>
      <c r="F13" s="4" t="s">
        <v>202</v>
      </c>
      <c r="G13" s="15" t="s">
        <v>37</v>
      </c>
      <c r="H13" s="15" t="s">
        <v>80</v>
      </c>
      <c r="I13" s="6">
        <v>35</v>
      </c>
      <c r="J13" s="6">
        <f t="shared" si="0"/>
        <v>34</v>
      </c>
      <c r="K13" s="12">
        <f t="shared" si="1"/>
        <v>1</v>
      </c>
      <c r="T13" s="24" t="s">
        <v>232</v>
      </c>
      <c r="U13" s="17">
        <v>314</v>
      </c>
      <c r="V13" s="110">
        <f>SUM(V2:V12)</f>
        <v>161</v>
      </c>
      <c r="W13" s="17">
        <f t="shared" si="5"/>
        <v>153</v>
      </c>
      <c r="X13" s="17">
        <v>140</v>
      </c>
      <c r="Y13" s="110">
        <f>SUM(Y2:Y12)</f>
        <v>149</v>
      </c>
      <c r="Z13" s="17">
        <f>SUM(Z2:Z12)</f>
        <v>-9</v>
      </c>
      <c r="AA13" s="17">
        <v>315</v>
      </c>
      <c r="AB13" s="110">
        <f>SUM(AB2:AB12)</f>
        <v>258</v>
      </c>
      <c r="AC13" s="17">
        <f t="shared" si="7"/>
        <v>57</v>
      </c>
      <c r="AD13" s="17">
        <v>281</v>
      </c>
      <c r="AE13" s="110">
        <f>SUM(AE2:AE12)</f>
        <v>251</v>
      </c>
      <c r="AF13" s="17">
        <f t="shared" si="8"/>
        <v>30</v>
      </c>
      <c r="AG13" s="17">
        <v>1050</v>
      </c>
      <c r="AH13" s="110">
        <f>SUM(AH2:AH12)</f>
        <v>819</v>
      </c>
      <c r="AI13" s="17">
        <f t="shared" si="9"/>
        <v>231</v>
      </c>
    </row>
    <row r="14" spans="1:35" x14ac:dyDescent="0.3">
      <c r="A14" s="94">
        <v>46045</v>
      </c>
      <c r="B14" t="s">
        <v>935</v>
      </c>
      <c r="C14">
        <v>25</v>
      </c>
      <c r="F14" s="4" t="s">
        <v>202</v>
      </c>
      <c r="G14" s="15" t="s">
        <v>71</v>
      </c>
      <c r="H14" s="15" t="s">
        <v>71</v>
      </c>
      <c r="I14" s="6">
        <v>70</v>
      </c>
      <c r="J14" s="6">
        <f t="shared" si="0"/>
        <v>29</v>
      </c>
      <c r="K14" s="12">
        <f t="shared" si="1"/>
        <v>41</v>
      </c>
    </row>
    <row r="15" spans="1:35" x14ac:dyDescent="0.3">
      <c r="A15" s="94">
        <v>46045</v>
      </c>
      <c r="B15" t="s">
        <v>69</v>
      </c>
      <c r="C15">
        <v>67</v>
      </c>
      <c r="F15" s="4" t="s">
        <v>202</v>
      </c>
      <c r="G15" s="15" t="s">
        <v>71</v>
      </c>
      <c r="H15" s="15" t="s">
        <v>213</v>
      </c>
      <c r="I15" s="6">
        <v>70</v>
      </c>
      <c r="J15" s="6">
        <f t="shared" si="0"/>
        <v>70</v>
      </c>
      <c r="K15" s="12">
        <f t="shared" si="1"/>
        <v>0</v>
      </c>
    </row>
    <row r="16" spans="1:35" x14ac:dyDescent="0.3">
      <c r="A16" s="94">
        <v>46045</v>
      </c>
      <c r="B16" t="s">
        <v>2547</v>
      </c>
      <c r="C16">
        <v>7</v>
      </c>
      <c r="F16" s="4" t="s">
        <v>202</v>
      </c>
      <c r="G16" s="15" t="s">
        <v>71</v>
      </c>
      <c r="H16" s="15" t="s">
        <v>214</v>
      </c>
      <c r="I16" s="6">
        <v>35</v>
      </c>
      <c r="J16" s="6">
        <f t="shared" si="0"/>
        <v>38</v>
      </c>
      <c r="K16" s="12">
        <f t="shared" si="1"/>
        <v>-3</v>
      </c>
    </row>
    <row r="17" spans="1:22" x14ac:dyDescent="0.3">
      <c r="A17" s="94">
        <v>46045</v>
      </c>
      <c r="B17" t="s">
        <v>240</v>
      </c>
      <c r="C17">
        <v>40</v>
      </c>
      <c r="F17" s="4" t="s">
        <v>202</v>
      </c>
      <c r="G17" s="15" t="s">
        <v>71</v>
      </c>
      <c r="H17" s="15" t="s">
        <v>215</v>
      </c>
      <c r="I17" s="6">
        <v>35</v>
      </c>
      <c r="J17" s="6">
        <f t="shared" si="0"/>
        <v>47</v>
      </c>
      <c r="K17" s="12">
        <f t="shared" si="1"/>
        <v>-12</v>
      </c>
    </row>
    <row r="18" spans="1:22" x14ac:dyDescent="0.3">
      <c r="A18" s="94">
        <v>46046</v>
      </c>
      <c r="B18" t="s">
        <v>935</v>
      </c>
      <c r="C18">
        <v>58</v>
      </c>
      <c r="F18" s="4" t="s">
        <v>202</v>
      </c>
      <c r="G18" s="15" t="s">
        <v>71</v>
      </c>
      <c r="H18" s="15" t="s">
        <v>216</v>
      </c>
      <c r="I18" s="6">
        <v>35</v>
      </c>
      <c r="J18" s="6">
        <f t="shared" si="0"/>
        <v>1</v>
      </c>
      <c r="K18" s="12">
        <f t="shared" si="1"/>
        <v>34</v>
      </c>
    </row>
    <row r="19" spans="1:22" x14ac:dyDescent="0.3">
      <c r="A19" s="94">
        <v>46046</v>
      </c>
      <c r="B19" t="s">
        <v>3936</v>
      </c>
      <c r="C19">
        <v>1</v>
      </c>
      <c r="F19" s="4" t="s">
        <v>202</v>
      </c>
      <c r="G19" s="15" t="s">
        <v>71</v>
      </c>
      <c r="H19" s="15" t="s">
        <v>217</v>
      </c>
      <c r="I19" s="6">
        <v>35</v>
      </c>
      <c r="J19" s="6">
        <f t="shared" si="0"/>
        <v>28</v>
      </c>
      <c r="K19" s="12">
        <f t="shared" si="1"/>
        <v>7</v>
      </c>
    </row>
    <row r="20" spans="1:22" x14ac:dyDescent="0.3">
      <c r="A20" s="94">
        <v>46046</v>
      </c>
      <c r="B20" t="s">
        <v>35</v>
      </c>
      <c r="C20">
        <v>26</v>
      </c>
      <c r="F20" s="4" t="s">
        <v>202</v>
      </c>
      <c r="G20" s="15" t="s">
        <v>71</v>
      </c>
      <c r="H20" s="15" t="s">
        <v>218</v>
      </c>
      <c r="I20" s="6">
        <v>35</v>
      </c>
      <c r="J20" s="6">
        <f t="shared" si="0"/>
        <v>45</v>
      </c>
      <c r="K20" s="12">
        <f t="shared" si="1"/>
        <v>-10</v>
      </c>
      <c r="T20" s="18" t="s">
        <v>233</v>
      </c>
      <c r="U20" s="3" t="s">
        <v>201</v>
      </c>
      <c r="V20" s="3" t="s">
        <v>234</v>
      </c>
    </row>
    <row r="21" spans="1:22" x14ac:dyDescent="0.3">
      <c r="A21" s="94">
        <v>46046</v>
      </c>
      <c r="B21" t="s">
        <v>69</v>
      </c>
      <c r="C21">
        <v>41</v>
      </c>
      <c r="F21" s="4" t="s">
        <v>202</v>
      </c>
      <c r="G21" s="15" t="s">
        <v>219</v>
      </c>
      <c r="H21" s="15" t="s">
        <v>220</v>
      </c>
      <c r="I21" s="6">
        <v>70</v>
      </c>
      <c r="J21" s="6">
        <f t="shared" si="0"/>
        <v>78</v>
      </c>
      <c r="K21" s="12">
        <f t="shared" si="1"/>
        <v>-8</v>
      </c>
      <c r="T21" s="19" t="s">
        <v>203</v>
      </c>
      <c r="U21" s="5">
        <v>315</v>
      </c>
      <c r="V21" s="21">
        <v>0.31016073763843138</v>
      </c>
    </row>
    <row r="22" spans="1:22" x14ac:dyDescent="0.3">
      <c r="A22" s="94">
        <v>46046</v>
      </c>
      <c r="B22" t="s">
        <v>2547</v>
      </c>
      <c r="C22">
        <v>33</v>
      </c>
      <c r="F22" s="4" t="s">
        <v>202</v>
      </c>
      <c r="G22" s="15" t="s">
        <v>219</v>
      </c>
      <c r="H22" s="15" t="s">
        <v>221</v>
      </c>
      <c r="I22" s="6">
        <v>70</v>
      </c>
      <c r="J22" s="6">
        <f t="shared" si="0"/>
        <v>79</v>
      </c>
      <c r="K22" s="12">
        <f t="shared" si="1"/>
        <v>-9</v>
      </c>
      <c r="T22" s="19" t="s">
        <v>37</v>
      </c>
      <c r="U22" s="5">
        <v>140</v>
      </c>
      <c r="V22" s="21">
        <v>0.11239633167243292</v>
      </c>
    </row>
    <row r="23" spans="1:22" x14ac:dyDescent="0.3">
      <c r="A23" s="94">
        <v>46046</v>
      </c>
      <c r="B23" t="s">
        <v>240</v>
      </c>
      <c r="C23">
        <v>41</v>
      </c>
      <c r="F23" s="4" t="s">
        <v>202</v>
      </c>
      <c r="G23" s="15" t="s">
        <v>219</v>
      </c>
      <c r="H23" s="15" t="s">
        <v>222</v>
      </c>
      <c r="I23" s="6">
        <v>35</v>
      </c>
      <c r="J23" s="6">
        <f t="shared" si="0"/>
        <v>6</v>
      </c>
      <c r="K23" s="12">
        <f t="shared" si="1"/>
        <v>29</v>
      </c>
      <c r="T23" s="19" t="s">
        <v>71</v>
      </c>
      <c r="U23" s="5">
        <v>315</v>
      </c>
      <c r="V23" s="21">
        <v>0.2892987799831151</v>
      </c>
    </row>
    <row r="24" spans="1:22" x14ac:dyDescent="0.3">
      <c r="A24" s="94">
        <v>46047</v>
      </c>
      <c r="B24" t="s">
        <v>35</v>
      </c>
      <c r="C24">
        <v>20</v>
      </c>
      <c r="F24" s="4" t="s">
        <v>202</v>
      </c>
      <c r="G24" s="15" t="s">
        <v>219</v>
      </c>
      <c r="H24" s="15" t="s">
        <v>223</v>
      </c>
      <c r="I24" s="6">
        <v>35</v>
      </c>
      <c r="J24" s="6">
        <f t="shared" si="0"/>
        <v>35</v>
      </c>
      <c r="K24" s="12">
        <f t="shared" si="1"/>
        <v>0</v>
      </c>
      <c r="T24" s="19" t="s">
        <v>219</v>
      </c>
      <c r="U24" s="5">
        <v>280</v>
      </c>
      <c r="V24" s="21">
        <v>0.28814415070602062</v>
      </c>
    </row>
    <row r="25" spans="1:22" x14ac:dyDescent="0.3">
      <c r="A25" s="94">
        <v>46047</v>
      </c>
      <c r="B25" t="s">
        <v>240</v>
      </c>
      <c r="C25">
        <v>29</v>
      </c>
      <c r="F25" s="4" t="s">
        <v>202</v>
      </c>
      <c r="G25" s="15" t="s">
        <v>219</v>
      </c>
      <c r="H25" s="15" t="s">
        <v>224</v>
      </c>
      <c r="I25" s="6">
        <v>35</v>
      </c>
      <c r="J25" s="6">
        <f t="shared" si="0"/>
        <v>37</v>
      </c>
      <c r="K25" s="12">
        <f t="shared" si="1"/>
        <v>-2</v>
      </c>
      <c r="T25" s="18" t="s">
        <v>182</v>
      </c>
      <c r="U25" s="3">
        <v>1050</v>
      </c>
      <c r="V25" s="22">
        <f>SUM(V21:V24)</f>
        <v>1</v>
      </c>
    </row>
    <row r="26" spans="1:22" ht="16.2" thickBot="1" x14ac:dyDescent="0.35">
      <c r="A26" s="94">
        <v>46048</v>
      </c>
      <c r="B26" t="s">
        <v>240</v>
      </c>
      <c r="C26">
        <v>67</v>
      </c>
      <c r="F26" s="7" t="s">
        <v>202</v>
      </c>
      <c r="G26" s="16" t="s">
        <v>219</v>
      </c>
      <c r="H26" s="16" t="s">
        <v>225</v>
      </c>
      <c r="I26" s="8">
        <v>35</v>
      </c>
      <c r="J26" s="8">
        <f t="shared" si="0"/>
        <v>16</v>
      </c>
      <c r="K26" s="13">
        <f t="shared" si="1"/>
        <v>19</v>
      </c>
    </row>
    <row r="27" spans="1:22" x14ac:dyDescent="0.3">
      <c r="A27" s="94">
        <v>46049</v>
      </c>
      <c r="B27" t="s">
        <v>240</v>
      </c>
      <c r="C27">
        <v>49</v>
      </c>
    </row>
    <row r="28" spans="1:22" x14ac:dyDescent="0.3">
      <c r="A28" s="94">
        <v>46050</v>
      </c>
      <c r="B28" t="s">
        <v>240</v>
      </c>
      <c r="C28">
        <v>8</v>
      </c>
    </row>
    <row r="29" spans="1:22" x14ac:dyDescent="0.3">
      <c r="A29" t="s">
        <v>182</v>
      </c>
      <c r="C29">
        <v>819</v>
      </c>
    </row>
    <row r="31" spans="1:22" x14ac:dyDescent="0.3">
      <c r="F31" s="1" t="s">
        <v>195</v>
      </c>
      <c r="G31" t="s">
        <v>196</v>
      </c>
      <c r="N31" s="1" t="s">
        <v>195</v>
      </c>
      <c r="O31" t="s">
        <v>196</v>
      </c>
      <c r="T31" s="1" t="s">
        <v>195</v>
      </c>
      <c r="U31" t="s">
        <v>196</v>
      </c>
    </row>
    <row r="33" spans="5:23" x14ac:dyDescent="0.3">
      <c r="F33" s="1" t="s">
        <v>7</v>
      </c>
      <c r="G33" s="1" t="s">
        <v>8</v>
      </c>
      <c r="H33" t="s">
        <v>197</v>
      </c>
      <c r="N33" s="1" t="s">
        <v>7</v>
      </c>
      <c r="O33" t="s">
        <v>197</v>
      </c>
      <c r="T33" s="1" t="s">
        <v>197</v>
      </c>
      <c r="U33" s="1" t="s">
        <v>30</v>
      </c>
    </row>
    <row r="34" spans="5:23" x14ac:dyDescent="0.3">
      <c r="E34" t="str">
        <f>F34&amp;G34</f>
        <v>MAMIDIKUDURU_PARTB.DODDAVARAM</v>
      </c>
      <c r="F34" t="s">
        <v>37</v>
      </c>
      <c r="G34" t="s">
        <v>38</v>
      </c>
      <c r="H34">
        <v>32</v>
      </c>
      <c r="N34" t="s">
        <v>37</v>
      </c>
      <c r="O34">
        <v>149</v>
      </c>
      <c r="T34" s="1" t="s">
        <v>7</v>
      </c>
      <c r="U34" t="s">
        <v>54</v>
      </c>
      <c r="V34" t="s">
        <v>445</v>
      </c>
      <c r="W34" t="s">
        <v>182</v>
      </c>
    </row>
    <row r="35" spans="5:23" x14ac:dyDescent="0.3">
      <c r="E35" t="str">
        <f t="shared" ref="E35:E56" si="10">F35&amp;G35</f>
        <v>MAMIDIKUDURU_PARTPEDAPATNAM</v>
      </c>
      <c r="F35" t="s">
        <v>37</v>
      </c>
      <c r="G35" t="s">
        <v>80</v>
      </c>
      <c r="H35">
        <v>34</v>
      </c>
      <c r="N35" t="s">
        <v>71</v>
      </c>
      <c r="O35">
        <v>258</v>
      </c>
      <c r="T35" t="s">
        <v>37</v>
      </c>
      <c r="U35" s="114">
        <v>109</v>
      </c>
      <c r="V35" s="114">
        <v>40</v>
      </c>
      <c r="W35" s="114">
        <v>149</v>
      </c>
    </row>
    <row r="36" spans="5:23" x14ac:dyDescent="0.3">
      <c r="E36" t="str">
        <f t="shared" si="10"/>
        <v>MAMIDIKUDURU_PARTPEDAPATNAM LANKA</v>
      </c>
      <c r="F36" t="s">
        <v>37</v>
      </c>
      <c r="G36" t="s">
        <v>212</v>
      </c>
      <c r="H36">
        <v>41</v>
      </c>
      <c r="N36" t="s">
        <v>219</v>
      </c>
      <c r="O36">
        <v>251</v>
      </c>
      <c r="T36" t="s">
        <v>71</v>
      </c>
      <c r="U36" s="114">
        <v>148</v>
      </c>
      <c r="V36" s="114">
        <v>110</v>
      </c>
      <c r="W36" s="114">
        <v>258</v>
      </c>
    </row>
    <row r="37" spans="5:23" x14ac:dyDescent="0.3">
      <c r="E37" t="str">
        <f t="shared" si="10"/>
        <v>MAMIDIKUDURU_PARTPASARLAPUDI LANKA</v>
      </c>
      <c r="F37" t="s">
        <v>37</v>
      </c>
      <c r="G37" t="s">
        <v>211</v>
      </c>
      <c r="H37">
        <v>42</v>
      </c>
      <c r="N37" t="s">
        <v>203</v>
      </c>
      <c r="O37">
        <v>161</v>
      </c>
      <c r="T37" t="s">
        <v>219</v>
      </c>
      <c r="U37" s="114">
        <v>201</v>
      </c>
      <c r="V37" s="114">
        <v>50</v>
      </c>
      <c r="W37" s="114">
        <v>251</v>
      </c>
    </row>
    <row r="38" spans="5:23" x14ac:dyDescent="0.3">
      <c r="E38" t="str">
        <f t="shared" si="10"/>
        <v>RAZOLERAZOLE</v>
      </c>
      <c r="F38" t="s">
        <v>71</v>
      </c>
      <c r="G38" t="s">
        <v>71</v>
      </c>
      <c r="H38">
        <v>29</v>
      </c>
      <c r="N38" t="s">
        <v>182</v>
      </c>
      <c r="O38">
        <v>819</v>
      </c>
      <c r="T38" t="s">
        <v>203</v>
      </c>
      <c r="U38" s="114">
        <v>130</v>
      </c>
      <c r="V38" s="114">
        <v>31</v>
      </c>
      <c r="W38" s="114">
        <v>161</v>
      </c>
    </row>
    <row r="39" spans="5:23" x14ac:dyDescent="0.3">
      <c r="E39" t="str">
        <f t="shared" si="10"/>
        <v>RAZOLETATIPAKA</v>
      </c>
      <c r="F39" t="s">
        <v>71</v>
      </c>
      <c r="G39" t="s">
        <v>214</v>
      </c>
      <c r="H39">
        <v>38</v>
      </c>
      <c r="T39" t="s">
        <v>182</v>
      </c>
      <c r="U39" s="114">
        <v>588</v>
      </c>
      <c r="V39" s="114">
        <v>231</v>
      </c>
      <c r="W39" s="114">
        <v>819</v>
      </c>
    </row>
    <row r="40" spans="5:23" x14ac:dyDescent="0.3">
      <c r="E40" t="str">
        <f t="shared" si="10"/>
        <v>RAZOLEKADALI</v>
      </c>
      <c r="F40" t="s">
        <v>71</v>
      </c>
      <c r="G40" t="s">
        <v>217</v>
      </c>
      <c r="H40">
        <v>28</v>
      </c>
    </row>
    <row r="41" spans="5:23" x14ac:dyDescent="0.3">
      <c r="E41" t="str">
        <f t="shared" si="10"/>
        <v>RAZOLEPONNAMANDA</v>
      </c>
      <c r="F41" t="s">
        <v>71</v>
      </c>
      <c r="G41" t="s">
        <v>216</v>
      </c>
      <c r="H41">
        <v>1</v>
      </c>
    </row>
    <row r="42" spans="5:23" x14ac:dyDescent="0.3">
      <c r="E42" t="str">
        <f t="shared" si="10"/>
        <v>RAZOLEKATRENIPADU</v>
      </c>
      <c r="F42" t="s">
        <v>71</v>
      </c>
      <c r="G42" t="s">
        <v>218</v>
      </c>
      <c r="H42">
        <v>45</v>
      </c>
    </row>
    <row r="43" spans="5:23" x14ac:dyDescent="0.3">
      <c r="E43" t="str">
        <f t="shared" si="10"/>
        <v>RAZOLESIVAKODU</v>
      </c>
      <c r="F43" t="s">
        <v>71</v>
      </c>
      <c r="G43" t="s">
        <v>213</v>
      </c>
      <c r="H43">
        <v>70</v>
      </c>
    </row>
    <row r="44" spans="5:23" x14ac:dyDescent="0.3">
      <c r="E44" t="str">
        <f t="shared" si="10"/>
        <v>RAZOLECHINTALAPALLE</v>
      </c>
      <c r="F44" t="s">
        <v>71</v>
      </c>
      <c r="G44" t="s">
        <v>215</v>
      </c>
      <c r="H44">
        <v>47</v>
      </c>
    </row>
    <row r="45" spans="5:23" x14ac:dyDescent="0.3">
      <c r="E45" t="str">
        <f t="shared" si="10"/>
        <v>SAKHINETIPALLESAKINETIPALLE</v>
      </c>
      <c r="F45" t="s">
        <v>219</v>
      </c>
      <c r="G45" t="s">
        <v>220</v>
      </c>
      <c r="H45">
        <v>78</v>
      </c>
    </row>
    <row r="46" spans="5:23" x14ac:dyDescent="0.3">
      <c r="E46" t="str">
        <f t="shared" si="10"/>
        <v>SAKHINETIPALLEGONDI</v>
      </c>
      <c r="F46" t="s">
        <v>219</v>
      </c>
      <c r="G46" t="s">
        <v>225</v>
      </c>
      <c r="H46">
        <v>16</v>
      </c>
    </row>
    <row r="47" spans="5:23" x14ac:dyDescent="0.3">
      <c r="E47" t="str">
        <f t="shared" si="10"/>
        <v>SAKHINETIPALLEANTARVEDIPALEM</v>
      </c>
      <c r="F47" t="s">
        <v>219</v>
      </c>
      <c r="G47" t="s">
        <v>223</v>
      </c>
      <c r="H47">
        <v>35</v>
      </c>
    </row>
    <row r="48" spans="5:23" x14ac:dyDescent="0.3">
      <c r="E48" t="str">
        <f t="shared" si="10"/>
        <v>SAKHINETIPALLEANTARVEDI</v>
      </c>
      <c r="F48" t="s">
        <v>219</v>
      </c>
      <c r="G48" t="s">
        <v>224</v>
      </c>
      <c r="H48">
        <v>37</v>
      </c>
    </row>
    <row r="49" spans="5:8" x14ac:dyDescent="0.3">
      <c r="E49" t="str">
        <f t="shared" si="10"/>
        <v>SAKHINETIPALLEKESAVADASUPALEM</v>
      </c>
      <c r="F49" t="s">
        <v>219</v>
      </c>
      <c r="G49" t="s">
        <v>221</v>
      </c>
      <c r="H49">
        <v>79</v>
      </c>
    </row>
    <row r="50" spans="5:8" x14ac:dyDescent="0.3">
      <c r="E50" t="str">
        <f t="shared" si="10"/>
        <v>SAKHINETIPALLEVUYYURIVARI MERAKA</v>
      </c>
      <c r="F50" t="s">
        <v>219</v>
      </c>
      <c r="G50" t="s">
        <v>222</v>
      </c>
      <c r="H50">
        <v>6</v>
      </c>
    </row>
    <row r="51" spans="5:8" x14ac:dyDescent="0.3">
      <c r="E51" t="str">
        <f t="shared" si="10"/>
        <v>MALIKIPURAMLAKKAVARAM</v>
      </c>
      <c r="F51" t="s">
        <v>203</v>
      </c>
      <c r="G51" t="s">
        <v>204</v>
      </c>
      <c r="H51">
        <v>44</v>
      </c>
    </row>
    <row r="52" spans="5:8" x14ac:dyDescent="0.3">
      <c r="E52" t="str">
        <f t="shared" si="10"/>
        <v>MALIKIPURAMMALIKIPURAM</v>
      </c>
      <c r="F52" t="s">
        <v>203</v>
      </c>
      <c r="G52" t="s">
        <v>203</v>
      </c>
      <c r="H52">
        <v>42</v>
      </c>
    </row>
    <row r="53" spans="5:8" x14ac:dyDescent="0.3">
      <c r="E53" t="str">
        <f t="shared" si="10"/>
        <v>MALIKIPURAMGUDAPALLI</v>
      </c>
      <c r="F53" t="s">
        <v>203</v>
      </c>
      <c r="G53" t="s">
        <v>208</v>
      </c>
      <c r="H53">
        <v>58</v>
      </c>
    </row>
    <row r="54" spans="5:8" x14ac:dyDescent="0.3">
      <c r="E54" t="str">
        <f t="shared" si="10"/>
        <v>MALIKIPURAMTURPUPALEM</v>
      </c>
      <c r="F54" t="s">
        <v>203</v>
      </c>
      <c r="G54" t="s">
        <v>205</v>
      </c>
      <c r="H54">
        <v>17</v>
      </c>
    </row>
    <row r="55" spans="5:8" x14ac:dyDescent="0.3">
      <c r="E55" t="str">
        <f t="shared" si="10"/>
        <v>Grand Total</v>
      </c>
      <c r="F55" t="s">
        <v>182</v>
      </c>
      <c r="H55">
        <v>819</v>
      </c>
    </row>
    <row r="56" spans="5:8" x14ac:dyDescent="0.3">
      <c r="E56" t="str">
        <f t="shared" si="10"/>
        <v/>
      </c>
    </row>
  </sheetData>
  <conditionalFormatting sqref="K2:K26">
    <cfRule type="cellIs" dxfId="35" priority="1" operator="lessThan">
      <formula>5</formula>
    </cfRule>
  </conditionalFormatting>
  <conditionalFormatting sqref="W2:W12">
    <cfRule type="cellIs" dxfId="34" priority="7" operator="lessThan">
      <formula>0</formula>
    </cfRule>
    <cfRule type="cellIs" dxfId="33" priority="8" operator="equal">
      <formula>0</formula>
    </cfRule>
  </conditionalFormatting>
  <conditionalFormatting sqref="Z2:Z12">
    <cfRule type="cellIs" dxfId="32" priority="9" operator="lessThan">
      <formula>0</formula>
    </cfRule>
    <cfRule type="cellIs" dxfId="31" priority="15" operator="equal">
      <formula>0</formula>
    </cfRule>
  </conditionalFormatting>
  <conditionalFormatting sqref="AC2:AC12">
    <cfRule type="cellIs" dxfId="30" priority="5" operator="lessThan">
      <formula>0</formula>
    </cfRule>
    <cfRule type="cellIs" dxfId="29" priority="6" operator="equal">
      <formula>0</formula>
    </cfRule>
  </conditionalFormatting>
  <conditionalFormatting sqref="AF2:AF12">
    <cfRule type="cellIs" dxfId="28" priority="3" operator="lessThan">
      <formula>0</formula>
    </cfRule>
    <cfRule type="cellIs" dxfId="27" priority="4" operator="equal">
      <formula>0</formula>
    </cfRule>
  </conditionalFormatting>
  <conditionalFormatting sqref="AI2:AI12">
    <cfRule type="cellIs" dxfId="26" priority="1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93D2E-B276-4BC7-BD61-1F50D335E7ED}">
  <dimension ref="A1:AL93"/>
  <sheetViews>
    <sheetView workbookViewId="0">
      <selection activeCell="A2" sqref="A2:A12"/>
    </sheetView>
  </sheetViews>
  <sheetFormatPr defaultRowHeight="15.6" x14ac:dyDescent="0.3"/>
  <cols>
    <col min="1" max="1" width="12.09765625" style="27" bestFit="1" customWidth="1"/>
    <col min="2" max="2" width="16.59765625" style="29" bestFit="1" customWidth="1"/>
    <col min="3" max="3" width="17.59765625" style="29" bestFit="1" customWidth="1"/>
    <col min="4" max="4" width="16.8984375" style="29" bestFit="1" customWidth="1"/>
    <col min="5" max="6" width="9.3984375" style="27" bestFit="1" customWidth="1"/>
    <col min="7" max="7" width="8.796875" style="27"/>
    <col min="8" max="8" width="14.69921875" style="27" bestFit="1" customWidth="1"/>
    <col min="9" max="13" width="8.796875" style="27"/>
    <col min="14" max="14" width="14.69921875" style="27" bestFit="1" customWidth="1"/>
    <col min="15" max="18" width="8.796875" style="27"/>
    <col min="19" max="19" width="14.19921875" style="27" bestFit="1" customWidth="1"/>
    <col min="20" max="20" width="8.796875" style="27"/>
    <col min="21" max="21" width="22" bestFit="1" customWidth="1"/>
    <col min="22" max="22" width="8.59765625" bestFit="1" customWidth="1"/>
    <col min="23" max="23" width="21.19921875" bestFit="1" customWidth="1"/>
    <col min="24" max="24" width="10.796875" bestFit="1" customWidth="1"/>
    <col min="25" max="26" width="8.796875" style="27"/>
    <col min="27" max="27" width="19.796875" style="27" bestFit="1" customWidth="1"/>
    <col min="28" max="28" width="14.69921875" style="27" bestFit="1" customWidth="1"/>
    <col min="29" max="30" width="14.09765625" style="29" bestFit="1" customWidth="1"/>
    <col min="31" max="31" width="9.09765625" style="29" bestFit="1" customWidth="1"/>
    <col min="32" max="32" width="8.09765625" style="27" customWidth="1"/>
    <col min="33" max="33" width="14.19921875" style="27" bestFit="1" customWidth="1"/>
    <col min="34" max="34" width="8.796875" style="27"/>
    <col min="35" max="35" width="17.3984375" style="27" bestFit="1" customWidth="1"/>
    <col min="36" max="36" width="8.796875" style="27"/>
    <col min="37" max="37" width="14.19921875" style="27" customWidth="1"/>
    <col min="38" max="38" width="10.796875" style="27" bestFit="1" customWidth="1"/>
    <col min="39" max="16384" width="8.796875" style="27"/>
  </cols>
  <sheetData>
    <row r="1" spans="1:38" ht="13.8" x14ac:dyDescent="0.3">
      <c r="A1" s="32" t="s">
        <v>6</v>
      </c>
      <c r="B1" s="33" t="s">
        <v>500</v>
      </c>
      <c r="C1" s="33" t="s">
        <v>501</v>
      </c>
      <c r="D1" s="33" t="s">
        <v>201</v>
      </c>
      <c r="H1" s="35" t="s">
        <v>6</v>
      </c>
      <c r="I1" s="36" t="s">
        <v>201</v>
      </c>
      <c r="J1" s="36" t="s">
        <v>502</v>
      </c>
      <c r="K1" s="37" t="s">
        <v>503</v>
      </c>
      <c r="N1" s="35" t="s">
        <v>6</v>
      </c>
      <c r="O1" s="36" t="s">
        <v>201</v>
      </c>
      <c r="P1" s="36" t="s">
        <v>445</v>
      </c>
      <c r="Q1" s="36" t="s">
        <v>54</v>
      </c>
      <c r="R1" s="38" t="s">
        <v>502</v>
      </c>
      <c r="S1" s="36" t="s">
        <v>504</v>
      </c>
      <c r="U1" s="35" t="s">
        <v>6</v>
      </c>
      <c r="V1" s="78" t="s">
        <v>5</v>
      </c>
      <c r="W1" s="78" t="str">
        <f>U1&amp;V1</f>
        <v>CasteGender</v>
      </c>
      <c r="X1" s="79" t="s">
        <v>503</v>
      </c>
      <c r="AA1" s="25" t="s">
        <v>195</v>
      </c>
      <c r="AB1" s="27" t="s">
        <v>196</v>
      </c>
      <c r="AC1" s="71"/>
    </row>
    <row r="2" spans="1:38" ht="13.8" x14ac:dyDescent="0.3">
      <c r="A2" s="30" t="s">
        <v>70</v>
      </c>
      <c r="B2" s="31">
        <v>0.26544058004601961</v>
      </c>
      <c r="C2" s="31">
        <v>0.28917813715898483</v>
      </c>
      <c r="D2" s="42">
        <v>289.17813715898484</v>
      </c>
      <c r="E2" s="49"/>
      <c r="H2" s="43" t="s">
        <v>70</v>
      </c>
      <c r="I2" s="44">
        <f>COUNTIFS(Table1[Caste],$H2,Table1[Valid or Not],"Valid")</f>
        <v>209</v>
      </c>
      <c r="J2" s="45">
        <f>VLOOKUP(H2,$A$1:$D$13,4,0)</f>
        <v>289.17813715898484</v>
      </c>
      <c r="K2" s="46">
        <f>J2/I2</f>
        <v>1.3836274505214585</v>
      </c>
      <c r="N2" s="43" t="s">
        <v>70</v>
      </c>
      <c r="O2" s="44">
        <f>COUNTIFS(Table1[Caste],N2,Table1[Valid or Not],"Valid")</f>
        <v>209</v>
      </c>
      <c r="P2" s="45">
        <f>COUNTIFS(Table1[Caste],N2,Table1[Q18: Gender],"Female",Table1[Valid or Not],"Valid")</f>
        <v>75</v>
      </c>
      <c r="Q2" s="45">
        <f>COUNTIFS(Table1[Caste],N2,Table1[Q18: Gender],"Male",Table1[Valid or Not],"Valid")</f>
        <v>134</v>
      </c>
      <c r="R2" s="45">
        <f>VLOOKUP(N2,$A$1:$C$13,3,0)*1000</f>
        <v>289.17813715898484</v>
      </c>
      <c r="S2" s="45">
        <f>R2*0.5</f>
        <v>144.58906857949242</v>
      </c>
      <c r="U2" s="43" t="s">
        <v>70</v>
      </c>
      <c r="V2" s="80" t="s">
        <v>445</v>
      </c>
      <c r="W2" s="82" t="str">
        <f>U2&amp;V2</f>
        <v>MalaFemale</v>
      </c>
      <c r="X2" s="83">
        <f>VLOOKUP(U2,$N$1:$S$13,6,0)/VLOOKUP(U2,$N$1:$S$13,3,0)</f>
        <v>1.9278542477265657</v>
      </c>
    </row>
    <row r="3" spans="1:38" x14ac:dyDescent="0.3">
      <c r="A3" s="30" t="s">
        <v>59</v>
      </c>
      <c r="B3" s="31">
        <v>0.26301958317469254</v>
      </c>
      <c r="C3" s="31">
        <v>0.28654063777890992</v>
      </c>
      <c r="D3" s="42">
        <v>286.54063777890991</v>
      </c>
      <c r="E3" s="49"/>
      <c r="H3" s="43" t="s">
        <v>59</v>
      </c>
      <c r="I3" s="44">
        <f>COUNTIFS(Table1[Caste],$H3,Table1[Valid or Not],"Valid")</f>
        <v>250</v>
      </c>
      <c r="J3" s="45">
        <f t="shared" ref="J3:J12" si="0">VLOOKUP(H3,$A$1:$D$13,4,0)</f>
        <v>286.54063777890991</v>
      </c>
      <c r="K3" s="46">
        <f t="shared" ref="K3:K12" si="1">J3/I3</f>
        <v>1.1461625511156397</v>
      </c>
      <c r="N3" s="43" t="s">
        <v>59</v>
      </c>
      <c r="O3" s="44">
        <f>COUNTIFS(Table1[Caste],N3,Table1[Valid or Not],"Valid")</f>
        <v>250</v>
      </c>
      <c r="P3" s="45">
        <f>COUNTIFS(Table1[Caste],N3,Table1[Q18: Gender],"Female",Table1[Valid or Not],"Valid")</f>
        <v>51</v>
      </c>
      <c r="Q3" s="45">
        <f>COUNTIFS(Table1[Caste],N3,Table1[Q18: Gender],"Male",Table1[Valid or Not],"Valid")</f>
        <v>199</v>
      </c>
      <c r="R3" s="45">
        <f t="shared" ref="R3:R12" si="2">VLOOKUP(N3,$A$1:$C$13,3,0)*1000</f>
        <v>286.54063777890991</v>
      </c>
      <c r="S3" s="45">
        <f t="shared" ref="S3:S12" si="3">R3*0.5</f>
        <v>143.27031888945496</v>
      </c>
      <c r="U3" s="43" t="s">
        <v>59</v>
      </c>
      <c r="V3" s="80" t="s">
        <v>445</v>
      </c>
      <c r="W3" s="82" t="str">
        <f t="shared" ref="W3:W12" si="4">U3&amp;V3</f>
        <v>KapuFemale</v>
      </c>
      <c r="X3" s="83">
        <f t="shared" ref="X3:X12" si="5">VLOOKUP(U3,$N$1:$S$13,6,0)/VLOOKUP(U3,$N$1:$S$13,3,0)</f>
        <v>2.8092219390089208</v>
      </c>
      <c r="AA3" s="25" t="s">
        <v>197</v>
      </c>
      <c r="AC3" s="120" t="s">
        <v>30</v>
      </c>
      <c r="AF3"/>
    </row>
    <row r="4" spans="1:38" ht="13.8" x14ac:dyDescent="0.3">
      <c r="A4" s="30" t="s">
        <v>36</v>
      </c>
      <c r="B4" s="31">
        <v>0.1643877567912066</v>
      </c>
      <c r="C4" s="31">
        <v>0.17908846218006227</v>
      </c>
      <c r="D4" s="42">
        <v>179.08846218006227</v>
      </c>
      <c r="E4" s="49"/>
      <c r="H4" s="43" t="s">
        <v>36</v>
      </c>
      <c r="I4" s="44">
        <f>COUNTIFS(Table1[Caste],$H4,Table1[Valid or Not],"Valid")</f>
        <v>153</v>
      </c>
      <c r="J4" s="45">
        <f t="shared" si="0"/>
        <v>179.08846218006227</v>
      </c>
      <c r="K4" s="46">
        <f t="shared" si="1"/>
        <v>1.1705128247062893</v>
      </c>
      <c r="N4" s="43" t="s">
        <v>36</v>
      </c>
      <c r="O4" s="44">
        <f>COUNTIFS(Table1[Caste],N4,Table1[Valid or Not],"Valid")</f>
        <v>153</v>
      </c>
      <c r="P4" s="45">
        <f>COUNTIFS(Table1[Caste],N4,Table1[Q18: Gender],"Female",Table1[Valid or Not],"Valid")</f>
        <v>41</v>
      </c>
      <c r="Q4" s="45">
        <f>COUNTIFS(Table1[Caste],N4,Table1[Q18: Gender],"Male",Table1[Valid or Not],"Valid")</f>
        <v>112</v>
      </c>
      <c r="R4" s="45">
        <f t="shared" si="2"/>
        <v>179.08846218006227</v>
      </c>
      <c r="S4" s="45">
        <f t="shared" si="3"/>
        <v>89.544231090031133</v>
      </c>
      <c r="U4" s="43" t="s">
        <v>36</v>
      </c>
      <c r="V4" s="80" t="s">
        <v>445</v>
      </c>
      <c r="W4" s="82" t="str">
        <f t="shared" si="4"/>
        <v>SettibalijaFemale</v>
      </c>
      <c r="X4" s="83">
        <f t="shared" si="5"/>
        <v>2.1840056363422229</v>
      </c>
      <c r="AA4" s="25" t="s">
        <v>7</v>
      </c>
      <c r="AB4" s="25" t="s">
        <v>6</v>
      </c>
      <c r="AC4" s="29" t="s">
        <v>54</v>
      </c>
      <c r="AD4" s="29" t="s">
        <v>445</v>
      </c>
      <c r="AE4" s="29" t="s">
        <v>182</v>
      </c>
      <c r="AF4" s="91" t="s">
        <v>502</v>
      </c>
      <c r="AG4" s="91" t="s">
        <v>507</v>
      </c>
      <c r="AI4" s="101" t="s">
        <v>199</v>
      </c>
      <c r="AJ4" s="101" t="s">
        <v>6</v>
      </c>
      <c r="AK4" s="101" t="s">
        <v>54</v>
      </c>
      <c r="AL4" s="102" t="s">
        <v>503</v>
      </c>
    </row>
    <row r="5" spans="1:38" ht="13.8" x14ac:dyDescent="0.3">
      <c r="A5" s="30" t="s">
        <v>227</v>
      </c>
      <c r="B5" s="31">
        <v>8.4511413862172854E-2</v>
      </c>
      <c r="C5" s="31">
        <v>9.2069016821384922E-2</v>
      </c>
      <c r="D5" s="42">
        <v>92.06901682138492</v>
      </c>
      <c r="E5" s="49"/>
      <c r="H5" s="43" t="s">
        <v>227</v>
      </c>
      <c r="I5" s="44">
        <f>COUNTIFS(Table1[Caste],$H5,Table1[Valid or Not],"Valid")</f>
        <v>73</v>
      </c>
      <c r="J5" s="45">
        <f t="shared" si="0"/>
        <v>92.06901682138492</v>
      </c>
      <c r="K5" s="46">
        <f t="shared" si="1"/>
        <v>1.2612194085121222</v>
      </c>
      <c r="N5" s="43" t="s">
        <v>227</v>
      </c>
      <c r="O5" s="44">
        <f>COUNTIFS(Table1[Caste],N5,Table1[Valid or Not],"Valid")</f>
        <v>73</v>
      </c>
      <c r="P5" s="45">
        <f>COUNTIFS(Table1[Caste],N5,Table1[Q18: Gender],"Female",Table1[Valid or Not],"Valid")</f>
        <v>19</v>
      </c>
      <c r="Q5" s="45">
        <f>COUNTIFS(Table1[Caste],N5,Table1[Q18: Gender],"Male",Table1[Valid or Not],"Valid")</f>
        <v>54</v>
      </c>
      <c r="R5" s="45">
        <f t="shared" si="2"/>
        <v>92.06901682138492</v>
      </c>
      <c r="S5" s="45">
        <f t="shared" si="3"/>
        <v>46.03450841069246</v>
      </c>
      <c r="U5" s="43" t="s">
        <v>227</v>
      </c>
      <c r="V5" s="80" t="s">
        <v>445</v>
      </c>
      <c r="W5" s="82" t="str">
        <f t="shared" si="4"/>
        <v>AgnikulakshatriyaFemale</v>
      </c>
      <c r="X5" s="83">
        <f t="shared" si="5"/>
        <v>2.4228688637206557</v>
      </c>
      <c r="Z5" s="27" t="str">
        <f>AA5&amp;AB5</f>
        <v>MAMIDIKUDURU_PARTMala</v>
      </c>
      <c r="AA5" s="27" t="s">
        <v>37</v>
      </c>
      <c r="AB5" s="27" t="s">
        <v>70</v>
      </c>
      <c r="AC5" s="29">
        <v>31</v>
      </c>
      <c r="AD5" s="29">
        <v>17</v>
      </c>
      <c r="AE5" s="29">
        <v>48</v>
      </c>
      <c r="AF5" s="45">
        <f>VLOOKUP(AA5,$D$42:$E$46,2,0)*VLOOKUP(AB5,$A$1:$C$13,3,0)*1000</f>
        <v>32.502561816537558</v>
      </c>
      <c r="AG5" s="45">
        <f>AF5*0.5</f>
        <v>16.251280908268779</v>
      </c>
      <c r="AI5" s="82" t="s">
        <v>37</v>
      </c>
      <c r="AJ5" s="82" t="s">
        <v>70</v>
      </c>
      <c r="AK5" s="82" t="str">
        <f>AI5&amp;AJ5&amp;$AK$4</f>
        <v>MAMIDIKUDURU_PARTMalaMale</v>
      </c>
      <c r="AL5" s="82">
        <f>IFERROR(VLOOKUP(AI5&amp;AJ5,$Z$5:$AG$71,8,0)/VLOOKUP(AI5&amp;AJ5,$Z$5:$AG$71,4,0),0)</f>
        <v>0.52423486800867025</v>
      </c>
    </row>
    <row r="6" spans="1:38" ht="13.8" x14ac:dyDescent="0.3">
      <c r="A6" s="30" t="s">
        <v>228</v>
      </c>
      <c r="B6" s="31">
        <v>3.6811567812743133E-2</v>
      </c>
      <c r="C6" s="31">
        <v>4.01035162149855E-2</v>
      </c>
      <c r="D6" s="42">
        <v>40.103516214985497</v>
      </c>
      <c r="E6" s="49"/>
      <c r="H6" s="43" t="s">
        <v>228</v>
      </c>
      <c r="I6" s="44">
        <f>COUNTIFS(Table1[Caste],$H6,Table1[Valid or Not],"Valid")</f>
        <v>50</v>
      </c>
      <c r="J6" s="45">
        <f t="shared" si="0"/>
        <v>40.103516214985497</v>
      </c>
      <c r="K6" s="46">
        <f t="shared" si="1"/>
        <v>0.80207032429970992</v>
      </c>
      <c r="N6" s="43" t="s">
        <v>228</v>
      </c>
      <c r="O6" s="44">
        <f>COUNTIFS(Table1[Caste],N6,Table1[Valid or Not],"Valid")</f>
        <v>50</v>
      </c>
      <c r="P6" s="45">
        <f>COUNTIFS(Table1[Caste],N6,Table1[Q18: Gender],"Female",Table1[Valid or Not],"Valid")</f>
        <v>17</v>
      </c>
      <c r="Q6" s="45">
        <f>COUNTIFS(Table1[Caste],N6,Table1[Q18: Gender],"Male",Table1[Valid or Not],"Valid")</f>
        <v>33</v>
      </c>
      <c r="R6" s="45">
        <f t="shared" si="2"/>
        <v>40.103516214985497</v>
      </c>
      <c r="S6" s="45">
        <f t="shared" si="3"/>
        <v>20.051758107492748</v>
      </c>
      <c r="U6" s="43" t="s">
        <v>228</v>
      </c>
      <c r="V6" s="80" t="s">
        <v>445</v>
      </c>
      <c r="W6" s="82" t="str">
        <f t="shared" si="4"/>
        <v>MadigaFemale</v>
      </c>
      <c r="X6" s="83">
        <f t="shared" si="5"/>
        <v>1.1795151827936912</v>
      </c>
      <c r="Z6" s="27" t="str">
        <f t="shared" ref="Z6:Z44" si="6">AA6&amp;AB6</f>
        <v>MAMIDIKUDURU_PARTKapu</v>
      </c>
      <c r="AA6" s="27" t="s">
        <v>37</v>
      </c>
      <c r="AB6" s="27" t="s">
        <v>59</v>
      </c>
      <c r="AC6" s="29">
        <v>29</v>
      </c>
      <c r="AD6" s="29">
        <v>3</v>
      </c>
      <c r="AE6" s="29">
        <v>32</v>
      </c>
      <c r="AF6" s="45">
        <f t="shared" ref="AF6:AF43" si="7">VLOOKUP(AA6,$D$42:$E$46,2,0)*VLOOKUP(AB6,$A$1:$C$13,3,0)*1000</f>
        <v>32.206116561428821</v>
      </c>
      <c r="AG6" s="45">
        <f t="shared" ref="AG6:AG44" si="8">AF6*0.5</f>
        <v>16.103058280714411</v>
      </c>
      <c r="AI6" s="82" t="s">
        <v>37</v>
      </c>
      <c r="AJ6" s="82" t="s">
        <v>59</v>
      </c>
      <c r="AK6" s="82" t="str">
        <f t="shared" ref="AK6:AK48" si="9">AI6&amp;AJ6&amp;$AK$4</f>
        <v>MAMIDIKUDURU_PARTKapuMale</v>
      </c>
      <c r="AL6" s="82">
        <f t="shared" ref="AL6:AL48" si="10">IFERROR(VLOOKUP(AI6&amp;AJ6,$Z$5:$AG$71,8,0)/VLOOKUP(AI6&amp;AJ6,$Z$5:$AG$71,4,0),0)</f>
        <v>0.55527787174877274</v>
      </c>
    </row>
    <row r="7" spans="1:38" ht="13.8" x14ac:dyDescent="0.3">
      <c r="A7" s="30" t="s">
        <v>159</v>
      </c>
      <c r="B7" s="31">
        <v>2.6076412455097751E-2</v>
      </c>
      <c r="C7" s="31">
        <v>2.8408348023678882E-2</v>
      </c>
      <c r="D7" s="42">
        <v>28.408348023678883</v>
      </c>
      <c r="E7" s="49"/>
      <c r="H7" s="43" t="s">
        <v>159</v>
      </c>
      <c r="I7" s="44">
        <f>COUNTIFS(Table1[Caste],$H7,Table1[Valid or Not],"Valid")</f>
        <v>13</v>
      </c>
      <c r="J7" s="45">
        <f t="shared" si="0"/>
        <v>28.408348023678883</v>
      </c>
      <c r="K7" s="46">
        <f t="shared" si="1"/>
        <v>2.1852575402829908</v>
      </c>
      <c r="N7" s="43" t="s">
        <v>159</v>
      </c>
      <c r="O7" s="44">
        <f>COUNTIFS(Table1[Caste],N7,Table1[Valid or Not],"Valid")</f>
        <v>13</v>
      </c>
      <c r="P7" s="45">
        <f>COUNTIFS(Table1[Caste],N7,Table1[Q18: Gender],"Female",Table1[Valid or Not],"Valid")</f>
        <v>4</v>
      </c>
      <c r="Q7" s="45">
        <f>COUNTIFS(Table1[Caste],N7,Table1[Q18: Gender],"Male",Table1[Valid or Not],"Valid")</f>
        <v>9</v>
      </c>
      <c r="R7" s="45">
        <f t="shared" si="2"/>
        <v>28.408348023678883</v>
      </c>
      <c r="S7" s="45">
        <f t="shared" si="3"/>
        <v>14.204174011839442</v>
      </c>
      <c r="U7" s="43" t="s">
        <v>159</v>
      </c>
      <c r="V7" s="80" t="s">
        <v>445</v>
      </c>
      <c r="W7" s="82" t="str">
        <f t="shared" si="4"/>
        <v>Padmasali/DevangaFemale</v>
      </c>
      <c r="X7" s="83">
        <f t="shared" si="5"/>
        <v>3.5510435029598604</v>
      </c>
      <c r="Z7" s="27" t="str">
        <f t="shared" si="6"/>
        <v>MAMIDIKUDURU_PARTSettibalija</v>
      </c>
      <c r="AA7" s="27" t="s">
        <v>37</v>
      </c>
      <c r="AB7" s="27" t="s">
        <v>36</v>
      </c>
      <c r="AC7" s="29">
        <v>25</v>
      </c>
      <c r="AD7" s="29">
        <v>9</v>
      </c>
      <c r="AE7" s="29">
        <v>34</v>
      </c>
      <c r="AF7" s="45">
        <f t="shared" si="7"/>
        <v>20.128886193896239</v>
      </c>
      <c r="AG7" s="45">
        <f t="shared" si="8"/>
        <v>10.06444309694812</v>
      </c>
      <c r="AI7" s="82" t="s">
        <v>37</v>
      </c>
      <c r="AJ7" s="82" t="s">
        <v>36</v>
      </c>
      <c r="AK7" s="82" t="str">
        <f t="shared" si="9"/>
        <v>MAMIDIKUDURU_PARTSettibalijaMale</v>
      </c>
      <c r="AL7" s="82">
        <f t="shared" si="10"/>
        <v>0.40257772387792479</v>
      </c>
    </row>
    <row r="8" spans="1:38" ht="13.8" x14ac:dyDescent="0.3">
      <c r="A8" s="30" t="s">
        <v>229</v>
      </c>
      <c r="B8" s="31">
        <v>1.9550067042990282E-2</v>
      </c>
      <c r="C8" s="31">
        <v>2.1298371062348678E-2</v>
      </c>
      <c r="D8" s="42">
        <v>21.298371062348679</v>
      </c>
      <c r="E8" s="49"/>
      <c r="H8" s="43" t="s">
        <v>229</v>
      </c>
      <c r="I8" s="44">
        <f>COUNTIFS(Table1[Caste],$H8,Table1[Valid or Not],"Valid")</f>
        <v>19</v>
      </c>
      <c r="J8" s="45">
        <f t="shared" si="0"/>
        <v>21.298371062348679</v>
      </c>
      <c r="K8" s="46">
        <f t="shared" si="1"/>
        <v>1.1209668980183516</v>
      </c>
      <c r="N8" s="43" t="s">
        <v>229</v>
      </c>
      <c r="O8" s="44">
        <f>COUNTIFS(Table1[Caste],N8,Table1[Valid or Not],"Valid")</f>
        <v>19</v>
      </c>
      <c r="P8" s="45">
        <f>COUNTIFS(Table1[Caste],N8,Table1[Q18: Gender],"Female",Table1[Valid or Not],"Valid")</f>
        <v>8</v>
      </c>
      <c r="Q8" s="45">
        <f>COUNTIFS(Table1[Caste],N8,Table1[Q18: Gender],"Male",Table1[Valid or Not],"Valid")</f>
        <v>11</v>
      </c>
      <c r="R8" s="45">
        <f t="shared" si="2"/>
        <v>21.298371062348679</v>
      </c>
      <c r="S8" s="45">
        <f t="shared" si="3"/>
        <v>10.649185531174339</v>
      </c>
      <c r="U8" s="43" t="s">
        <v>229</v>
      </c>
      <c r="V8" s="80" t="s">
        <v>445</v>
      </c>
      <c r="W8" s="82" t="str">
        <f t="shared" si="4"/>
        <v>YadavaFemale</v>
      </c>
      <c r="X8" s="83">
        <f t="shared" si="5"/>
        <v>1.3311481913967924</v>
      </c>
      <c r="Z8" s="27" t="str">
        <f t="shared" si="6"/>
        <v>MAMIDIKUDURU_PARTAgnikulakshatriya</v>
      </c>
      <c r="AA8" s="27" t="s">
        <v>37</v>
      </c>
      <c r="AB8" s="27" t="s">
        <v>227</v>
      </c>
      <c r="AC8" s="29">
        <v>4</v>
      </c>
      <c r="AD8" s="29">
        <v>1</v>
      </c>
      <c r="AE8" s="29">
        <v>5</v>
      </c>
      <c r="AF8" s="45">
        <f t="shared" si="7"/>
        <v>10.348219751411186</v>
      </c>
      <c r="AG8" s="45">
        <f t="shared" si="8"/>
        <v>5.174109875705593</v>
      </c>
      <c r="AI8" s="82" t="s">
        <v>37</v>
      </c>
      <c r="AJ8" s="82" t="s">
        <v>227</v>
      </c>
      <c r="AK8" s="82" t="str">
        <f t="shared" si="9"/>
        <v>MAMIDIKUDURU_PARTAgnikulakshatriyaMale</v>
      </c>
      <c r="AL8" s="82">
        <f t="shared" si="10"/>
        <v>1.2935274689263982</v>
      </c>
    </row>
    <row r="9" spans="1:38" ht="13.8" x14ac:dyDescent="0.3">
      <c r="A9" s="30" t="s">
        <v>145</v>
      </c>
      <c r="B9" s="31">
        <v>1.8631329768743068E-2</v>
      </c>
      <c r="C9" s="31">
        <v>2.029747386170486E-2</v>
      </c>
      <c r="D9" s="42">
        <v>20.297473861704859</v>
      </c>
      <c r="E9" s="49"/>
      <c r="H9" s="43" t="s">
        <v>145</v>
      </c>
      <c r="I9" s="44">
        <f>COUNTIFS(Table1[Caste],$H9,Table1[Valid or Not],"Valid")</f>
        <v>11</v>
      </c>
      <c r="J9" s="45">
        <f t="shared" si="0"/>
        <v>20.297473861704859</v>
      </c>
      <c r="K9" s="46">
        <f t="shared" si="1"/>
        <v>1.8452248965186235</v>
      </c>
      <c r="N9" s="43" t="s">
        <v>145</v>
      </c>
      <c r="O9" s="44">
        <f>COUNTIFS(Table1[Caste],N9,Table1[Valid or Not],"Valid")</f>
        <v>11</v>
      </c>
      <c r="P9" s="45">
        <f>COUNTIFS(Table1[Caste],N9,Table1[Q18: Gender],"Female",Table1[Valid or Not],"Valid")</f>
        <v>4</v>
      </c>
      <c r="Q9" s="45">
        <f>COUNTIFS(Table1[Caste],N9,Table1[Q18: Gender],"Male",Table1[Valid or Not],"Valid")</f>
        <v>7</v>
      </c>
      <c r="R9" s="45">
        <f t="shared" si="2"/>
        <v>20.297473861704859</v>
      </c>
      <c r="S9" s="45">
        <f t="shared" si="3"/>
        <v>10.148736930852429</v>
      </c>
      <c r="U9" s="43" t="s">
        <v>145</v>
      </c>
      <c r="V9" s="80" t="s">
        <v>445</v>
      </c>
      <c r="W9" s="82" t="str">
        <f t="shared" si="4"/>
        <v>Kshatriya/RajuluFemale</v>
      </c>
      <c r="X9" s="83">
        <f t="shared" si="5"/>
        <v>2.5371842327131073</v>
      </c>
      <c r="Z9" s="27" t="str">
        <f t="shared" si="6"/>
        <v>MAMIDIKUDURU_PARTMadiga</v>
      </c>
      <c r="AA9" s="27" t="s">
        <v>37</v>
      </c>
      <c r="AB9" s="27" t="s">
        <v>228</v>
      </c>
      <c r="AC9" s="29">
        <v>10</v>
      </c>
      <c r="AD9" s="29">
        <v>6</v>
      </c>
      <c r="AE9" s="29">
        <v>16</v>
      </c>
      <c r="AF9" s="45">
        <f t="shared" si="7"/>
        <v>4.5074881097303017</v>
      </c>
      <c r="AG9" s="45">
        <f t="shared" si="8"/>
        <v>2.2537440548651508</v>
      </c>
      <c r="AI9" s="82" t="s">
        <v>37</v>
      </c>
      <c r="AJ9" s="82" t="s">
        <v>228</v>
      </c>
      <c r="AK9" s="82" t="str">
        <f t="shared" si="9"/>
        <v>MAMIDIKUDURU_PARTMadigaMale</v>
      </c>
      <c r="AL9" s="82">
        <f t="shared" si="10"/>
        <v>0.22537440548651508</v>
      </c>
    </row>
    <row r="10" spans="1:38" ht="13.8" x14ac:dyDescent="0.3">
      <c r="A10" s="30" t="s">
        <v>168</v>
      </c>
      <c r="B10" s="31">
        <v>1.8275422536377029E-2</v>
      </c>
      <c r="C10" s="31">
        <v>1.9909738910104099E-2</v>
      </c>
      <c r="D10" s="42">
        <v>19.9097389101041</v>
      </c>
      <c r="E10" s="49"/>
      <c r="H10" s="43" t="s">
        <v>168</v>
      </c>
      <c r="I10" s="44">
        <f>COUNTIFS(Table1[Caste],$H10,Table1[Valid or Not],"Valid")</f>
        <v>19</v>
      </c>
      <c r="J10" s="45">
        <f t="shared" si="0"/>
        <v>19.9097389101041</v>
      </c>
      <c r="K10" s="46">
        <f t="shared" si="1"/>
        <v>1.0478809952686368</v>
      </c>
      <c r="N10" s="43" t="s">
        <v>168</v>
      </c>
      <c r="O10" s="44">
        <f>COUNTIFS(Table1[Caste],N10,Table1[Valid or Not],"Valid")</f>
        <v>19</v>
      </c>
      <c r="P10" s="45">
        <f>COUNTIFS(Table1[Caste],N10,Table1[Q18: Gender],"Female",Table1[Valid or Not],"Valid")</f>
        <v>6</v>
      </c>
      <c r="Q10" s="45">
        <f>COUNTIFS(Table1[Caste],N10,Table1[Q18: Gender],"Male",Table1[Valid or Not],"Valid")</f>
        <v>13</v>
      </c>
      <c r="R10" s="45">
        <f t="shared" si="2"/>
        <v>19.9097389101041</v>
      </c>
      <c r="S10" s="45">
        <f t="shared" si="3"/>
        <v>9.9548694550520498</v>
      </c>
      <c r="U10" s="43" t="s">
        <v>168</v>
      </c>
      <c r="V10" s="80" t="s">
        <v>445</v>
      </c>
      <c r="W10" s="82" t="str">
        <f t="shared" si="4"/>
        <v>RajakaFemale</v>
      </c>
      <c r="X10" s="83">
        <f t="shared" si="5"/>
        <v>1.6591449091753416</v>
      </c>
      <c r="Z10" s="27" t="str">
        <f t="shared" si="6"/>
        <v>MAMIDIKUDURU_PARTPadmasali/Devanga</v>
      </c>
      <c r="AA10" s="27" t="s">
        <v>37</v>
      </c>
      <c r="AB10" s="27" t="s">
        <v>159</v>
      </c>
      <c r="AC10" s="29">
        <v>2</v>
      </c>
      <c r="AE10" s="29">
        <v>2</v>
      </c>
      <c r="AF10" s="45">
        <f t="shared" si="7"/>
        <v>3.1929941067353158</v>
      </c>
      <c r="AG10" s="45">
        <f t="shared" si="8"/>
        <v>1.5964970533676579</v>
      </c>
      <c r="AI10" s="82" t="s">
        <v>37</v>
      </c>
      <c r="AJ10" s="82" t="s">
        <v>159</v>
      </c>
      <c r="AK10" s="82" t="str">
        <f t="shared" si="9"/>
        <v>MAMIDIKUDURU_PARTPadmasali/DevangaMale</v>
      </c>
      <c r="AL10" s="82">
        <f t="shared" si="10"/>
        <v>0.79824852668382895</v>
      </c>
    </row>
    <row r="11" spans="1:38" ht="13.8" x14ac:dyDescent="0.3">
      <c r="A11" s="30" t="s">
        <v>230</v>
      </c>
      <c r="B11" s="31">
        <v>1.1881507722359252E-2</v>
      </c>
      <c r="C11" s="31">
        <v>1.2944035419136973E-2</v>
      </c>
      <c r="D11" s="42">
        <v>12.944035419136974</v>
      </c>
      <c r="E11" s="49"/>
      <c r="H11" s="43" t="s">
        <v>230</v>
      </c>
      <c r="I11" s="44">
        <f>COUNTIFS(Table1[Caste],$H11,Table1[Valid or Not],"Valid")</f>
        <v>12</v>
      </c>
      <c r="J11" s="45">
        <f t="shared" si="0"/>
        <v>12.944035419136974</v>
      </c>
      <c r="K11" s="46">
        <f t="shared" si="1"/>
        <v>1.0786696182614144</v>
      </c>
      <c r="N11" s="43" t="s">
        <v>230</v>
      </c>
      <c r="O11" s="44">
        <f>COUNTIFS(Table1[Caste],N11,Table1[Valid or Not],"Valid")</f>
        <v>12</v>
      </c>
      <c r="P11" s="45">
        <f>COUNTIFS(Table1[Caste],N11,Table1[Q18: Gender],"Female",Table1[Valid or Not],"Valid")</f>
        <v>6</v>
      </c>
      <c r="Q11" s="45">
        <f>COUNTIFS(Table1[Caste],N11,Table1[Q18: Gender],"Male",Table1[Valid or Not],"Valid")</f>
        <v>6</v>
      </c>
      <c r="R11" s="45">
        <f t="shared" si="2"/>
        <v>12.944035419136974</v>
      </c>
      <c r="S11" s="45">
        <f t="shared" si="3"/>
        <v>6.4720177095684868</v>
      </c>
      <c r="U11" s="43" t="s">
        <v>230</v>
      </c>
      <c r="V11" s="80" t="s">
        <v>445</v>
      </c>
      <c r="W11" s="82" t="str">
        <f t="shared" si="4"/>
        <v>Adi AndhraFemale</v>
      </c>
      <c r="X11" s="83">
        <f t="shared" si="5"/>
        <v>1.0786696182614144</v>
      </c>
      <c r="Z11" s="27" t="str">
        <f t="shared" si="6"/>
        <v>MAMIDIKUDURU_PARTKshatriya/Rajulu</v>
      </c>
      <c r="AA11" s="27" t="s">
        <v>37</v>
      </c>
      <c r="AB11" s="27" t="s">
        <v>145</v>
      </c>
      <c r="AC11" s="29">
        <v>1</v>
      </c>
      <c r="AE11" s="29">
        <v>1</v>
      </c>
      <c r="AF11" s="45">
        <f t="shared" si="7"/>
        <v>2.2813616042727172</v>
      </c>
      <c r="AG11" s="45">
        <f t="shared" si="8"/>
        <v>1.1406808021363586</v>
      </c>
      <c r="AI11" s="82" t="s">
        <v>37</v>
      </c>
      <c r="AJ11" s="82" t="s">
        <v>229</v>
      </c>
      <c r="AK11" s="82" t="str">
        <f t="shared" si="9"/>
        <v>MAMIDIKUDURU_PARTYadavaMale</v>
      </c>
      <c r="AL11" s="82">
        <f t="shared" si="10"/>
        <v>0</v>
      </c>
    </row>
    <row r="12" spans="1:38" ht="14.4" thickBot="1" x14ac:dyDescent="0.35">
      <c r="A12" s="30" t="s">
        <v>231</v>
      </c>
      <c r="B12" s="31">
        <v>9.328080252942442E-3</v>
      </c>
      <c r="C12" s="31">
        <v>1.0162262568698968E-2</v>
      </c>
      <c r="D12" s="42">
        <v>10.162262568698969</v>
      </c>
      <c r="E12" s="49"/>
      <c r="H12" s="43" t="s">
        <v>231</v>
      </c>
      <c r="I12" s="44">
        <f>COUNTIFS(Table1[Caste],$H12,Table1[Valid or Not],"Valid")</f>
        <v>10</v>
      </c>
      <c r="J12" s="45">
        <f t="shared" si="0"/>
        <v>10.162262568698969</v>
      </c>
      <c r="K12" s="46">
        <f t="shared" si="1"/>
        <v>1.016226256869897</v>
      </c>
      <c r="N12" s="43" t="s">
        <v>231</v>
      </c>
      <c r="O12" s="44">
        <f>COUNTIFS(Table1[Caste],N12,Table1[Valid or Not],"Valid")</f>
        <v>10</v>
      </c>
      <c r="P12" s="45">
        <f>COUNTIFS(Table1[Caste],N12,Table1[Q18: Gender],"Female",Table1[Valid or Not],"Valid")</f>
        <v>0</v>
      </c>
      <c r="Q12" s="45">
        <f>COUNTIFS(Table1[Caste],N12,Table1[Q18: Gender],"Male",Table1[Valid or Not],"Valid")</f>
        <v>10</v>
      </c>
      <c r="R12" s="45">
        <f t="shared" si="2"/>
        <v>10.162262568698969</v>
      </c>
      <c r="S12" s="45">
        <f t="shared" si="3"/>
        <v>5.0811312843494845</v>
      </c>
      <c r="U12" s="84" t="s">
        <v>231</v>
      </c>
      <c r="V12" s="81" t="s">
        <v>445</v>
      </c>
      <c r="W12" s="85" t="str">
        <f t="shared" si="4"/>
        <v>BrahminFemale</v>
      </c>
      <c r="X12" s="86" t="e">
        <f t="shared" si="5"/>
        <v>#DIV/0!</v>
      </c>
      <c r="Z12" s="27" t="str">
        <f t="shared" si="6"/>
        <v>MAMIDIKUDURU_PARTAdi Andhra</v>
      </c>
      <c r="AA12" s="27" t="s">
        <v>37</v>
      </c>
      <c r="AB12" s="27" t="s">
        <v>230</v>
      </c>
      <c r="AC12" s="29">
        <v>2</v>
      </c>
      <c r="AD12" s="29">
        <v>2</v>
      </c>
      <c r="AE12" s="29">
        <v>4</v>
      </c>
      <c r="AF12" s="45">
        <f t="shared" si="7"/>
        <v>1.4548620981490386</v>
      </c>
      <c r="AG12" s="45">
        <f t="shared" si="8"/>
        <v>0.72743104907451928</v>
      </c>
      <c r="AI12" s="82" t="s">
        <v>37</v>
      </c>
      <c r="AJ12" s="82" t="s">
        <v>145</v>
      </c>
      <c r="AK12" s="82" t="str">
        <f t="shared" si="9"/>
        <v>MAMIDIKUDURU_PARTKshatriya/RajuluMale</v>
      </c>
      <c r="AL12" s="82">
        <f t="shared" si="10"/>
        <v>1.1406808021363586</v>
      </c>
    </row>
    <row r="13" spans="1:38" ht="14.4" thickBot="1" x14ac:dyDescent="0.35">
      <c r="A13" s="30"/>
      <c r="B13" s="33">
        <v>0.91791372146534467</v>
      </c>
      <c r="C13" s="33">
        <v>1</v>
      </c>
      <c r="D13" s="34">
        <f>SUM(D2:D12)</f>
        <v>999.99999999999989</v>
      </c>
      <c r="E13" s="49"/>
      <c r="H13" s="39" t="s">
        <v>182</v>
      </c>
      <c r="I13" s="47">
        <f>SUM(I2:I12)</f>
        <v>819</v>
      </c>
      <c r="J13" s="48">
        <f>SUM(J2:J12)</f>
        <v>999.99999999999989</v>
      </c>
      <c r="K13" s="40"/>
      <c r="N13" s="39" t="s">
        <v>182</v>
      </c>
      <c r="O13" s="41">
        <f>SUM(O2:O12)</f>
        <v>819</v>
      </c>
      <c r="P13" s="41">
        <f t="shared" ref="P13:S13" si="11">SUM(P2:P12)</f>
        <v>231</v>
      </c>
      <c r="Q13" s="41">
        <f t="shared" si="11"/>
        <v>588</v>
      </c>
      <c r="R13" s="41">
        <f t="shared" si="11"/>
        <v>999.99999999999989</v>
      </c>
      <c r="S13" s="41">
        <f t="shared" si="11"/>
        <v>499.99999999999994</v>
      </c>
      <c r="U13" s="87" t="s">
        <v>70</v>
      </c>
      <c r="V13" s="88" t="s">
        <v>54</v>
      </c>
      <c r="W13" s="89" t="str">
        <f>U13&amp;V13</f>
        <v>MalaMale</v>
      </c>
      <c r="X13" s="90">
        <f>VLOOKUP(U13,$N$1:$S$13,6,0)/VLOOKUP(U13,$N$1:$S$13,4,0)</f>
        <v>1.0790228998469584</v>
      </c>
      <c r="Z13" s="27" t="str">
        <f t="shared" si="6"/>
        <v>MAMIDIKUDURU_PARTRajaka</v>
      </c>
      <c r="AA13" s="27" t="s">
        <v>37</v>
      </c>
      <c r="AB13" s="27" t="s">
        <v>168</v>
      </c>
      <c r="AC13" s="29">
        <v>5</v>
      </c>
      <c r="AD13" s="29">
        <v>2</v>
      </c>
      <c r="AE13" s="29">
        <v>7</v>
      </c>
      <c r="AF13" s="45">
        <f t="shared" si="7"/>
        <v>2.2377816180516032</v>
      </c>
      <c r="AG13" s="45">
        <f t="shared" si="8"/>
        <v>1.1188908090258016</v>
      </c>
      <c r="AI13" s="82" t="s">
        <v>37</v>
      </c>
      <c r="AJ13" s="82" t="s">
        <v>168</v>
      </c>
      <c r="AK13" s="82" t="str">
        <f t="shared" si="9"/>
        <v>MAMIDIKUDURU_PARTRajakaMale</v>
      </c>
      <c r="AL13" s="82">
        <f t="shared" si="10"/>
        <v>0.22377816180516033</v>
      </c>
    </row>
    <row r="14" spans="1:38" ht="13.8" x14ac:dyDescent="0.3">
      <c r="U14" s="43" t="s">
        <v>59</v>
      </c>
      <c r="V14" s="80" t="s">
        <v>54</v>
      </c>
      <c r="W14" s="82" t="str">
        <f t="shared" ref="W14:W23" si="12">U14&amp;V14</f>
        <v>KapuMale</v>
      </c>
      <c r="X14" s="83">
        <f t="shared" ref="X14:X23" si="13">VLOOKUP(U14,$N$1:$S$13,6,0)/VLOOKUP(U14,$N$1:$S$13,4,0)</f>
        <v>0.71995135120329123</v>
      </c>
      <c r="Z14" s="27" t="str">
        <f t="shared" si="6"/>
        <v>RAZOLEMala</v>
      </c>
      <c r="AA14" s="27" t="s">
        <v>71</v>
      </c>
      <c r="AB14" s="27" t="s">
        <v>70</v>
      </c>
      <c r="AC14" s="29">
        <v>46</v>
      </c>
      <c r="AD14" s="29">
        <v>34</v>
      </c>
      <c r="AE14" s="29">
        <v>80</v>
      </c>
      <c r="AF14" s="45">
        <f t="shared" si="7"/>
        <v>83.658882277884231</v>
      </c>
      <c r="AG14" s="45">
        <f t="shared" si="8"/>
        <v>41.829441138942116</v>
      </c>
      <c r="AI14" s="82" t="s">
        <v>37</v>
      </c>
      <c r="AJ14" s="82" t="s">
        <v>230</v>
      </c>
      <c r="AK14" s="82" t="str">
        <f t="shared" si="9"/>
        <v>MAMIDIKUDURU_PARTAdi AndhraMale</v>
      </c>
      <c r="AL14" s="82">
        <f t="shared" si="10"/>
        <v>0.36371552453725964</v>
      </c>
    </row>
    <row r="15" spans="1:38" ht="13.8" x14ac:dyDescent="0.3">
      <c r="U15" s="43" t="s">
        <v>36</v>
      </c>
      <c r="V15" s="80" t="s">
        <v>54</v>
      </c>
      <c r="W15" s="82" t="str">
        <f t="shared" si="12"/>
        <v>SettibalijaMale</v>
      </c>
      <c r="X15" s="83">
        <f t="shared" si="13"/>
        <v>0.79950206330384943</v>
      </c>
      <c r="Z15" s="27" t="str">
        <f t="shared" si="6"/>
        <v>RAZOLEKapu</v>
      </c>
      <c r="AA15" s="27" t="s">
        <v>71</v>
      </c>
      <c r="AB15" s="27" t="s">
        <v>59</v>
      </c>
      <c r="AC15" s="29">
        <v>31</v>
      </c>
      <c r="AD15" s="29">
        <v>23</v>
      </c>
      <c r="AE15" s="29">
        <v>54</v>
      </c>
      <c r="AF15" s="45">
        <f t="shared" si="7"/>
        <v>82.895856925022343</v>
      </c>
      <c r="AG15" s="45">
        <f t="shared" si="8"/>
        <v>41.447928462511172</v>
      </c>
      <c r="AI15" s="82" t="s">
        <v>37</v>
      </c>
      <c r="AJ15" s="82" t="s">
        <v>231</v>
      </c>
      <c r="AK15" s="82" t="str">
        <f t="shared" si="9"/>
        <v>MAMIDIKUDURU_PARTBrahminMale</v>
      </c>
      <c r="AL15" s="82">
        <f t="shared" si="10"/>
        <v>0</v>
      </c>
    </row>
    <row r="16" spans="1:38" ht="13.8" x14ac:dyDescent="0.3">
      <c r="U16" s="43" t="s">
        <v>227</v>
      </c>
      <c r="V16" s="80" t="s">
        <v>54</v>
      </c>
      <c r="W16" s="82" t="str">
        <f t="shared" si="12"/>
        <v>AgnikulakshatriyaMale</v>
      </c>
      <c r="X16" s="83">
        <f t="shared" si="13"/>
        <v>0.85249089649430487</v>
      </c>
      <c r="Z16" s="27" t="str">
        <f t="shared" si="6"/>
        <v>RAZOLESettibalija</v>
      </c>
      <c r="AA16" s="27" t="s">
        <v>71</v>
      </c>
      <c r="AB16" s="27" t="s">
        <v>36</v>
      </c>
      <c r="AC16" s="29">
        <v>35</v>
      </c>
      <c r="AD16" s="29">
        <v>27</v>
      </c>
      <c r="AE16" s="29">
        <v>62</v>
      </c>
      <c r="AF16" s="45">
        <f t="shared" si="7"/>
        <v>51.810073617744266</v>
      </c>
      <c r="AG16" s="45">
        <f t="shared" si="8"/>
        <v>25.905036808872133</v>
      </c>
      <c r="AI16" s="82" t="s">
        <v>71</v>
      </c>
      <c r="AJ16" s="82" t="s">
        <v>70</v>
      </c>
      <c r="AK16" s="82" t="str">
        <f t="shared" si="9"/>
        <v>RAZOLEMalaMale</v>
      </c>
      <c r="AL16" s="82">
        <f t="shared" si="10"/>
        <v>0.90933567693352424</v>
      </c>
    </row>
    <row r="17" spans="1:38" ht="13.8" x14ac:dyDescent="0.3">
      <c r="U17" s="43" t="s">
        <v>228</v>
      </c>
      <c r="V17" s="80" t="s">
        <v>54</v>
      </c>
      <c r="W17" s="82" t="str">
        <f t="shared" si="12"/>
        <v>MadigaMale</v>
      </c>
      <c r="X17" s="83">
        <f t="shared" si="13"/>
        <v>0.60762903356038633</v>
      </c>
      <c r="Z17" s="27" t="str">
        <f t="shared" si="6"/>
        <v>RAZOLEAgnikulakshatriya</v>
      </c>
      <c r="AA17" s="27" t="s">
        <v>71</v>
      </c>
      <c r="AB17" s="27" t="s">
        <v>227</v>
      </c>
      <c r="AC17" s="29">
        <v>10</v>
      </c>
      <c r="AD17" s="29">
        <v>8</v>
      </c>
      <c r="AE17" s="29">
        <v>18</v>
      </c>
      <c r="AF17" s="45">
        <f t="shared" si="7"/>
        <v>26.63545424067156</v>
      </c>
      <c r="AG17" s="45">
        <f t="shared" si="8"/>
        <v>13.31772712033578</v>
      </c>
      <c r="AI17" s="82" t="s">
        <v>71</v>
      </c>
      <c r="AJ17" s="82" t="s">
        <v>59</v>
      </c>
      <c r="AK17" s="82" t="str">
        <f t="shared" si="9"/>
        <v>RAZOLEKapuMale</v>
      </c>
      <c r="AL17" s="82">
        <f t="shared" si="10"/>
        <v>1.3370299504035861</v>
      </c>
    </row>
    <row r="18" spans="1:38" ht="14.4" thickBot="1" x14ac:dyDescent="0.35">
      <c r="U18" s="43" t="s">
        <v>159</v>
      </c>
      <c r="V18" s="80" t="s">
        <v>54</v>
      </c>
      <c r="W18" s="82" t="str">
        <f t="shared" si="12"/>
        <v>Padmasali/DevangaMale</v>
      </c>
      <c r="X18" s="83">
        <f t="shared" si="13"/>
        <v>1.5782415568710491</v>
      </c>
      <c r="Z18" s="27" t="str">
        <f t="shared" si="6"/>
        <v>RAZOLEMadiga</v>
      </c>
      <c r="AA18" s="27" t="s">
        <v>71</v>
      </c>
      <c r="AB18" s="27" t="s">
        <v>228</v>
      </c>
      <c r="AC18" s="29">
        <v>15</v>
      </c>
      <c r="AD18" s="29">
        <v>5</v>
      </c>
      <c r="AE18" s="29">
        <v>20</v>
      </c>
      <c r="AF18" s="45">
        <f t="shared" si="7"/>
        <v>11.601898314028379</v>
      </c>
      <c r="AG18" s="45">
        <f t="shared" si="8"/>
        <v>5.8009491570141893</v>
      </c>
      <c r="AI18" s="82" t="s">
        <v>71</v>
      </c>
      <c r="AJ18" s="82" t="s">
        <v>36</v>
      </c>
      <c r="AK18" s="82" t="str">
        <f t="shared" si="9"/>
        <v>RAZOLESettibalijaMale</v>
      </c>
      <c r="AL18" s="82">
        <f t="shared" si="10"/>
        <v>0.7401439088249181</v>
      </c>
    </row>
    <row r="19" spans="1:38" ht="14.4" thickBot="1" x14ac:dyDescent="0.35">
      <c r="A19" s="61" t="s">
        <v>195</v>
      </c>
      <c r="B19" s="62" t="s">
        <v>196</v>
      </c>
      <c r="C19" s="27"/>
      <c r="D19" s="27"/>
      <c r="U19" s="43" t="s">
        <v>229</v>
      </c>
      <c r="V19" s="80" t="s">
        <v>54</v>
      </c>
      <c r="W19" s="82" t="str">
        <f t="shared" si="12"/>
        <v>YadavaMale</v>
      </c>
      <c r="X19" s="83">
        <f t="shared" si="13"/>
        <v>0.96810777556130356</v>
      </c>
      <c r="Z19" s="27" t="str">
        <f t="shared" si="6"/>
        <v>RAZOLEPadmasali/Devanga</v>
      </c>
      <c r="AA19" s="27" t="s">
        <v>71</v>
      </c>
      <c r="AB19" s="27" t="s">
        <v>159</v>
      </c>
      <c r="AC19" s="29">
        <v>1</v>
      </c>
      <c r="AD19" s="29">
        <v>4</v>
      </c>
      <c r="AE19" s="29">
        <v>5</v>
      </c>
      <c r="AF19" s="45">
        <f t="shared" si="7"/>
        <v>8.2185004245860398</v>
      </c>
      <c r="AG19" s="45">
        <f t="shared" si="8"/>
        <v>4.1092502122930199</v>
      </c>
      <c r="AI19" s="82" t="s">
        <v>71</v>
      </c>
      <c r="AJ19" s="82" t="s">
        <v>227</v>
      </c>
      <c r="AK19" s="82" t="str">
        <f t="shared" si="9"/>
        <v>RAZOLEAgnikulakshatriyaMale</v>
      </c>
      <c r="AL19" s="82">
        <f t="shared" si="10"/>
        <v>1.3317727120335781</v>
      </c>
    </row>
    <row r="20" spans="1:38" ht="14.4" thickBot="1" x14ac:dyDescent="0.35">
      <c r="B20" s="27"/>
      <c r="C20" s="27"/>
      <c r="D20" s="27"/>
      <c r="U20" s="43" t="s">
        <v>145</v>
      </c>
      <c r="V20" s="80" t="s">
        <v>54</v>
      </c>
      <c r="W20" s="82" t="str">
        <f t="shared" si="12"/>
        <v>Kshatriya/RajuluMale</v>
      </c>
      <c r="X20" s="83">
        <f t="shared" si="13"/>
        <v>1.4498195615503471</v>
      </c>
      <c r="Z20" s="27" t="str">
        <f t="shared" si="6"/>
        <v>RAZOLEYadava</v>
      </c>
      <c r="AA20" s="27" t="s">
        <v>71</v>
      </c>
      <c r="AB20" s="27" t="s">
        <v>229</v>
      </c>
      <c r="AD20" s="29">
        <v>2</v>
      </c>
      <c r="AE20" s="29">
        <v>2</v>
      </c>
      <c r="AF20" s="45">
        <f t="shared" si="7"/>
        <v>6.1615927639651558</v>
      </c>
      <c r="AG20" s="45">
        <f t="shared" si="8"/>
        <v>3.0807963819825779</v>
      </c>
      <c r="AI20" s="82" t="s">
        <v>71</v>
      </c>
      <c r="AJ20" s="82" t="s">
        <v>228</v>
      </c>
      <c r="AK20" s="82" t="str">
        <f t="shared" si="9"/>
        <v>RAZOLEMadigaMale</v>
      </c>
      <c r="AL20" s="82">
        <f t="shared" si="10"/>
        <v>0.38672994380094594</v>
      </c>
    </row>
    <row r="21" spans="1:38" ht="14.4" thickBot="1" x14ac:dyDescent="0.35">
      <c r="A21" s="63" t="s">
        <v>505</v>
      </c>
      <c r="B21" s="98" t="s">
        <v>197</v>
      </c>
      <c r="C21" s="62" t="s">
        <v>499</v>
      </c>
      <c r="D21" s="50"/>
      <c r="E21" s="56" t="s">
        <v>226</v>
      </c>
      <c r="F21" s="57" t="s">
        <v>506</v>
      </c>
      <c r="G21" s="56" t="s">
        <v>502</v>
      </c>
      <c r="H21" s="58" t="s">
        <v>503</v>
      </c>
      <c r="U21" s="43" t="s">
        <v>168</v>
      </c>
      <c r="V21" s="80" t="s">
        <v>54</v>
      </c>
      <c r="W21" s="82" t="str">
        <f t="shared" si="12"/>
        <v>RajakaMale</v>
      </c>
      <c r="X21" s="83">
        <f t="shared" si="13"/>
        <v>0.7657591888501577</v>
      </c>
      <c r="Z21" s="27" t="str">
        <f t="shared" si="6"/>
        <v>RAZOLEKshatriya/Rajulu</v>
      </c>
      <c r="AA21" s="27" t="s">
        <v>71</v>
      </c>
      <c r="AB21" s="27" t="s">
        <v>145</v>
      </c>
      <c r="AC21" s="29">
        <v>3</v>
      </c>
      <c r="AD21" s="29">
        <v>2</v>
      </c>
      <c r="AE21" s="29">
        <v>5</v>
      </c>
      <c r="AF21" s="45">
        <f t="shared" si="7"/>
        <v>5.8720344249303844</v>
      </c>
      <c r="AG21" s="45">
        <f t="shared" si="8"/>
        <v>2.9360172124651922</v>
      </c>
      <c r="AI21" s="82" t="s">
        <v>71</v>
      </c>
      <c r="AJ21" s="82" t="s">
        <v>159</v>
      </c>
      <c r="AK21" s="82" t="str">
        <f t="shared" si="9"/>
        <v>RAZOLEPadmasali/DevangaMale</v>
      </c>
      <c r="AL21" s="82">
        <f t="shared" si="10"/>
        <v>4.1092502122930199</v>
      </c>
    </row>
    <row r="22" spans="1:38" ht="13.8" x14ac:dyDescent="0.3">
      <c r="A22" s="64" t="s">
        <v>92</v>
      </c>
      <c r="B22" s="116">
        <v>197</v>
      </c>
      <c r="C22" s="109">
        <v>0.24053724053724054</v>
      </c>
      <c r="D22" s="27" t="s">
        <v>92</v>
      </c>
      <c r="E22" s="29">
        <f>VLOOKUP(D22,$A$22:$B$25,2,0)</f>
        <v>197</v>
      </c>
      <c r="F22" s="59">
        <v>0.35570000000000002</v>
      </c>
      <c r="G22" s="29">
        <f>F22*1000</f>
        <v>355.7</v>
      </c>
      <c r="H22" s="60">
        <f>G22/E22</f>
        <v>1.8055837563451775</v>
      </c>
      <c r="U22" s="43" t="s">
        <v>230</v>
      </c>
      <c r="V22" s="80" t="s">
        <v>54</v>
      </c>
      <c r="W22" s="82" t="str">
        <f t="shared" si="12"/>
        <v>Adi AndhraMale</v>
      </c>
      <c r="X22" s="83">
        <f t="shared" si="13"/>
        <v>1.0786696182614144</v>
      </c>
      <c r="Z22" s="27" t="str">
        <f t="shared" si="6"/>
        <v>RAZOLEAdi Andhra</v>
      </c>
      <c r="AA22" s="27" t="s">
        <v>71</v>
      </c>
      <c r="AB22" s="27" t="s">
        <v>230</v>
      </c>
      <c r="AC22" s="29">
        <v>4</v>
      </c>
      <c r="AD22" s="29">
        <v>3</v>
      </c>
      <c r="AE22" s="29">
        <v>7</v>
      </c>
      <c r="AF22" s="45">
        <f t="shared" si="7"/>
        <v>3.7446936548145562</v>
      </c>
      <c r="AG22" s="45">
        <f t="shared" si="8"/>
        <v>1.8723468274072781</v>
      </c>
      <c r="AI22" s="82" t="s">
        <v>71</v>
      </c>
      <c r="AJ22" s="82" t="s">
        <v>229</v>
      </c>
      <c r="AK22" s="82" t="str">
        <f t="shared" si="9"/>
        <v>RAZOLEYadavaMale</v>
      </c>
      <c r="AL22" s="82">
        <f t="shared" si="10"/>
        <v>0</v>
      </c>
    </row>
    <row r="23" spans="1:38" ht="14.4" thickBot="1" x14ac:dyDescent="0.35">
      <c r="A23" s="99" t="s">
        <v>48</v>
      </c>
      <c r="B23" s="117">
        <v>557</v>
      </c>
      <c r="C23" s="107">
        <v>0.68009768009768012</v>
      </c>
      <c r="D23" s="27" t="s">
        <v>48</v>
      </c>
      <c r="E23" s="29">
        <f>VLOOKUP(D23,$A$22:$B$25,2,0)</f>
        <v>557</v>
      </c>
      <c r="F23" s="59">
        <v>0.60129999999999995</v>
      </c>
      <c r="G23" s="29">
        <f t="shared" ref="G23:G24" si="14">F23*1000</f>
        <v>601.29999999999995</v>
      </c>
      <c r="H23" s="60">
        <f t="shared" ref="H23:H24" si="15">G23/E23</f>
        <v>1.0795332136445241</v>
      </c>
      <c r="U23" s="84" t="s">
        <v>231</v>
      </c>
      <c r="V23" s="81" t="s">
        <v>54</v>
      </c>
      <c r="W23" s="85" t="str">
        <f t="shared" si="12"/>
        <v>BrahminMale</v>
      </c>
      <c r="X23" s="86">
        <f t="shared" si="13"/>
        <v>0.50811312843494849</v>
      </c>
      <c r="Z23" s="27" t="str">
        <f t="shared" si="6"/>
        <v>RAZOLERajaka</v>
      </c>
      <c r="AA23" s="27" t="s">
        <v>71</v>
      </c>
      <c r="AB23" s="27" t="s">
        <v>168</v>
      </c>
      <c r="AC23" s="29">
        <v>1</v>
      </c>
      <c r="AD23" s="29">
        <v>2</v>
      </c>
      <c r="AE23" s="29">
        <v>3</v>
      </c>
      <c r="AF23" s="45">
        <f t="shared" si="7"/>
        <v>5.7598631764754717</v>
      </c>
      <c r="AG23" s="45">
        <f t="shared" si="8"/>
        <v>2.8799315882377359</v>
      </c>
      <c r="AI23" s="82" t="s">
        <v>71</v>
      </c>
      <c r="AJ23" s="82" t="s">
        <v>145</v>
      </c>
      <c r="AK23" s="82" t="str">
        <f t="shared" si="9"/>
        <v>RAZOLEKshatriya/RajuluMale</v>
      </c>
      <c r="AL23" s="82">
        <f t="shared" si="10"/>
        <v>0.97867240415506407</v>
      </c>
    </row>
    <row r="24" spans="1:38" x14ac:dyDescent="0.3">
      <c r="A24" s="99" t="s">
        <v>242</v>
      </c>
      <c r="B24" s="117">
        <v>53</v>
      </c>
      <c r="C24" s="107">
        <v>6.4713064713064719E-2</v>
      </c>
      <c r="D24" s="27"/>
      <c r="E24" s="29">
        <f>B27-SUM(E22:E23)</f>
        <v>65</v>
      </c>
      <c r="F24" s="28">
        <f>1-SUM(F22:F23)</f>
        <v>4.3000000000000038E-2</v>
      </c>
      <c r="G24" s="29">
        <f t="shared" si="14"/>
        <v>43.000000000000036</v>
      </c>
      <c r="H24" s="60">
        <f t="shared" si="15"/>
        <v>0.66153846153846207</v>
      </c>
      <c r="Z24" s="27" t="str">
        <f t="shared" si="6"/>
        <v>RAZOLEBrahmin</v>
      </c>
      <c r="AA24" s="27" t="s">
        <v>71</v>
      </c>
      <c r="AB24" s="27" t="s">
        <v>231</v>
      </c>
      <c r="AC24" s="29">
        <v>2</v>
      </c>
      <c r="AE24" s="29">
        <v>2</v>
      </c>
      <c r="AF24" s="45">
        <f t="shared" si="7"/>
        <v>2.9399301629926886</v>
      </c>
      <c r="AG24" s="45">
        <f t="shared" si="8"/>
        <v>1.4699650814963443</v>
      </c>
      <c r="AI24" s="82" t="s">
        <v>71</v>
      </c>
      <c r="AJ24" s="82" t="s">
        <v>168</v>
      </c>
      <c r="AK24" s="82" t="str">
        <f t="shared" si="9"/>
        <v>RAZOLERajakaMale</v>
      </c>
      <c r="AL24" s="82">
        <f t="shared" si="10"/>
        <v>2.8799315882377359</v>
      </c>
    </row>
    <row r="25" spans="1:38" x14ac:dyDescent="0.3">
      <c r="A25" s="99" t="s">
        <v>691</v>
      </c>
      <c r="B25" s="117">
        <v>8</v>
      </c>
      <c r="C25" s="107">
        <v>9.768009768009768E-3</v>
      </c>
      <c r="D25" s="27"/>
      <c r="G25"/>
      <c r="H25" s="67"/>
      <c r="Z25" s="27" t="str">
        <f t="shared" si="6"/>
        <v>SAKHINETIPALLEMala</v>
      </c>
      <c r="AA25" s="27" t="s">
        <v>219</v>
      </c>
      <c r="AB25" s="27" t="s">
        <v>70</v>
      </c>
      <c r="AC25" s="29">
        <v>36</v>
      </c>
      <c r="AD25" s="29">
        <v>13</v>
      </c>
      <c r="AE25" s="29">
        <v>49</v>
      </c>
      <c r="AF25" s="45">
        <f t="shared" si="7"/>
        <v>83.324988734424835</v>
      </c>
      <c r="AG25" s="45">
        <f t="shared" si="8"/>
        <v>41.662494367212418</v>
      </c>
      <c r="AI25" s="82" t="s">
        <v>71</v>
      </c>
      <c r="AJ25" s="82" t="s">
        <v>230</v>
      </c>
      <c r="AK25" s="82" t="str">
        <f t="shared" si="9"/>
        <v>RAZOLEAdi AndhraMale</v>
      </c>
      <c r="AL25" s="82">
        <f t="shared" si="10"/>
        <v>0.46808670685181952</v>
      </c>
    </row>
    <row r="26" spans="1:38" ht="16.2" thickBot="1" x14ac:dyDescent="0.35">
      <c r="A26" s="65" t="s">
        <v>2231</v>
      </c>
      <c r="B26" s="117">
        <v>4</v>
      </c>
      <c r="C26" s="107">
        <v>4.884004884004884E-3</v>
      </c>
      <c r="D26" s="27"/>
      <c r="G26"/>
      <c r="H26" s="67"/>
      <c r="Z26" s="27" t="str">
        <f t="shared" si="6"/>
        <v>SAKHINETIPALLEKapu</v>
      </c>
      <c r="AA26" s="27" t="s">
        <v>219</v>
      </c>
      <c r="AB26" s="27" t="s">
        <v>59</v>
      </c>
      <c r="AC26" s="29">
        <v>76</v>
      </c>
      <c r="AD26" s="29">
        <v>18</v>
      </c>
      <c r="AE26" s="29">
        <v>94</v>
      </c>
      <c r="AF26" s="45">
        <f t="shared" si="7"/>
        <v>82.565008715565497</v>
      </c>
      <c r="AG26" s="45">
        <f t="shared" si="8"/>
        <v>41.282504357782749</v>
      </c>
      <c r="AI26" s="82" t="s">
        <v>71</v>
      </c>
      <c r="AJ26" s="82" t="s">
        <v>231</v>
      </c>
      <c r="AK26" s="82" t="str">
        <f t="shared" si="9"/>
        <v>RAZOLEBrahminMale</v>
      </c>
      <c r="AL26" s="82">
        <f t="shared" si="10"/>
        <v>0.73498254074817215</v>
      </c>
    </row>
    <row r="27" spans="1:38" ht="16.2" thickBot="1" x14ac:dyDescent="0.35">
      <c r="A27" s="66" t="s">
        <v>182</v>
      </c>
      <c r="B27" s="118">
        <v>819</v>
      </c>
      <c r="C27" s="108">
        <v>1</v>
      </c>
      <c r="D27" s="54"/>
      <c r="E27" s="54"/>
      <c r="F27" s="54"/>
      <c r="G27" s="54"/>
      <c r="H27" s="55"/>
      <c r="Z27" s="27" t="str">
        <f t="shared" si="6"/>
        <v>SAKHINETIPALLESettibalija</v>
      </c>
      <c r="AA27" s="27" t="s">
        <v>219</v>
      </c>
      <c r="AB27" s="27" t="s">
        <v>36</v>
      </c>
      <c r="AC27" s="29">
        <v>28</v>
      </c>
      <c r="AD27" s="29">
        <v>1</v>
      </c>
      <c r="AE27" s="29">
        <v>29</v>
      </c>
      <c r="AF27" s="45">
        <f t="shared" si="7"/>
        <v>51.603292836121341</v>
      </c>
      <c r="AG27" s="45">
        <f t="shared" si="8"/>
        <v>25.80164641806067</v>
      </c>
      <c r="AI27" s="82" t="s">
        <v>219</v>
      </c>
      <c r="AJ27" s="82" t="s">
        <v>70</v>
      </c>
      <c r="AK27" s="82" t="str">
        <f t="shared" si="9"/>
        <v>SAKHINETIPALLEMalaMale</v>
      </c>
      <c r="AL27" s="82">
        <f t="shared" si="10"/>
        <v>1.1572915102003449</v>
      </c>
    </row>
    <row r="28" spans="1:38" x14ac:dyDescent="0.3">
      <c r="C28" s="27"/>
      <c r="D28" s="27"/>
      <c r="Z28" s="27" t="str">
        <f t="shared" si="6"/>
        <v>SAKHINETIPALLEAgnikulakshatriya</v>
      </c>
      <c r="AA28" s="27" t="s">
        <v>219</v>
      </c>
      <c r="AB28" s="27" t="s">
        <v>227</v>
      </c>
      <c r="AC28" s="29">
        <v>32</v>
      </c>
      <c r="AD28" s="29">
        <v>6</v>
      </c>
      <c r="AE28" s="29">
        <v>38</v>
      </c>
      <c r="AF28" s="45">
        <f t="shared" si="7"/>
        <v>26.529148658336283</v>
      </c>
      <c r="AG28" s="45">
        <f t="shared" si="8"/>
        <v>13.264574329168141</v>
      </c>
      <c r="AI28" s="82" t="s">
        <v>219</v>
      </c>
      <c r="AJ28" s="82" t="s">
        <v>59</v>
      </c>
      <c r="AK28" s="82" t="str">
        <f t="shared" si="9"/>
        <v>SAKHINETIPALLEKapuMale</v>
      </c>
      <c r="AL28" s="82">
        <f t="shared" si="10"/>
        <v>0.54319084681293095</v>
      </c>
    </row>
    <row r="29" spans="1:38" x14ac:dyDescent="0.3">
      <c r="Z29" s="27" t="str">
        <f t="shared" si="6"/>
        <v>SAKHINETIPALLEMadiga</v>
      </c>
      <c r="AA29" s="27" t="s">
        <v>219</v>
      </c>
      <c r="AB29" s="27" t="s">
        <v>228</v>
      </c>
      <c r="AC29" s="29">
        <v>5</v>
      </c>
      <c r="AD29" s="29">
        <v>3</v>
      </c>
      <c r="AE29" s="29">
        <v>8</v>
      </c>
      <c r="AF29" s="45">
        <f t="shared" si="7"/>
        <v>11.555593620092123</v>
      </c>
      <c r="AG29" s="45">
        <f t="shared" si="8"/>
        <v>5.7777968100460617</v>
      </c>
      <c r="AI29" s="82" t="s">
        <v>219</v>
      </c>
      <c r="AJ29" s="82" t="s">
        <v>36</v>
      </c>
      <c r="AK29" s="82" t="str">
        <f t="shared" si="9"/>
        <v>SAKHINETIPALLESettibalijaMale</v>
      </c>
      <c r="AL29" s="82">
        <f t="shared" si="10"/>
        <v>0.92148737207359532</v>
      </c>
    </row>
    <row r="30" spans="1:38" ht="16.2" thickBot="1" x14ac:dyDescent="0.35">
      <c r="Z30" s="27" t="str">
        <f t="shared" si="6"/>
        <v>SAKHINETIPALLEPadmasali/Devanga</v>
      </c>
      <c r="AA30" s="27" t="s">
        <v>219</v>
      </c>
      <c r="AB30" s="27" t="s">
        <v>159</v>
      </c>
      <c r="AC30" s="29">
        <v>1</v>
      </c>
      <c r="AE30" s="29">
        <v>1</v>
      </c>
      <c r="AF30" s="45">
        <f t="shared" si="7"/>
        <v>8.18569931424401</v>
      </c>
      <c r="AG30" s="45">
        <f t="shared" si="8"/>
        <v>4.092849657122005</v>
      </c>
      <c r="AI30" s="82" t="s">
        <v>219</v>
      </c>
      <c r="AJ30" s="82" t="s">
        <v>227</v>
      </c>
      <c r="AK30" s="82" t="str">
        <f t="shared" si="9"/>
        <v>SAKHINETIPALLEAgnikulakshatriyaMale</v>
      </c>
      <c r="AL30" s="82">
        <f t="shared" si="10"/>
        <v>0.41451794778650441</v>
      </c>
    </row>
    <row r="31" spans="1:38" ht="16.2" thickBot="1" x14ac:dyDescent="0.35">
      <c r="A31" s="61" t="s">
        <v>195</v>
      </c>
      <c r="B31" s="62" t="s">
        <v>196</v>
      </c>
      <c r="C31" s="50"/>
      <c r="D31" s="50"/>
      <c r="E31" s="51"/>
      <c r="Z31" s="27" t="str">
        <f t="shared" si="6"/>
        <v>SAKHINETIPALLEYadava</v>
      </c>
      <c r="AA31" s="27" t="s">
        <v>219</v>
      </c>
      <c r="AB31" s="27" t="s">
        <v>229</v>
      </c>
      <c r="AC31" s="29">
        <v>10</v>
      </c>
      <c r="AD31" s="29">
        <v>6</v>
      </c>
      <c r="AE31" s="29">
        <v>16</v>
      </c>
      <c r="AF31" s="45">
        <f t="shared" si="7"/>
        <v>6.1370010411821454</v>
      </c>
      <c r="AG31" s="45">
        <f t="shared" si="8"/>
        <v>3.0685005205910727</v>
      </c>
      <c r="AI31" s="82" t="s">
        <v>219</v>
      </c>
      <c r="AJ31" s="82" t="s">
        <v>228</v>
      </c>
      <c r="AK31" s="82" t="str">
        <f t="shared" si="9"/>
        <v>SAKHINETIPALLEMadigaMale</v>
      </c>
      <c r="AL31" s="82">
        <f t="shared" si="10"/>
        <v>1.1555593620092124</v>
      </c>
    </row>
    <row r="32" spans="1:38" ht="16.2" thickBot="1" x14ac:dyDescent="0.35">
      <c r="A32" s="52"/>
      <c r="B32" s="27"/>
      <c r="E32" s="53"/>
      <c r="Z32" s="27" t="str">
        <f t="shared" si="6"/>
        <v>SAKHINETIPALLEKshatriya/Rajulu</v>
      </c>
      <c r="AA32" s="27" t="s">
        <v>219</v>
      </c>
      <c r="AB32" s="27" t="s">
        <v>145</v>
      </c>
      <c r="AC32" s="29">
        <v>1</v>
      </c>
      <c r="AD32" s="29">
        <v>1</v>
      </c>
      <c r="AE32" s="29">
        <v>2</v>
      </c>
      <c r="AF32" s="45">
        <f t="shared" si="7"/>
        <v>5.8485983673585995</v>
      </c>
      <c r="AG32" s="45">
        <f t="shared" si="8"/>
        <v>2.9242991836792998</v>
      </c>
      <c r="AI32" s="82" t="s">
        <v>219</v>
      </c>
      <c r="AJ32" s="82" t="s">
        <v>159</v>
      </c>
      <c r="AK32" s="82" t="str">
        <f t="shared" si="9"/>
        <v>SAKHINETIPALLEPadmasali/DevangaMale</v>
      </c>
      <c r="AL32" s="82">
        <f t="shared" si="10"/>
        <v>4.092849657122005</v>
      </c>
    </row>
    <row r="33" spans="1:38" ht="16.2" thickBot="1" x14ac:dyDescent="0.35">
      <c r="A33" s="63" t="s">
        <v>30</v>
      </c>
      <c r="B33" s="98" t="s">
        <v>197</v>
      </c>
      <c r="C33" s="62" t="s">
        <v>499</v>
      </c>
      <c r="D33" s="69" t="s">
        <v>502</v>
      </c>
      <c r="E33" s="70" t="s">
        <v>503</v>
      </c>
      <c r="Z33" s="27" t="str">
        <f t="shared" si="6"/>
        <v>SAKHINETIPALLERajaka</v>
      </c>
      <c r="AA33" s="27" t="s">
        <v>219</v>
      </c>
      <c r="AB33" s="27" t="s">
        <v>168</v>
      </c>
      <c r="AC33" s="29">
        <v>4</v>
      </c>
      <c r="AD33" s="29">
        <v>2</v>
      </c>
      <c r="AE33" s="29">
        <v>6</v>
      </c>
      <c r="AF33" s="45">
        <f t="shared" si="7"/>
        <v>5.7368748090305584</v>
      </c>
      <c r="AG33" s="45">
        <f t="shared" si="8"/>
        <v>2.8684374045152792</v>
      </c>
      <c r="AI33" s="82" t="s">
        <v>219</v>
      </c>
      <c r="AJ33" s="82" t="s">
        <v>229</v>
      </c>
      <c r="AK33" s="82" t="str">
        <f t="shared" si="9"/>
        <v>SAKHINETIPALLEYadavaMale</v>
      </c>
      <c r="AL33" s="82">
        <f t="shared" si="10"/>
        <v>0.30685005205910726</v>
      </c>
    </row>
    <row r="34" spans="1:38" x14ac:dyDescent="0.3">
      <c r="A34" s="64" t="s">
        <v>54</v>
      </c>
      <c r="B34" s="116">
        <v>588</v>
      </c>
      <c r="C34" s="97">
        <v>0.71794871794871795</v>
      </c>
      <c r="D34" s="29">
        <v>500</v>
      </c>
      <c r="E34" s="60">
        <f>D34/B34</f>
        <v>0.85034013605442171</v>
      </c>
      <c r="Z34" s="27" t="str">
        <f t="shared" si="6"/>
        <v>SAKHINETIPALLEBrahmin</v>
      </c>
      <c r="AA34" s="27" t="s">
        <v>219</v>
      </c>
      <c r="AB34" s="27" t="s">
        <v>231</v>
      </c>
      <c r="AC34" s="29">
        <v>8</v>
      </c>
      <c r="AE34" s="29">
        <v>8</v>
      </c>
      <c r="AF34" s="45">
        <f t="shared" si="7"/>
        <v>2.9281965171093476</v>
      </c>
      <c r="AG34" s="45">
        <f t="shared" si="8"/>
        <v>1.4640982585546738</v>
      </c>
      <c r="AI34" s="82" t="s">
        <v>219</v>
      </c>
      <c r="AJ34" s="82" t="s">
        <v>145</v>
      </c>
      <c r="AK34" s="82" t="str">
        <f t="shared" si="9"/>
        <v>SAKHINETIPALLEKshatriya/RajuluMale</v>
      </c>
      <c r="AL34" s="82">
        <f t="shared" si="10"/>
        <v>2.9242991836792998</v>
      </c>
    </row>
    <row r="35" spans="1:38" ht="16.2" thickBot="1" x14ac:dyDescent="0.35">
      <c r="A35" s="65" t="s">
        <v>445</v>
      </c>
      <c r="B35" s="117">
        <v>231</v>
      </c>
      <c r="C35" s="95">
        <v>0.28205128205128205</v>
      </c>
      <c r="D35" s="29">
        <v>500</v>
      </c>
      <c r="E35" s="60">
        <f>D35/B35</f>
        <v>2.1645021645021645</v>
      </c>
      <c r="Z35" s="27" t="str">
        <f t="shared" si="6"/>
        <v>MALIKIPURAMMala</v>
      </c>
      <c r="AA35" s="27" t="s">
        <v>203</v>
      </c>
      <c r="AB35" s="27" t="s">
        <v>70</v>
      </c>
      <c r="AC35" s="29">
        <v>21</v>
      </c>
      <c r="AD35" s="29">
        <v>11</v>
      </c>
      <c r="AE35" s="29">
        <v>32</v>
      </c>
      <c r="AF35" s="45">
        <f t="shared" si="7"/>
        <v>89.691704330138222</v>
      </c>
      <c r="AG35" s="45">
        <f t="shared" si="8"/>
        <v>44.845852165069111</v>
      </c>
      <c r="AI35" s="82" t="s">
        <v>219</v>
      </c>
      <c r="AJ35" s="82" t="s">
        <v>168</v>
      </c>
      <c r="AK35" s="82" t="str">
        <f t="shared" si="9"/>
        <v>SAKHINETIPALLERajakaMale</v>
      </c>
      <c r="AL35" s="82">
        <f t="shared" si="10"/>
        <v>0.71710935112881979</v>
      </c>
    </row>
    <row r="36" spans="1:38" ht="16.2" thickBot="1" x14ac:dyDescent="0.35">
      <c r="A36" s="66" t="s">
        <v>182</v>
      </c>
      <c r="B36" s="118">
        <v>819</v>
      </c>
      <c r="C36" s="96">
        <v>1</v>
      </c>
      <c r="D36" s="54"/>
      <c r="E36" s="55"/>
      <c r="Z36" s="27" t="str">
        <f t="shared" si="6"/>
        <v>MALIKIPURAMKapu</v>
      </c>
      <c r="AA36" s="27" t="s">
        <v>203</v>
      </c>
      <c r="AB36" s="27" t="s">
        <v>59</v>
      </c>
      <c r="AC36" s="29">
        <v>63</v>
      </c>
      <c r="AD36" s="29">
        <v>7</v>
      </c>
      <c r="AE36" s="29">
        <v>70</v>
      </c>
      <c r="AF36" s="45">
        <f t="shared" si="7"/>
        <v>88.873655576893285</v>
      </c>
      <c r="AG36" s="45">
        <f t="shared" si="8"/>
        <v>44.436827788446642</v>
      </c>
      <c r="AI36" s="82" t="s">
        <v>219</v>
      </c>
      <c r="AJ36" s="82" t="s">
        <v>230</v>
      </c>
      <c r="AK36" s="82" t="str">
        <f t="shared" si="9"/>
        <v>SAKHINETIPALLEAdi AndhraMale</v>
      </c>
      <c r="AL36" s="82">
        <f t="shared" si="10"/>
        <v>0</v>
      </c>
    </row>
    <row r="37" spans="1:38" x14ac:dyDescent="0.3">
      <c r="A37"/>
      <c r="B37"/>
      <c r="C37"/>
      <c r="Z37" s="27" t="str">
        <f t="shared" si="6"/>
        <v>MALIKIPURAMSettibalija</v>
      </c>
      <c r="AA37" s="27" t="s">
        <v>203</v>
      </c>
      <c r="AB37" s="27" t="s">
        <v>36</v>
      </c>
      <c r="AC37" s="29">
        <v>24</v>
      </c>
      <c r="AD37" s="29">
        <v>4</v>
      </c>
      <c r="AE37" s="29">
        <v>28</v>
      </c>
      <c r="AF37" s="45">
        <f t="shared" si="7"/>
        <v>55.546209532300438</v>
      </c>
      <c r="AG37" s="45">
        <f t="shared" si="8"/>
        <v>27.773104766150219</v>
      </c>
      <c r="AI37" s="82" t="s">
        <v>219</v>
      </c>
      <c r="AJ37" s="82" t="s">
        <v>231</v>
      </c>
      <c r="AK37" s="82" t="str">
        <f t="shared" si="9"/>
        <v>SAKHINETIPALLEBrahminMale</v>
      </c>
      <c r="AL37" s="82">
        <f t="shared" si="10"/>
        <v>0.18301228231933422</v>
      </c>
    </row>
    <row r="38" spans="1:38" x14ac:dyDescent="0.3">
      <c r="Z38" s="27" t="str">
        <f t="shared" si="6"/>
        <v>MALIKIPURAMAgnikulakshatriya</v>
      </c>
      <c r="AA38" s="27" t="s">
        <v>203</v>
      </c>
      <c r="AB38" s="27" t="s">
        <v>227</v>
      </c>
      <c r="AC38" s="29">
        <v>8</v>
      </c>
      <c r="AD38" s="29">
        <v>4</v>
      </c>
      <c r="AE38" s="29">
        <v>12</v>
      </c>
      <c r="AF38" s="45">
        <f t="shared" si="7"/>
        <v>28.556194170965895</v>
      </c>
      <c r="AG38" s="45">
        <f t="shared" si="8"/>
        <v>14.278097085482948</v>
      </c>
      <c r="AI38" s="82" t="s">
        <v>203</v>
      </c>
      <c r="AJ38" s="82" t="s">
        <v>70</v>
      </c>
      <c r="AK38" s="82" t="str">
        <f t="shared" si="9"/>
        <v>MALIKIPURAMMalaMale</v>
      </c>
      <c r="AL38" s="82">
        <f t="shared" si="10"/>
        <v>2.1355167697651956</v>
      </c>
    </row>
    <row r="39" spans="1:38" ht="16.2" thickBot="1" x14ac:dyDescent="0.35">
      <c r="Z39" s="27" t="str">
        <f t="shared" si="6"/>
        <v>MALIKIPURAMMadiga</v>
      </c>
      <c r="AA39" s="27" t="s">
        <v>203</v>
      </c>
      <c r="AB39" s="27" t="s">
        <v>228</v>
      </c>
      <c r="AC39" s="29">
        <v>3</v>
      </c>
      <c r="AD39" s="29">
        <v>3</v>
      </c>
      <c r="AE39" s="29">
        <v>6</v>
      </c>
      <c r="AF39" s="45">
        <f t="shared" si="7"/>
        <v>12.438536171134697</v>
      </c>
      <c r="AG39" s="45">
        <f t="shared" si="8"/>
        <v>6.2192680855673483</v>
      </c>
      <c r="AI39" s="82" t="s">
        <v>203</v>
      </c>
      <c r="AJ39" s="82" t="s">
        <v>59</v>
      </c>
      <c r="AK39" s="82" t="str">
        <f t="shared" si="9"/>
        <v>MALIKIPURAMKapuMale</v>
      </c>
      <c r="AL39" s="82">
        <f t="shared" si="10"/>
        <v>0.70534647283248642</v>
      </c>
    </row>
    <row r="40" spans="1:38" ht="16.2" thickBot="1" x14ac:dyDescent="0.35">
      <c r="A40" s="61" t="s">
        <v>195</v>
      </c>
      <c r="B40" s="62" t="s">
        <v>196</v>
      </c>
      <c r="C40" s="71"/>
      <c r="D40" s="71"/>
      <c r="E40" s="50"/>
      <c r="F40" s="50"/>
      <c r="G40" s="51"/>
      <c r="Z40" s="27" t="str">
        <f t="shared" si="6"/>
        <v>MALIKIPURAMPadmasali/Devanga</v>
      </c>
      <c r="AA40" s="27" t="s">
        <v>203</v>
      </c>
      <c r="AB40" s="27" t="s">
        <v>159</v>
      </c>
      <c r="AC40" s="29">
        <v>5</v>
      </c>
      <c r="AE40" s="29">
        <v>5</v>
      </c>
      <c r="AF40" s="45">
        <f t="shared" si="7"/>
        <v>8.811154178113517</v>
      </c>
      <c r="AG40" s="45">
        <f t="shared" si="8"/>
        <v>4.4055770890567585</v>
      </c>
      <c r="AI40" s="82" t="s">
        <v>203</v>
      </c>
      <c r="AJ40" s="82" t="s">
        <v>36</v>
      </c>
      <c r="AK40" s="82" t="str">
        <f t="shared" si="9"/>
        <v>MALIKIPURAMSettibalijaMale</v>
      </c>
      <c r="AL40" s="82">
        <f t="shared" si="10"/>
        <v>1.1572126985895925</v>
      </c>
    </row>
    <row r="41" spans="1:38" ht="16.2" thickBot="1" x14ac:dyDescent="0.35">
      <c r="A41" s="52"/>
      <c r="B41" s="27"/>
      <c r="G41" s="53"/>
      <c r="Z41" s="27" t="str">
        <f t="shared" si="6"/>
        <v>MALIKIPURAMYadava</v>
      </c>
      <c r="AA41" s="27" t="s">
        <v>203</v>
      </c>
      <c r="AB41" s="27" t="s">
        <v>229</v>
      </c>
      <c r="AC41" s="29">
        <v>1</v>
      </c>
      <c r="AE41" s="29">
        <v>1</v>
      </c>
      <c r="AF41" s="45">
        <f t="shared" si="7"/>
        <v>6.605918479195088</v>
      </c>
      <c r="AG41" s="45">
        <f t="shared" si="8"/>
        <v>3.302959239597544</v>
      </c>
      <c r="AI41" s="82" t="s">
        <v>203</v>
      </c>
      <c r="AJ41" s="82" t="s">
        <v>227</v>
      </c>
      <c r="AK41" s="82" t="str">
        <f t="shared" si="9"/>
        <v>MALIKIPURAMAgnikulakshatriyaMale</v>
      </c>
      <c r="AL41" s="82">
        <f t="shared" si="10"/>
        <v>1.7847621356853685</v>
      </c>
    </row>
    <row r="42" spans="1:38" ht="16.2" thickBot="1" x14ac:dyDescent="0.35">
      <c r="A42" s="63" t="s">
        <v>7</v>
      </c>
      <c r="B42" s="98" t="s">
        <v>197</v>
      </c>
      <c r="C42" s="62" t="s">
        <v>499</v>
      </c>
      <c r="D42" s="72" t="s">
        <v>233</v>
      </c>
      <c r="E42" s="69" t="s">
        <v>234</v>
      </c>
      <c r="F42" s="69" t="s">
        <v>502</v>
      </c>
      <c r="G42" s="70" t="s">
        <v>503</v>
      </c>
      <c r="Z42" s="27" t="str">
        <f t="shared" si="6"/>
        <v>MALIKIPURAMKshatriya/Rajulu</v>
      </c>
      <c r="AA42" s="27" t="s">
        <v>203</v>
      </c>
      <c r="AB42" s="27" t="s">
        <v>145</v>
      </c>
      <c r="AC42" s="29">
        <v>2</v>
      </c>
      <c r="AD42" s="29">
        <v>1</v>
      </c>
      <c r="AE42" s="29">
        <v>3</v>
      </c>
      <c r="AF42" s="45">
        <f t="shared" si="7"/>
        <v>6.2954794651431598</v>
      </c>
      <c r="AG42" s="45">
        <f t="shared" si="8"/>
        <v>3.1477397325715799</v>
      </c>
      <c r="AI42" s="82" t="s">
        <v>203</v>
      </c>
      <c r="AJ42" s="82" t="s">
        <v>228</v>
      </c>
      <c r="AK42" s="82" t="str">
        <f t="shared" si="9"/>
        <v>MALIKIPURAMMadigaMale</v>
      </c>
      <c r="AL42" s="82">
        <f t="shared" si="10"/>
        <v>2.0730893618557826</v>
      </c>
    </row>
    <row r="43" spans="1:38" x14ac:dyDescent="0.3">
      <c r="A43" s="99" t="s">
        <v>203</v>
      </c>
      <c r="B43" s="117">
        <v>161</v>
      </c>
      <c r="C43" s="95">
        <v>0.19658119658119658</v>
      </c>
      <c r="D43" s="73" t="s">
        <v>203</v>
      </c>
      <c r="E43" s="59">
        <v>0.31016073763843138</v>
      </c>
      <c r="F43" s="74">
        <f>E43*1000</f>
        <v>310.16073763843139</v>
      </c>
      <c r="G43" s="53">
        <f>F43/B43</f>
        <v>1.9264642089343564</v>
      </c>
      <c r="Z43" s="27" t="str">
        <f t="shared" si="6"/>
        <v>MALIKIPURAMAdi Andhra</v>
      </c>
      <c r="AA43" s="27" t="s">
        <v>203</v>
      </c>
      <c r="AB43" s="27" t="s">
        <v>230</v>
      </c>
      <c r="AD43" s="29">
        <v>1</v>
      </c>
      <c r="AE43" s="29">
        <v>1</v>
      </c>
      <c r="AF43" s="45">
        <f t="shared" si="7"/>
        <v>4.0147315736175058</v>
      </c>
      <c r="AG43" s="45">
        <f t="shared" si="8"/>
        <v>2.0073657868087529</v>
      </c>
      <c r="AI43" s="82" t="s">
        <v>203</v>
      </c>
      <c r="AJ43" s="82" t="s">
        <v>159</v>
      </c>
      <c r="AK43" s="82" t="str">
        <f t="shared" si="9"/>
        <v>MALIKIPURAMPadmasali/DevangaMale</v>
      </c>
      <c r="AL43" s="82">
        <f t="shared" si="10"/>
        <v>0.88111541781135172</v>
      </c>
    </row>
    <row r="44" spans="1:38" x14ac:dyDescent="0.3">
      <c r="A44" s="99" t="s">
        <v>37</v>
      </c>
      <c r="B44" s="117">
        <v>149</v>
      </c>
      <c r="C44" s="95">
        <v>0.18192918192918192</v>
      </c>
      <c r="D44" s="73" t="s">
        <v>37</v>
      </c>
      <c r="E44" s="59">
        <v>0.11239633167243292</v>
      </c>
      <c r="F44" s="74">
        <f>E44*1000</f>
        <v>112.39633167243292</v>
      </c>
      <c r="G44" s="53">
        <f t="shared" ref="G44:G46" si="16">F44/B44</f>
        <v>0.75433779645928134</v>
      </c>
      <c r="Z44" s="27" t="str">
        <f t="shared" si="6"/>
        <v>MALIKIPURAMRajaka</v>
      </c>
      <c r="AA44" s="27" t="s">
        <v>203</v>
      </c>
      <c r="AB44" s="27" t="s">
        <v>168</v>
      </c>
      <c r="AC44" s="29">
        <v>3</v>
      </c>
      <c r="AE44" s="29">
        <v>3</v>
      </c>
      <c r="AF44" s="45">
        <f t="shared" ref="AF44" si="17">VLOOKUP(AA44,$D$42:$E$46,2,0)*VLOOKUP(AB44,$A$1:$C$13,3,0)*1000</f>
        <v>6.1752193065464658</v>
      </c>
      <c r="AG44" s="45">
        <f t="shared" si="8"/>
        <v>3.0876096532732329</v>
      </c>
      <c r="AI44" s="82" t="s">
        <v>203</v>
      </c>
      <c r="AJ44" s="82" t="s">
        <v>229</v>
      </c>
      <c r="AK44" s="82" t="str">
        <f t="shared" si="9"/>
        <v>MALIKIPURAMYadavaMale</v>
      </c>
      <c r="AL44" s="82">
        <f t="shared" si="10"/>
        <v>3.302959239597544</v>
      </c>
    </row>
    <row r="45" spans="1:38" x14ac:dyDescent="0.3">
      <c r="A45" s="99" t="s">
        <v>71</v>
      </c>
      <c r="B45" s="117">
        <v>258</v>
      </c>
      <c r="C45" s="95">
        <v>0.31501831501831501</v>
      </c>
      <c r="D45" s="73" t="s">
        <v>71</v>
      </c>
      <c r="E45" s="59">
        <v>0.2892987799831151</v>
      </c>
      <c r="F45" s="74">
        <f>E45*1000</f>
        <v>289.29877998311508</v>
      </c>
      <c r="G45" s="53">
        <f t="shared" si="16"/>
        <v>1.1213131007097483</v>
      </c>
      <c r="AA45" s="27" t="s">
        <v>182</v>
      </c>
      <c r="AC45" s="29">
        <v>588</v>
      </c>
      <c r="AD45" s="29">
        <v>231</v>
      </c>
      <c r="AE45" s="29">
        <v>819</v>
      </c>
      <c r="AI45" s="82" t="s">
        <v>203</v>
      </c>
      <c r="AJ45" s="82" t="s">
        <v>145</v>
      </c>
      <c r="AK45" s="82" t="str">
        <f t="shared" si="9"/>
        <v>MALIKIPURAMKshatriya/RajuluMale</v>
      </c>
      <c r="AL45" s="82">
        <f t="shared" si="10"/>
        <v>1.57386986628579</v>
      </c>
    </row>
    <row r="46" spans="1:38" ht="16.2" thickBot="1" x14ac:dyDescent="0.35">
      <c r="A46" s="99" t="s">
        <v>219</v>
      </c>
      <c r="B46" s="117">
        <v>251</v>
      </c>
      <c r="C46" s="95">
        <v>0.30647130647130649</v>
      </c>
      <c r="D46" s="73" t="s">
        <v>219</v>
      </c>
      <c r="E46" s="59">
        <v>0.28814415070602062</v>
      </c>
      <c r="F46" s="74">
        <f>E46*1000</f>
        <v>288.14415070602064</v>
      </c>
      <c r="G46" s="53">
        <f t="shared" si="16"/>
        <v>1.147984664167413</v>
      </c>
      <c r="AI46" s="82" t="s">
        <v>203</v>
      </c>
      <c r="AJ46" s="82" t="s">
        <v>168</v>
      </c>
      <c r="AK46" s="82" t="str">
        <f t="shared" si="9"/>
        <v>MALIKIPURAMRajakaMale</v>
      </c>
      <c r="AL46" s="82">
        <f t="shared" si="10"/>
        <v>1.0292032177577444</v>
      </c>
    </row>
    <row r="47" spans="1:38" ht="16.2" thickBot="1" x14ac:dyDescent="0.35">
      <c r="A47" s="66" t="s">
        <v>182</v>
      </c>
      <c r="B47" s="118">
        <v>819</v>
      </c>
      <c r="C47" s="96">
        <v>1</v>
      </c>
      <c r="D47" s="75"/>
      <c r="E47" s="76"/>
      <c r="F47" s="77"/>
      <c r="G47" s="55"/>
      <c r="AI47" s="82" t="s">
        <v>203</v>
      </c>
      <c r="AJ47" s="82" t="s">
        <v>230</v>
      </c>
      <c r="AK47" s="82" t="str">
        <f t="shared" si="9"/>
        <v>MALIKIPURAMAdi AndhraMale</v>
      </c>
      <c r="AL47" s="82">
        <f t="shared" si="10"/>
        <v>0</v>
      </c>
    </row>
    <row r="48" spans="1:38" x14ac:dyDescent="0.3">
      <c r="B48" s="27"/>
      <c r="C48" s="27"/>
      <c r="AI48" s="82" t="s">
        <v>203</v>
      </c>
      <c r="AJ48" s="82" t="s">
        <v>231</v>
      </c>
      <c r="AK48" s="82" t="str">
        <f t="shared" si="9"/>
        <v>MALIKIPURAMBrahminMale</v>
      </c>
      <c r="AL48" s="82">
        <f t="shared" si="10"/>
        <v>0</v>
      </c>
    </row>
    <row r="49" spans="1:38" x14ac:dyDescent="0.3">
      <c r="B49" s="27"/>
      <c r="C49" s="27"/>
      <c r="AI49" s="101" t="s">
        <v>199</v>
      </c>
      <c r="AJ49" s="101" t="s">
        <v>6</v>
      </c>
      <c r="AK49" s="101" t="s">
        <v>445</v>
      </c>
      <c r="AL49" s="102" t="s">
        <v>503</v>
      </c>
    </row>
    <row r="50" spans="1:38" x14ac:dyDescent="0.3">
      <c r="B50" s="27"/>
      <c r="C50" s="27"/>
      <c r="AI50" s="82" t="s">
        <v>37</v>
      </c>
      <c r="AJ50" s="82" t="s">
        <v>70</v>
      </c>
      <c r="AK50" s="82" t="str">
        <f>AI50&amp;AJ50&amp;$AK$49</f>
        <v>MAMIDIKUDURU_PARTMalaFemale</v>
      </c>
      <c r="AL50" s="82">
        <f>IFERROR(VLOOKUP(AI50&amp;AJ50,$Z$5:$AG$71,8,0)/VLOOKUP(AI50&amp;AJ50,$Z$5:$AG$71,5,0),0)</f>
        <v>0.95595770048639872</v>
      </c>
    </row>
    <row r="51" spans="1:38" x14ac:dyDescent="0.3">
      <c r="A51" s="25" t="s">
        <v>195</v>
      </c>
      <c r="B51" s="27" t="s">
        <v>196</v>
      </c>
      <c r="AI51" s="82" t="s">
        <v>37</v>
      </c>
      <c r="AJ51" s="82" t="s">
        <v>59</v>
      </c>
      <c r="AK51" s="82" t="str">
        <f t="shared" ref="AK51:AK93" si="18">AI51&amp;AJ51&amp;$AK$49</f>
        <v>MAMIDIKUDURU_PARTKapuFemale</v>
      </c>
      <c r="AL51" s="82">
        <f t="shared" ref="AL51:AL93" si="19">IFERROR(VLOOKUP(AI51&amp;AJ51,$Z$5:$AG$71,8,0)/VLOOKUP(AI51&amp;AJ51,$Z$5:$AG$71,5,0),0)</f>
        <v>5.3676860935714705</v>
      </c>
    </row>
    <row r="52" spans="1:38" x14ac:dyDescent="0.3">
      <c r="B52" s="27"/>
      <c r="AI52" s="82" t="s">
        <v>37</v>
      </c>
      <c r="AJ52" s="82" t="s">
        <v>36</v>
      </c>
      <c r="AK52" s="82" t="str">
        <f t="shared" si="18"/>
        <v>MAMIDIKUDURU_PARTSettibalijaFemale</v>
      </c>
      <c r="AL52" s="82">
        <f t="shared" si="19"/>
        <v>1.1182714552164577</v>
      </c>
    </row>
    <row r="53" spans="1:38" x14ac:dyDescent="0.3">
      <c r="A53" s="25" t="s">
        <v>27</v>
      </c>
      <c r="B53" s="27" t="s">
        <v>197</v>
      </c>
      <c r="C53" s="27" t="s">
        <v>499</v>
      </c>
      <c r="AI53" s="82" t="s">
        <v>37</v>
      </c>
      <c r="AJ53" s="82" t="s">
        <v>227</v>
      </c>
      <c r="AK53" s="82" t="str">
        <f t="shared" si="18"/>
        <v>MAMIDIKUDURU_PARTAgnikulakshatriyaFemale</v>
      </c>
      <c r="AL53" s="82">
        <f t="shared" si="19"/>
        <v>5.174109875705593</v>
      </c>
    </row>
    <row r="54" spans="1:38" x14ac:dyDescent="0.3">
      <c r="A54" s="27" t="s">
        <v>162</v>
      </c>
      <c r="B54" s="27">
        <v>89</v>
      </c>
      <c r="C54" s="28">
        <v>0.10866910866910867</v>
      </c>
      <c r="AI54" s="82" t="s">
        <v>37</v>
      </c>
      <c r="AJ54" s="82" t="s">
        <v>228</v>
      </c>
      <c r="AK54" s="82" t="str">
        <f t="shared" si="18"/>
        <v>MAMIDIKUDURU_PARTMadigaFemale</v>
      </c>
      <c r="AL54" s="82">
        <f t="shared" si="19"/>
        <v>0.37562400914419181</v>
      </c>
    </row>
    <row r="55" spans="1:38" x14ac:dyDescent="0.3">
      <c r="A55" s="27" t="s">
        <v>63</v>
      </c>
      <c r="B55" s="27">
        <v>313</v>
      </c>
      <c r="C55" s="28">
        <v>0.38217338217338215</v>
      </c>
      <c r="AI55" s="82" t="s">
        <v>37</v>
      </c>
      <c r="AJ55" s="82" t="s">
        <v>159</v>
      </c>
      <c r="AK55" s="82" t="str">
        <f t="shared" si="18"/>
        <v>MAMIDIKUDURU_PARTPadmasali/DevangaFemale</v>
      </c>
      <c r="AL55" s="82">
        <f t="shared" si="19"/>
        <v>0</v>
      </c>
    </row>
    <row r="56" spans="1:38" x14ac:dyDescent="0.3">
      <c r="A56" s="27" t="s">
        <v>52</v>
      </c>
      <c r="B56" s="27">
        <v>254</v>
      </c>
      <c r="C56" s="28">
        <v>0.31013431013431014</v>
      </c>
      <c r="AI56" s="82" t="s">
        <v>37</v>
      </c>
      <c r="AJ56" s="82" t="s">
        <v>229</v>
      </c>
      <c r="AK56" s="82" t="str">
        <f t="shared" si="18"/>
        <v>MAMIDIKUDURU_PARTYadavaFemale</v>
      </c>
      <c r="AL56" s="82">
        <f t="shared" si="19"/>
        <v>0</v>
      </c>
    </row>
    <row r="57" spans="1:38" x14ac:dyDescent="0.3">
      <c r="A57" s="27" t="s">
        <v>107</v>
      </c>
      <c r="B57" s="27">
        <v>163</v>
      </c>
      <c r="C57" s="28">
        <v>0.19902319902319901</v>
      </c>
      <c r="AI57" s="82" t="s">
        <v>37</v>
      </c>
      <c r="AJ57" s="82" t="s">
        <v>145</v>
      </c>
      <c r="AK57" s="82" t="str">
        <f t="shared" si="18"/>
        <v>MAMIDIKUDURU_PARTKshatriya/RajuluFemale</v>
      </c>
      <c r="AL57" s="82">
        <f t="shared" si="19"/>
        <v>0</v>
      </c>
    </row>
    <row r="58" spans="1:38" x14ac:dyDescent="0.3">
      <c r="A58" s="27" t="s">
        <v>182</v>
      </c>
      <c r="B58" s="27">
        <v>819</v>
      </c>
      <c r="C58" s="28">
        <v>1</v>
      </c>
      <c r="AI58" s="82" t="s">
        <v>37</v>
      </c>
      <c r="AJ58" s="82" t="s">
        <v>168</v>
      </c>
      <c r="AK58" s="82" t="str">
        <f t="shared" si="18"/>
        <v>MAMIDIKUDURU_PARTRajakaFemale</v>
      </c>
      <c r="AL58" s="82">
        <f t="shared" si="19"/>
        <v>0.55944540451290081</v>
      </c>
    </row>
    <row r="59" spans="1:38" x14ac:dyDescent="0.3">
      <c r="A59"/>
      <c r="B59"/>
      <c r="C59"/>
      <c r="AI59" s="82" t="s">
        <v>37</v>
      </c>
      <c r="AJ59" s="82" t="s">
        <v>230</v>
      </c>
      <c r="AK59" s="82" t="str">
        <f t="shared" si="18"/>
        <v>MAMIDIKUDURU_PARTAdi AndhraFemale</v>
      </c>
      <c r="AL59" s="82">
        <f t="shared" si="19"/>
        <v>0.36371552453725964</v>
      </c>
    </row>
    <row r="60" spans="1:38" x14ac:dyDescent="0.3">
      <c r="AI60" s="82" t="s">
        <v>37</v>
      </c>
      <c r="AJ60" s="82" t="s">
        <v>231</v>
      </c>
      <c r="AK60" s="82" t="str">
        <f t="shared" si="18"/>
        <v>MAMIDIKUDURU_PARTBrahminFemale</v>
      </c>
      <c r="AL60" s="82">
        <f t="shared" si="19"/>
        <v>0</v>
      </c>
    </row>
    <row r="61" spans="1:38" x14ac:dyDescent="0.3">
      <c r="AI61" s="82" t="s">
        <v>71</v>
      </c>
      <c r="AJ61" s="82" t="s">
        <v>70</v>
      </c>
      <c r="AK61" s="82" t="str">
        <f t="shared" si="18"/>
        <v>RAZOLEMalaFemale</v>
      </c>
      <c r="AL61" s="82">
        <f t="shared" si="19"/>
        <v>1.2302776805571209</v>
      </c>
    </row>
    <row r="62" spans="1:38" x14ac:dyDescent="0.3">
      <c r="AI62" s="82" t="s">
        <v>71</v>
      </c>
      <c r="AJ62" s="82" t="s">
        <v>59</v>
      </c>
      <c r="AK62" s="82" t="str">
        <f t="shared" si="18"/>
        <v>RAZOLEKapuFemale</v>
      </c>
      <c r="AL62" s="82">
        <f t="shared" si="19"/>
        <v>1.8020838461961379</v>
      </c>
    </row>
    <row r="63" spans="1:38" x14ac:dyDescent="0.3">
      <c r="AI63" s="82" t="s">
        <v>71</v>
      </c>
      <c r="AJ63" s="82" t="s">
        <v>36</v>
      </c>
      <c r="AK63" s="82" t="str">
        <f t="shared" si="18"/>
        <v>RAZOLESettibalijaFemale</v>
      </c>
      <c r="AL63" s="82">
        <f t="shared" si="19"/>
        <v>0.95944580773600496</v>
      </c>
    </row>
    <row r="64" spans="1:38" x14ac:dyDescent="0.3">
      <c r="AI64" s="82" t="s">
        <v>71</v>
      </c>
      <c r="AJ64" s="82" t="s">
        <v>227</v>
      </c>
      <c r="AK64" s="82" t="str">
        <f t="shared" si="18"/>
        <v>RAZOLEAgnikulakshatriyaFemale</v>
      </c>
      <c r="AL64" s="82">
        <f t="shared" si="19"/>
        <v>1.6647158900419725</v>
      </c>
    </row>
    <row r="65" spans="35:38" x14ac:dyDescent="0.3">
      <c r="AI65" s="82" t="s">
        <v>71</v>
      </c>
      <c r="AJ65" s="82" t="s">
        <v>228</v>
      </c>
      <c r="AK65" s="82" t="str">
        <f t="shared" si="18"/>
        <v>RAZOLEMadigaFemale</v>
      </c>
      <c r="AL65" s="82">
        <f t="shared" si="19"/>
        <v>1.1601898314028378</v>
      </c>
    </row>
    <row r="66" spans="35:38" x14ac:dyDescent="0.3">
      <c r="AI66" s="82" t="s">
        <v>71</v>
      </c>
      <c r="AJ66" s="82" t="s">
        <v>159</v>
      </c>
      <c r="AK66" s="82" t="str">
        <f t="shared" si="18"/>
        <v>RAZOLEPadmasali/DevangaFemale</v>
      </c>
      <c r="AL66" s="82">
        <f t="shared" si="19"/>
        <v>1.027312553073255</v>
      </c>
    </row>
    <row r="67" spans="35:38" x14ac:dyDescent="0.3">
      <c r="AI67" s="82" t="s">
        <v>71</v>
      </c>
      <c r="AJ67" s="82" t="s">
        <v>229</v>
      </c>
      <c r="AK67" s="82" t="str">
        <f t="shared" si="18"/>
        <v>RAZOLEYadavaFemale</v>
      </c>
      <c r="AL67" s="82">
        <f t="shared" si="19"/>
        <v>1.5403981909912889</v>
      </c>
    </row>
    <row r="68" spans="35:38" x14ac:dyDescent="0.3">
      <c r="AI68" s="82" t="s">
        <v>71</v>
      </c>
      <c r="AJ68" s="82" t="s">
        <v>145</v>
      </c>
      <c r="AK68" s="82" t="str">
        <f t="shared" si="18"/>
        <v>RAZOLEKshatriya/RajuluFemale</v>
      </c>
      <c r="AL68" s="82">
        <f t="shared" si="19"/>
        <v>1.4680086062325961</v>
      </c>
    </row>
    <row r="69" spans="35:38" x14ac:dyDescent="0.3">
      <c r="AI69" s="82" t="s">
        <v>71</v>
      </c>
      <c r="AJ69" s="82" t="s">
        <v>168</v>
      </c>
      <c r="AK69" s="82" t="str">
        <f t="shared" si="18"/>
        <v>RAZOLERajakaFemale</v>
      </c>
      <c r="AL69" s="82">
        <f t="shared" si="19"/>
        <v>1.4399657941188679</v>
      </c>
    </row>
    <row r="70" spans="35:38" x14ac:dyDescent="0.3">
      <c r="AI70" s="82" t="s">
        <v>71</v>
      </c>
      <c r="AJ70" s="82" t="s">
        <v>230</v>
      </c>
      <c r="AK70" s="82" t="str">
        <f t="shared" si="18"/>
        <v>RAZOLEAdi AndhraFemale</v>
      </c>
      <c r="AL70" s="82">
        <f t="shared" si="19"/>
        <v>0.62411560913575936</v>
      </c>
    </row>
    <row r="71" spans="35:38" x14ac:dyDescent="0.3">
      <c r="AI71" s="82" t="s">
        <v>71</v>
      </c>
      <c r="AJ71" s="82" t="s">
        <v>231</v>
      </c>
      <c r="AK71" s="82" t="str">
        <f t="shared" si="18"/>
        <v>RAZOLEBrahminFemale</v>
      </c>
      <c r="AL71" s="82">
        <f t="shared" si="19"/>
        <v>0</v>
      </c>
    </row>
    <row r="72" spans="35:38" x14ac:dyDescent="0.3">
      <c r="AI72" s="82" t="s">
        <v>219</v>
      </c>
      <c r="AJ72" s="82" t="s">
        <v>70</v>
      </c>
      <c r="AK72" s="82" t="str">
        <f t="shared" si="18"/>
        <v>SAKHINETIPALLEMalaFemale</v>
      </c>
      <c r="AL72" s="82">
        <f t="shared" si="19"/>
        <v>3.2048072590163397</v>
      </c>
    </row>
    <row r="73" spans="35:38" x14ac:dyDescent="0.3">
      <c r="AI73" s="82" t="s">
        <v>219</v>
      </c>
      <c r="AJ73" s="82" t="s">
        <v>59</v>
      </c>
      <c r="AK73" s="82" t="str">
        <f t="shared" si="18"/>
        <v>SAKHINETIPALLEKapuFemale</v>
      </c>
      <c r="AL73" s="82">
        <f t="shared" si="19"/>
        <v>2.2934724643212636</v>
      </c>
    </row>
    <row r="74" spans="35:38" x14ac:dyDescent="0.3">
      <c r="AI74" s="82" t="s">
        <v>219</v>
      </c>
      <c r="AJ74" s="82" t="s">
        <v>36</v>
      </c>
      <c r="AK74" s="82" t="str">
        <f t="shared" si="18"/>
        <v>SAKHINETIPALLESettibalijaFemale</v>
      </c>
      <c r="AL74" s="82">
        <f t="shared" si="19"/>
        <v>25.80164641806067</v>
      </c>
    </row>
    <row r="75" spans="35:38" x14ac:dyDescent="0.3">
      <c r="AI75" s="82" t="s">
        <v>219</v>
      </c>
      <c r="AJ75" s="82" t="s">
        <v>227</v>
      </c>
      <c r="AK75" s="82" t="str">
        <f t="shared" si="18"/>
        <v>SAKHINETIPALLEAgnikulakshatriyaFemale</v>
      </c>
      <c r="AL75" s="82">
        <f t="shared" si="19"/>
        <v>2.2107623881946901</v>
      </c>
    </row>
    <row r="76" spans="35:38" x14ac:dyDescent="0.3">
      <c r="AI76" s="82" t="s">
        <v>219</v>
      </c>
      <c r="AJ76" s="82" t="s">
        <v>228</v>
      </c>
      <c r="AK76" s="82" t="str">
        <f t="shared" si="18"/>
        <v>SAKHINETIPALLEMadigaFemale</v>
      </c>
      <c r="AL76" s="82">
        <f t="shared" si="19"/>
        <v>1.9259322700153538</v>
      </c>
    </row>
    <row r="77" spans="35:38" x14ac:dyDescent="0.3">
      <c r="AI77" s="82" t="s">
        <v>219</v>
      </c>
      <c r="AJ77" s="82" t="s">
        <v>159</v>
      </c>
      <c r="AK77" s="82" t="str">
        <f t="shared" si="18"/>
        <v>SAKHINETIPALLEPadmasali/DevangaFemale</v>
      </c>
      <c r="AL77" s="82">
        <f t="shared" si="19"/>
        <v>0</v>
      </c>
    </row>
    <row r="78" spans="35:38" x14ac:dyDescent="0.3">
      <c r="AI78" s="82" t="s">
        <v>219</v>
      </c>
      <c r="AJ78" s="82" t="s">
        <v>229</v>
      </c>
      <c r="AK78" s="82" t="str">
        <f t="shared" si="18"/>
        <v>SAKHINETIPALLEYadavaFemale</v>
      </c>
      <c r="AL78" s="82">
        <f t="shared" si="19"/>
        <v>0.51141675343184545</v>
      </c>
    </row>
    <row r="79" spans="35:38" x14ac:dyDescent="0.3">
      <c r="AI79" s="82" t="s">
        <v>219</v>
      </c>
      <c r="AJ79" s="82" t="s">
        <v>145</v>
      </c>
      <c r="AK79" s="82" t="str">
        <f t="shared" si="18"/>
        <v>SAKHINETIPALLEKshatriya/RajuluFemale</v>
      </c>
      <c r="AL79" s="82">
        <f t="shared" si="19"/>
        <v>2.9242991836792998</v>
      </c>
    </row>
    <row r="80" spans="35:38" x14ac:dyDescent="0.3">
      <c r="AI80" s="82" t="s">
        <v>219</v>
      </c>
      <c r="AJ80" s="82" t="s">
        <v>168</v>
      </c>
      <c r="AK80" s="82" t="str">
        <f t="shared" si="18"/>
        <v>SAKHINETIPALLERajakaFemale</v>
      </c>
      <c r="AL80" s="82">
        <f t="shared" si="19"/>
        <v>1.4342187022576396</v>
      </c>
    </row>
    <row r="81" spans="35:38" x14ac:dyDescent="0.3">
      <c r="AI81" s="82" t="s">
        <v>219</v>
      </c>
      <c r="AJ81" s="82" t="s">
        <v>230</v>
      </c>
      <c r="AK81" s="82" t="str">
        <f t="shared" si="18"/>
        <v>SAKHINETIPALLEAdi AndhraFemale</v>
      </c>
      <c r="AL81" s="82">
        <f t="shared" si="19"/>
        <v>0</v>
      </c>
    </row>
    <row r="82" spans="35:38" x14ac:dyDescent="0.3">
      <c r="AI82" s="82" t="s">
        <v>219</v>
      </c>
      <c r="AJ82" s="82" t="s">
        <v>231</v>
      </c>
      <c r="AK82" s="82" t="str">
        <f t="shared" si="18"/>
        <v>SAKHINETIPALLEBrahminFemale</v>
      </c>
      <c r="AL82" s="82">
        <f t="shared" si="19"/>
        <v>0</v>
      </c>
    </row>
    <row r="83" spans="35:38" x14ac:dyDescent="0.3">
      <c r="AI83" s="82" t="s">
        <v>203</v>
      </c>
      <c r="AJ83" s="82" t="s">
        <v>70</v>
      </c>
      <c r="AK83" s="82" t="str">
        <f t="shared" si="18"/>
        <v>MALIKIPURAMMalaFemale</v>
      </c>
      <c r="AL83" s="82">
        <f t="shared" si="19"/>
        <v>4.0768956513699193</v>
      </c>
    </row>
    <row r="84" spans="35:38" x14ac:dyDescent="0.3">
      <c r="AI84" s="82" t="s">
        <v>203</v>
      </c>
      <c r="AJ84" s="82" t="s">
        <v>59</v>
      </c>
      <c r="AK84" s="82" t="str">
        <f t="shared" si="18"/>
        <v>MALIKIPURAMKapuFemale</v>
      </c>
      <c r="AL84" s="82">
        <f t="shared" si="19"/>
        <v>6.3481182554923778</v>
      </c>
    </row>
    <row r="85" spans="35:38" x14ac:dyDescent="0.3">
      <c r="AI85" s="82" t="s">
        <v>203</v>
      </c>
      <c r="AJ85" s="82" t="s">
        <v>36</v>
      </c>
      <c r="AK85" s="82" t="str">
        <f t="shared" si="18"/>
        <v>MALIKIPURAMSettibalijaFemale</v>
      </c>
      <c r="AL85" s="82">
        <f t="shared" si="19"/>
        <v>6.9432761915375547</v>
      </c>
    </row>
    <row r="86" spans="35:38" x14ac:dyDescent="0.3">
      <c r="AI86" s="82" t="s">
        <v>203</v>
      </c>
      <c r="AJ86" s="82" t="s">
        <v>227</v>
      </c>
      <c r="AK86" s="82" t="str">
        <f t="shared" si="18"/>
        <v>MALIKIPURAMAgnikulakshatriyaFemale</v>
      </c>
      <c r="AL86" s="82">
        <f t="shared" si="19"/>
        <v>3.5695242713707369</v>
      </c>
    </row>
    <row r="87" spans="35:38" x14ac:dyDescent="0.3">
      <c r="AI87" s="82" t="s">
        <v>203</v>
      </c>
      <c r="AJ87" s="82" t="s">
        <v>228</v>
      </c>
      <c r="AK87" s="82" t="str">
        <f t="shared" si="18"/>
        <v>MALIKIPURAMMadigaFemale</v>
      </c>
      <c r="AL87" s="82">
        <f t="shared" si="19"/>
        <v>2.0730893618557826</v>
      </c>
    </row>
    <row r="88" spans="35:38" x14ac:dyDescent="0.3">
      <c r="AI88" s="82" t="s">
        <v>203</v>
      </c>
      <c r="AJ88" s="82" t="s">
        <v>159</v>
      </c>
      <c r="AK88" s="82" t="str">
        <f t="shared" si="18"/>
        <v>MALIKIPURAMPadmasali/DevangaFemale</v>
      </c>
      <c r="AL88" s="82">
        <f t="shared" si="19"/>
        <v>0</v>
      </c>
    </row>
    <row r="89" spans="35:38" x14ac:dyDescent="0.3">
      <c r="AI89" s="82" t="s">
        <v>203</v>
      </c>
      <c r="AJ89" s="82" t="s">
        <v>229</v>
      </c>
      <c r="AK89" s="82" t="str">
        <f t="shared" si="18"/>
        <v>MALIKIPURAMYadavaFemale</v>
      </c>
      <c r="AL89" s="82">
        <f t="shared" si="19"/>
        <v>0</v>
      </c>
    </row>
    <row r="90" spans="35:38" x14ac:dyDescent="0.3">
      <c r="AI90" s="82" t="s">
        <v>203</v>
      </c>
      <c r="AJ90" s="82" t="s">
        <v>145</v>
      </c>
      <c r="AK90" s="82" t="str">
        <f t="shared" si="18"/>
        <v>MALIKIPURAMKshatriya/RajuluFemale</v>
      </c>
      <c r="AL90" s="82">
        <f t="shared" si="19"/>
        <v>3.1477397325715799</v>
      </c>
    </row>
    <row r="91" spans="35:38" x14ac:dyDescent="0.3">
      <c r="AI91" s="82" t="s">
        <v>203</v>
      </c>
      <c r="AJ91" s="82" t="s">
        <v>168</v>
      </c>
      <c r="AK91" s="82" t="str">
        <f t="shared" si="18"/>
        <v>MALIKIPURAMRajakaFemale</v>
      </c>
      <c r="AL91" s="82">
        <f t="shared" si="19"/>
        <v>0</v>
      </c>
    </row>
    <row r="92" spans="35:38" x14ac:dyDescent="0.3">
      <c r="AI92" s="82" t="s">
        <v>203</v>
      </c>
      <c r="AJ92" s="82" t="s">
        <v>230</v>
      </c>
      <c r="AK92" s="82" t="str">
        <f t="shared" si="18"/>
        <v>MALIKIPURAMAdi AndhraFemale</v>
      </c>
      <c r="AL92" s="82">
        <f t="shared" si="19"/>
        <v>2.0073657868087529</v>
      </c>
    </row>
    <row r="93" spans="35:38" x14ac:dyDescent="0.3">
      <c r="AI93" s="82" t="s">
        <v>203</v>
      </c>
      <c r="AJ93" s="82" t="s">
        <v>231</v>
      </c>
      <c r="AK93" s="82" t="str">
        <f t="shared" si="18"/>
        <v>MALIKIPURAMBrahminFemale</v>
      </c>
      <c r="AL93" s="82">
        <f t="shared" si="19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B2CD3-A531-41EC-9510-B26ACCB3D289}">
  <dimension ref="A1:G20"/>
  <sheetViews>
    <sheetView zoomScaleNormal="100" workbookViewId="0">
      <selection activeCell="G17" sqref="G17"/>
    </sheetView>
  </sheetViews>
  <sheetFormatPr defaultRowHeight="15.6" x14ac:dyDescent="0.3"/>
  <cols>
    <col min="1" max="1" width="11.296875" bestFit="1" customWidth="1"/>
    <col min="2" max="2" width="10.69921875" bestFit="1" customWidth="1"/>
    <col min="3" max="3" width="17.59765625" bestFit="1" customWidth="1"/>
    <col min="4" max="4" width="11.5" customWidth="1"/>
    <col min="5" max="5" width="46" bestFit="1" customWidth="1"/>
    <col min="6" max="6" width="18.69921875" bestFit="1" customWidth="1"/>
    <col min="7" max="7" width="17.59765625" bestFit="1" customWidth="1"/>
  </cols>
  <sheetData>
    <row r="1" spans="1:7" x14ac:dyDescent="0.3">
      <c r="C1" s="2"/>
      <c r="E1" s="25" t="s">
        <v>195</v>
      </c>
      <c r="F1" s="27" t="s">
        <v>196</v>
      </c>
    </row>
    <row r="2" spans="1:7" x14ac:dyDescent="0.3">
      <c r="A2" s="25" t="s">
        <v>195</v>
      </c>
      <c r="B2" s="27" t="s">
        <v>196</v>
      </c>
      <c r="C2" s="2"/>
      <c r="E2" s="25" t="s">
        <v>22</v>
      </c>
      <c r="F2" s="27" t="s">
        <v>92</v>
      </c>
    </row>
    <row r="3" spans="1:7" x14ac:dyDescent="0.3">
      <c r="A3" s="27"/>
      <c r="B3" s="27"/>
      <c r="E3" s="27"/>
      <c r="F3" s="27"/>
    </row>
    <row r="4" spans="1:7" ht="24.6" x14ac:dyDescent="0.3">
      <c r="A4" s="25" t="s">
        <v>235</v>
      </c>
      <c r="B4" s="27" t="s">
        <v>197</v>
      </c>
      <c r="C4" s="27" t="s">
        <v>499</v>
      </c>
      <c r="E4" s="26" t="s">
        <v>23</v>
      </c>
      <c r="F4" s="27" t="s">
        <v>197</v>
      </c>
      <c r="G4" s="27" t="s">
        <v>499</v>
      </c>
    </row>
    <row r="5" spans="1:7" x14ac:dyDescent="0.3">
      <c r="A5" s="27" t="s">
        <v>47</v>
      </c>
      <c r="B5" s="111">
        <v>0.63369963369963367</v>
      </c>
      <c r="C5" s="119">
        <v>519</v>
      </c>
      <c r="E5" s="27" t="s">
        <v>93</v>
      </c>
      <c r="F5" s="28">
        <v>0.62436548223350252</v>
      </c>
      <c r="G5" s="29">
        <v>123</v>
      </c>
    </row>
    <row r="6" spans="1:7" x14ac:dyDescent="0.3">
      <c r="A6" s="27" t="s">
        <v>92</v>
      </c>
      <c r="B6" s="111">
        <v>0.2576312576312576</v>
      </c>
      <c r="C6" s="119">
        <v>211</v>
      </c>
      <c r="E6" s="27" t="s">
        <v>147</v>
      </c>
      <c r="F6" s="28">
        <v>0.19796954314720813</v>
      </c>
      <c r="G6" s="29">
        <v>39</v>
      </c>
    </row>
    <row r="7" spans="1:7" x14ac:dyDescent="0.3">
      <c r="A7" s="27" t="s">
        <v>242</v>
      </c>
      <c r="B7" s="111">
        <v>0.10866910866910867</v>
      </c>
      <c r="C7" s="119">
        <v>89</v>
      </c>
      <c r="E7" s="27" t="s">
        <v>351</v>
      </c>
      <c r="F7" s="28">
        <v>0.17766497461928935</v>
      </c>
      <c r="G7" s="29">
        <v>35</v>
      </c>
    </row>
    <row r="8" spans="1:7" x14ac:dyDescent="0.3">
      <c r="A8" s="27" t="s">
        <v>182</v>
      </c>
      <c r="B8" s="111">
        <v>1</v>
      </c>
      <c r="C8" s="119">
        <v>819</v>
      </c>
      <c r="E8" s="27" t="s">
        <v>182</v>
      </c>
      <c r="F8" s="28">
        <v>1</v>
      </c>
      <c r="G8" s="29">
        <v>197</v>
      </c>
    </row>
    <row r="11" spans="1:7" x14ac:dyDescent="0.3">
      <c r="E11" s="25" t="s">
        <v>195</v>
      </c>
      <c r="F11" s="27" t="s">
        <v>196</v>
      </c>
    </row>
    <row r="12" spans="1:7" x14ac:dyDescent="0.3">
      <c r="A12" s="68" t="s">
        <v>1263</v>
      </c>
      <c r="E12" s="25" t="s">
        <v>22</v>
      </c>
      <c r="F12" s="27" t="s">
        <v>92</v>
      </c>
    </row>
    <row r="13" spans="1:7" x14ac:dyDescent="0.3">
      <c r="E13" s="27"/>
      <c r="F13" s="27"/>
    </row>
    <row r="14" spans="1:7" ht="36.6" x14ac:dyDescent="0.3">
      <c r="A14" s="25" t="s">
        <v>195</v>
      </c>
      <c r="B14" s="27" t="s">
        <v>497</v>
      </c>
      <c r="E14" s="26" t="s">
        <v>24</v>
      </c>
      <c r="F14" s="27" t="s">
        <v>197</v>
      </c>
      <c r="G14" s="27" t="s">
        <v>499</v>
      </c>
    </row>
    <row r="15" spans="1:7" x14ac:dyDescent="0.3">
      <c r="A15" s="27" t="s">
        <v>498</v>
      </c>
      <c r="B15" s="29">
        <v>91</v>
      </c>
      <c r="E15" s="27" t="s">
        <v>94</v>
      </c>
      <c r="F15" s="28">
        <v>0.65482233502538068</v>
      </c>
      <c r="G15" s="29">
        <v>129</v>
      </c>
    </row>
    <row r="16" spans="1:7" x14ac:dyDescent="0.3">
      <c r="A16" s="27" t="s">
        <v>196</v>
      </c>
      <c r="B16" s="29">
        <v>819</v>
      </c>
      <c r="E16" s="27" t="s">
        <v>148</v>
      </c>
      <c r="F16" s="28">
        <v>0.14720812182741116</v>
      </c>
      <c r="G16" s="29">
        <v>29</v>
      </c>
    </row>
    <row r="17" spans="1:7" x14ac:dyDescent="0.3">
      <c r="A17" s="27" t="s">
        <v>182</v>
      </c>
      <c r="B17" s="29">
        <v>910</v>
      </c>
      <c r="E17" s="27" t="s">
        <v>381</v>
      </c>
      <c r="F17" s="28">
        <v>0.10152284263959391</v>
      </c>
      <c r="G17" s="29">
        <v>20</v>
      </c>
    </row>
    <row r="18" spans="1:7" x14ac:dyDescent="0.3">
      <c r="E18" s="27" t="s">
        <v>470</v>
      </c>
      <c r="F18" s="28">
        <v>5.0761421319796954E-2</v>
      </c>
      <c r="G18" s="29">
        <v>10</v>
      </c>
    </row>
    <row r="19" spans="1:7" x14ac:dyDescent="0.3">
      <c r="E19" s="27" t="s">
        <v>2590</v>
      </c>
      <c r="F19" s="28">
        <v>4.5685279187817257E-2</v>
      </c>
      <c r="G19" s="29">
        <v>9</v>
      </c>
    </row>
    <row r="20" spans="1:7" x14ac:dyDescent="0.3">
      <c r="E20" s="27" t="s">
        <v>182</v>
      </c>
      <c r="F20" s="28">
        <v>1</v>
      </c>
      <c r="G20" s="29">
        <v>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D5D4C-EAE9-412F-93E4-BC20F46FCBFB}">
  <dimension ref="A1:AZ911"/>
  <sheetViews>
    <sheetView topLeftCell="T1" zoomScale="80" zoomScaleNormal="80" workbookViewId="0">
      <selection activeCell="AD14" sqref="AD14"/>
    </sheetView>
  </sheetViews>
  <sheetFormatPr defaultColWidth="15.69921875" defaultRowHeight="15.6" x14ac:dyDescent="0.3"/>
  <cols>
    <col min="2" max="2" width="8.09765625" bestFit="1" customWidth="1"/>
    <col min="7" max="7" width="8.8984375" bestFit="1" customWidth="1"/>
    <col min="11" max="11" width="11.5" customWidth="1"/>
    <col min="16" max="16" width="11" customWidth="1"/>
    <col min="17" max="17" width="12.59765625" customWidth="1"/>
    <col min="22" max="22" width="8.796875" customWidth="1"/>
    <col min="23" max="23" width="21.59765625" customWidth="1"/>
    <col min="24" max="24" width="11.3984375" customWidth="1"/>
    <col min="25" max="25" width="14.19921875" customWidth="1"/>
    <col min="26" max="26" width="11.3984375" customWidth="1"/>
    <col min="27" max="32" width="15.69921875" customWidth="1"/>
    <col min="42" max="42" width="15.69921875" customWidth="1"/>
    <col min="44" max="44" width="15.69921875" customWidth="1"/>
    <col min="45" max="45" width="12.296875" customWidth="1"/>
    <col min="47" max="47" width="12.8984375" customWidth="1"/>
    <col min="48" max="48" width="13.69921875" bestFit="1" customWidth="1"/>
    <col min="49" max="49" width="11" style="27" bestFit="1" customWidth="1"/>
    <col min="50" max="50" width="12.3984375" bestFit="1" customWidth="1"/>
    <col min="51" max="51" width="12.69921875" bestFit="1" customWidth="1"/>
    <col min="52" max="52" width="11.8984375" bestFit="1" customWidth="1"/>
    <col min="53" max="53" width="14.69921875" customWidth="1"/>
    <col min="54" max="55" width="11.8984375" bestFit="1" customWidth="1"/>
    <col min="56" max="56" width="7.19921875" bestFit="1" customWidth="1"/>
    <col min="57" max="57" width="9.5" bestFit="1" customWidth="1"/>
    <col min="58" max="58" width="6.5" bestFit="1" customWidth="1"/>
    <col min="59" max="59" width="6.3984375" bestFit="1" customWidth="1"/>
    <col min="60" max="61" width="5.09765625" bestFit="1" customWidth="1"/>
    <col min="62" max="62" width="10.19921875" bestFit="1" customWidth="1"/>
  </cols>
  <sheetData>
    <row r="1" spans="1:52" x14ac:dyDescent="0.3">
      <c r="A1" s="100" t="s">
        <v>0</v>
      </c>
      <c r="B1" s="100" t="s">
        <v>183</v>
      </c>
      <c r="C1" s="100" t="s">
        <v>1</v>
      </c>
      <c r="D1" s="100" t="s">
        <v>2</v>
      </c>
      <c r="E1" s="100" t="s">
        <v>3</v>
      </c>
      <c r="F1" s="100" t="s">
        <v>4</v>
      </c>
      <c r="G1" s="100" t="s">
        <v>9</v>
      </c>
      <c r="H1" s="100" t="s">
        <v>12</v>
      </c>
      <c r="I1" s="100" t="s">
        <v>6</v>
      </c>
      <c r="J1" s="100" t="s">
        <v>7</v>
      </c>
      <c r="K1" s="100" t="s">
        <v>8</v>
      </c>
      <c r="L1" s="100" t="s">
        <v>25</v>
      </c>
      <c r="M1" s="100" t="s">
        <v>26</v>
      </c>
      <c r="N1" s="100" t="s">
        <v>27</v>
      </c>
      <c r="O1" s="100" t="s">
        <v>28</v>
      </c>
      <c r="P1" s="100" t="s">
        <v>29</v>
      </c>
      <c r="Q1" s="100" t="s">
        <v>30</v>
      </c>
      <c r="R1" s="100" t="s">
        <v>13</v>
      </c>
      <c r="S1" s="100" t="s">
        <v>14</v>
      </c>
      <c r="T1" s="100" t="s">
        <v>15</v>
      </c>
      <c r="U1" s="100" t="s">
        <v>16</v>
      </c>
      <c r="V1" s="100" t="s">
        <v>17</v>
      </c>
      <c r="W1" s="100" t="s">
        <v>18</v>
      </c>
      <c r="X1" s="100" t="s">
        <v>19</v>
      </c>
      <c r="Y1" s="100" t="s">
        <v>20</v>
      </c>
      <c r="Z1" s="100" t="s">
        <v>21</v>
      </c>
      <c r="AA1" s="100" t="s">
        <v>22</v>
      </c>
      <c r="AB1" s="100" t="s">
        <v>23</v>
      </c>
      <c r="AC1" s="100" t="s">
        <v>24</v>
      </c>
      <c r="AD1" s="100" t="s">
        <v>194</v>
      </c>
      <c r="AE1" s="100" t="s">
        <v>10</v>
      </c>
      <c r="AF1" s="100" t="s">
        <v>11</v>
      </c>
      <c r="AG1" s="100" t="s">
        <v>195</v>
      </c>
      <c r="AH1" s="92" t="s">
        <v>508</v>
      </c>
      <c r="AI1" s="92" t="s">
        <v>509</v>
      </c>
      <c r="AJ1" s="92" t="s">
        <v>510</v>
      </c>
      <c r="AK1" s="92" t="s">
        <v>511</v>
      </c>
      <c r="AL1" s="92" t="s">
        <v>512</v>
      </c>
      <c r="AM1" s="92" t="s">
        <v>513</v>
      </c>
      <c r="AN1" s="92" t="s">
        <v>514</v>
      </c>
      <c r="AO1" s="92" t="s">
        <v>515</v>
      </c>
      <c r="AP1" s="92" t="s">
        <v>516</v>
      </c>
      <c r="AQ1" s="92" t="s">
        <v>517</v>
      </c>
      <c r="AR1" s="92" t="s">
        <v>518</v>
      </c>
      <c r="AS1" s="92" t="s">
        <v>519</v>
      </c>
      <c r="AT1" s="92" t="s">
        <v>520</v>
      </c>
      <c r="AU1" s="92" t="s">
        <v>521</v>
      </c>
      <c r="AV1" s="92" t="s">
        <v>522</v>
      </c>
      <c r="AW1" s="92" t="s">
        <v>523</v>
      </c>
      <c r="AX1" s="92" t="s">
        <v>524</v>
      </c>
      <c r="AY1" s="92" t="s">
        <v>525</v>
      </c>
      <c r="AZ1" s="92" t="s">
        <v>526</v>
      </c>
    </row>
    <row r="2" spans="1:52" x14ac:dyDescent="0.3">
      <c r="A2" t="s">
        <v>84</v>
      </c>
      <c r="B2" s="94">
        <v>46041</v>
      </c>
      <c r="C2" t="s">
        <v>85</v>
      </c>
      <c r="D2" t="s">
        <v>86</v>
      </c>
      <c r="E2" t="s">
        <v>34</v>
      </c>
      <c r="F2" t="s">
        <v>35</v>
      </c>
      <c r="G2" t="s">
        <v>39</v>
      </c>
      <c r="H2" t="s">
        <v>87</v>
      </c>
      <c r="I2" t="s">
        <v>70</v>
      </c>
      <c r="J2" s="112" t="s">
        <v>203</v>
      </c>
      <c r="K2" s="112" t="s">
        <v>204</v>
      </c>
      <c r="L2" t="s">
        <v>62</v>
      </c>
      <c r="M2" t="s">
        <v>51</v>
      </c>
      <c r="N2" t="s">
        <v>52</v>
      </c>
      <c r="O2" t="s">
        <v>95</v>
      </c>
      <c r="P2">
        <v>9550492165</v>
      </c>
      <c r="Q2" t="s">
        <v>54</v>
      </c>
      <c r="R2" t="s">
        <v>42</v>
      </c>
      <c r="S2" t="s">
        <v>88</v>
      </c>
      <c r="T2" t="s">
        <v>89</v>
      </c>
      <c r="U2" t="s">
        <v>90</v>
      </c>
      <c r="V2" t="s">
        <v>91</v>
      </c>
      <c r="W2" t="s">
        <v>5040</v>
      </c>
      <c r="X2" t="s">
        <v>91</v>
      </c>
      <c r="Y2" t="s">
        <v>46</v>
      </c>
      <c r="Z2" t="s">
        <v>92</v>
      </c>
      <c r="AA2" t="s">
        <v>92</v>
      </c>
      <c r="AB2" t="s">
        <v>93</v>
      </c>
      <c r="AC2" t="s">
        <v>94</v>
      </c>
      <c r="AD2" t="s">
        <v>184</v>
      </c>
      <c r="AE2" t="s">
        <v>185</v>
      </c>
      <c r="AF2" t="s">
        <v>188</v>
      </c>
      <c r="AG2" t="s">
        <v>196</v>
      </c>
      <c r="AH2">
        <f>VLOOKUP(Table1[[#This Row],[Caste]],Factor!$H$1:$K$13,4,0)</f>
        <v>1.3836274505214585</v>
      </c>
      <c r="AI2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2">
        <f>Table1[[#This Row],[Factor_1]]*Table1[[#This Row],[2024 Factor]]</f>
        <v>1.9482662206881376</v>
      </c>
      <c r="AK2">
        <f>VLOOKUP(Table1[[#This Row],[Q18: Gender]],Factor!$A$33:$E$35,5,0)</f>
        <v>0.85034013605442171</v>
      </c>
      <c r="AL2">
        <f>VLOOKUP(Table1[[#This Row],[Taluka]],Factor!$A$42:$G$46,7,0)</f>
        <v>1.9264642089343564</v>
      </c>
      <c r="AM2">
        <f>VLOOKUP(Table1[[#This Row],[Caste]]&amp;Table1[[#This Row],[Q18: Gender]],Factor!$W$1:$X$23,2,0)</f>
        <v>1.0790228998469584</v>
      </c>
      <c r="AN2">
        <f>VLOOKUP(Table1[[#This Row],[Taluka]]&amp;Table1[[#This Row],[Caste]]&amp;Table1[[#This Row],[Q18: Gender]],Factor!$AK$4:$AL$93,2,0)</f>
        <v>2.1355167697651956</v>
      </c>
      <c r="AO2">
        <f t="shared" ref="AO2:AO65" si="0">IF(T2="బాగుంది",-1,1)</f>
        <v>1</v>
      </c>
      <c r="AP2">
        <f t="shared" ref="AP2:AP65" si="1">IF(U2="అమలవడం లేదు",1,-1)</f>
        <v>1</v>
      </c>
      <c r="AQ2">
        <f t="shared" ref="AQ2:AQ65" si="2">IF(V2="జగన్ మోహన్ రెడ్డి గారు",1,-1)</f>
        <v>1</v>
      </c>
      <c r="AR2">
        <f t="shared" ref="AR2:AR65" si="3">IF(X2="జగన్ మోహన్ రెడ్డి గారు",1,-1)</f>
        <v>1</v>
      </c>
      <c r="AS2">
        <f t="shared" ref="AS2:AS65" si="4">IF(AA2="YSRCP (వైఎస్‌ఆర్‌సీపీ)",1,-1)</f>
        <v>1</v>
      </c>
      <c r="AT2">
        <f t="shared" ref="AT2:AT65" si="5">IF(Z2="YSRCP (వైఎస్‌ఆర్‌సీపీ)",1,-1)</f>
        <v>1</v>
      </c>
      <c r="AU2">
        <f t="shared" ref="AU2:AU65" si="6">AO2+AP2+AQ2+AR2+(0.5*AS2)+AT2</f>
        <v>5.5</v>
      </c>
      <c r="AV2">
        <f>SUM(Table1[[#This Row],[Satis]:[29]])</f>
        <v>6</v>
      </c>
      <c r="AW2">
        <f t="shared" ref="AW2:AW65" si="7">AO2+AQ2+AR2+AS2+AT2</f>
        <v>5</v>
      </c>
      <c r="AX2">
        <f t="shared" ref="AX2:AX65" si="8">AQ2+AR2+AS2+AT2</f>
        <v>4</v>
      </c>
      <c r="AY2">
        <f t="shared" ref="AY2:AY65" si="9">IF(AND(AO2=1,AS2=1,AT2=1),3,IF(AND(AO2=-1,AS2=-1,AT2=-1),-3,IF(AND(AO2=1,AS2=-1,AT2=1),2,IF(AND(AO2=-1,AS2=1,AT2=-1),-2,IF(AND(AS2=1,AT2=1),2,IF(AND(AS2=-1,AT2=-1),-2,"ND"))))))</f>
        <v>3</v>
      </c>
      <c r="AZ2" t="str">
        <f t="shared" ref="AZ2:AZ65" si="10">IFERROR(IF(AV2=6,"YSRCP HardCore",IF(AV2=-6,"TDP HardCore",IF(AW2&gt;=4,"YSRCP Sympathiser",IF(AW2&lt;=-4,"TDP Sympathiser",IF(AX2&gt;=3,"YSRCP Sympathiser",IF(AX2&lt;=-3,"TDP Sympathiser",IF(AY2="ND","ND",IF(AY2&gt;=2,"Neutral YSRCP",IF(AY2&lt;=-2,"Neutral TDP",0))))))))),"ND")</f>
        <v>YSRCP HardCore</v>
      </c>
    </row>
    <row r="3" spans="1:52" x14ac:dyDescent="0.3">
      <c r="A3" t="s">
        <v>31</v>
      </c>
      <c r="B3" s="94">
        <v>46041</v>
      </c>
      <c r="C3" t="s">
        <v>32</v>
      </c>
      <c r="D3" t="s">
        <v>33</v>
      </c>
      <c r="E3" t="s">
        <v>34</v>
      </c>
      <c r="F3" t="s">
        <v>35</v>
      </c>
      <c r="G3" t="s">
        <v>39</v>
      </c>
      <c r="H3" t="s">
        <v>41</v>
      </c>
      <c r="I3" t="s">
        <v>36</v>
      </c>
      <c r="J3" s="112" t="s">
        <v>203</v>
      </c>
      <c r="K3" s="112" t="s">
        <v>204</v>
      </c>
      <c r="L3" t="s">
        <v>50</v>
      </c>
      <c r="M3" t="s">
        <v>51</v>
      </c>
      <c r="N3" t="s">
        <v>52</v>
      </c>
      <c r="O3" t="s">
        <v>53</v>
      </c>
      <c r="P3">
        <v>8790918772</v>
      </c>
      <c r="Q3" t="s">
        <v>54</v>
      </c>
      <c r="R3" t="s">
        <v>42</v>
      </c>
      <c r="S3" t="s">
        <v>43</v>
      </c>
      <c r="T3" t="s">
        <v>43</v>
      </c>
      <c r="U3" t="s">
        <v>44</v>
      </c>
      <c r="V3" t="s">
        <v>45</v>
      </c>
      <c r="W3" t="s">
        <v>5041</v>
      </c>
      <c r="X3" t="s">
        <v>45</v>
      </c>
      <c r="Y3" t="s">
        <v>46</v>
      </c>
      <c r="Z3" t="s">
        <v>47</v>
      </c>
      <c r="AA3" t="s">
        <v>48</v>
      </c>
      <c r="AB3" t="s">
        <v>49</v>
      </c>
      <c r="AC3" t="s">
        <v>49</v>
      </c>
      <c r="AD3" t="s">
        <v>184</v>
      </c>
      <c r="AE3" t="s">
        <v>185</v>
      </c>
      <c r="AF3" t="s">
        <v>186</v>
      </c>
      <c r="AG3" t="s">
        <v>196</v>
      </c>
      <c r="AH3">
        <f>VLOOKUP(Table1[[#This Row],[Caste]],Factor!$H$1:$K$13,4,0)</f>
        <v>1.1705128247062893</v>
      </c>
      <c r="AI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">
        <f>Table1[[#This Row],[Factor_1]]*Table1[[#This Row],[2024 Factor]]</f>
        <v>0.86308903171383233</v>
      </c>
      <c r="AK3">
        <f>VLOOKUP(Table1[[#This Row],[Q18: Gender]],Factor!$A$33:$E$35,5,0)</f>
        <v>0.85034013605442171</v>
      </c>
      <c r="AL3">
        <f>VLOOKUP(Table1[[#This Row],[Taluka]],Factor!$A$42:$G$46,7,0)</f>
        <v>1.9264642089343564</v>
      </c>
      <c r="AM3">
        <f>VLOOKUP(Table1[[#This Row],[Caste]]&amp;Table1[[#This Row],[Q18: Gender]],Factor!$W$1:$X$23,2,0)</f>
        <v>0.79950206330384943</v>
      </c>
      <c r="AN3">
        <f>VLOOKUP(Table1[[#This Row],[Taluka]]&amp;Table1[[#This Row],[Caste]]&amp;Table1[[#This Row],[Q18: Gender]],Factor!$AK$4:$AL$93,2,0)</f>
        <v>1.1572126985895925</v>
      </c>
      <c r="AO3">
        <f t="shared" si="0"/>
        <v>-1</v>
      </c>
      <c r="AP3">
        <f t="shared" si="1"/>
        <v>-1</v>
      </c>
      <c r="AQ3">
        <f t="shared" si="2"/>
        <v>-1</v>
      </c>
      <c r="AR3">
        <f t="shared" si="3"/>
        <v>-1</v>
      </c>
      <c r="AS3">
        <f t="shared" si="4"/>
        <v>-1</v>
      </c>
      <c r="AT3">
        <f t="shared" si="5"/>
        <v>-1</v>
      </c>
      <c r="AU3">
        <f t="shared" si="6"/>
        <v>-5.5</v>
      </c>
      <c r="AV3">
        <f>SUM(Table1[[#This Row],[Satis]:[29]])</f>
        <v>-6</v>
      </c>
      <c r="AW3">
        <f t="shared" si="7"/>
        <v>-5</v>
      </c>
      <c r="AX3">
        <f t="shared" si="8"/>
        <v>-4</v>
      </c>
      <c r="AY3">
        <f t="shared" si="9"/>
        <v>-3</v>
      </c>
      <c r="AZ3" t="str">
        <f t="shared" si="10"/>
        <v>TDP HardCore</v>
      </c>
    </row>
    <row r="4" spans="1:52" x14ac:dyDescent="0.3">
      <c r="A4" t="s">
        <v>65</v>
      </c>
      <c r="B4" s="94">
        <v>46041</v>
      </c>
      <c r="C4" t="s">
        <v>66</v>
      </c>
      <c r="D4" t="s">
        <v>67</v>
      </c>
      <c r="E4" t="s">
        <v>68</v>
      </c>
      <c r="F4" t="s">
        <v>69</v>
      </c>
      <c r="G4" t="s">
        <v>39</v>
      </c>
      <c r="H4" t="s">
        <v>72</v>
      </c>
      <c r="I4" t="s">
        <v>70</v>
      </c>
      <c r="J4" t="s">
        <v>71</v>
      </c>
      <c r="K4" t="s">
        <v>71</v>
      </c>
      <c r="L4" t="s">
        <v>75</v>
      </c>
      <c r="M4" t="s">
        <v>51</v>
      </c>
      <c r="N4" t="s">
        <v>52</v>
      </c>
      <c r="O4" t="s">
        <v>69</v>
      </c>
      <c r="P4">
        <v>0</v>
      </c>
      <c r="Q4" t="s">
        <v>54</v>
      </c>
      <c r="R4" t="s">
        <v>73</v>
      </c>
      <c r="S4" t="s">
        <v>43</v>
      </c>
      <c r="T4" t="s">
        <v>43</v>
      </c>
      <c r="U4" t="s">
        <v>44</v>
      </c>
      <c r="V4" t="s">
        <v>45</v>
      </c>
      <c r="W4" t="s">
        <v>74</v>
      </c>
      <c r="X4" t="s">
        <v>45</v>
      </c>
      <c r="Y4" t="s">
        <v>46</v>
      </c>
      <c r="Z4" t="s">
        <v>47</v>
      </c>
      <c r="AA4" t="s">
        <v>48</v>
      </c>
      <c r="AB4" t="s">
        <v>49</v>
      </c>
      <c r="AC4" t="s">
        <v>49</v>
      </c>
      <c r="AD4" t="s">
        <v>184</v>
      </c>
      <c r="AE4" t="s">
        <v>185</v>
      </c>
      <c r="AF4">
        <v>0</v>
      </c>
      <c r="AG4" t="s">
        <v>196</v>
      </c>
      <c r="AH4">
        <f>VLOOKUP(Table1[[#This Row],[Caste]],Factor!$H$1:$K$13,4,0)</f>
        <v>1.3836274505214585</v>
      </c>
      <c r="AI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">
        <f>Table1[[#This Row],[Factor_1]]*Table1[[#This Row],[2024 Factor]]</f>
        <v>1.1648410586678206</v>
      </c>
      <c r="AK4">
        <f>VLOOKUP(Table1[[#This Row],[Q18: Gender]],Factor!$A$33:$E$35,5,0)</f>
        <v>0.85034013605442171</v>
      </c>
      <c r="AL4">
        <f>VLOOKUP(Table1[[#This Row],[Taluka]],Factor!$A$42:$G$46,7,0)</f>
        <v>1.1213131007097483</v>
      </c>
      <c r="AM4">
        <f>VLOOKUP(Table1[[#This Row],[Caste]]&amp;Table1[[#This Row],[Q18: Gender]],Factor!$W$1:$X$23,2,0)</f>
        <v>1.0790228998469584</v>
      </c>
      <c r="AN4">
        <f>VLOOKUP(Table1[[#This Row],[Taluka]]&amp;Table1[[#This Row],[Caste]]&amp;Table1[[#This Row],[Q18: Gender]],Factor!$AK$4:$AL$93,2,0)</f>
        <v>0.90933567693352424</v>
      </c>
      <c r="AO4">
        <f t="shared" si="0"/>
        <v>-1</v>
      </c>
      <c r="AP4">
        <f t="shared" si="1"/>
        <v>-1</v>
      </c>
      <c r="AQ4">
        <f t="shared" si="2"/>
        <v>-1</v>
      </c>
      <c r="AR4">
        <f t="shared" si="3"/>
        <v>-1</v>
      </c>
      <c r="AS4">
        <f t="shared" si="4"/>
        <v>-1</v>
      </c>
      <c r="AT4">
        <f t="shared" si="5"/>
        <v>-1</v>
      </c>
      <c r="AU4">
        <f t="shared" si="6"/>
        <v>-5.5</v>
      </c>
      <c r="AV4">
        <f>SUM(Table1[[#This Row],[Satis]:[29]])</f>
        <v>-6</v>
      </c>
      <c r="AW4">
        <f t="shared" si="7"/>
        <v>-5</v>
      </c>
      <c r="AX4">
        <f t="shared" si="8"/>
        <v>-4</v>
      </c>
      <c r="AY4">
        <f t="shared" si="9"/>
        <v>-3</v>
      </c>
      <c r="AZ4" t="str">
        <f t="shared" si="10"/>
        <v>TDP HardCore</v>
      </c>
    </row>
    <row r="5" spans="1:52" x14ac:dyDescent="0.3">
      <c r="A5" t="s">
        <v>76</v>
      </c>
      <c r="B5" s="94">
        <v>46041</v>
      </c>
      <c r="C5" t="s">
        <v>77</v>
      </c>
      <c r="D5" t="s">
        <v>78</v>
      </c>
      <c r="E5" t="s">
        <v>79</v>
      </c>
      <c r="F5" t="s">
        <v>35</v>
      </c>
      <c r="G5" t="s">
        <v>39</v>
      </c>
      <c r="H5" t="s">
        <v>81</v>
      </c>
      <c r="I5" t="s">
        <v>59</v>
      </c>
      <c r="J5" t="s">
        <v>37</v>
      </c>
      <c r="K5" t="s">
        <v>80</v>
      </c>
      <c r="L5" t="s">
        <v>82</v>
      </c>
      <c r="M5" t="s">
        <v>51</v>
      </c>
      <c r="N5" t="s">
        <v>52</v>
      </c>
      <c r="O5" t="s">
        <v>83</v>
      </c>
      <c r="P5">
        <v>9912576664</v>
      </c>
      <c r="Q5" t="s">
        <v>54</v>
      </c>
      <c r="R5" t="s">
        <v>61</v>
      </c>
      <c r="S5" t="s">
        <v>43</v>
      </c>
      <c r="T5" t="s">
        <v>43</v>
      </c>
      <c r="U5" t="s">
        <v>44</v>
      </c>
      <c r="V5" t="s">
        <v>45</v>
      </c>
      <c r="W5" t="s">
        <v>5042</v>
      </c>
      <c r="X5" t="s">
        <v>45</v>
      </c>
      <c r="Y5" t="s">
        <v>46</v>
      </c>
      <c r="Z5" t="s">
        <v>47</v>
      </c>
      <c r="AA5" t="s">
        <v>48</v>
      </c>
      <c r="AB5" t="s">
        <v>49</v>
      </c>
      <c r="AC5" t="s">
        <v>49</v>
      </c>
      <c r="AD5" t="s">
        <v>184</v>
      </c>
      <c r="AE5" t="s">
        <v>185</v>
      </c>
      <c r="AF5">
        <v>0</v>
      </c>
      <c r="AG5" t="s">
        <v>196</v>
      </c>
      <c r="AH5">
        <f>VLOOKUP(Table1[[#This Row],[Caste]],Factor!$H$1:$K$13,4,0)</f>
        <v>1.1461625511156397</v>
      </c>
      <c r="AI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">
        <f>Table1[[#This Row],[Factor_1]]*Table1[[#This Row],[2024 Factor]]</f>
        <v>0.77721139583220644</v>
      </c>
      <c r="AK5">
        <f>VLOOKUP(Table1[[#This Row],[Q18: Gender]],Factor!$A$33:$E$35,5,0)</f>
        <v>0.85034013605442171</v>
      </c>
      <c r="AL5">
        <f>VLOOKUP(Table1[[#This Row],[Taluka]],Factor!$A$42:$G$46,7,0)</f>
        <v>0.75433779645928134</v>
      </c>
      <c r="AM5">
        <f>VLOOKUP(Table1[[#This Row],[Caste]]&amp;Table1[[#This Row],[Q18: Gender]],Factor!$W$1:$X$23,2,0)</f>
        <v>0.71995135120329123</v>
      </c>
      <c r="AN5">
        <f>VLOOKUP(Table1[[#This Row],[Taluka]]&amp;Table1[[#This Row],[Caste]]&amp;Table1[[#This Row],[Q18: Gender]],Factor!$AK$4:$AL$93,2,0)</f>
        <v>0.55527787174877274</v>
      </c>
      <c r="AO5">
        <f t="shared" si="0"/>
        <v>-1</v>
      </c>
      <c r="AP5">
        <f t="shared" si="1"/>
        <v>-1</v>
      </c>
      <c r="AQ5">
        <f t="shared" si="2"/>
        <v>-1</v>
      </c>
      <c r="AR5">
        <f t="shared" si="3"/>
        <v>-1</v>
      </c>
      <c r="AS5">
        <f t="shared" si="4"/>
        <v>-1</v>
      </c>
      <c r="AT5">
        <f t="shared" si="5"/>
        <v>-1</v>
      </c>
      <c r="AU5">
        <f t="shared" si="6"/>
        <v>-5.5</v>
      </c>
      <c r="AV5">
        <f>SUM(Table1[[#This Row],[Satis]:[29]])</f>
        <v>-6</v>
      </c>
      <c r="AW5">
        <f t="shared" si="7"/>
        <v>-5</v>
      </c>
      <c r="AX5">
        <f t="shared" si="8"/>
        <v>-4</v>
      </c>
      <c r="AY5">
        <f t="shared" si="9"/>
        <v>-3</v>
      </c>
      <c r="AZ5" t="str">
        <f t="shared" si="10"/>
        <v>TDP HardCore</v>
      </c>
    </row>
    <row r="6" spans="1:52" x14ac:dyDescent="0.3">
      <c r="A6" t="s">
        <v>55</v>
      </c>
      <c r="B6" s="94">
        <v>46041</v>
      </c>
      <c r="C6" t="s">
        <v>56</v>
      </c>
      <c r="D6" t="s">
        <v>57</v>
      </c>
      <c r="E6" t="s">
        <v>58</v>
      </c>
      <c r="F6" t="s">
        <v>35</v>
      </c>
      <c r="G6" t="s">
        <v>39</v>
      </c>
      <c r="H6" t="s">
        <v>60</v>
      </c>
      <c r="I6" t="s">
        <v>59</v>
      </c>
      <c r="J6" s="112" t="s">
        <v>203</v>
      </c>
      <c r="K6" s="112" t="s">
        <v>204</v>
      </c>
      <c r="L6" t="s">
        <v>62</v>
      </c>
      <c r="M6" t="s">
        <v>51</v>
      </c>
      <c r="N6" t="s">
        <v>63</v>
      </c>
      <c r="O6" t="s">
        <v>64</v>
      </c>
      <c r="P6">
        <v>7569733861</v>
      </c>
      <c r="Q6" t="s">
        <v>54</v>
      </c>
      <c r="R6" t="s">
        <v>61</v>
      </c>
      <c r="S6" t="s">
        <v>43</v>
      </c>
      <c r="T6" t="s">
        <v>43</v>
      </c>
      <c r="U6" t="s">
        <v>44</v>
      </c>
      <c r="V6" t="s">
        <v>45</v>
      </c>
      <c r="W6" t="s">
        <v>5043</v>
      </c>
      <c r="X6" t="s">
        <v>45</v>
      </c>
      <c r="Y6" t="s">
        <v>46</v>
      </c>
      <c r="Z6" t="s">
        <v>47</v>
      </c>
      <c r="AA6" t="s">
        <v>48</v>
      </c>
      <c r="AB6" t="s">
        <v>49</v>
      </c>
      <c r="AC6" t="s">
        <v>49</v>
      </c>
      <c r="AD6" t="s">
        <v>184</v>
      </c>
      <c r="AE6" t="s">
        <v>185</v>
      </c>
      <c r="AF6" t="s">
        <v>186</v>
      </c>
      <c r="AG6" t="s">
        <v>196</v>
      </c>
      <c r="AH6">
        <f>VLOOKUP(Table1[[#This Row],[Caste]],Factor!$H$1:$K$13,4,0)</f>
        <v>1.1461625511156397</v>
      </c>
      <c r="AI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">
        <f>Table1[[#This Row],[Factor_1]]*Table1[[#This Row],[2024 Factor]]</f>
        <v>0.77721139583220644</v>
      </c>
      <c r="AK6">
        <f>VLOOKUP(Table1[[#This Row],[Q18: Gender]],Factor!$A$33:$E$35,5,0)</f>
        <v>0.85034013605442171</v>
      </c>
      <c r="AL6">
        <f>VLOOKUP(Table1[[#This Row],[Taluka]],Factor!$A$42:$G$46,7,0)</f>
        <v>1.9264642089343564</v>
      </c>
      <c r="AM6">
        <f>VLOOKUP(Table1[[#This Row],[Caste]]&amp;Table1[[#This Row],[Q18: Gender]],Factor!$W$1:$X$23,2,0)</f>
        <v>0.71995135120329123</v>
      </c>
      <c r="AN6">
        <f>VLOOKUP(Table1[[#This Row],[Taluka]]&amp;Table1[[#This Row],[Caste]]&amp;Table1[[#This Row],[Q18: Gender]],Factor!$AK$4:$AL$93,2,0)</f>
        <v>0.70534647283248642</v>
      </c>
      <c r="AO6">
        <f t="shared" si="0"/>
        <v>-1</v>
      </c>
      <c r="AP6">
        <f t="shared" si="1"/>
        <v>-1</v>
      </c>
      <c r="AQ6">
        <f t="shared" si="2"/>
        <v>-1</v>
      </c>
      <c r="AR6">
        <f t="shared" si="3"/>
        <v>-1</v>
      </c>
      <c r="AS6">
        <f t="shared" si="4"/>
        <v>-1</v>
      </c>
      <c r="AT6">
        <f t="shared" si="5"/>
        <v>-1</v>
      </c>
      <c r="AU6">
        <f t="shared" si="6"/>
        <v>-5.5</v>
      </c>
      <c r="AV6">
        <f>SUM(Table1[[#This Row],[Satis]:[29]])</f>
        <v>-6</v>
      </c>
      <c r="AW6">
        <f t="shared" si="7"/>
        <v>-5</v>
      </c>
      <c r="AX6">
        <f t="shared" si="8"/>
        <v>-4</v>
      </c>
      <c r="AY6">
        <f t="shared" si="9"/>
        <v>-3</v>
      </c>
      <c r="AZ6" t="str">
        <f t="shared" si="10"/>
        <v>TDP HardCore</v>
      </c>
    </row>
    <row r="7" spans="1:52" x14ac:dyDescent="0.3">
      <c r="A7" t="s">
        <v>96</v>
      </c>
      <c r="B7" s="94">
        <v>46041</v>
      </c>
      <c r="C7" t="s">
        <v>97</v>
      </c>
      <c r="D7" t="s">
        <v>98</v>
      </c>
      <c r="E7" t="s">
        <v>99</v>
      </c>
      <c r="F7" t="s">
        <v>35</v>
      </c>
      <c r="G7" t="s">
        <v>39</v>
      </c>
      <c r="H7" t="s">
        <v>100</v>
      </c>
      <c r="I7" t="s">
        <v>59</v>
      </c>
      <c r="J7" t="s">
        <v>37</v>
      </c>
      <c r="K7" t="s">
        <v>38</v>
      </c>
      <c r="L7" t="s">
        <v>62</v>
      </c>
      <c r="M7" t="s">
        <v>51</v>
      </c>
      <c r="N7" t="s">
        <v>52</v>
      </c>
      <c r="O7" t="s">
        <v>101</v>
      </c>
      <c r="P7">
        <v>6305386622</v>
      </c>
      <c r="Q7" t="s">
        <v>54</v>
      </c>
      <c r="R7" t="s">
        <v>42</v>
      </c>
      <c r="S7" t="s">
        <v>43</v>
      </c>
      <c r="T7" t="s">
        <v>43</v>
      </c>
      <c r="U7" t="s">
        <v>44</v>
      </c>
      <c r="V7" t="s">
        <v>45</v>
      </c>
      <c r="W7" t="s">
        <v>5044</v>
      </c>
      <c r="X7" t="s">
        <v>45</v>
      </c>
      <c r="Y7" t="s">
        <v>46</v>
      </c>
      <c r="Z7" t="s">
        <v>47</v>
      </c>
      <c r="AA7" t="s">
        <v>48</v>
      </c>
      <c r="AB7" t="s">
        <v>49</v>
      </c>
      <c r="AC7" t="s">
        <v>49</v>
      </c>
      <c r="AD7" t="s">
        <v>184</v>
      </c>
      <c r="AE7" t="s">
        <v>189</v>
      </c>
      <c r="AF7" t="s">
        <v>190</v>
      </c>
      <c r="AG7" t="s">
        <v>196</v>
      </c>
      <c r="AH7">
        <f>VLOOKUP(Table1[[#This Row],[Caste]],Factor!$H$1:$K$13,4,0)</f>
        <v>1.1461625511156397</v>
      </c>
      <c r="AI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">
        <f>Table1[[#This Row],[Factor_1]]*Table1[[#This Row],[2024 Factor]]</f>
        <v>0.77721139583220644</v>
      </c>
      <c r="AK7">
        <f>VLOOKUP(Table1[[#This Row],[Q18: Gender]],Factor!$A$33:$E$35,5,0)</f>
        <v>0.85034013605442171</v>
      </c>
      <c r="AL7">
        <f>VLOOKUP(Table1[[#This Row],[Taluka]],Factor!$A$42:$G$46,7,0)</f>
        <v>0.75433779645928134</v>
      </c>
      <c r="AM7">
        <f>VLOOKUP(Table1[[#This Row],[Caste]]&amp;Table1[[#This Row],[Q18: Gender]],Factor!$W$1:$X$23,2,0)</f>
        <v>0.71995135120329123</v>
      </c>
      <c r="AN7">
        <f>VLOOKUP(Table1[[#This Row],[Taluka]]&amp;Table1[[#This Row],[Caste]]&amp;Table1[[#This Row],[Q18: Gender]],Factor!$AK$4:$AL$93,2,0)</f>
        <v>0.55527787174877274</v>
      </c>
      <c r="AO7">
        <f t="shared" si="0"/>
        <v>-1</v>
      </c>
      <c r="AP7">
        <f t="shared" si="1"/>
        <v>-1</v>
      </c>
      <c r="AQ7">
        <f t="shared" si="2"/>
        <v>-1</v>
      </c>
      <c r="AR7">
        <f t="shared" si="3"/>
        <v>-1</v>
      </c>
      <c r="AS7">
        <f t="shared" si="4"/>
        <v>-1</v>
      </c>
      <c r="AT7">
        <f t="shared" si="5"/>
        <v>-1</v>
      </c>
      <c r="AU7">
        <f t="shared" si="6"/>
        <v>-5.5</v>
      </c>
      <c r="AV7">
        <f>SUM(Table1[[#This Row],[Satis]:[29]])</f>
        <v>-6</v>
      </c>
      <c r="AW7">
        <f t="shared" si="7"/>
        <v>-5</v>
      </c>
      <c r="AX7">
        <f t="shared" si="8"/>
        <v>-4</v>
      </c>
      <c r="AY7">
        <f t="shared" si="9"/>
        <v>-3</v>
      </c>
      <c r="AZ7" t="str">
        <f t="shared" si="10"/>
        <v>TDP HardCore</v>
      </c>
    </row>
    <row r="8" spans="1:52" x14ac:dyDescent="0.3">
      <c r="A8" t="s">
        <v>102</v>
      </c>
      <c r="B8" s="94">
        <v>46041</v>
      </c>
      <c r="C8" t="s">
        <v>103</v>
      </c>
      <c r="D8" t="s">
        <v>104</v>
      </c>
      <c r="E8" t="s">
        <v>105</v>
      </c>
      <c r="F8" t="s">
        <v>35</v>
      </c>
      <c r="G8" t="s">
        <v>39</v>
      </c>
      <c r="H8" t="s">
        <v>106</v>
      </c>
      <c r="I8" t="s">
        <v>59</v>
      </c>
      <c r="J8" t="s">
        <v>37</v>
      </c>
      <c r="K8" t="s">
        <v>38</v>
      </c>
      <c r="L8" t="s">
        <v>62</v>
      </c>
      <c r="M8" t="s">
        <v>51</v>
      </c>
      <c r="N8" t="s">
        <v>107</v>
      </c>
      <c r="O8" t="s">
        <v>108</v>
      </c>
      <c r="P8">
        <v>9963179215</v>
      </c>
      <c r="Q8" t="s">
        <v>54</v>
      </c>
      <c r="R8" t="s">
        <v>42</v>
      </c>
      <c r="S8" t="s">
        <v>43</v>
      </c>
      <c r="T8" t="s">
        <v>43</v>
      </c>
      <c r="U8" t="s">
        <v>90</v>
      </c>
      <c r="V8" t="s">
        <v>45</v>
      </c>
      <c r="W8" t="s">
        <v>5041</v>
      </c>
      <c r="X8" t="s">
        <v>45</v>
      </c>
      <c r="Y8" t="s">
        <v>46</v>
      </c>
      <c r="Z8" t="s">
        <v>47</v>
      </c>
      <c r="AA8" t="s">
        <v>48</v>
      </c>
      <c r="AB8" t="s">
        <v>49</v>
      </c>
      <c r="AC8" t="s">
        <v>49</v>
      </c>
      <c r="AD8" t="s">
        <v>184</v>
      </c>
      <c r="AE8" t="s">
        <v>185</v>
      </c>
      <c r="AF8">
        <v>0</v>
      </c>
      <c r="AG8" t="s">
        <v>196</v>
      </c>
      <c r="AH8">
        <f>VLOOKUP(Table1[[#This Row],[Caste]],Factor!$H$1:$K$13,4,0)</f>
        <v>1.1461625511156397</v>
      </c>
      <c r="AI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">
        <f>Table1[[#This Row],[Factor_1]]*Table1[[#This Row],[2024 Factor]]</f>
        <v>0.77721139583220644</v>
      </c>
      <c r="AK8">
        <f>VLOOKUP(Table1[[#This Row],[Q18: Gender]],Factor!$A$33:$E$35,5,0)</f>
        <v>0.85034013605442171</v>
      </c>
      <c r="AL8">
        <f>VLOOKUP(Table1[[#This Row],[Taluka]],Factor!$A$42:$G$46,7,0)</f>
        <v>0.75433779645928134</v>
      </c>
      <c r="AM8">
        <f>VLOOKUP(Table1[[#This Row],[Caste]]&amp;Table1[[#This Row],[Q18: Gender]],Factor!$W$1:$X$23,2,0)</f>
        <v>0.71995135120329123</v>
      </c>
      <c r="AN8">
        <f>VLOOKUP(Table1[[#This Row],[Taluka]]&amp;Table1[[#This Row],[Caste]]&amp;Table1[[#This Row],[Q18: Gender]],Factor!$AK$4:$AL$93,2,0)</f>
        <v>0.55527787174877274</v>
      </c>
      <c r="AO8">
        <f t="shared" si="0"/>
        <v>-1</v>
      </c>
      <c r="AP8">
        <f t="shared" si="1"/>
        <v>1</v>
      </c>
      <c r="AQ8">
        <f t="shared" si="2"/>
        <v>-1</v>
      </c>
      <c r="AR8">
        <f t="shared" si="3"/>
        <v>-1</v>
      </c>
      <c r="AS8">
        <f t="shared" si="4"/>
        <v>-1</v>
      </c>
      <c r="AT8">
        <f t="shared" si="5"/>
        <v>-1</v>
      </c>
      <c r="AU8">
        <f t="shared" si="6"/>
        <v>-3.5</v>
      </c>
      <c r="AV8">
        <f>SUM(Table1[[#This Row],[Satis]:[29]])</f>
        <v>-4</v>
      </c>
      <c r="AW8">
        <f t="shared" si="7"/>
        <v>-5</v>
      </c>
      <c r="AX8">
        <f t="shared" si="8"/>
        <v>-4</v>
      </c>
      <c r="AY8">
        <f t="shared" si="9"/>
        <v>-3</v>
      </c>
      <c r="AZ8" t="str">
        <f t="shared" si="10"/>
        <v>TDP Sympathiser</v>
      </c>
    </row>
    <row r="9" spans="1:52" x14ac:dyDescent="0.3">
      <c r="A9" t="s">
        <v>109</v>
      </c>
      <c r="B9" s="94">
        <v>46041</v>
      </c>
      <c r="C9" t="s">
        <v>110</v>
      </c>
      <c r="D9" t="s">
        <v>111</v>
      </c>
      <c r="E9" t="s">
        <v>112</v>
      </c>
      <c r="F9" t="s">
        <v>35</v>
      </c>
      <c r="G9" t="s">
        <v>39</v>
      </c>
      <c r="H9" t="s">
        <v>113</v>
      </c>
      <c r="I9" t="s">
        <v>59</v>
      </c>
      <c r="J9" t="s">
        <v>37</v>
      </c>
      <c r="K9" t="s">
        <v>38</v>
      </c>
      <c r="L9" t="s">
        <v>62</v>
      </c>
      <c r="M9" t="s">
        <v>51</v>
      </c>
      <c r="N9" t="s">
        <v>52</v>
      </c>
      <c r="O9" t="s">
        <v>114</v>
      </c>
      <c r="P9">
        <v>9550406115</v>
      </c>
      <c r="Q9" t="s">
        <v>54</v>
      </c>
      <c r="R9" t="s">
        <v>42</v>
      </c>
      <c r="S9" t="s">
        <v>43</v>
      </c>
      <c r="T9" t="s">
        <v>43</v>
      </c>
      <c r="U9" t="s">
        <v>44</v>
      </c>
      <c r="V9" t="s">
        <v>45</v>
      </c>
      <c r="W9" t="s">
        <v>5045</v>
      </c>
      <c r="X9" t="s">
        <v>45</v>
      </c>
      <c r="Y9" t="s">
        <v>46</v>
      </c>
      <c r="Z9" t="s">
        <v>47</v>
      </c>
      <c r="AA9" t="s">
        <v>48</v>
      </c>
      <c r="AB9" t="s">
        <v>49</v>
      </c>
      <c r="AC9" t="s">
        <v>49</v>
      </c>
      <c r="AD9" t="s">
        <v>184</v>
      </c>
      <c r="AE9" t="s">
        <v>185</v>
      </c>
      <c r="AF9">
        <v>0</v>
      </c>
      <c r="AG9" t="s">
        <v>196</v>
      </c>
      <c r="AH9">
        <f>VLOOKUP(Table1[[#This Row],[Caste]],Factor!$H$1:$K$13,4,0)</f>
        <v>1.1461625511156397</v>
      </c>
      <c r="AI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9">
        <f>Table1[[#This Row],[Factor_1]]*Table1[[#This Row],[2024 Factor]]</f>
        <v>0.77721139583220644</v>
      </c>
      <c r="AK9">
        <f>VLOOKUP(Table1[[#This Row],[Q18: Gender]],Factor!$A$33:$E$35,5,0)</f>
        <v>0.85034013605442171</v>
      </c>
      <c r="AL9">
        <f>VLOOKUP(Table1[[#This Row],[Taluka]],Factor!$A$42:$G$46,7,0)</f>
        <v>0.75433779645928134</v>
      </c>
      <c r="AM9">
        <f>VLOOKUP(Table1[[#This Row],[Caste]]&amp;Table1[[#This Row],[Q18: Gender]],Factor!$W$1:$X$23,2,0)</f>
        <v>0.71995135120329123</v>
      </c>
      <c r="AN9">
        <f>VLOOKUP(Table1[[#This Row],[Taluka]]&amp;Table1[[#This Row],[Caste]]&amp;Table1[[#This Row],[Q18: Gender]],Factor!$AK$4:$AL$93,2,0)</f>
        <v>0.55527787174877274</v>
      </c>
      <c r="AO9">
        <f t="shared" si="0"/>
        <v>-1</v>
      </c>
      <c r="AP9">
        <f t="shared" si="1"/>
        <v>-1</v>
      </c>
      <c r="AQ9">
        <f t="shared" si="2"/>
        <v>-1</v>
      </c>
      <c r="AR9">
        <f t="shared" si="3"/>
        <v>-1</v>
      </c>
      <c r="AS9">
        <f t="shared" si="4"/>
        <v>-1</v>
      </c>
      <c r="AT9">
        <f t="shared" si="5"/>
        <v>-1</v>
      </c>
      <c r="AU9">
        <f t="shared" si="6"/>
        <v>-5.5</v>
      </c>
      <c r="AV9">
        <f>SUM(Table1[[#This Row],[Satis]:[29]])</f>
        <v>-6</v>
      </c>
      <c r="AW9">
        <f t="shared" si="7"/>
        <v>-5</v>
      </c>
      <c r="AX9">
        <f t="shared" si="8"/>
        <v>-4</v>
      </c>
      <c r="AY9">
        <f t="shared" si="9"/>
        <v>-3</v>
      </c>
      <c r="AZ9" t="str">
        <f t="shared" si="10"/>
        <v>TDP HardCore</v>
      </c>
    </row>
    <row r="10" spans="1:52" x14ac:dyDescent="0.3">
      <c r="A10" t="s">
        <v>115</v>
      </c>
      <c r="B10" s="94">
        <v>46041</v>
      </c>
      <c r="C10" t="s">
        <v>116</v>
      </c>
      <c r="D10" t="s">
        <v>117</v>
      </c>
      <c r="E10" t="s">
        <v>118</v>
      </c>
      <c r="F10" t="s">
        <v>35</v>
      </c>
      <c r="G10" t="s">
        <v>39</v>
      </c>
      <c r="H10" t="s">
        <v>119</v>
      </c>
      <c r="I10" t="s">
        <v>59</v>
      </c>
      <c r="J10" t="s">
        <v>37</v>
      </c>
      <c r="K10" t="s">
        <v>38</v>
      </c>
      <c r="L10" t="s">
        <v>62</v>
      </c>
      <c r="M10" t="s">
        <v>51</v>
      </c>
      <c r="N10" t="s">
        <v>52</v>
      </c>
      <c r="O10" t="s">
        <v>120</v>
      </c>
      <c r="P10">
        <v>8008563739</v>
      </c>
      <c r="Q10" t="s">
        <v>54</v>
      </c>
      <c r="R10" t="s">
        <v>42</v>
      </c>
      <c r="S10" t="s">
        <v>43</v>
      </c>
      <c r="T10" t="s">
        <v>43</v>
      </c>
      <c r="U10" t="s">
        <v>90</v>
      </c>
      <c r="V10" t="s">
        <v>45</v>
      </c>
      <c r="W10" t="s">
        <v>5046</v>
      </c>
      <c r="X10" t="s">
        <v>45</v>
      </c>
      <c r="Y10" t="s">
        <v>46</v>
      </c>
      <c r="Z10" t="s">
        <v>47</v>
      </c>
      <c r="AA10" t="s">
        <v>48</v>
      </c>
      <c r="AB10" t="s">
        <v>49</v>
      </c>
      <c r="AC10" t="s">
        <v>49</v>
      </c>
      <c r="AD10" t="s">
        <v>184</v>
      </c>
      <c r="AE10" t="s">
        <v>185</v>
      </c>
      <c r="AF10">
        <v>0</v>
      </c>
      <c r="AG10" t="s">
        <v>196</v>
      </c>
      <c r="AH10">
        <f>VLOOKUP(Table1[[#This Row],[Caste]],Factor!$H$1:$K$13,4,0)</f>
        <v>1.1461625511156397</v>
      </c>
      <c r="AI1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0">
        <f>Table1[[#This Row],[Factor_1]]*Table1[[#This Row],[2024 Factor]]</f>
        <v>0.77721139583220644</v>
      </c>
      <c r="AK10">
        <f>VLOOKUP(Table1[[#This Row],[Q18: Gender]],Factor!$A$33:$E$35,5,0)</f>
        <v>0.85034013605442171</v>
      </c>
      <c r="AL10">
        <f>VLOOKUP(Table1[[#This Row],[Taluka]],Factor!$A$42:$G$46,7,0)</f>
        <v>0.75433779645928134</v>
      </c>
      <c r="AM10">
        <f>VLOOKUP(Table1[[#This Row],[Caste]]&amp;Table1[[#This Row],[Q18: Gender]],Factor!$W$1:$X$23,2,0)</f>
        <v>0.71995135120329123</v>
      </c>
      <c r="AN10">
        <f>VLOOKUP(Table1[[#This Row],[Taluka]]&amp;Table1[[#This Row],[Caste]]&amp;Table1[[#This Row],[Q18: Gender]],Factor!$AK$4:$AL$93,2,0)</f>
        <v>0.55527787174877274</v>
      </c>
      <c r="AO10">
        <f t="shared" si="0"/>
        <v>-1</v>
      </c>
      <c r="AP10">
        <f t="shared" si="1"/>
        <v>1</v>
      </c>
      <c r="AQ10">
        <f t="shared" si="2"/>
        <v>-1</v>
      </c>
      <c r="AR10">
        <f t="shared" si="3"/>
        <v>-1</v>
      </c>
      <c r="AS10">
        <f t="shared" si="4"/>
        <v>-1</v>
      </c>
      <c r="AT10">
        <f t="shared" si="5"/>
        <v>-1</v>
      </c>
      <c r="AU10">
        <f t="shared" si="6"/>
        <v>-3.5</v>
      </c>
      <c r="AV10">
        <f>SUM(Table1[[#This Row],[Satis]:[29]])</f>
        <v>-4</v>
      </c>
      <c r="AW10">
        <f t="shared" si="7"/>
        <v>-5</v>
      </c>
      <c r="AX10">
        <f t="shared" si="8"/>
        <v>-4</v>
      </c>
      <c r="AY10">
        <f t="shared" si="9"/>
        <v>-3</v>
      </c>
      <c r="AZ10" t="str">
        <f t="shared" si="10"/>
        <v>TDP Sympathiser</v>
      </c>
    </row>
    <row r="11" spans="1:52" x14ac:dyDescent="0.3">
      <c r="A11" t="s">
        <v>121</v>
      </c>
      <c r="B11" s="94">
        <v>46041</v>
      </c>
      <c r="C11" t="s">
        <v>122</v>
      </c>
      <c r="D11" t="s">
        <v>123</v>
      </c>
      <c r="E11" t="s">
        <v>124</v>
      </c>
      <c r="F11" t="s">
        <v>35</v>
      </c>
      <c r="G11" t="s">
        <v>39</v>
      </c>
      <c r="H11" t="s">
        <v>125</v>
      </c>
      <c r="I11" t="s">
        <v>36</v>
      </c>
      <c r="J11" t="s">
        <v>37</v>
      </c>
      <c r="K11" t="s">
        <v>38</v>
      </c>
      <c r="L11" t="s">
        <v>82</v>
      </c>
      <c r="M11" t="s">
        <v>51</v>
      </c>
      <c r="N11" t="s">
        <v>107</v>
      </c>
      <c r="O11" t="s">
        <v>126</v>
      </c>
      <c r="P11">
        <v>7661907195</v>
      </c>
      <c r="Q11" t="s">
        <v>54</v>
      </c>
      <c r="R11" t="s">
        <v>61</v>
      </c>
      <c r="S11" t="s">
        <v>88</v>
      </c>
      <c r="T11" t="s">
        <v>43</v>
      </c>
      <c r="U11" t="s">
        <v>44</v>
      </c>
      <c r="V11" t="s">
        <v>45</v>
      </c>
      <c r="W11" t="s">
        <v>5043</v>
      </c>
      <c r="X11" t="s">
        <v>45</v>
      </c>
      <c r="Y11" t="s">
        <v>46</v>
      </c>
      <c r="Z11" t="s">
        <v>47</v>
      </c>
      <c r="AA11" t="s">
        <v>48</v>
      </c>
      <c r="AB11" t="s">
        <v>49</v>
      </c>
      <c r="AC11" t="s">
        <v>49</v>
      </c>
      <c r="AD11" t="s">
        <v>184</v>
      </c>
      <c r="AE11" t="s">
        <v>185</v>
      </c>
      <c r="AF11">
        <v>0</v>
      </c>
      <c r="AG11" t="s">
        <v>196</v>
      </c>
      <c r="AH11">
        <f>VLOOKUP(Table1[[#This Row],[Caste]],Factor!$H$1:$K$13,4,0)</f>
        <v>1.1705128247062893</v>
      </c>
      <c r="AI1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1">
        <f>Table1[[#This Row],[Factor_1]]*Table1[[#This Row],[2024 Factor]]</f>
        <v>0.86308903171383233</v>
      </c>
      <c r="AK11">
        <f>VLOOKUP(Table1[[#This Row],[Q18: Gender]],Factor!$A$33:$E$35,5,0)</f>
        <v>0.85034013605442171</v>
      </c>
      <c r="AL11">
        <f>VLOOKUP(Table1[[#This Row],[Taluka]],Factor!$A$42:$G$46,7,0)</f>
        <v>0.75433779645928134</v>
      </c>
      <c r="AM11">
        <f>VLOOKUP(Table1[[#This Row],[Caste]]&amp;Table1[[#This Row],[Q18: Gender]],Factor!$W$1:$X$23,2,0)</f>
        <v>0.79950206330384943</v>
      </c>
      <c r="AN11">
        <f>VLOOKUP(Table1[[#This Row],[Taluka]]&amp;Table1[[#This Row],[Caste]]&amp;Table1[[#This Row],[Q18: Gender]],Factor!$AK$4:$AL$93,2,0)</f>
        <v>0.40257772387792479</v>
      </c>
      <c r="AO11">
        <f t="shared" si="0"/>
        <v>-1</v>
      </c>
      <c r="AP11">
        <f t="shared" si="1"/>
        <v>-1</v>
      </c>
      <c r="AQ11">
        <f t="shared" si="2"/>
        <v>-1</v>
      </c>
      <c r="AR11">
        <f t="shared" si="3"/>
        <v>-1</v>
      </c>
      <c r="AS11">
        <f t="shared" si="4"/>
        <v>-1</v>
      </c>
      <c r="AT11">
        <f t="shared" si="5"/>
        <v>-1</v>
      </c>
      <c r="AU11">
        <f t="shared" si="6"/>
        <v>-5.5</v>
      </c>
      <c r="AV11">
        <f>SUM(Table1[[#This Row],[Satis]:[29]])</f>
        <v>-6</v>
      </c>
      <c r="AW11">
        <f t="shared" si="7"/>
        <v>-5</v>
      </c>
      <c r="AX11">
        <f t="shared" si="8"/>
        <v>-4</v>
      </c>
      <c r="AY11">
        <f t="shared" si="9"/>
        <v>-3</v>
      </c>
      <c r="AZ11" t="str">
        <f t="shared" si="10"/>
        <v>TDP HardCore</v>
      </c>
    </row>
    <row r="12" spans="1:52" x14ac:dyDescent="0.3">
      <c r="A12" t="s">
        <v>127</v>
      </c>
      <c r="B12" s="94">
        <v>46041</v>
      </c>
      <c r="C12" t="s">
        <v>128</v>
      </c>
      <c r="D12" t="s">
        <v>129</v>
      </c>
      <c r="E12" t="s">
        <v>130</v>
      </c>
      <c r="F12" t="s">
        <v>35</v>
      </c>
      <c r="G12" t="s">
        <v>39</v>
      </c>
      <c r="H12" t="s">
        <v>131</v>
      </c>
      <c r="I12" t="s">
        <v>36</v>
      </c>
      <c r="J12" t="s">
        <v>37</v>
      </c>
      <c r="K12" t="s">
        <v>38</v>
      </c>
      <c r="L12" t="s">
        <v>62</v>
      </c>
      <c r="M12" t="s">
        <v>51</v>
      </c>
      <c r="N12" t="s">
        <v>107</v>
      </c>
      <c r="O12" t="s">
        <v>133</v>
      </c>
      <c r="P12">
        <v>9703278895</v>
      </c>
      <c r="Q12" t="s">
        <v>54</v>
      </c>
      <c r="R12" t="s">
        <v>132</v>
      </c>
      <c r="S12" t="s">
        <v>43</v>
      </c>
      <c r="T12" t="s">
        <v>43</v>
      </c>
      <c r="U12" t="s">
        <v>44</v>
      </c>
      <c r="V12" t="s">
        <v>45</v>
      </c>
      <c r="W12" t="s">
        <v>5047</v>
      </c>
      <c r="X12" t="s">
        <v>45</v>
      </c>
      <c r="Y12" t="s">
        <v>46</v>
      </c>
      <c r="Z12" t="s">
        <v>47</v>
      </c>
      <c r="AA12" t="s">
        <v>48</v>
      </c>
      <c r="AB12" t="s">
        <v>49</v>
      </c>
      <c r="AC12" t="s">
        <v>49</v>
      </c>
      <c r="AD12" t="s">
        <v>184</v>
      </c>
      <c r="AE12" t="s">
        <v>189</v>
      </c>
      <c r="AF12">
        <v>0</v>
      </c>
      <c r="AG12" t="s">
        <v>196</v>
      </c>
      <c r="AH12">
        <f>VLOOKUP(Table1[[#This Row],[Caste]],Factor!$H$1:$K$13,4,0)</f>
        <v>1.1705128247062893</v>
      </c>
      <c r="AI1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2">
        <f>Table1[[#This Row],[Factor_1]]*Table1[[#This Row],[2024 Factor]]</f>
        <v>0.86308903171383233</v>
      </c>
      <c r="AK12">
        <f>VLOOKUP(Table1[[#This Row],[Q18: Gender]],Factor!$A$33:$E$35,5,0)</f>
        <v>0.85034013605442171</v>
      </c>
      <c r="AL12">
        <f>VLOOKUP(Table1[[#This Row],[Taluka]],Factor!$A$42:$G$46,7,0)</f>
        <v>0.75433779645928134</v>
      </c>
      <c r="AM12">
        <f>VLOOKUP(Table1[[#This Row],[Caste]]&amp;Table1[[#This Row],[Q18: Gender]],Factor!$W$1:$X$23,2,0)</f>
        <v>0.79950206330384943</v>
      </c>
      <c r="AN12">
        <f>VLOOKUP(Table1[[#This Row],[Taluka]]&amp;Table1[[#This Row],[Caste]]&amp;Table1[[#This Row],[Q18: Gender]],Factor!$AK$4:$AL$93,2,0)</f>
        <v>0.40257772387792479</v>
      </c>
      <c r="AO12">
        <f t="shared" si="0"/>
        <v>-1</v>
      </c>
      <c r="AP12">
        <f t="shared" si="1"/>
        <v>-1</v>
      </c>
      <c r="AQ12">
        <f t="shared" si="2"/>
        <v>-1</v>
      </c>
      <c r="AR12">
        <f t="shared" si="3"/>
        <v>-1</v>
      </c>
      <c r="AS12">
        <f t="shared" si="4"/>
        <v>-1</v>
      </c>
      <c r="AT12">
        <f t="shared" si="5"/>
        <v>-1</v>
      </c>
      <c r="AU12">
        <f t="shared" si="6"/>
        <v>-5.5</v>
      </c>
      <c r="AV12">
        <f>SUM(Table1[[#This Row],[Satis]:[29]])</f>
        <v>-6</v>
      </c>
      <c r="AW12">
        <f t="shared" si="7"/>
        <v>-5</v>
      </c>
      <c r="AX12">
        <f t="shared" si="8"/>
        <v>-4</v>
      </c>
      <c r="AY12">
        <f t="shared" si="9"/>
        <v>-3</v>
      </c>
      <c r="AZ12" t="str">
        <f t="shared" si="10"/>
        <v>TDP HardCore</v>
      </c>
    </row>
    <row r="13" spans="1:52" x14ac:dyDescent="0.3">
      <c r="A13" t="s">
        <v>134</v>
      </c>
      <c r="B13" s="94">
        <v>46041</v>
      </c>
      <c r="C13" t="s">
        <v>135</v>
      </c>
      <c r="D13" t="s">
        <v>136</v>
      </c>
      <c r="E13" t="s">
        <v>137</v>
      </c>
      <c r="F13" t="s">
        <v>35</v>
      </c>
      <c r="G13" t="s">
        <v>39</v>
      </c>
      <c r="H13" t="s">
        <v>138</v>
      </c>
      <c r="I13" t="s">
        <v>36</v>
      </c>
      <c r="J13" t="s">
        <v>37</v>
      </c>
      <c r="K13" t="s">
        <v>38</v>
      </c>
      <c r="L13" t="s">
        <v>82</v>
      </c>
      <c r="M13" t="s">
        <v>51</v>
      </c>
      <c r="N13" t="s">
        <v>107</v>
      </c>
      <c r="O13" t="s">
        <v>140</v>
      </c>
      <c r="P13">
        <v>9676631767</v>
      </c>
      <c r="Q13" t="s">
        <v>54</v>
      </c>
      <c r="R13" t="s">
        <v>139</v>
      </c>
      <c r="S13" t="s">
        <v>43</v>
      </c>
      <c r="T13" t="s">
        <v>43</v>
      </c>
      <c r="U13" t="s">
        <v>44</v>
      </c>
      <c r="V13" t="s">
        <v>45</v>
      </c>
      <c r="W13" t="s">
        <v>5048</v>
      </c>
      <c r="X13" t="s">
        <v>45</v>
      </c>
      <c r="Y13" t="s">
        <v>46</v>
      </c>
      <c r="Z13" t="s">
        <v>47</v>
      </c>
      <c r="AA13" t="s">
        <v>48</v>
      </c>
      <c r="AB13" t="s">
        <v>49</v>
      </c>
      <c r="AC13" t="s">
        <v>49</v>
      </c>
      <c r="AD13" t="s">
        <v>184</v>
      </c>
      <c r="AE13" t="s">
        <v>191</v>
      </c>
      <c r="AF13">
        <v>0</v>
      </c>
      <c r="AG13" t="s">
        <v>498</v>
      </c>
      <c r="AH13">
        <f>VLOOKUP(Table1[[#This Row],[Caste]],Factor!$H$1:$K$13,4,0)</f>
        <v>1.1705128247062893</v>
      </c>
      <c r="AI1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3">
        <f>Table1[[#This Row],[Factor_1]]*Table1[[#This Row],[2024 Factor]]</f>
        <v>0.86308903171383233</v>
      </c>
      <c r="AK13">
        <f>VLOOKUP(Table1[[#This Row],[Q18: Gender]],Factor!$A$33:$E$35,5,0)</f>
        <v>0.85034013605442171</v>
      </c>
      <c r="AL13">
        <f>VLOOKUP(Table1[[#This Row],[Taluka]],Factor!$A$42:$G$46,7,0)</f>
        <v>0.75433779645928134</v>
      </c>
      <c r="AM13">
        <f>VLOOKUP(Table1[[#This Row],[Caste]]&amp;Table1[[#This Row],[Q18: Gender]],Factor!$W$1:$X$23,2,0)</f>
        <v>0.79950206330384943</v>
      </c>
      <c r="AN13">
        <f>VLOOKUP(Table1[[#This Row],[Taluka]]&amp;Table1[[#This Row],[Caste]]&amp;Table1[[#This Row],[Q18: Gender]],Factor!$AK$4:$AL$93,2,0)</f>
        <v>0.40257772387792479</v>
      </c>
      <c r="AO13">
        <f t="shared" si="0"/>
        <v>-1</v>
      </c>
      <c r="AP13">
        <f t="shared" si="1"/>
        <v>-1</v>
      </c>
      <c r="AQ13">
        <f t="shared" si="2"/>
        <v>-1</v>
      </c>
      <c r="AR13">
        <f t="shared" si="3"/>
        <v>-1</v>
      </c>
      <c r="AS13">
        <f t="shared" si="4"/>
        <v>-1</v>
      </c>
      <c r="AT13">
        <f t="shared" si="5"/>
        <v>-1</v>
      </c>
      <c r="AU13">
        <f t="shared" si="6"/>
        <v>-5.5</v>
      </c>
      <c r="AV13">
        <f>SUM(Table1[[#This Row],[Satis]:[29]])</f>
        <v>-6</v>
      </c>
      <c r="AW13">
        <f t="shared" si="7"/>
        <v>-5</v>
      </c>
      <c r="AX13">
        <f t="shared" si="8"/>
        <v>-4</v>
      </c>
      <c r="AY13">
        <f t="shared" si="9"/>
        <v>-3</v>
      </c>
      <c r="AZ13" t="str">
        <f t="shared" si="10"/>
        <v>TDP HardCore</v>
      </c>
    </row>
    <row r="14" spans="1:52" x14ac:dyDescent="0.3">
      <c r="A14" t="s">
        <v>141</v>
      </c>
      <c r="B14" s="94">
        <v>46041</v>
      </c>
      <c r="C14" t="s">
        <v>142</v>
      </c>
      <c r="D14" t="s">
        <v>143</v>
      </c>
      <c r="E14" t="s">
        <v>144</v>
      </c>
      <c r="F14" t="s">
        <v>35</v>
      </c>
      <c r="G14" t="s">
        <v>39</v>
      </c>
      <c r="H14" t="s">
        <v>146</v>
      </c>
      <c r="I14" t="s">
        <v>145</v>
      </c>
      <c r="J14" t="s">
        <v>37</v>
      </c>
      <c r="K14" t="s">
        <v>38</v>
      </c>
      <c r="L14" t="s">
        <v>75</v>
      </c>
      <c r="M14" t="s">
        <v>51</v>
      </c>
      <c r="N14" t="s">
        <v>107</v>
      </c>
      <c r="O14" t="s">
        <v>149</v>
      </c>
      <c r="P14">
        <v>9553240503</v>
      </c>
      <c r="Q14" t="s">
        <v>54</v>
      </c>
      <c r="R14" t="s">
        <v>61</v>
      </c>
      <c r="S14" t="s">
        <v>43</v>
      </c>
      <c r="T14" t="s">
        <v>43</v>
      </c>
      <c r="U14" t="s">
        <v>44</v>
      </c>
      <c r="V14" t="s">
        <v>45</v>
      </c>
      <c r="W14" t="s">
        <v>5046</v>
      </c>
      <c r="X14" t="s">
        <v>45</v>
      </c>
      <c r="Y14" t="s">
        <v>46</v>
      </c>
      <c r="Z14" t="s">
        <v>47</v>
      </c>
      <c r="AA14" t="s">
        <v>92</v>
      </c>
      <c r="AB14" t="s">
        <v>147</v>
      </c>
      <c r="AC14" t="s">
        <v>148</v>
      </c>
      <c r="AD14" t="s">
        <v>184</v>
      </c>
      <c r="AE14" t="s">
        <v>189</v>
      </c>
      <c r="AF14">
        <v>0</v>
      </c>
      <c r="AG14" t="s">
        <v>196</v>
      </c>
      <c r="AH14">
        <f>VLOOKUP(Table1[[#This Row],[Caste]],Factor!$H$1:$K$13,4,0)</f>
        <v>1.8452248965186235</v>
      </c>
      <c r="AI14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14">
        <f>Table1[[#This Row],[Factor_1]]*Table1[[#This Row],[2024 Factor]]</f>
        <v>2.6177706499667939</v>
      </c>
      <c r="AK14">
        <f>VLOOKUP(Table1[[#This Row],[Q18: Gender]],Factor!$A$33:$E$35,5,0)</f>
        <v>0.85034013605442171</v>
      </c>
      <c r="AL14">
        <f>VLOOKUP(Table1[[#This Row],[Taluka]],Factor!$A$42:$G$46,7,0)</f>
        <v>0.75433779645928134</v>
      </c>
      <c r="AM14">
        <f>VLOOKUP(Table1[[#This Row],[Caste]]&amp;Table1[[#This Row],[Q18: Gender]],Factor!$W$1:$X$23,2,0)</f>
        <v>1.4498195615503471</v>
      </c>
      <c r="AN14">
        <f>VLOOKUP(Table1[[#This Row],[Taluka]]&amp;Table1[[#This Row],[Caste]]&amp;Table1[[#This Row],[Q18: Gender]],Factor!$AK$4:$AL$93,2,0)</f>
        <v>1.1406808021363586</v>
      </c>
      <c r="AO14">
        <f t="shared" si="0"/>
        <v>-1</v>
      </c>
      <c r="AP14">
        <f t="shared" si="1"/>
        <v>-1</v>
      </c>
      <c r="AQ14">
        <f t="shared" si="2"/>
        <v>-1</v>
      </c>
      <c r="AR14">
        <f t="shared" si="3"/>
        <v>-1</v>
      </c>
      <c r="AS14">
        <f t="shared" si="4"/>
        <v>1</v>
      </c>
      <c r="AT14">
        <f t="shared" si="5"/>
        <v>-1</v>
      </c>
      <c r="AU14">
        <f t="shared" si="6"/>
        <v>-4.5</v>
      </c>
      <c r="AV14">
        <f>SUM(Table1[[#This Row],[Satis]:[29]])</f>
        <v>-4</v>
      </c>
      <c r="AW14">
        <f t="shared" si="7"/>
        <v>-3</v>
      </c>
      <c r="AX14">
        <f t="shared" si="8"/>
        <v>-2</v>
      </c>
      <c r="AY14">
        <f t="shared" si="9"/>
        <v>-2</v>
      </c>
      <c r="AZ14" t="str">
        <f t="shared" si="10"/>
        <v>Neutral TDP</v>
      </c>
    </row>
    <row r="15" spans="1:52" x14ac:dyDescent="0.3">
      <c r="A15" t="s">
        <v>150</v>
      </c>
      <c r="B15" s="94">
        <v>46041</v>
      </c>
      <c r="C15" t="s">
        <v>151</v>
      </c>
      <c r="D15" t="s">
        <v>152</v>
      </c>
      <c r="E15" t="s">
        <v>124</v>
      </c>
      <c r="F15" t="s">
        <v>35</v>
      </c>
      <c r="G15" t="s">
        <v>39</v>
      </c>
      <c r="H15" t="s">
        <v>153</v>
      </c>
      <c r="I15" t="s">
        <v>36</v>
      </c>
      <c r="J15" t="s">
        <v>37</v>
      </c>
      <c r="K15" t="s">
        <v>38</v>
      </c>
      <c r="L15" t="s">
        <v>75</v>
      </c>
      <c r="M15" t="s">
        <v>51</v>
      </c>
      <c r="N15" t="s">
        <v>63</v>
      </c>
      <c r="O15" t="s">
        <v>154</v>
      </c>
      <c r="P15">
        <v>9505955945</v>
      </c>
      <c r="Q15" t="s">
        <v>54</v>
      </c>
      <c r="R15" t="s">
        <v>139</v>
      </c>
      <c r="S15" t="s">
        <v>43</v>
      </c>
      <c r="T15" t="s">
        <v>43</v>
      </c>
      <c r="U15" t="s">
        <v>90</v>
      </c>
      <c r="V15" t="s">
        <v>45</v>
      </c>
      <c r="W15" t="s">
        <v>5049</v>
      </c>
      <c r="X15" t="s">
        <v>45</v>
      </c>
      <c r="Y15" t="s">
        <v>46</v>
      </c>
      <c r="Z15" t="s">
        <v>47</v>
      </c>
      <c r="AA15" t="s">
        <v>48</v>
      </c>
      <c r="AB15" t="s">
        <v>49</v>
      </c>
      <c r="AC15" t="s">
        <v>49</v>
      </c>
      <c r="AD15" t="s">
        <v>184</v>
      </c>
      <c r="AE15" t="s">
        <v>185</v>
      </c>
      <c r="AF15">
        <v>0</v>
      </c>
      <c r="AG15" t="s">
        <v>196</v>
      </c>
      <c r="AH15">
        <f>VLOOKUP(Table1[[#This Row],[Caste]],Factor!$H$1:$K$13,4,0)</f>
        <v>1.1705128247062893</v>
      </c>
      <c r="AI1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5">
        <f>Table1[[#This Row],[Factor_1]]*Table1[[#This Row],[2024 Factor]]</f>
        <v>0.86308903171383233</v>
      </c>
      <c r="AK15">
        <f>VLOOKUP(Table1[[#This Row],[Q18: Gender]],Factor!$A$33:$E$35,5,0)</f>
        <v>0.85034013605442171</v>
      </c>
      <c r="AL15">
        <f>VLOOKUP(Table1[[#This Row],[Taluka]],Factor!$A$42:$G$46,7,0)</f>
        <v>0.75433779645928134</v>
      </c>
      <c r="AM15">
        <f>VLOOKUP(Table1[[#This Row],[Caste]]&amp;Table1[[#This Row],[Q18: Gender]],Factor!$W$1:$X$23,2,0)</f>
        <v>0.79950206330384943</v>
      </c>
      <c r="AN15">
        <f>VLOOKUP(Table1[[#This Row],[Taluka]]&amp;Table1[[#This Row],[Caste]]&amp;Table1[[#This Row],[Q18: Gender]],Factor!$AK$4:$AL$93,2,0)</f>
        <v>0.40257772387792479</v>
      </c>
      <c r="AO15">
        <f t="shared" si="0"/>
        <v>-1</v>
      </c>
      <c r="AP15">
        <f t="shared" si="1"/>
        <v>1</v>
      </c>
      <c r="AQ15">
        <f t="shared" si="2"/>
        <v>-1</v>
      </c>
      <c r="AR15">
        <f t="shared" si="3"/>
        <v>-1</v>
      </c>
      <c r="AS15">
        <f t="shared" si="4"/>
        <v>-1</v>
      </c>
      <c r="AT15">
        <f t="shared" si="5"/>
        <v>-1</v>
      </c>
      <c r="AU15">
        <f t="shared" si="6"/>
        <v>-3.5</v>
      </c>
      <c r="AV15">
        <f>SUM(Table1[[#This Row],[Satis]:[29]])</f>
        <v>-4</v>
      </c>
      <c r="AW15">
        <f t="shared" si="7"/>
        <v>-5</v>
      </c>
      <c r="AX15">
        <f t="shared" si="8"/>
        <v>-4</v>
      </c>
      <c r="AY15">
        <f t="shared" si="9"/>
        <v>-3</v>
      </c>
      <c r="AZ15" t="str">
        <f t="shared" si="10"/>
        <v>TDP Sympathiser</v>
      </c>
    </row>
    <row r="16" spans="1:52" x14ac:dyDescent="0.3">
      <c r="A16" t="s">
        <v>155</v>
      </c>
      <c r="B16" s="94">
        <v>46041</v>
      </c>
      <c r="C16" t="s">
        <v>156</v>
      </c>
      <c r="D16" t="s">
        <v>157</v>
      </c>
      <c r="E16" t="s">
        <v>158</v>
      </c>
      <c r="F16" t="s">
        <v>35</v>
      </c>
      <c r="G16" t="s">
        <v>39</v>
      </c>
      <c r="H16" t="s">
        <v>160</v>
      </c>
      <c r="I16" t="s">
        <v>159</v>
      </c>
      <c r="J16" t="s">
        <v>37</v>
      </c>
      <c r="K16" t="s">
        <v>38</v>
      </c>
      <c r="L16" t="s">
        <v>161</v>
      </c>
      <c r="M16" t="s">
        <v>51</v>
      </c>
      <c r="N16" t="s">
        <v>162</v>
      </c>
      <c r="O16" t="s">
        <v>163</v>
      </c>
      <c r="P16">
        <v>9515863855</v>
      </c>
      <c r="Q16" t="s">
        <v>54</v>
      </c>
      <c r="R16" t="s">
        <v>139</v>
      </c>
      <c r="S16" t="s">
        <v>43</v>
      </c>
      <c r="T16" t="s">
        <v>43</v>
      </c>
      <c r="U16" t="s">
        <v>90</v>
      </c>
      <c r="V16" t="s">
        <v>45</v>
      </c>
      <c r="W16" t="s">
        <v>5049</v>
      </c>
      <c r="X16" t="s">
        <v>45</v>
      </c>
      <c r="Y16" t="s">
        <v>46</v>
      </c>
      <c r="Z16" t="s">
        <v>47</v>
      </c>
      <c r="AA16" t="s">
        <v>48</v>
      </c>
      <c r="AB16" t="s">
        <v>49</v>
      </c>
      <c r="AC16" t="s">
        <v>49</v>
      </c>
      <c r="AD16" t="s">
        <v>184</v>
      </c>
      <c r="AE16" t="s">
        <v>185</v>
      </c>
      <c r="AF16">
        <v>0</v>
      </c>
      <c r="AG16" t="s">
        <v>196</v>
      </c>
      <c r="AH16">
        <f>VLOOKUP(Table1[[#This Row],[Caste]],Factor!$H$1:$K$13,4,0)</f>
        <v>2.1852575402829908</v>
      </c>
      <c r="AI1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6">
        <f>Table1[[#This Row],[Factor_1]]*Table1[[#This Row],[2024 Factor]]</f>
        <v>1.7037641797963405</v>
      </c>
      <c r="AK16">
        <f>VLOOKUP(Table1[[#This Row],[Q18: Gender]],Factor!$A$33:$E$35,5,0)</f>
        <v>0.85034013605442171</v>
      </c>
      <c r="AL16">
        <f>VLOOKUP(Table1[[#This Row],[Taluka]],Factor!$A$42:$G$46,7,0)</f>
        <v>0.75433779645928134</v>
      </c>
      <c r="AM16">
        <f>VLOOKUP(Table1[[#This Row],[Caste]]&amp;Table1[[#This Row],[Q18: Gender]],Factor!$W$1:$X$23,2,0)</f>
        <v>1.5782415568710491</v>
      </c>
      <c r="AN16">
        <f>VLOOKUP(Table1[[#This Row],[Taluka]]&amp;Table1[[#This Row],[Caste]]&amp;Table1[[#This Row],[Q18: Gender]],Factor!$AK$4:$AL$93,2,0)</f>
        <v>0.79824852668382895</v>
      </c>
      <c r="AO16">
        <f t="shared" si="0"/>
        <v>-1</v>
      </c>
      <c r="AP16">
        <f t="shared" si="1"/>
        <v>1</v>
      </c>
      <c r="AQ16">
        <f t="shared" si="2"/>
        <v>-1</v>
      </c>
      <c r="AR16">
        <f t="shared" si="3"/>
        <v>-1</v>
      </c>
      <c r="AS16">
        <f t="shared" si="4"/>
        <v>-1</v>
      </c>
      <c r="AT16">
        <f t="shared" si="5"/>
        <v>-1</v>
      </c>
      <c r="AU16">
        <f t="shared" si="6"/>
        <v>-3.5</v>
      </c>
      <c r="AV16">
        <f>SUM(Table1[[#This Row],[Satis]:[29]])</f>
        <v>-4</v>
      </c>
      <c r="AW16">
        <f t="shared" si="7"/>
        <v>-5</v>
      </c>
      <c r="AX16">
        <f t="shared" si="8"/>
        <v>-4</v>
      </c>
      <c r="AY16">
        <f t="shared" si="9"/>
        <v>-3</v>
      </c>
      <c r="AZ16" t="str">
        <f t="shared" si="10"/>
        <v>TDP Sympathiser</v>
      </c>
    </row>
    <row r="17" spans="1:52" x14ac:dyDescent="0.3">
      <c r="A17" t="s">
        <v>164</v>
      </c>
      <c r="B17" s="94">
        <v>46041</v>
      </c>
      <c r="C17" t="s">
        <v>165</v>
      </c>
      <c r="D17" t="s">
        <v>166</v>
      </c>
      <c r="E17" t="s">
        <v>167</v>
      </c>
      <c r="F17" t="s">
        <v>35</v>
      </c>
      <c r="G17" t="s">
        <v>39</v>
      </c>
      <c r="H17" t="s">
        <v>169</v>
      </c>
      <c r="I17" t="s">
        <v>168</v>
      </c>
      <c r="J17" t="s">
        <v>37</v>
      </c>
      <c r="K17" t="s">
        <v>38</v>
      </c>
      <c r="L17" t="s">
        <v>170</v>
      </c>
      <c r="M17" t="s">
        <v>51</v>
      </c>
      <c r="N17" t="s">
        <v>162</v>
      </c>
      <c r="O17" t="s">
        <v>171</v>
      </c>
      <c r="P17">
        <v>9392359646</v>
      </c>
      <c r="Q17" t="s">
        <v>54</v>
      </c>
      <c r="R17" t="s">
        <v>61</v>
      </c>
      <c r="S17" t="s">
        <v>43</v>
      </c>
      <c r="T17" t="s">
        <v>43</v>
      </c>
      <c r="U17" t="s">
        <v>44</v>
      </c>
      <c r="V17" t="s">
        <v>45</v>
      </c>
      <c r="W17" t="s">
        <v>5043</v>
      </c>
      <c r="X17" t="s">
        <v>45</v>
      </c>
      <c r="Y17" t="s">
        <v>46</v>
      </c>
      <c r="Z17" t="s">
        <v>47</v>
      </c>
      <c r="AA17" t="s">
        <v>48</v>
      </c>
      <c r="AB17" t="s">
        <v>49</v>
      </c>
      <c r="AC17" t="s">
        <v>49</v>
      </c>
      <c r="AD17" t="s">
        <v>184</v>
      </c>
      <c r="AE17" t="s">
        <v>187</v>
      </c>
      <c r="AF17" t="s">
        <v>192</v>
      </c>
      <c r="AG17" t="s">
        <v>498</v>
      </c>
      <c r="AH17">
        <f>VLOOKUP(Table1[[#This Row],[Caste]],Factor!$H$1:$K$13,4,0)</f>
        <v>1.0478809952686368</v>
      </c>
      <c r="AI1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7">
        <f>Table1[[#This Row],[Factor_1]]*Table1[[#This Row],[2024 Factor]]</f>
        <v>0.8266624780172348</v>
      </c>
      <c r="AK17">
        <f>VLOOKUP(Table1[[#This Row],[Q18: Gender]],Factor!$A$33:$E$35,5,0)</f>
        <v>0.85034013605442171</v>
      </c>
      <c r="AL17">
        <f>VLOOKUP(Table1[[#This Row],[Taluka]],Factor!$A$42:$G$46,7,0)</f>
        <v>0.75433779645928134</v>
      </c>
      <c r="AM17">
        <f>VLOOKUP(Table1[[#This Row],[Caste]]&amp;Table1[[#This Row],[Q18: Gender]],Factor!$W$1:$X$23,2,0)</f>
        <v>0.7657591888501577</v>
      </c>
      <c r="AN17">
        <f>VLOOKUP(Table1[[#This Row],[Taluka]]&amp;Table1[[#This Row],[Caste]]&amp;Table1[[#This Row],[Q18: Gender]],Factor!$AK$4:$AL$93,2,0)</f>
        <v>0.22377816180516033</v>
      </c>
      <c r="AO17">
        <f t="shared" si="0"/>
        <v>-1</v>
      </c>
      <c r="AP17">
        <f t="shared" si="1"/>
        <v>-1</v>
      </c>
      <c r="AQ17">
        <f t="shared" si="2"/>
        <v>-1</v>
      </c>
      <c r="AR17">
        <f t="shared" si="3"/>
        <v>-1</v>
      </c>
      <c r="AS17">
        <f t="shared" si="4"/>
        <v>-1</v>
      </c>
      <c r="AT17">
        <f t="shared" si="5"/>
        <v>-1</v>
      </c>
      <c r="AU17">
        <f t="shared" si="6"/>
        <v>-5.5</v>
      </c>
      <c r="AV17">
        <f>SUM(Table1[[#This Row],[Satis]:[29]])</f>
        <v>-6</v>
      </c>
      <c r="AW17">
        <f t="shared" si="7"/>
        <v>-5</v>
      </c>
      <c r="AX17">
        <f t="shared" si="8"/>
        <v>-4</v>
      </c>
      <c r="AY17">
        <f t="shared" si="9"/>
        <v>-3</v>
      </c>
      <c r="AZ17" t="str">
        <f t="shared" si="10"/>
        <v>TDP HardCore</v>
      </c>
    </row>
    <row r="18" spans="1:52" x14ac:dyDescent="0.3">
      <c r="A18" t="s">
        <v>172</v>
      </c>
      <c r="B18" s="94">
        <v>46041</v>
      </c>
      <c r="C18" t="s">
        <v>173</v>
      </c>
      <c r="D18" t="s">
        <v>174</v>
      </c>
      <c r="E18" t="s">
        <v>124</v>
      </c>
      <c r="F18" t="s">
        <v>35</v>
      </c>
      <c r="G18" t="s">
        <v>39</v>
      </c>
      <c r="H18" t="s">
        <v>175</v>
      </c>
      <c r="I18" t="s">
        <v>36</v>
      </c>
      <c r="J18" t="s">
        <v>37</v>
      </c>
      <c r="K18" t="s">
        <v>38</v>
      </c>
      <c r="L18" t="s">
        <v>170</v>
      </c>
      <c r="M18" t="s">
        <v>51</v>
      </c>
      <c r="N18" t="s">
        <v>162</v>
      </c>
      <c r="O18" t="s">
        <v>176</v>
      </c>
      <c r="P18">
        <v>9505912853</v>
      </c>
      <c r="Q18" t="s">
        <v>54</v>
      </c>
      <c r="R18" t="s">
        <v>73</v>
      </c>
      <c r="S18" t="s">
        <v>43</v>
      </c>
      <c r="T18" t="s">
        <v>43</v>
      </c>
      <c r="U18" t="s">
        <v>90</v>
      </c>
      <c r="V18" t="s">
        <v>45</v>
      </c>
      <c r="W18" t="s">
        <v>5050</v>
      </c>
      <c r="X18" t="s">
        <v>45</v>
      </c>
      <c r="Y18" t="s">
        <v>46</v>
      </c>
      <c r="Z18" t="s">
        <v>47</v>
      </c>
      <c r="AA18" t="s">
        <v>48</v>
      </c>
      <c r="AB18" t="s">
        <v>49</v>
      </c>
      <c r="AC18" t="s">
        <v>49</v>
      </c>
      <c r="AD18" t="s">
        <v>184</v>
      </c>
      <c r="AE18" t="s">
        <v>189</v>
      </c>
      <c r="AF18" t="s">
        <v>193</v>
      </c>
      <c r="AG18" t="s">
        <v>196</v>
      </c>
      <c r="AH18">
        <f>VLOOKUP(Table1[[#This Row],[Caste]],Factor!$H$1:$K$13,4,0)</f>
        <v>1.1705128247062893</v>
      </c>
      <c r="AI1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8">
        <f>Table1[[#This Row],[Factor_1]]*Table1[[#This Row],[2024 Factor]]</f>
        <v>0.86308903171383233</v>
      </c>
      <c r="AK18">
        <f>VLOOKUP(Table1[[#This Row],[Q18: Gender]],Factor!$A$33:$E$35,5,0)</f>
        <v>0.85034013605442171</v>
      </c>
      <c r="AL18">
        <f>VLOOKUP(Table1[[#This Row],[Taluka]],Factor!$A$42:$G$46,7,0)</f>
        <v>0.75433779645928134</v>
      </c>
      <c r="AM18">
        <f>VLOOKUP(Table1[[#This Row],[Caste]]&amp;Table1[[#This Row],[Q18: Gender]],Factor!$W$1:$X$23,2,0)</f>
        <v>0.79950206330384943</v>
      </c>
      <c r="AN18">
        <f>VLOOKUP(Table1[[#This Row],[Taluka]]&amp;Table1[[#This Row],[Caste]]&amp;Table1[[#This Row],[Q18: Gender]],Factor!$AK$4:$AL$93,2,0)</f>
        <v>0.40257772387792479</v>
      </c>
      <c r="AO18">
        <f t="shared" si="0"/>
        <v>-1</v>
      </c>
      <c r="AP18">
        <f t="shared" si="1"/>
        <v>1</v>
      </c>
      <c r="AQ18">
        <f t="shared" si="2"/>
        <v>-1</v>
      </c>
      <c r="AR18">
        <f t="shared" si="3"/>
        <v>-1</v>
      </c>
      <c r="AS18">
        <f t="shared" si="4"/>
        <v>-1</v>
      </c>
      <c r="AT18">
        <f t="shared" si="5"/>
        <v>-1</v>
      </c>
      <c r="AU18">
        <f t="shared" si="6"/>
        <v>-3.5</v>
      </c>
      <c r="AV18">
        <f>SUM(Table1[[#This Row],[Satis]:[29]])</f>
        <v>-4</v>
      </c>
      <c r="AW18">
        <f t="shared" si="7"/>
        <v>-5</v>
      </c>
      <c r="AX18">
        <f t="shared" si="8"/>
        <v>-4</v>
      </c>
      <c r="AY18">
        <f t="shared" si="9"/>
        <v>-3</v>
      </c>
      <c r="AZ18" t="str">
        <f t="shared" si="10"/>
        <v>TDP Sympathiser</v>
      </c>
    </row>
    <row r="19" spans="1:52" x14ac:dyDescent="0.3">
      <c r="A19" t="s">
        <v>177</v>
      </c>
      <c r="B19" s="94">
        <v>46041</v>
      </c>
      <c r="C19" t="s">
        <v>178</v>
      </c>
      <c r="D19" t="s">
        <v>179</v>
      </c>
      <c r="E19" t="s">
        <v>144</v>
      </c>
      <c r="F19" t="s">
        <v>35</v>
      </c>
      <c r="G19" t="s">
        <v>39</v>
      </c>
      <c r="H19" t="s">
        <v>180</v>
      </c>
      <c r="I19" t="s">
        <v>159</v>
      </c>
      <c r="J19" t="s">
        <v>37</v>
      </c>
      <c r="K19" t="s">
        <v>38</v>
      </c>
      <c r="L19" t="s">
        <v>82</v>
      </c>
      <c r="M19" t="s">
        <v>51</v>
      </c>
      <c r="N19" t="s">
        <v>52</v>
      </c>
      <c r="O19" t="s">
        <v>181</v>
      </c>
      <c r="P19">
        <v>9676008987</v>
      </c>
      <c r="Q19" t="s">
        <v>54</v>
      </c>
      <c r="R19" t="s">
        <v>139</v>
      </c>
      <c r="S19" t="s">
        <v>43</v>
      </c>
      <c r="T19" t="s">
        <v>43</v>
      </c>
      <c r="U19" t="s">
        <v>44</v>
      </c>
      <c r="V19" t="s">
        <v>45</v>
      </c>
      <c r="W19" t="s">
        <v>5051</v>
      </c>
      <c r="X19" t="s">
        <v>45</v>
      </c>
      <c r="Y19" t="s">
        <v>46</v>
      </c>
      <c r="Z19" t="s">
        <v>47</v>
      </c>
      <c r="AA19" t="s">
        <v>48</v>
      </c>
      <c r="AB19" t="s">
        <v>49</v>
      </c>
      <c r="AC19" t="s">
        <v>49</v>
      </c>
      <c r="AD19" t="s">
        <v>184</v>
      </c>
      <c r="AE19" t="s">
        <v>191</v>
      </c>
      <c r="AF19">
        <v>0</v>
      </c>
      <c r="AG19" t="s">
        <v>498</v>
      </c>
      <c r="AH19">
        <f>VLOOKUP(Table1[[#This Row],[Caste]],Factor!$H$1:$K$13,4,0)</f>
        <v>2.1852575402829908</v>
      </c>
      <c r="AI1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9">
        <f>Table1[[#This Row],[Factor_1]]*Table1[[#This Row],[2024 Factor]]</f>
        <v>1.7037641797963405</v>
      </c>
      <c r="AK19">
        <f>VLOOKUP(Table1[[#This Row],[Q18: Gender]],Factor!$A$33:$E$35,5,0)</f>
        <v>0.85034013605442171</v>
      </c>
      <c r="AL19">
        <f>VLOOKUP(Table1[[#This Row],[Taluka]],Factor!$A$42:$G$46,7,0)</f>
        <v>0.75433779645928134</v>
      </c>
      <c r="AM19">
        <f>VLOOKUP(Table1[[#This Row],[Caste]]&amp;Table1[[#This Row],[Q18: Gender]],Factor!$W$1:$X$23,2,0)</f>
        <v>1.5782415568710491</v>
      </c>
      <c r="AN19">
        <f>VLOOKUP(Table1[[#This Row],[Taluka]]&amp;Table1[[#This Row],[Caste]]&amp;Table1[[#This Row],[Q18: Gender]],Factor!$AK$4:$AL$93,2,0)</f>
        <v>0.79824852668382895</v>
      </c>
      <c r="AO19">
        <f t="shared" si="0"/>
        <v>-1</v>
      </c>
      <c r="AP19">
        <f t="shared" si="1"/>
        <v>-1</v>
      </c>
      <c r="AQ19">
        <f t="shared" si="2"/>
        <v>-1</v>
      </c>
      <c r="AR19">
        <f t="shared" si="3"/>
        <v>-1</v>
      </c>
      <c r="AS19">
        <f t="shared" si="4"/>
        <v>-1</v>
      </c>
      <c r="AT19">
        <f t="shared" si="5"/>
        <v>-1</v>
      </c>
      <c r="AU19">
        <f t="shared" si="6"/>
        <v>-5.5</v>
      </c>
      <c r="AV19">
        <f>SUM(Table1[[#This Row],[Satis]:[29]])</f>
        <v>-6</v>
      </c>
      <c r="AW19">
        <f t="shared" si="7"/>
        <v>-5</v>
      </c>
      <c r="AX19">
        <f t="shared" si="8"/>
        <v>-4</v>
      </c>
      <c r="AY19">
        <f t="shared" si="9"/>
        <v>-3</v>
      </c>
      <c r="AZ19" t="str">
        <f t="shared" si="10"/>
        <v>TDP HardCore</v>
      </c>
    </row>
    <row r="20" spans="1:52" x14ac:dyDescent="0.3">
      <c r="A20" t="s">
        <v>364</v>
      </c>
      <c r="B20" s="94">
        <v>46042</v>
      </c>
      <c r="C20" t="s">
        <v>365</v>
      </c>
      <c r="D20" t="s">
        <v>366</v>
      </c>
      <c r="E20" t="s">
        <v>367</v>
      </c>
      <c r="F20" t="s">
        <v>307</v>
      </c>
      <c r="G20" t="s">
        <v>39</v>
      </c>
      <c r="H20" t="s">
        <v>368</v>
      </c>
      <c r="I20" t="s">
        <v>70</v>
      </c>
      <c r="J20" t="s">
        <v>37</v>
      </c>
      <c r="K20" t="s">
        <v>80</v>
      </c>
      <c r="L20" t="s">
        <v>170</v>
      </c>
      <c r="M20" t="s">
        <v>51</v>
      </c>
      <c r="N20" t="s">
        <v>162</v>
      </c>
      <c r="O20" t="s">
        <v>370</v>
      </c>
      <c r="P20">
        <v>9908564085</v>
      </c>
      <c r="Q20" t="s">
        <v>54</v>
      </c>
      <c r="R20" t="s">
        <v>132</v>
      </c>
      <c r="S20" t="s">
        <v>89</v>
      </c>
      <c r="T20" t="s">
        <v>89</v>
      </c>
      <c r="U20" t="s">
        <v>90</v>
      </c>
      <c r="V20" t="s">
        <v>91</v>
      </c>
      <c r="W20" t="s">
        <v>369</v>
      </c>
      <c r="X20" t="s">
        <v>91</v>
      </c>
      <c r="Y20" t="s">
        <v>46</v>
      </c>
      <c r="Z20" t="s">
        <v>92</v>
      </c>
      <c r="AA20" t="s">
        <v>92</v>
      </c>
      <c r="AB20" t="s">
        <v>93</v>
      </c>
      <c r="AC20" t="s">
        <v>94</v>
      </c>
      <c r="AD20" t="s">
        <v>184</v>
      </c>
      <c r="AE20" t="s">
        <v>185</v>
      </c>
      <c r="AF20">
        <v>0</v>
      </c>
      <c r="AG20" t="s">
        <v>196</v>
      </c>
      <c r="AH20">
        <f>VLOOKUP(Table1[[#This Row],[Caste]],Factor!$H$1:$K$13,4,0)</f>
        <v>1.3836274505214585</v>
      </c>
      <c r="AI20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20">
        <f>Table1[[#This Row],[Factor_1]]*Table1[[#This Row],[2024 Factor]]</f>
        <v>1.9482662206881376</v>
      </c>
      <c r="AK20">
        <f>VLOOKUP(Table1[[#This Row],[Q18: Gender]],Factor!$A$33:$E$35,5,0)</f>
        <v>0.85034013605442171</v>
      </c>
      <c r="AL20">
        <f>VLOOKUP(Table1[[#This Row],[Taluka]],Factor!$A$42:$G$46,7,0)</f>
        <v>0.75433779645928134</v>
      </c>
      <c r="AM20">
        <f>VLOOKUP(Table1[[#This Row],[Caste]]&amp;Table1[[#This Row],[Q18: Gender]],Factor!$W$1:$X$23,2,0)</f>
        <v>1.0790228998469584</v>
      </c>
      <c r="AN20">
        <f>VLOOKUP(Table1[[#This Row],[Taluka]]&amp;Table1[[#This Row],[Caste]]&amp;Table1[[#This Row],[Q18: Gender]],Factor!$AK$4:$AL$93,2,0)</f>
        <v>0.52423486800867025</v>
      </c>
      <c r="AO20">
        <f t="shared" si="0"/>
        <v>1</v>
      </c>
      <c r="AP20">
        <f t="shared" si="1"/>
        <v>1</v>
      </c>
      <c r="AQ20">
        <f t="shared" si="2"/>
        <v>1</v>
      </c>
      <c r="AR20">
        <f t="shared" si="3"/>
        <v>1</v>
      </c>
      <c r="AS20">
        <f t="shared" si="4"/>
        <v>1</v>
      </c>
      <c r="AT20">
        <f t="shared" si="5"/>
        <v>1</v>
      </c>
      <c r="AU20">
        <f t="shared" si="6"/>
        <v>5.5</v>
      </c>
      <c r="AV20">
        <f>SUM(Table1[[#This Row],[Satis]:[29]])</f>
        <v>6</v>
      </c>
      <c r="AW20">
        <f t="shared" si="7"/>
        <v>5</v>
      </c>
      <c r="AX20">
        <f t="shared" si="8"/>
        <v>4</v>
      </c>
      <c r="AY20">
        <f t="shared" si="9"/>
        <v>3</v>
      </c>
      <c r="AZ20" t="str">
        <f t="shared" si="10"/>
        <v>YSRCP HardCore</v>
      </c>
    </row>
    <row r="21" spans="1:52" x14ac:dyDescent="0.3">
      <c r="A21" t="s">
        <v>244</v>
      </c>
      <c r="B21" s="94">
        <v>46042</v>
      </c>
      <c r="C21" t="s">
        <v>245</v>
      </c>
      <c r="D21" t="s">
        <v>246</v>
      </c>
      <c r="E21" t="s">
        <v>247</v>
      </c>
      <c r="F21" t="s">
        <v>240</v>
      </c>
      <c r="G21" t="s">
        <v>39</v>
      </c>
      <c r="H21" t="s">
        <v>248</v>
      </c>
      <c r="I21" t="s">
        <v>59</v>
      </c>
      <c r="J21" t="s">
        <v>37</v>
      </c>
      <c r="K21" t="s">
        <v>212</v>
      </c>
      <c r="L21" t="s">
        <v>50</v>
      </c>
      <c r="M21" t="s">
        <v>51</v>
      </c>
      <c r="N21" t="s">
        <v>63</v>
      </c>
      <c r="O21" t="s">
        <v>249</v>
      </c>
      <c r="P21">
        <v>7013001857</v>
      </c>
      <c r="Q21" t="s">
        <v>54</v>
      </c>
      <c r="R21" t="s">
        <v>61</v>
      </c>
      <c r="S21" t="s">
        <v>43</v>
      </c>
      <c r="T21" t="s">
        <v>43</v>
      </c>
      <c r="U21" t="s">
        <v>90</v>
      </c>
      <c r="V21" t="s">
        <v>45</v>
      </c>
      <c r="W21" t="s">
        <v>5039</v>
      </c>
      <c r="X21" t="s">
        <v>45</v>
      </c>
      <c r="Y21" t="s">
        <v>46</v>
      </c>
      <c r="Z21" t="s">
        <v>47</v>
      </c>
      <c r="AA21" t="s">
        <v>48</v>
      </c>
      <c r="AB21" t="s">
        <v>49</v>
      </c>
      <c r="AC21" t="s">
        <v>49</v>
      </c>
      <c r="AD21" t="s">
        <v>481</v>
      </c>
      <c r="AE21" t="s">
        <v>189</v>
      </c>
      <c r="AF21" t="s">
        <v>482</v>
      </c>
      <c r="AG21" t="s">
        <v>196</v>
      </c>
      <c r="AH21">
        <f>VLOOKUP(Table1[[#This Row],[Caste]],Factor!$H$1:$K$13,4,0)</f>
        <v>1.1461625511156397</v>
      </c>
      <c r="AI2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1">
        <f>Table1[[#This Row],[Factor_1]]*Table1[[#This Row],[2024 Factor]]</f>
        <v>0.77721139583220644</v>
      </c>
      <c r="AK21">
        <f>VLOOKUP(Table1[[#This Row],[Q18: Gender]],Factor!$A$33:$E$35,5,0)</f>
        <v>0.85034013605442171</v>
      </c>
      <c r="AL21">
        <f>VLOOKUP(Table1[[#This Row],[Taluka]],Factor!$A$42:$G$46,7,0)</f>
        <v>0.75433779645928134</v>
      </c>
      <c r="AM21">
        <f>VLOOKUP(Table1[[#This Row],[Caste]]&amp;Table1[[#This Row],[Q18: Gender]],Factor!$W$1:$X$23,2,0)</f>
        <v>0.71995135120329123</v>
      </c>
      <c r="AN21">
        <f>VLOOKUP(Table1[[#This Row],[Taluka]]&amp;Table1[[#This Row],[Caste]]&amp;Table1[[#This Row],[Q18: Gender]],Factor!$AK$4:$AL$93,2,0)</f>
        <v>0.55527787174877274</v>
      </c>
      <c r="AO21">
        <f t="shared" si="0"/>
        <v>-1</v>
      </c>
      <c r="AP21">
        <f t="shared" si="1"/>
        <v>1</v>
      </c>
      <c r="AQ21">
        <f t="shared" si="2"/>
        <v>-1</v>
      </c>
      <c r="AR21">
        <f t="shared" si="3"/>
        <v>-1</v>
      </c>
      <c r="AS21">
        <f t="shared" si="4"/>
        <v>-1</v>
      </c>
      <c r="AT21">
        <f t="shared" si="5"/>
        <v>-1</v>
      </c>
      <c r="AU21">
        <f t="shared" si="6"/>
        <v>-3.5</v>
      </c>
      <c r="AV21">
        <f>SUM(Table1[[#This Row],[Satis]:[29]])</f>
        <v>-4</v>
      </c>
      <c r="AW21">
        <f t="shared" si="7"/>
        <v>-5</v>
      </c>
      <c r="AX21">
        <f t="shared" si="8"/>
        <v>-4</v>
      </c>
      <c r="AY21">
        <f t="shared" si="9"/>
        <v>-3</v>
      </c>
      <c r="AZ21" t="str">
        <f t="shared" si="10"/>
        <v>TDP Sympathiser</v>
      </c>
    </row>
    <row r="22" spans="1:52" x14ac:dyDescent="0.3">
      <c r="A22" t="s">
        <v>250</v>
      </c>
      <c r="B22" s="94">
        <v>46042</v>
      </c>
      <c r="C22" t="s">
        <v>251</v>
      </c>
      <c r="D22" t="s">
        <v>252</v>
      </c>
      <c r="E22" t="s">
        <v>253</v>
      </c>
      <c r="F22" t="s">
        <v>240</v>
      </c>
      <c r="G22" t="s">
        <v>39</v>
      </c>
      <c r="H22" t="s">
        <v>254</v>
      </c>
      <c r="I22" t="s">
        <v>70</v>
      </c>
      <c r="J22" t="s">
        <v>37</v>
      </c>
      <c r="K22" t="s">
        <v>212</v>
      </c>
      <c r="L22" t="s">
        <v>62</v>
      </c>
      <c r="M22" t="s">
        <v>51</v>
      </c>
      <c r="N22" t="s">
        <v>107</v>
      </c>
      <c r="O22" t="s">
        <v>255</v>
      </c>
      <c r="P22">
        <v>9999999999</v>
      </c>
      <c r="Q22" t="s">
        <v>54</v>
      </c>
      <c r="R22" t="s">
        <v>42</v>
      </c>
      <c r="S22" t="s">
        <v>43</v>
      </c>
      <c r="T22" t="s">
        <v>43</v>
      </c>
      <c r="U22" t="s">
        <v>44</v>
      </c>
      <c r="V22" t="s">
        <v>45</v>
      </c>
      <c r="W22" t="s">
        <v>74</v>
      </c>
      <c r="X22" t="s">
        <v>45</v>
      </c>
      <c r="Y22" t="s">
        <v>46</v>
      </c>
      <c r="Z22" t="s">
        <v>47</v>
      </c>
      <c r="AA22" t="s">
        <v>48</v>
      </c>
      <c r="AB22" t="s">
        <v>49</v>
      </c>
      <c r="AC22" t="s">
        <v>49</v>
      </c>
      <c r="AD22" t="s">
        <v>481</v>
      </c>
      <c r="AE22" t="s">
        <v>189</v>
      </c>
      <c r="AF22" t="s">
        <v>483</v>
      </c>
      <c r="AG22" t="s">
        <v>196</v>
      </c>
      <c r="AH22">
        <f>VLOOKUP(Table1[[#This Row],[Caste]],Factor!$H$1:$K$13,4,0)</f>
        <v>1.3836274505214585</v>
      </c>
      <c r="AI2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2">
        <f>Table1[[#This Row],[Factor_1]]*Table1[[#This Row],[2024 Factor]]</f>
        <v>1.1648410586678206</v>
      </c>
      <c r="AK22">
        <f>VLOOKUP(Table1[[#This Row],[Q18: Gender]],Factor!$A$33:$E$35,5,0)</f>
        <v>0.85034013605442171</v>
      </c>
      <c r="AL22">
        <f>VLOOKUP(Table1[[#This Row],[Taluka]],Factor!$A$42:$G$46,7,0)</f>
        <v>0.75433779645928134</v>
      </c>
      <c r="AM22">
        <f>VLOOKUP(Table1[[#This Row],[Caste]]&amp;Table1[[#This Row],[Q18: Gender]],Factor!$W$1:$X$23,2,0)</f>
        <v>1.0790228998469584</v>
      </c>
      <c r="AN22">
        <f>VLOOKUP(Table1[[#This Row],[Taluka]]&amp;Table1[[#This Row],[Caste]]&amp;Table1[[#This Row],[Q18: Gender]],Factor!$AK$4:$AL$93,2,0)</f>
        <v>0.52423486800867025</v>
      </c>
      <c r="AO22">
        <f t="shared" si="0"/>
        <v>-1</v>
      </c>
      <c r="AP22">
        <f t="shared" si="1"/>
        <v>-1</v>
      </c>
      <c r="AQ22">
        <f t="shared" si="2"/>
        <v>-1</v>
      </c>
      <c r="AR22">
        <f t="shared" si="3"/>
        <v>-1</v>
      </c>
      <c r="AS22">
        <f t="shared" si="4"/>
        <v>-1</v>
      </c>
      <c r="AT22">
        <f t="shared" si="5"/>
        <v>-1</v>
      </c>
      <c r="AU22">
        <f t="shared" si="6"/>
        <v>-5.5</v>
      </c>
      <c r="AV22">
        <f>SUM(Table1[[#This Row],[Satis]:[29]])</f>
        <v>-6</v>
      </c>
      <c r="AW22">
        <f t="shared" si="7"/>
        <v>-5</v>
      </c>
      <c r="AX22">
        <f t="shared" si="8"/>
        <v>-4</v>
      </c>
      <c r="AY22">
        <f t="shared" si="9"/>
        <v>-3</v>
      </c>
      <c r="AZ22" t="str">
        <f t="shared" si="10"/>
        <v>TDP HardCore</v>
      </c>
    </row>
    <row r="23" spans="1:52" x14ac:dyDescent="0.3">
      <c r="A23" t="s">
        <v>376</v>
      </c>
      <c r="B23" s="94">
        <v>46042</v>
      </c>
      <c r="C23" t="s">
        <v>377</v>
      </c>
      <c r="D23" t="s">
        <v>378</v>
      </c>
      <c r="E23" t="s">
        <v>379</v>
      </c>
      <c r="F23" t="s">
        <v>307</v>
      </c>
      <c r="G23" t="s">
        <v>39</v>
      </c>
      <c r="H23" t="s">
        <v>380</v>
      </c>
      <c r="I23" t="s">
        <v>70</v>
      </c>
      <c r="J23" t="s">
        <v>37</v>
      </c>
      <c r="K23" t="s">
        <v>80</v>
      </c>
      <c r="L23" t="s">
        <v>50</v>
      </c>
      <c r="M23" t="s">
        <v>51</v>
      </c>
      <c r="N23" t="s">
        <v>63</v>
      </c>
      <c r="O23" t="s">
        <v>382</v>
      </c>
      <c r="P23">
        <v>7995225630</v>
      </c>
      <c r="Q23" t="s">
        <v>54</v>
      </c>
      <c r="R23" t="s">
        <v>61</v>
      </c>
      <c r="S23" t="s">
        <v>43</v>
      </c>
      <c r="T23" t="s">
        <v>43</v>
      </c>
      <c r="U23" t="s">
        <v>44</v>
      </c>
      <c r="V23" t="s">
        <v>91</v>
      </c>
      <c r="W23" t="s">
        <v>296</v>
      </c>
      <c r="X23" t="s">
        <v>91</v>
      </c>
      <c r="Y23" t="s">
        <v>46</v>
      </c>
      <c r="Z23" t="s">
        <v>92</v>
      </c>
      <c r="AA23" t="s">
        <v>92</v>
      </c>
      <c r="AB23" t="s">
        <v>147</v>
      </c>
      <c r="AC23" t="s">
        <v>381</v>
      </c>
      <c r="AD23" t="s">
        <v>184</v>
      </c>
      <c r="AE23" t="s">
        <v>185</v>
      </c>
      <c r="AF23">
        <v>0</v>
      </c>
      <c r="AG23" t="s">
        <v>196</v>
      </c>
      <c r="AH23">
        <f>VLOOKUP(Table1[[#This Row],[Caste]],Factor!$H$1:$K$13,4,0)</f>
        <v>1.3836274505214585</v>
      </c>
      <c r="AI23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23">
        <f>Table1[[#This Row],[Factor_1]]*Table1[[#This Row],[2024 Factor]]</f>
        <v>1.9482662206881376</v>
      </c>
      <c r="AK23">
        <f>VLOOKUP(Table1[[#This Row],[Q18: Gender]],Factor!$A$33:$E$35,5,0)</f>
        <v>0.85034013605442171</v>
      </c>
      <c r="AL23">
        <f>VLOOKUP(Table1[[#This Row],[Taluka]],Factor!$A$42:$G$46,7,0)</f>
        <v>0.75433779645928134</v>
      </c>
      <c r="AM23">
        <f>VLOOKUP(Table1[[#This Row],[Caste]]&amp;Table1[[#This Row],[Q18: Gender]],Factor!$W$1:$X$23,2,0)</f>
        <v>1.0790228998469584</v>
      </c>
      <c r="AN23">
        <f>VLOOKUP(Table1[[#This Row],[Taluka]]&amp;Table1[[#This Row],[Caste]]&amp;Table1[[#This Row],[Q18: Gender]],Factor!$AK$4:$AL$93,2,0)</f>
        <v>0.52423486800867025</v>
      </c>
      <c r="AO23">
        <f t="shared" si="0"/>
        <v>-1</v>
      </c>
      <c r="AP23">
        <f t="shared" si="1"/>
        <v>-1</v>
      </c>
      <c r="AQ23">
        <f t="shared" si="2"/>
        <v>1</v>
      </c>
      <c r="AR23">
        <f t="shared" si="3"/>
        <v>1</v>
      </c>
      <c r="AS23">
        <f t="shared" si="4"/>
        <v>1</v>
      </c>
      <c r="AT23">
        <f t="shared" si="5"/>
        <v>1</v>
      </c>
      <c r="AU23">
        <f t="shared" si="6"/>
        <v>1.5</v>
      </c>
      <c r="AV23">
        <f>SUM(Table1[[#This Row],[Satis]:[29]])</f>
        <v>2</v>
      </c>
      <c r="AW23">
        <f t="shared" si="7"/>
        <v>3</v>
      </c>
      <c r="AX23">
        <f t="shared" si="8"/>
        <v>4</v>
      </c>
      <c r="AY23">
        <f t="shared" si="9"/>
        <v>2</v>
      </c>
      <c r="AZ23" t="str">
        <f t="shared" si="10"/>
        <v>YSRCP Sympathiser</v>
      </c>
    </row>
    <row r="24" spans="1:52" x14ac:dyDescent="0.3">
      <c r="A24" t="s">
        <v>256</v>
      </c>
      <c r="B24" s="94">
        <v>46042</v>
      </c>
      <c r="C24" t="s">
        <v>257</v>
      </c>
      <c r="D24" t="s">
        <v>258</v>
      </c>
      <c r="E24" t="s">
        <v>259</v>
      </c>
      <c r="F24" t="s">
        <v>240</v>
      </c>
      <c r="G24" t="s">
        <v>39</v>
      </c>
      <c r="H24" t="s">
        <v>260</v>
      </c>
      <c r="I24" t="s">
        <v>59</v>
      </c>
      <c r="J24" t="s">
        <v>37</v>
      </c>
      <c r="K24" t="s">
        <v>212</v>
      </c>
      <c r="L24" t="s">
        <v>82</v>
      </c>
      <c r="M24" t="s">
        <v>51</v>
      </c>
      <c r="N24" t="s">
        <v>52</v>
      </c>
      <c r="O24" t="s">
        <v>261</v>
      </c>
      <c r="P24">
        <v>8008124711</v>
      </c>
      <c r="Q24" t="s">
        <v>54</v>
      </c>
      <c r="R24" t="s">
        <v>139</v>
      </c>
      <c r="S24" t="s">
        <v>43</v>
      </c>
      <c r="T24" t="s">
        <v>43</v>
      </c>
      <c r="U24" t="s">
        <v>90</v>
      </c>
      <c r="V24" t="s">
        <v>45</v>
      </c>
      <c r="W24" t="s">
        <v>74</v>
      </c>
      <c r="X24" t="s">
        <v>45</v>
      </c>
      <c r="Y24" t="s">
        <v>46</v>
      </c>
      <c r="Z24" t="s">
        <v>47</v>
      </c>
      <c r="AA24" t="s">
        <v>48</v>
      </c>
      <c r="AB24" t="s">
        <v>49</v>
      </c>
      <c r="AC24" t="s">
        <v>49</v>
      </c>
      <c r="AD24" t="s">
        <v>481</v>
      </c>
      <c r="AE24" t="s">
        <v>185</v>
      </c>
      <c r="AF24">
        <v>0</v>
      </c>
      <c r="AG24" t="s">
        <v>196</v>
      </c>
      <c r="AH24">
        <f>VLOOKUP(Table1[[#This Row],[Caste]],Factor!$H$1:$K$13,4,0)</f>
        <v>1.1461625511156397</v>
      </c>
      <c r="AI2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4">
        <f>Table1[[#This Row],[Factor_1]]*Table1[[#This Row],[2024 Factor]]</f>
        <v>0.77721139583220644</v>
      </c>
      <c r="AK24">
        <f>VLOOKUP(Table1[[#This Row],[Q18: Gender]],Factor!$A$33:$E$35,5,0)</f>
        <v>0.85034013605442171</v>
      </c>
      <c r="AL24">
        <f>VLOOKUP(Table1[[#This Row],[Taluka]],Factor!$A$42:$G$46,7,0)</f>
        <v>0.75433779645928134</v>
      </c>
      <c r="AM24">
        <f>VLOOKUP(Table1[[#This Row],[Caste]]&amp;Table1[[#This Row],[Q18: Gender]],Factor!$W$1:$X$23,2,0)</f>
        <v>0.71995135120329123</v>
      </c>
      <c r="AN24">
        <f>VLOOKUP(Table1[[#This Row],[Taluka]]&amp;Table1[[#This Row],[Caste]]&amp;Table1[[#This Row],[Q18: Gender]],Factor!$AK$4:$AL$93,2,0)</f>
        <v>0.55527787174877274</v>
      </c>
      <c r="AO24">
        <f t="shared" si="0"/>
        <v>-1</v>
      </c>
      <c r="AP24">
        <f t="shared" si="1"/>
        <v>1</v>
      </c>
      <c r="AQ24">
        <f t="shared" si="2"/>
        <v>-1</v>
      </c>
      <c r="AR24">
        <f t="shared" si="3"/>
        <v>-1</v>
      </c>
      <c r="AS24">
        <f t="shared" si="4"/>
        <v>-1</v>
      </c>
      <c r="AT24">
        <f t="shared" si="5"/>
        <v>-1</v>
      </c>
      <c r="AU24">
        <f t="shared" si="6"/>
        <v>-3.5</v>
      </c>
      <c r="AV24">
        <f>SUM(Table1[[#This Row],[Satis]:[29]])</f>
        <v>-4</v>
      </c>
      <c r="AW24">
        <f t="shared" si="7"/>
        <v>-5</v>
      </c>
      <c r="AX24">
        <f t="shared" si="8"/>
        <v>-4</v>
      </c>
      <c r="AY24">
        <f t="shared" si="9"/>
        <v>-3</v>
      </c>
      <c r="AZ24" t="str">
        <f t="shared" si="10"/>
        <v>TDP Sympathiser</v>
      </c>
    </row>
    <row r="25" spans="1:52" x14ac:dyDescent="0.3">
      <c r="A25" t="s">
        <v>262</v>
      </c>
      <c r="B25" s="94">
        <v>46042</v>
      </c>
      <c r="C25" t="s">
        <v>263</v>
      </c>
      <c r="D25" t="s">
        <v>264</v>
      </c>
      <c r="E25" t="s">
        <v>265</v>
      </c>
      <c r="F25" t="s">
        <v>240</v>
      </c>
      <c r="G25" t="s">
        <v>39</v>
      </c>
      <c r="H25" t="s">
        <v>266</v>
      </c>
      <c r="I25" t="s">
        <v>59</v>
      </c>
      <c r="J25" t="s">
        <v>37</v>
      </c>
      <c r="K25" t="s">
        <v>212</v>
      </c>
      <c r="L25" t="s">
        <v>82</v>
      </c>
      <c r="M25" t="s">
        <v>51</v>
      </c>
      <c r="N25" t="s">
        <v>107</v>
      </c>
      <c r="O25" t="s">
        <v>267</v>
      </c>
      <c r="P25">
        <v>9999999999</v>
      </c>
      <c r="Q25" t="s">
        <v>54</v>
      </c>
      <c r="R25" t="s">
        <v>42</v>
      </c>
      <c r="S25" t="s">
        <v>88</v>
      </c>
      <c r="T25" t="s">
        <v>43</v>
      </c>
      <c r="U25" t="s">
        <v>44</v>
      </c>
      <c r="V25" t="s">
        <v>45</v>
      </c>
      <c r="W25" t="s">
        <v>74</v>
      </c>
      <c r="X25" t="s">
        <v>45</v>
      </c>
      <c r="Y25" t="s">
        <v>46</v>
      </c>
      <c r="Z25" t="s">
        <v>47</v>
      </c>
      <c r="AA25" t="s">
        <v>48</v>
      </c>
      <c r="AB25" t="s">
        <v>49</v>
      </c>
      <c r="AC25" t="s">
        <v>49</v>
      </c>
      <c r="AD25" t="s">
        <v>481</v>
      </c>
      <c r="AE25" t="s">
        <v>185</v>
      </c>
      <c r="AF25">
        <v>0</v>
      </c>
      <c r="AG25" t="s">
        <v>196</v>
      </c>
      <c r="AH25">
        <f>VLOOKUP(Table1[[#This Row],[Caste]],Factor!$H$1:$K$13,4,0)</f>
        <v>1.1461625511156397</v>
      </c>
      <c r="AI2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5">
        <f>Table1[[#This Row],[Factor_1]]*Table1[[#This Row],[2024 Factor]]</f>
        <v>0.77721139583220644</v>
      </c>
      <c r="AK25">
        <f>VLOOKUP(Table1[[#This Row],[Q18: Gender]],Factor!$A$33:$E$35,5,0)</f>
        <v>0.85034013605442171</v>
      </c>
      <c r="AL25">
        <f>VLOOKUP(Table1[[#This Row],[Taluka]],Factor!$A$42:$G$46,7,0)</f>
        <v>0.75433779645928134</v>
      </c>
      <c r="AM25">
        <f>VLOOKUP(Table1[[#This Row],[Caste]]&amp;Table1[[#This Row],[Q18: Gender]],Factor!$W$1:$X$23,2,0)</f>
        <v>0.71995135120329123</v>
      </c>
      <c r="AN25">
        <f>VLOOKUP(Table1[[#This Row],[Taluka]]&amp;Table1[[#This Row],[Caste]]&amp;Table1[[#This Row],[Q18: Gender]],Factor!$AK$4:$AL$93,2,0)</f>
        <v>0.55527787174877274</v>
      </c>
      <c r="AO25">
        <f t="shared" si="0"/>
        <v>-1</v>
      </c>
      <c r="AP25">
        <f t="shared" si="1"/>
        <v>-1</v>
      </c>
      <c r="AQ25">
        <f t="shared" si="2"/>
        <v>-1</v>
      </c>
      <c r="AR25">
        <f t="shared" si="3"/>
        <v>-1</v>
      </c>
      <c r="AS25">
        <f t="shared" si="4"/>
        <v>-1</v>
      </c>
      <c r="AT25">
        <f t="shared" si="5"/>
        <v>-1</v>
      </c>
      <c r="AU25">
        <f t="shared" si="6"/>
        <v>-5.5</v>
      </c>
      <c r="AV25">
        <f>SUM(Table1[[#This Row],[Satis]:[29]])</f>
        <v>-6</v>
      </c>
      <c r="AW25">
        <f t="shared" si="7"/>
        <v>-5</v>
      </c>
      <c r="AX25">
        <f t="shared" si="8"/>
        <v>-4</v>
      </c>
      <c r="AY25">
        <f t="shared" si="9"/>
        <v>-3</v>
      </c>
      <c r="AZ25" t="str">
        <f t="shared" si="10"/>
        <v>TDP HardCore</v>
      </c>
    </row>
    <row r="26" spans="1:52" x14ac:dyDescent="0.3">
      <c r="A26" t="s">
        <v>268</v>
      </c>
      <c r="B26" s="94">
        <v>46042</v>
      </c>
      <c r="C26" t="s">
        <v>263</v>
      </c>
      <c r="D26" t="s">
        <v>264</v>
      </c>
      <c r="E26" t="s">
        <v>265</v>
      </c>
      <c r="F26" t="s">
        <v>240</v>
      </c>
      <c r="G26" t="s">
        <v>39</v>
      </c>
      <c r="H26" t="s">
        <v>269</v>
      </c>
      <c r="I26" t="s">
        <v>59</v>
      </c>
      <c r="J26" t="s">
        <v>37</v>
      </c>
      <c r="K26" t="s">
        <v>212</v>
      </c>
      <c r="L26" t="s">
        <v>82</v>
      </c>
      <c r="M26" t="s">
        <v>51</v>
      </c>
      <c r="N26" t="s">
        <v>107</v>
      </c>
      <c r="O26" t="s">
        <v>267</v>
      </c>
      <c r="P26">
        <v>9999999999</v>
      </c>
      <c r="Q26" t="s">
        <v>54</v>
      </c>
      <c r="R26" t="s">
        <v>42</v>
      </c>
      <c r="S26" t="s">
        <v>88</v>
      </c>
      <c r="T26" t="s">
        <v>43</v>
      </c>
      <c r="U26" t="s">
        <v>44</v>
      </c>
      <c r="V26" t="s">
        <v>45</v>
      </c>
      <c r="W26" t="s">
        <v>74</v>
      </c>
      <c r="X26" t="s">
        <v>45</v>
      </c>
      <c r="Y26" t="s">
        <v>46</v>
      </c>
      <c r="Z26" t="s">
        <v>47</v>
      </c>
      <c r="AA26" t="s">
        <v>48</v>
      </c>
      <c r="AB26" t="s">
        <v>49</v>
      </c>
      <c r="AC26" t="s">
        <v>49</v>
      </c>
      <c r="AD26" t="s">
        <v>481</v>
      </c>
      <c r="AE26" t="s">
        <v>185</v>
      </c>
      <c r="AF26">
        <v>0</v>
      </c>
      <c r="AG26" t="s">
        <v>196</v>
      </c>
      <c r="AH26">
        <f>VLOOKUP(Table1[[#This Row],[Caste]],Factor!$H$1:$K$13,4,0)</f>
        <v>1.1461625511156397</v>
      </c>
      <c r="AI2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6">
        <f>Table1[[#This Row],[Factor_1]]*Table1[[#This Row],[2024 Factor]]</f>
        <v>0.77721139583220644</v>
      </c>
      <c r="AK26">
        <f>VLOOKUP(Table1[[#This Row],[Q18: Gender]],Factor!$A$33:$E$35,5,0)</f>
        <v>0.85034013605442171</v>
      </c>
      <c r="AL26">
        <f>VLOOKUP(Table1[[#This Row],[Taluka]],Factor!$A$42:$G$46,7,0)</f>
        <v>0.75433779645928134</v>
      </c>
      <c r="AM26">
        <f>VLOOKUP(Table1[[#This Row],[Caste]]&amp;Table1[[#This Row],[Q18: Gender]],Factor!$W$1:$X$23,2,0)</f>
        <v>0.71995135120329123</v>
      </c>
      <c r="AN26">
        <f>VLOOKUP(Table1[[#This Row],[Taluka]]&amp;Table1[[#This Row],[Caste]]&amp;Table1[[#This Row],[Q18: Gender]],Factor!$AK$4:$AL$93,2,0)</f>
        <v>0.55527787174877274</v>
      </c>
      <c r="AO26">
        <f t="shared" si="0"/>
        <v>-1</v>
      </c>
      <c r="AP26">
        <f t="shared" si="1"/>
        <v>-1</v>
      </c>
      <c r="AQ26">
        <f t="shared" si="2"/>
        <v>-1</v>
      </c>
      <c r="AR26">
        <f t="shared" si="3"/>
        <v>-1</v>
      </c>
      <c r="AS26">
        <f t="shared" si="4"/>
        <v>-1</v>
      </c>
      <c r="AT26">
        <f t="shared" si="5"/>
        <v>-1</v>
      </c>
      <c r="AU26">
        <f t="shared" si="6"/>
        <v>-5.5</v>
      </c>
      <c r="AV26">
        <f>SUM(Table1[[#This Row],[Satis]:[29]])</f>
        <v>-6</v>
      </c>
      <c r="AW26">
        <f t="shared" si="7"/>
        <v>-5</v>
      </c>
      <c r="AX26">
        <f t="shared" si="8"/>
        <v>-4</v>
      </c>
      <c r="AY26">
        <f t="shared" si="9"/>
        <v>-3</v>
      </c>
      <c r="AZ26" t="str">
        <f t="shared" si="10"/>
        <v>TDP HardCore</v>
      </c>
    </row>
    <row r="27" spans="1:52" x14ac:dyDescent="0.3">
      <c r="A27" t="s">
        <v>270</v>
      </c>
      <c r="B27" s="94">
        <v>46042</v>
      </c>
      <c r="C27" t="s">
        <v>271</v>
      </c>
      <c r="D27" t="s">
        <v>264</v>
      </c>
      <c r="E27" t="s">
        <v>265</v>
      </c>
      <c r="F27" t="s">
        <v>240</v>
      </c>
      <c r="G27" t="s">
        <v>39</v>
      </c>
      <c r="H27" t="s">
        <v>272</v>
      </c>
      <c r="I27" t="s">
        <v>59</v>
      </c>
      <c r="J27" t="s">
        <v>37</v>
      </c>
      <c r="K27" t="s">
        <v>212</v>
      </c>
      <c r="L27" t="s">
        <v>82</v>
      </c>
      <c r="M27" t="s">
        <v>51</v>
      </c>
      <c r="N27" t="s">
        <v>107</v>
      </c>
      <c r="O27" t="s">
        <v>267</v>
      </c>
      <c r="P27">
        <v>9999999999</v>
      </c>
      <c r="Q27" t="s">
        <v>54</v>
      </c>
      <c r="R27" t="s">
        <v>42</v>
      </c>
      <c r="S27" t="s">
        <v>88</v>
      </c>
      <c r="T27" t="s">
        <v>43</v>
      </c>
      <c r="U27" t="s">
        <v>44</v>
      </c>
      <c r="V27" t="s">
        <v>45</v>
      </c>
      <c r="W27" t="s">
        <v>74</v>
      </c>
      <c r="X27" t="s">
        <v>45</v>
      </c>
      <c r="Y27" t="s">
        <v>46</v>
      </c>
      <c r="Z27" t="s">
        <v>47</v>
      </c>
      <c r="AA27" t="s">
        <v>48</v>
      </c>
      <c r="AB27" t="s">
        <v>49</v>
      </c>
      <c r="AC27" t="s">
        <v>49</v>
      </c>
      <c r="AD27" t="s">
        <v>481</v>
      </c>
      <c r="AE27" t="s">
        <v>185</v>
      </c>
      <c r="AF27">
        <v>0</v>
      </c>
      <c r="AG27" t="s">
        <v>196</v>
      </c>
      <c r="AH27">
        <f>VLOOKUP(Table1[[#This Row],[Caste]],Factor!$H$1:$K$13,4,0)</f>
        <v>1.1461625511156397</v>
      </c>
      <c r="AI2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7">
        <f>Table1[[#This Row],[Factor_1]]*Table1[[#This Row],[2024 Factor]]</f>
        <v>0.77721139583220644</v>
      </c>
      <c r="AK27">
        <f>VLOOKUP(Table1[[#This Row],[Q18: Gender]],Factor!$A$33:$E$35,5,0)</f>
        <v>0.85034013605442171</v>
      </c>
      <c r="AL27">
        <f>VLOOKUP(Table1[[#This Row],[Taluka]],Factor!$A$42:$G$46,7,0)</f>
        <v>0.75433779645928134</v>
      </c>
      <c r="AM27">
        <f>VLOOKUP(Table1[[#This Row],[Caste]]&amp;Table1[[#This Row],[Q18: Gender]],Factor!$W$1:$X$23,2,0)</f>
        <v>0.71995135120329123</v>
      </c>
      <c r="AN27">
        <f>VLOOKUP(Table1[[#This Row],[Taluka]]&amp;Table1[[#This Row],[Caste]]&amp;Table1[[#This Row],[Q18: Gender]],Factor!$AK$4:$AL$93,2,0)</f>
        <v>0.55527787174877274</v>
      </c>
      <c r="AO27">
        <f t="shared" si="0"/>
        <v>-1</v>
      </c>
      <c r="AP27">
        <f t="shared" si="1"/>
        <v>-1</v>
      </c>
      <c r="AQ27">
        <f t="shared" si="2"/>
        <v>-1</v>
      </c>
      <c r="AR27">
        <f t="shared" si="3"/>
        <v>-1</v>
      </c>
      <c r="AS27">
        <f t="shared" si="4"/>
        <v>-1</v>
      </c>
      <c r="AT27">
        <f t="shared" si="5"/>
        <v>-1</v>
      </c>
      <c r="AU27">
        <f t="shared" si="6"/>
        <v>-5.5</v>
      </c>
      <c r="AV27">
        <f>SUM(Table1[[#This Row],[Satis]:[29]])</f>
        <v>-6</v>
      </c>
      <c r="AW27">
        <f t="shared" si="7"/>
        <v>-5</v>
      </c>
      <c r="AX27">
        <f t="shared" si="8"/>
        <v>-4</v>
      </c>
      <c r="AY27">
        <f t="shared" si="9"/>
        <v>-3</v>
      </c>
      <c r="AZ27" t="str">
        <f t="shared" si="10"/>
        <v>TDP HardCore</v>
      </c>
    </row>
    <row r="28" spans="1:52" x14ac:dyDescent="0.3">
      <c r="A28" t="s">
        <v>273</v>
      </c>
      <c r="B28" s="94">
        <v>46042</v>
      </c>
      <c r="C28" t="s">
        <v>274</v>
      </c>
      <c r="D28" t="s">
        <v>275</v>
      </c>
      <c r="E28" t="s">
        <v>276</v>
      </c>
      <c r="F28" t="s">
        <v>240</v>
      </c>
      <c r="G28" t="s">
        <v>39</v>
      </c>
      <c r="H28" t="s">
        <v>277</v>
      </c>
      <c r="I28" t="s">
        <v>59</v>
      </c>
      <c r="J28" t="s">
        <v>37</v>
      </c>
      <c r="K28" t="s">
        <v>212</v>
      </c>
      <c r="L28" t="s">
        <v>50</v>
      </c>
      <c r="M28" t="s">
        <v>51</v>
      </c>
      <c r="N28" t="s">
        <v>63</v>
      </c>
      <c r="O28" t="s">
        <v>278</v>
      </c>
      <c r="P28">
        <v>9502376891</v>
      </c>
      <c r="Q28" t="s">
        <v>54</v>
      </c>
      <c r="R28" t="s">
        <v>132</v>
      </c>
      <c r="S28" t="s">
        <v>43</v>
      </c>
      <c r="T28" t="s">
        <v>43</v>
      </c>
      <c r="U28" t="s">
        <v>44</v>
      </c>
      <c r="V28" t="s">
        <v>45</v>
      </c>
      <c r="W28" t="s">
        <v>5052</v>
      </c>
      <c r="X28" t="s">
        <v>45</v>
      </c>
      <c r="Y28" t="s">
        <v>46</v>
      </c>
      <c r="Z28" t="s">
        <v>47</v>
      </c>
      <c r="AA28" t="s">
        <v>48</v>
      </c>
      <c r="AB28" t="s">
        <v>49</v>
      </c>
      <c r="AC28" t="s">
        <v>49</v>
      </c>
      <c r="AD28" t="s">
        <v>481</v>
      </c>
      <c r="AE28" t="s">
        <v>185</v>
      </c>
      <c r="AF28">
        <v>0</v>
      </c>
      <c r="AG28" t="s">
        <v>196</v>
      </c>
      <c r="AH28">
        <f>VLOOKUP(Table1[[#This Row],[Caste]],Factor!$H$1:$K$13,4,0)</f>
        <v>1.1461625511156397</v>
      </c>
      <c r="AI2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8">
        <f>Table1[[#This Row],[Factor_1]]*Table1[[#This Row],[2024 Factor]]</f>
        <v>0.77721139583220644</v>
      </c>
      <c r="AK28">
        <f>VLOOKUP(Table1[[#This Row],[Q18: Gender]],Factor!$A$33:$E$35,5,0)</f>
        <v>0.85034013605442171</v>
      </c>
      <c r="AL28">
        <f>VLOOKUP(Table1[[#This Row],[Taluka]],Factor!$A$42:$G$46,7,0)</f>
        <v>0.75433779645928134</v>
      </c>
      <c r="AM28">
        <f>VLOOKUP(Table1[[#This Row],[Caste]]&amp;Table1[[#This Row],[Q18: Gender]],Factor!$W$1:$X$23,2,0)</f>
        <v>0.71995135120329123</v>
      </c>
      <c r="AN28">
        <f>VLOOKUP(Table1[[#This Row],[Taluka]]&amp;Table1[[#This Row],[Caste]]&amp;Table1[[#This Row],[Q18: Gender]],Factor!$AK$4:$AL$93,2,0)</f>
        <v>0.55527787174877274</v>
      </c>
      <c r="AO28">
        <f t="shared" si="0"/>
        <v>-1</v>
      </c>
      <c r="AP28">
        <f t="shared" si="1"/>
        <v>-1</v>
      </c>
      <c r="AQ28">
        <f t="shared" si="2"/>
        <v>-1</v>
      </c>
      <c r="AR28">
        <f t="shared" si="3"/>
        <v>-1</v>
      </c>
      <c r="AS28">
        <f t="shared" si="4"/>
        <v>-1</v>
      </c>
      <c r="AT28">
        <f t="shared" si="5"/>
        <v>-1</v>
      </c>
      <c r="AU28">
        <f t="shared" si="6"/>
        <v>-5.5</v>
      </c>
      <c r="AV28">
        <f>SUM(Table1[[#This Row],[Satis]:[29]])</f>
        <v>-6</v>
      </c>
      <c r="AW28">
        <f t="shared" si="7"/>
        <v>-5</v>
      </c>
      <c r="AX28">
        <f t="shared" si="8"/>
        <v>-4</v>
      </c>
      <c r="AY28">
        <f t="shared" si="9"/>
        <v>-3</v>
      </c>
      <c r="AZ28" t="str">
        <f t="shared" si="10"/>
        <v>TDP HardCore</v>
      </c>
    </row>
    <row r="29" spans="1:52" x14ac:dyDescent="0.3">
      <c r="A29" t="s">
        <v>279</v>
      </c>
      <c r="B29" s="94">
        <v>46042</v>
      </c>
      <c r="C29" t="s">
        <v>280</v>
      </c>
      <c r="D29" t="s">
        <v>281</v>
      </c>
      <c r="E29" t="s">
        <v>282</v>
      </c>
      <c r="F29" t="s">
        <v>240</v>
      </c>
      <c r="G29" t="s">
        <v>39</v>
      </c>
      <c r="H29" t="s">
        <v>283</v>
      </c>
      <c r="I29" t="s">
        <v>59</v>
      </c>
      <c r="J29" t="s">
        <v>37</v>
      </c>
      <c r="K29" t="s">
        <v>212</v>
      </c>
      <c r="L29" t="s">
        <v>62</v>
      </c>
      <c r="M29" t="s">
        <v>51</v>
      </c>
      <c r="N29" t="s">
        <v>63</v>
      </c>
      <c r="O29" t="s">
        <v>284</v>
      </c>
      <c r="P29">
        <v>6304710549</v>
      </c>
      <c r="Q29" t="s">
        <v>54</v>
      </c>
      <c r="R29" t="s">
        <v>139</v>
      </c>
      <c r="S29" t="s">
        <v>43</v>
      </c>
      <c r="T29" t="s">
        <v>43</v>
      </c>
      <c r="U29" t="s">
        <v>44</v>
      </c>
      <c r="V29" t="s">
        <v>91</v>
      </c>
      <c r="W29" t="s">
        <v>5040</v>
      </c>
      <c r="X29" t="s">
        <v>91</v>
      </c>
      <c r="Y29" t="s">
        <v>46</v>
      </c>
      <c r="Z29" t="s">
        <v>47</v>
      </c>
      <c r="AA29" t="s">
        <v>48</v>
      </c>
      <c r="AB29" t="s">
        <v>49</v>
      </c>
      <c r="AC29" t="s">
        <v>49</v>
      </c>
      <c r="AD29" t="s">
        <v>481</v>
      </c>
      <c r="AE29" t="s">
        <v>185</v>
      </c>
      <c r="AF29">
        <v>0</v>
      </c>
      <c r="AG29" t="s">
        <v>196</v>
      </c>
      <c r="AH29">
        <f>VLOOKUP(Table1[[#This Row],[Caste]],Factor!$H$1:$K$13,4,0)</f>
        <v>1.1461625511156397</v>
      </c>
      <c r="AI2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9">
        <f>Table1[[#This Row],[Factor_1]]*Table1[[#This Row],[2024 Factor]]</f>
        <v>0.77721139583220644</v>
      </c>
      <c r="AK29">
        <f>VLOOKUP(Table1[[#This Row],[Q18: Gender]],Factor!$A$33:$E$35,5,0)</f>
        <v>0.85034013605442171</v>
      </c>
      <c r="AL29">
        <f>VLOOKUP(Table1[[#This Row],[Taluka]],Factor!$A$42:$G$46,7,0)</f>
        <v>0.75433779645928134</v>
      </c>
      <c r="AM29">
        <f>VLOOKUP(Table1[[#This Row],[Caste]]&amp;Table1[[#This Row],[Q18: Gender]],Factor!$W$1:$X$23,2,0)</f>
        <v>0.71995135120329123</v>
      </c>
      <c r="AN29">
        <f>VLOOKUP(Table1[[#This Row],[Taluka]]&amp;Table1[[#This Row],[Caste]]&amp;Table1[[#This Row],[Q18: Gender]],Factor!$AK$4:$AL$93,2,0)</f>
        <v>0.55527787174877274</v>
      </c>
      <c r="AO29">
        <f t="shared" si="0"/>
        <v>-1</v>
      </c>
      <c r="AP29">
        <f t="shared" si="1"/>
        <v>-1</v>
      </c>
      <c r="AQ29">
        <f t="shared" si="2"/>
        <v>1</v>
      </c>
      <c r="AR29">
        <f t="shared" si="3"/>
        <v>1</v>
      </c>
      <c r="AS29">
        <f t="shared" si="4"/>
        <v>-1</v>
      </c>
      <c r="AT29">
        <f t="shared" si="5"/>
        <v>-1</v>
      </c>
      <c r="AU29">
        <f t="shared" si="6"/>
        <v>-1.5</v>
      </c>
      <c r="AV29">
        <f>SUM(Table1[[#This Row],[Satis]:[29]])</f>
        <v>-2</v>
      </c>
      <c r="AW29">
        <f t="shared" si="7"/>
        <v>-1</v>
      </c>
      <c r="AX29">
        <f t="shared" si="8"/>
        <v>0</v>
      </c>
      <c r="AY29">
        <f t="shared" si="9"/>
        <v>-3</v>
      </c>
      <c r="AZ29" t="str">
        <f t="shared" si="10"/>
        <v>Neutral TDP</v>
      </c>
    </row>
    <row r="30" spans="1:52" x14ac:dyDescent="0.3">
      <c r="A30" t="s">
        <v>285</v>
      </c>
      <c r="B30" s="94">
        <v>46042</v>
      </c>
      <c r="C30" t="s">
        <v>286</v>
      </c>
      <c r="D30" t="s">
        <v>287</v>
      </c>
      <c r="E30" t="s">
        <v>288</v>
      </c>
      <c r="F30" t="s">
        <v>240</v>
      </c>
      <c r="G30" t="s">
        <v>39</v>
      </c>
      <c r="H30" t="s">
        <v>289</v>
      </c>
      <c r="I30" t="s">
        <v>59</v>
      </c>
      <c r="J30" t="s">
        <v>37</v>
      </c>
      <c r="K30" t="s">
        <v>212</v>
      </c>
      <c r="L30" t="s">
        <v>82</v>
      </c>
      <c r="M30" t="s">
        <v>51</v>
      </c>
      <c r="N30" t="s">
        <v>52</v>
      </c>
      <c r="O30" t="s">
        <v>290</v>
      </c>
      <c r="P30">
        <v>9640565777</v>
      </c>
      <c r="Q30" t="s">
        <v>54</v>
      </c>
      <c r="R30" t="s">
        <v>132</v>
      </c>
      <c r="S30" t="s">
        <v>43</v>
      </c>
      <c r="T30" t="s">
        <v>43</v>
      </c>
      <c r="U30" t="s">
        <v>44</v>
      </c>
      <c r="V30" t="s">
        <v>45</v>
      </c>
      <c r="W30" t="s">
        <v>74</v>
      </c>
      <c r="X30" t="s">
        <v>45</v>
      </c>
      <c r="Y30" t="s">
        <v>46</v>
      </c>
      <c r="Z30" t="s">
        <v>47</v>
      </c>
      <c r="AA30" t="s">
        <v>48</v>
      </c>
      <c r="AB30" t="s">
        <v>49</v>
      </c>
      <c r="AC30" t="s">
        <v>49</v>
      </c>
      <c r="AD30" t="s">
        <v>481</v>
      </c>
      <c r="AE30" t="s">
        <v>185</v>
      </c>
      <c r="AF30">
        <v>0</v>
      </c>
      <c r="AG30" t="s">
        <v>196</v>
      </c>
      <c r="AH30">
        <f>VLOOKUP(Table1[[#This Row],[Caste]],Factor!$H$1:$K$13,4,0)</f>
        <v>1.1461625511156397</v>
      </c>
      <c r="AI3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0">
        <f>Table1[[#This Row],[Factor_1]]*Table1[[#This Row],[2024 Factor]]</f>
        <v>0.77721139583220644</v>
      </c>
      <c r="AK30">
        <f>VLOOKUP(Table1[[#This Row],[Q18: Gender]],Factor!$A$33:$E$35,5,0)</f>
        <v>0.85034013605442171</v>
      </c>
      <c r="AL30">
        <f>VLOOKUP(Table1[[#This Row],[Taluka]],Factor!$A$42:$G$46,7,0)</f>
        <v>0.75433779645928134</v>
      </c>
      <c r="AM30">
        <f>VLOOKUP(Table1[[#This Row],[Caste]]&amp;Table1[[#This Row],[Q18: Gender]],Factor!$W$1:$X$23,2,0)</f>
        <v>0.71995135120329123</v>
      </c>
      <c r="AN30">
        <f>VLOOKUP(Table1[[#This Row],[Taluka]]&amp;Table1[[#This Row],[Caste]]&amp;Table1[[#This Row],[Q18: Gender]],Factor!$AK$4:$AL$93,2,0)</f>
        <v>0.55527787174877274</v>
      </c>
      <c r="AO30">
        <f t="shared" si="0"/>
        <v>-1</v>
      </c>
      <c r="AP30">
        <f t="shared" si="1"/>
        <v>-1</v>
      </c>
      <c r="AQ30">
        <f t="shared" si="2"/>
        <v>-1</v>
      </c>
      <c r="AR30">
        <f t="shared" si="3"/>
        <v>-1</v>
      </c>
      <c r="AS30">
        <f t="shared" si="4"/>
        <v>-1</v>
      </c>
      <c r="AT30">
        <f t="shared" si="5"/>
        <v>-1</v>
      </c>
      <c r="AU30">
        <f t="shared" si="6"/>
        <v>-5.5</v>
      </c>
      <c r="AV30">
        <f>SUM(Table1[[#This Row],[Satis]:[29]])</f>
        <v>-6</v>
      </c>
      <c r="AW30">
        <f t="shared" si="7"/>
        <v>-5</v>
      </c>
      <c r="AX30">
        <f t="shared" si="8"/>
        <v>-4</v>
      </c>
      <c r="AY30">
        <f t="shared" si="9"/>
        <v>-3</v>
      </c>
      <c r="AZ30" t="str">
        <f t="shared" si="10"/>
        <v>TDP HardCore</v>
      </c>
    </row>
    <row r="31" spans="1:52" x14ac:dyDescent="0.3">
      <c r="A31" t="s">
        <v>291</v>
      </c>
      <c r="B31" s="94">
        <v>46042</v>
      </c>
      <c r="C31" t="s">
        <v>292</v>
      </c>
      <c r="D31" t="s">
        <v>293</v>
      </c>
      <c r="E31" t="s">
        <v>294</v>
      </c>
      <c r="F31" t="s">
        <v>240</v>
      </c>
      <c r="G31" t="s">
        <v>39</v>
      </c>
      <c r="H31" t="s">
        <v>295</v>
      </c>
      <c r="I31" t="s">
        <v>59</v>
      </c>
      <c r="J31" t="s">
        <v>37</v>
      </c>
      <c r="K31" t="s">
        <v>212</v>
      </c>
      <c r="L31" t="s">
        <v>50</v>
      </c>
      <c r="M31" t="s">
        <v>51</v>
      </c>
      <c r="N31" t="s">
        <v>107</v>
      </c>
      <c r="O31" t="s">
        <v>297</v>
      </c>
      <c r="P31">
        <v>9999999999</v>
      </c>
      <c r="Q31" t="s">
        <v>54</v>
      </c>
      <c r="R31" t="s">
        <v>73</v>
      </c>
      <c r="S31" t="s">
        <v>43</v>
      </c>
      <c r="T31" t="s">
        <v>43</v>
      </c>
      <c r="U31" t="s">
        <v>44</v>
      </c>
      <c r="V31" t="s">
        <v>45</v>
      </c>
      <c r="W31" t="s">
        <v>296</v>
      </c>
      <c r="X31" t="s">
        <v>45</v>
      </c>
      <c r="Y31" t="s">
        <v>46</v>
      </c>
      <c r="Z31" t="s">
        <v>47</v>
      </c>
      <c r="AA31" t="s">
        <v>48</v>
      </c>
      <c r="AB31" t="s">
        <v>49</v>
      </c>
      <c r="AC31" t="s">
        <v>49</v>
      </c>
      <c r="AD31" t="s">
        <v>481</v>
      </c>
      <c r="AE31" t="s">
        <v>185</v>
      </c>
      <c r="AF31">
        <v>0</v>
      </c>
      <c r="AG31" t="s">
        <v>196</v>
      </c>
      <c r="AH31">
        <f>VLOOKUP(Table1[[#This Row],[Caste]],Factor!$H$1:$K$13,4,0)</f>
        <v>1.1461625511156397</v>
      </c>
      <c r="AI3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1">
        <f>Table1[[#This Row],[Factor_1]]*Table1[[#This Row],[2024 Factor]]</f>
        <v>0.77721139583220644</v>
      </c>
      <c r="AK31">
        <f>VLOOKUP(Table1[[#This Row],[Q18: Gender]],Factor!$A$33:$E$35,5,0)</f>
        <v>0.85034013605442171</v>
      </c>
      <c r="AL31">
        <f>VLOOKUP(Table1[[#This Row],[Taluka]],Factor!$A$42:$G$46,7,0)</f>
        <v>0.75433779645928134</v>
      </c>
      <c r="AM31">
        <f>VLOOKUP(Table1[[#This Row],[Caste]]&amp;Table1[[#This Row],[Q18: Gender]],Factor!$W$1:$X$23,2,0)</f>
        <v>0.71995135120329123</v>
      </c>
      <c r="AN31">
        <f>VLOOKUP(Table1[[#This Row],[Taluka]]&amp;Table1[[#This Row],[Caste]]&amp;Table1[[#This Row],[Q18: Gender]],Factor!$AK$4:$AL$93,2,0)</f>
        <v>0.55527787174877274</v>
      </c>
      <c r="AO31">
        <f t="shared" si="0"/>
        <v>-1</v>
      </c>
      <c r="AP31">
        <f t="shared" si="1"/>
        <v>-1</v>
      </c>
      <c r="AQ31">
        <f t="shared" si="2"/>
        <v>-1</v>
      </c>
      <c r="AR31">
        <f t="shared" si="3"/>
        <v>-1</v>
      </c>
      <c r="AS31">
        <f t="shared" si="4"/>
        <v>-1</v>
      </c>
      <c r="AT31">
        <f t="shared" si="5"/>
        <v>-1</v>
      </c>
      <c r="AU31">
        <f t="shared" si="6"/>
        <v>-5.5</v>
      </c>
      <c r="AV31">
        <f>SUM(Table1[[#This Row],[Satis]:[29]])</f>
        <v>-6</v>
      </c>
      <c r="AW31">
        <f t="shared" si="7"/>
        <v>-5</v>
      </c>
      <c r="AX31">
        <f t="shared" si="8"/>
        <v>-4</v>
      </c>
      <c r="AY31">
        <f t="shared" si="9"/>
        <v>-3</v>
      </c>
      <c r="AZ31" t="str">
        <f t="shared" si="10"/>
        <v>TDP HardCore</v>
      </c>
    </row>
    <row r="32" spans="1:52" x14ac:dyDescent="0.3">
      <c r="A32" t="s">
        <v>303</v>
      </c>
      <c r="B32" s="94">
        <v>46042</v>
      </c>
      <c r="C32" t="s">
        <v>304</v>
      </c>
      <c r="D32" t="s">
        <v>305</v>
      </c>
      <c r="E32" t="s">
        <v>306</v>
      </c>
      <c r="F32" t="s">
        <v>307</v>
      </c>
      <c r="G32" t="s">
        <v>39</v>
      </c>
      <c r="H32" t="s">
        <v>308</v>
      </c>
      <c r="I32" t="s">
        <v>36</v>
      </c>
      <c r="J32" s="112" t="s">
        <v>203</v>
      </c>
      <c r="K32" s="112" t="s">
        <v>204</v>
      </c>
      <c r="L32" t="s">
        <v>170</v>
      </c>
      <c r="M32" t="s">
        <v>51</v>
      </c>
      <c r="N32" t="s">
        <v>162</v>
      </c>
      <c r="O32" t="s">
        <v>309</v>
      </c>
      <c r="P32">
        <v>8499964131</v>
      </c>
      <c r="Q32" t="s">
        <v>54</v>
      </c>
      <c r="R32" t="s">
        <v>73</v>
      </c>
      <c r="S32" t="s">
        <v>43</v>
      </c>
      <c r="T32" t="s">
        <v>43</v>
      </c>
      <c r="U32" t="s">
        <v>44</v>
      </c>
      <c r="V32" t="s">
        <v>45</v>
      </c>
      <c r="W32" t="s">
        <v>296</v>
      </c>
      <c r="X32" t="s">
        <v>45</v>
      </c>
      <c r="Y32" t="s">
        <v>46</v>
      </c>
      <c r="Z32" t="s">
        <v>47</v>
      </c>
      <c r="AA32" t="s">
        <v>48</v>
      </c>
      <c r="AB32" t="s">
        <v>49</v>
      </c>
      <c r="AC32" t="s">
        <v>49</v>
      </c>
      <c r="AD32" t="s">
        <v>481</v>
      </c>
      <c r="AE32" t="s">
        <v>185</v>
      </c>
      <c r="AF32" t="s">
        <v>486</v>
      </c>
      <c r="AG32" t="s">
        <v>196</v>
      </c>
      <c r="AH32">
        <f>VLOOKUP(Table1[[#This Row],[Caste]],Factor!$H$1:$K$13,4,0)</f>
        <v>1.1705128247062893</v>
      </c>
      <c r="AI3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2">
        <f>Table1[[#This Row],[Factor_1]]*Table1[[#This Row],[2024 Factor]]</f>
        <v>0.86308903171383233</v>
      </c>
      <c r="AK32">
        <f>VLOOKUP(Table1[[#This Row],[Q18: Gender]],Factor!$A$33:$E$35,5,0)</f>
        <v>0.85034013605442171</v>
      </c>
      <c r="AL32">
        <f>VLOOKUP(Table1[[#This Row],[Taluka]],Factor!$A$42:$G$46,7,0)</f>
        <v>1.9264642089343564</v>
      </c>
      <c r="AM32">
        <f>VLOOKUP(Table1[[#This Row],[Caste]]&amp;Table1[[#This Row],[Q18: Gender]],Factor!$W$1:$X$23,2,0)</f>
        <v>0.79950206330384943</v>
      </c>
      <c r="AN32">
        <f>VLOOKUP(Table1[[#This Row],[Taluka]]&amp;Table1[[#This Row],[Caste]]&amp;Table1[[#This Row],[Q18: Gender]],Factor!$AK$4:$AL$93,2,0)</f>
        <v>1.1572126985895925</v>
      </c>
      <c r="AO32">
        <f t="shared" si="0"/>
        <v>-1</v>
      </c>
      <c r="AP32">
        <f t="shared" si="1"/>
        <v>-1</v>
      </c>
      <c r="AQ32">
        <f t="shared" si="2"/>
        <v>-1</v>
      </c>
      <c r="AR32">
        <f t="shared" si="3"/>
        <v>-1</v>
      </c>
      <c r="AS32">
        <f t="shared" si="4"/>
        <v>-1</v>
      </c>
      <c r="AT32">
        <f t="shared" si="5"/>
        <v>-1</v>
      </c>
      <c r="AU32">
        <f t="shared" si="6"/>
        <v>-5.5</v>
      </c>
      <c r="AV32">
        <f>SUM(Table1[[#This Row],[Satis]:[29]])</f>
        <v>-6</v>
      </c>
      <c r="AW32">
        <f t="shared" si="7"/>
        <v>-5</v>
      </c>
      <c r="AX32">
        <f t="shared" si="8"/>
        <v>-4</v>
      </c>
      <c r="AY32">
        <f t="shared" si="9"/>
        <v>-3</v>
      </c>
      <c r="AZ32" t="str">
        <f t="shared" si="10"/>
        <v>TDP HardCore</v>
      </c>
    </row>
    <row r="33" spans="1:52" x14ac:dyDescent="0.3">
      <c r="A33" t="s">
        <v>310</v>
      </c>
      <c r="B33" s="94">
        <v>46042</v>
      </c>
      <c r="C33" t="s">
        <v>311</v>
      </c>
      <c r="D33" t="s">
        <v>312</v>
      </c>
      <c r="E33" t="s">
        <v>313</v>
      </c>
      <c r="F33" t="s">
        <v>307</v>
      </c>
      <c r="G33" t="s">
        <v>39</v>
      </c>
      <c r="H33" t="s">
        <v>314</v>
      </c>
      <c r="I33" t="s">
        <v>70</v>
      </c>
      <c r="J33" t="s">
        <v>37</v>
      </c>
      <c r="K33" t="s">
        <v>80</v>
      </c>
      <c r="L33" t="s">
        <v>62</v>
      </c>
      <c r="M33" t="s">
        <v>51</v>
      </c>
      <c r="N33" t="s">
        <v>63</v>
      </c>
      <c r="O33" t="s">
        <v>69</v>
      </c>
      <c r="P33">
        <v>99999999999999</v>
      </c>
      <c r="Q33" t="s">
        <v>54</v>
      </c>
      <c r="R33" t="s">
        <v>73</v>
      </c>
      <c r="S33" t="s">
        <v>43</v>
      </c>
      <c r="T33" t="s">
        <v>43</v>
      </c>
      <c r="U33" t="s">
        <v>44</v>
      </c>
      <c r="V33" t="s">
        <v>45</v>
      </c>
      <c r="W33" t="s">
        <v>74</v>
      </c>
      <c r="X33" t="s">
        <v>45</v>
      </c>
      <c r="Y33" t="s">
        <v>46</v>
      </c>
      <c r="Z33" t="s">
        <v>47</v>
      </c>
      <c r="AA33" t="s">
        <v>48</v>
      </c>
      <c r="AB33" t="s">
        <v>49</v>
      </c>
      <c r="AC33" t="s">
        <v>49</v>
      </c>
      <c r="AD33" t="s">
        <v>481</v>
      </c>
      <c r="AE33" t="s">
        <v>191</v>
      </c>
      <c r="AF33" t="s">
        <v>487</v>
      </c>
      <c r="AG33" t="s">
        <v>498</v>
      </c>
      <c r="AH33">
        <f>VLOOKUP(Table1[[#This Row],[Caste]],Factor!$H$1:$K$13,4,0)</f>
        <v>1.3836274505214585</v>
      </c>
      <c r="AI3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3">
        <f>Table1[[#This Row],[Factor_1]]*Table1[[#This Row],[2024 Factor]]</f>
        <v>1.1648410586678206</v>
      </c>
      <c r="AK33">
        <f>VLOOKUP(Table1[[#This Row],[Q18: Gender]],Factor!$A$33:$E$35,5,0)</f>
        <v>0.85034013605442171</v>
      </c>
      <c r="AL33">
        <f>VLOOKUP(Table1[[#This Row],[Taluka]],Factor!$A$42:$G$46,7,0)</f>
        <v>0.75433779645928134</v>
      </c>
      <c r="AM33">
        <f>VLOOKUP(Table1[[#This Row],[Caste]]&amp;Table1[[#This Row],[Q18: Gender]],Factor!$W$1:$X$23,2,0)</f>
        <v>1.0790228998469584</v>
      </c>
      <c r="AN33">
        <f>VLOOKUP(Table1[[#This Row],[Taluka]]&amp;Table1[[#This Row],[Caste]]&amp;Table1[[#This Row],[Q18: Gender]],Factor!$AK$4:$AL$93,2,0)</f>
        <v>0.52423486800867025</v>
      </c>
      <c r="AO33">
        <f t="shared" si="0"/>
        <v>-1</v>
      </c>
      <c r="AP33">
        <f t="shared" si="1"/>
        <v>-1</v>
      </c>
      <c r="AQ33">
        <f t="shared" si="2"/>
        <v>-1</v>
      </c>
      <c r="AR33">
        <f t="shared" si="3"/>
        <v>-1</v>
      </c>
      <c r="AS33">
        <f t="shared" si="4"/>
        <v>-1</v>
      </c>
      <c r="AT33">
        <f t="shared" si="5"/>
        <v>-1</v>
      </c>
      <c r="AU33">
        <f t="shared" si="6"/>
        <v>-5.5</v>
      </c>
      <c r="AV33">
        <f>SUM(Table1[[#This Row],[Satis]:[29]])</f>
        <v>-6</v>
      </c>
      <c r="AW33">
        <f t="shared" si="7"/>
        <v>-5</v>
      </c>
      <c r="AX33">
        <f t="shared" si="8"/>
        <v>-4</v>
      </c>
      <c r="AY33">
        <f t="shared" si="9"/>
        <v>-3</v>
      </c>
      <c r="AZ33" t="str">
        <f t="shared" si="10"/>
        <v>TDP HardCore</v>
      </c>
    </row>
    <row r="34" spans="1:52" x14ac:dyDescent="0.3">
      <c r="A34" t="s">
        <v>315</v>
      </c>
      <c r="B34" s="94">
        <v>46042</v>
      </c>
      <c r="C34" t="s">
        <v>316</v>
      </c>
      <c r="D34" t="s">
        <v>317</v>
      </c>
      <c r="E34" t="s">
        <v>318</v>
      </c>
      <c r="F34" t="s">
        <v>240</v>
      </c>
      <c r="G34" t="s">
        <v>39</v>
      </c>
      <c r="H34" t="s">
        <v>319</v>
      </c>
      <c r="I34" t="s">
        <v>227</v>
      </c>
      <c r="J34" t="s">
        <v>37</v>
      </c>
      <c r="K34" t="s">
        <v>212</v>
      </c>
      <c r="L34" t="s">
        <v>50</v>
      </c>
      <c r="M34" t="s">
        <v>51</v>
      </c>
      <c r="N34" t="s">
        <v>63</v>
      </c>
      <c r="O34" t="s">
        <v>321</v>
      </c>
      <c r="P34">
        <v>7013684412</v>
      </c>
      <c r="Q34" t="s">
        <v>54</v>
      </c>
      <c r="R34" t="s">
        <v>61</v>
      </c>
      <c r="S34" t="s">
        <v>89</v>
      </c>
      <c r="T34" t="s">
        <v>43</v>
      </c>
      <c r="U34" t="s">
        <v>90</v>
      </c>
      <c r="V34" t="s">
        <v>91</v>
      </c>
      <c r="W34" t="s">
        <v>320</v>
      </c>
      <c r="X34" t="s">
        <v>45</v>
      </c>
      <c r="Y34" t="s">
        <v>46</v>
      </c>
      <c r="Z34" t="s">
        <v>92</v>
      </c>
      <c r="AA34" t="s">
        <v>92</v>
      </c>
      <c r="AB34" t="s">
        <v>147</v>
      </c>
      <c r="AC34" t="s">
        <v>148</v>
      </c>
      <c r="AD34" t="s">
        <v>481</v>
      </c>
      <c r="AE34" t="s">
        <v>189</v>
      </c>
      <c r="AF34" t="s">
        <v>484</v>
      </c>
      <c r="AG34" t="s">
        <v>196</v>
      </c>
      <c r="AH34">
        <f>VLOOKUP(Table1[[#This Row],[Caste]],Factor!$H$1:$K$13,4,0)</f>
        <v>1.2612194085121222</v>
      </c>
      <c r="AI34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34">
        <f>Table1[[#This Row],[Factor_1]]*Table1[[#This Row],[2024 Factor]]</f>
        <v>1.5392437151422549</v>
      </c>
      <c r="AK34">
        <f>VLOOKUP(Table1[[#This Row],[Q18: Gender]],Factor!$A$33:$E$35,5,0)</f>
        <v>0.85034013605442171</v>
      </c>
      <c r="AL34">
        <f>VLOOKUP(Table1[[#This Row],[Taluka]],Factor!$A$42:$G$46,7,0)</f>
        <v>0.75433779645928134</v>
      </c>
      <c r="AM34">
        <f>VLOOKUP(Table1[[#This Row],[Caste]]&amp;Table1[[#This Row],[Q18: Gender]],Factor!$W$1:$X$23,2,0)</f>
        <v>0.85249089649430487</v>
      </c>
      <c r="AN34">
        <f>VLOOKUP(Table1[[#This Row],[Taluka]]&amp;Table1[[#This Row],[Caste]]&amp;Table1[[#This Row],[Q18: Gender]],Factor!$AK$4:$AL$93,2,0)</f>
        <v>1.2935274689263982</v>
      </c>
      <c r="AO34">
        <f t="shared" si="0"/>
        <v>-1</v>
      </c>
      <c r="AP34">
        <f t="shared" si="1"/>
        <v>1</v>
      </c>
      <c r="AQ34">
        <f t="shared" si="2"/>
        <v>1</v>
      </c>
      <c r="AR34">
        <f t="shared" si="3"/>
        <v>-1</v>
      </c>
      <c r="AS34">
        <f t="shared" si="4"/>
        <v>1</v>
      </c>
      <c r="AT34">
        <f t="shared" si="5"/>
        <v>1</v>
      </c>
      <c r="AU34">
        <f t="shared" si="6"/>
        <v>1.5</v>
      </c>
      <c r="AV34">
        <f>SUM(Table1[[#This Row],[Satis]:[29]])</f>
        <v>2</v>
      </c>
      <c r="AW34">
        <f t="shared" si="7"/>
        <v>1</v>
      </c>
      <c r="AX34">
        <f t="shared" si="8"/>
        <v>2</v>
      </c>
      <c r="AY34">
        <f t="shared" si="9"/>
        <v>2</v>
      </c>
      <c r="AZ34" t="str">
        <f t="shared" si="10"/>
        <v>Neutral YSRCP</v>
      </c>
    </row>
    <row r="35" spans="1:52" x14ac:dyDescent="0.3">
      <c r="A35" t="s">
        <v>298</v>
      </c>
      <c r="B35" s="94">
        <v>46042</v>
      </c>
      <c r="C35" t="s">
        <v>299</v>
      </c>
      <c r="D35" t="s">
        <v>300</v>
      </c>
      <c r="E35" t="s">
        <v>294</v>
      </c>
      <c r="F35" t="s">
        <v>240</v>
      </c>
      <c r="G35" t="s">
        <v>39</v>
      </c>
      <c r="H35" t="s">
        <v>301</v>
      </c>
      <c r="I35" t="s">
        <v>59</v>
      </c>
      <c r="J35" t="s">
        <v>37</v>
      </c>
      <c r="K35" t="s">
        <v>212</v>
      </c>
      <c r="L35" t="s">
        <v>62</v>
      </c>
      <c r="M35" t="s">
        <v>51</v>
      </c>
      <c r="N35" t="s">
        <v>63</v>
      </c>
      <c r="O35" t="s">
        <v>302</v>
      </c>
      <c r="P35">
        <v>9849788816</v>
      </c>
      <c r="Q35" t="s">
        <v>54</v>
      </c>
      <c r="R35" t="s">
        <v>73</v>
      </c>
      <c r="S35" t="s">
        <v>43</v>
      </c>
      <c r="T35" t="s">
        <v>43</v>
      </c>
      <c r="U35" t="s">
        <v>44</v>
      </c>
      <c r="V35" t="s">
        <v>45</v>
      </c>
      <c r="W35" t="s">
        <v>5053</v>
      </c>
      <c r="X35" t="s">
        <v>45</v>
      </c>
      <c r="Y35" t="s">
        <v>46</v>
      </c>
      <c r="Z35" t="s">
        <v>47</v>
      </c>
      <c r="AA35" t="s">
        <v>48</v>
      </c>
      <c r="AB35" t="s">
        <v>49</v>
      </c>
      <c r="AC35" t="s">
        <v>49</v>
      </c>
      <c r="AD35" t="s">
        <v>481</v>
      </c>
      <c r="AE35" t="s">
        <v>185</v>
      </c>
      <c r="AF35">
        <v>0</v>
      </c>
      <c r="AG35" t="s">
        <v>196</v>
      </c>
      <c r="AH35">
        <f>VLOOKUP(Table1[[#This Row],[Caste]],Factor!$H$1:$K$13,4,0)</f>
        <v>1.1461625511156397</v>
      </c>
      <c r="AI3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5">
        <f>Table1[[#This Row],[Factor_1]]*Table1[[#This Row],[2024 Factor]]</f>
        <v>0.77721139583220644</v>
      </c>
      <c r="AK35">
        <f>VLOOKUP(Table1[[#This Row],[Q18: Gender]],Factor!$A$33:$E$35,5,0)</f>
        <v>0.85034013605442171</v>
      </c>
      <c r="AL35">
        <f>VLOOKUP(Table1[[#This Row],[Taluka]],Factor!$A$42:$G$46,7,0)</f>
        <v>0.75433779645928134</v>
      </c>
      <c r="AM35">
        <f>VLOOKUP(Table1[[#This Row],[Caste]]&amp;Table1[[#This Row],[Q18: Gender]],Factor!$W$1:$X$23,2,0)</f>
        <v>0.71995135120329123</v>
      </c>
      <c r="AN35">
        <f>VLOOKUP(Table1[[#This Row],[Taluka]]&amp;Table1[[#This Row],[Caste]]&amp;Table1[[#This Row],[Q18: Gender]],Factor!$AK$4:$AL$93,2,0)</f>
        <v>0.55527787174877274</v>
      </c>
      <c r="AO35">
        <f t="shared" si="0"/>
        <v>-1</v>
      </c>
      <c r="AP35">
        <f t="shared" si="1"/>
        <v>-1</v>
      </c>
      <c r="AQ35">
        <f t="shared" si="2"/>
        <v>-1</v>
      </c>
      <c r="AR35">
        <f t="shared" si="3"/>
        <v>-1</v>
      </c>
      <c r="AS35">
        <f t="shared" si="4"/>
        <v>-1</v>
      </c>
      <c r="AT35">
        <f t="shared" si="5"/>
        <v>-1</v>
      </c>
      <c r="AU35">
        <f t="shared" si="6"/>
        <v>-5.5</v>
      </c>
      <c r="AV35">
        <f>SUM(Table1[[#This Row],[Satis]:[29]])</f>
        <v>-6</v>
      </c>
      <c r="AW35">
        <f t="shared" si="7"/>
        <v>-5</v>
      </c>
      <c r="AX35">
        <f t="shared" si="8"/>
        <v>-4</v>
      </c>
      <c r="AY35">
        <f t="shared" si="9"/>
        <v>-3</v>
      </c>
      <c r="AZ35" t="str">
        <f t="shared" si="10"/>
        <v>TDP HardCore</v>
      </c>
    </row>
    <row r="36" spans="1:52" x14ac:dyDescent="0.3">
      <c r="A36" t="s">
        <v>325</v>
      </c>
      <c r="B36" s="94">
        <v>46042</v>
      </c>
      <c r="C36" t="s">
        <v>326</v>
      </c>
      <c r="D36" t="s">
        <v>327</v>
      </c>
      <c r="E36" t="s">
        <v>328</v>
      </c>
      <c r="F36" t="s">
        <v>240</v>
      </c>
      <c r="G36" t="s">
        <v>39</v>
      </c>
      <c r="H36" t="s">
        <v>329</v>
      </c>
      <c r="I36" t="s">
        <v>230</v>
      </c>
      <c r="J36" t="s">
        <v>37</v>
      </c>
      <c r="K36" t="s">
        <v>212</v>
      </c>
      <c r="L36" t="s">
        <v>62</v>
      </c>
      <c r="M36" t="s">
        <v>51</v>
      </c>
      <c r="N36" t="s">
        <v>63</v>
      </c>
      <c r="O36" t="s">
        <v>330</v>
      </c>
      <c r="P36">
        <v>1111111111</v>
      </c>
      <c r="Q36" t="s">
        <v>54</v>
      </c>
      <c r="R36" t="s">
        <v>61</v>
      </c>
      <c r="S36" t="s">
        <v>43</v>
      </c>
      <c r="T36" t="s">
        <v>89</v>
      </c>
      <c r="U36" t="s">
        <v>90</v>
      </c>
      <c r="V36" t="s">
        <v>45</v>
      </c>
      <c r="W36" t="s">
        <v>296</v>
      </c>
      <c r="X36" t="s">
        <v>45</v>
      </c>
      <c r="Y36" t="s">
        <v>46</v>
      </c>
      <c r="Z36" t="s">
        <v>92</v>
      </c>
      <c r="AA36" t="s">
        <v>48</v>
      </c>
      <c r="AB36" t="s">
        <v>49</v>
      </c>
      <c r="AC36" t="s">
        <v>49</v>
      </c>
      <c r="AD36" t="s">
        <v>481</v>
      </c>
      <c r="AE36" t="s">
        <v>189</v>
      </c>
      <c r="AF36" t="s">
        <v>485</v>
      </c>
      <c r="AG36" t="s">
        <v>196</v>
      </c>
      <c r="AH36">
        <f>VLOOKUP(Table1[[#This Row],[Caste]],Factor!$H$1:$K$13,4,0)</f>
        <v>1.0786696182614144</v>
      </c>
      <c r="AI3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6">
        <f>Table1[[#This Row],[Factor_1]]*Table1[[#This Row],[2024 Factor]]</f>
        <v>1.1644596794624567</v>
      </c>
      <c r="AK36">
        <f>VLOOKUP(Table1[[#This Row],[Q18: Gender]],Factor!$A$33:$E$35,5,0)</f>
        <v>0.85034013605442171</v>
      </c>
      <c r="AL36">
        <f>VLOOKUP(Table1[[#This Row],[Taluka]],Factor!$A$42:$G$46,7,0)</f>
        <v>0.75433779645928134</v>
      </c>
      <c r="AM36">
        <f>VLOOKUP(Table1[[#This Row],[Caste]]&amp;Table1[[#This Row],[Q18: Gender]],Factor!$W$1:$X$23,2,0)</f>
        <v>1.0786696182614144</v>
      </c>
      <c r="AN36">
        <f>VLOOKUP(Table1[[#This Row],[Taluka]]&amp;Table1[[#This Row],[Caste]]&amp;Table1[[#This Row],[Q18: Gender]],Factor!$AK$4:$AL$93,2,0)</f>
        <v>0.36371552453725964</v>
      </c>
      <c r="AO36">
        <f t="shared" si="0"/>
        <v>1</v>
      </c>
      <c r="AP36">
        <f t="shared" si="1"/>
        <v>1</v>
      </c>
      <c r="AQ36">
        <f t="shared" si="2"/>
        <v>-1</v>
      </c>
      <c r="AR36">
        <f t="shared" si="3"/>
        <v>-1</v>
      </c>
      <c r="AS36">
        <f t="shared" si="4"/>
        <v>-1</v>
      </c>
      <c r="AT36">
        <f t="shared" si="5"/>
        <v>1</v>
      </c>
      <c r="AU36">
        <f t="shared" si="6"/>
        <v>0.5</v>
      </c>
      <c r="AV36">
        <f>SUM(Table1[[#This Row],[Satis]:[29]])</f>
        <v>0</v>
      </c>
      <c r="AW36">
        <f t="shared" si="7"/>
        <v>-1</v>
      </c>
      <c r="AX36">
        <f t="shared" si="8"/>
        <v>-2</v>
      </c>
      <c r="AY36">
        <f t="shared" si="9"/>
        <v>2</v>
      </c>
      <c r="AZ36" t="str">
        <f t="shared" si="10"/>
        <v>Neutral YSRCP</v>
      </c>
    </row>
    <row r="37" spans="1:52" x14ac:dyDescent="0.3">
      <c r="A37" t="s">
        <v>322</v>
      </c>
      <c r="B37" s="94">
        <v>46042</v>
      </c>
      <c r="C37" t="s">
        <v>323</v>
      </c>
      <c r="D37" t="s">
        <v>317</v>
      </c>
      <c r="E37" t="s">
        <v>318</v>
      </c>
      <c r="F37" t="s">
        <v>240</v>
      </c>
      <c r="G37" t="s">
        <v>39</v>
      </c>
      <c r="H37" t="s">
        <v>324</v>
      </c>
      <c r="I37" t="s">
        <v>227</v>
      </c>
      <c r="J37" t="s">
        <v>37</v>
      </c>
      <c r="K37" t="s">
        <v>212</v>
      </c>
      <c r="L37" t="s">
        <v>50</v>
      </c>
      <c r="M37" t="s">
        <v>51</v>
      </c>
      <c r="N37" t="s">
        <v>63</v>
      </c>
      <c r="O37" t="s">
        <v>321</v>
      </c>
      <c r="P37">
        <v>7013684412</v>
      </c>
      <c r="Q37" t="s">
        <v>54</v>
      </c>
      <c r="R37" t="s">
        <v>61</v>
      </c>
      <c r="S37" t="s">
        <v>89</v>
      </c>
      <c r="T37" t="s">
        <v>43</v>
      </c>
      <c r="U37" t="s">
        <v>90</v>
      </c>
      <c r="V37" t="s">
        <v>91</v>
      </c>
      <c r="W37" t="s">
        <v>320</v>
      </c>
      <c r="X37" t="s">
        <v>45</v>
      </c>
      <c r="Y37" t="s">
        <v>46</v>
      </c>
      <c r="Z37" t="s">
        <v>92</v>
      </c>
      <c r="AA37" t="s">
        <v>92</v>
      </c>
      <c r="AB37" t="s">
        <v>147</v>
      </c>
      <c r="AC37" t="s">
        <v>148</v>
      </c>
      <c r="AD37" t="s">
        <v>481</v>
      </c>
      <c r="AE37" t="s">
        <v>185</v>
      </c>
      <c r="AF37">
        <v>0</v>
      </c>
      <c r="AG37" t="s">
        <v>196</v>
      </c>
      <c r="AH37">
        <f>VLOOKUP(Table1[[#This Row],[Caste]],Factor!$H$1:$K$13,4,0)</f>
        <v>1.2612194085121222</v>
      </c>
      <c r="AI37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37">
        <f>Table1[[#This Row],[Factor_1]]*Table1[[#This Row],[2024 Factor]]</f>
        <v>1.5392437151422549</v>
      </c>
      <c r="AK37">
        <f>VLOOKUP(Table1[[#This Row],[Q18: Gender]],Factor!$A$33:$E$35,5,0)</f>
        <v>0.85034013605442171</v>
      </c>
      <c r="AL37">
        <f>VLOOKUP(Table1[[#This Row],[Taluka]],Factor!$A$42:$G$46,7,0)</f>
        <v>0.75433779645928134</v>
      </c>
      <c r="AM37">
        <f>VLOOKUP(Table1[[#This Row],[Caste]]&amp;Table1[[#This Row],[Q18: Gender]],Factor!$W$1:$X$23,2,0)</f>
        <v>0.85249089649430487</v>
      </c>
      <c r="AN37">
        <f>VLOOKUP(Table1[[#This Row],[Taluka]]&amp;Table1[[#This Row],[Caste]]&amp;Table1[[#This Row],[Q18: Gender]],Factor!$AK$4:$AL$93,2,0)</f>
        <v>1.2935274689263982</v>
      </c>
      <c r="AO37">
        <f t="shared" si="0"/>
        <v>-1</v>
      </c>
      <c r="AP37">
        <f t="shared" si="1"/>
        <v>1</v>
      </c>
      <c r="AQ37">
        <f t="shared" si="2"/>
        <v>1</v>
      </c>
      <c r="AR37">
        <f t="shared" si="3"/>
        <v>-1</v>
      </c>
      <c r="AS37">
        <f t="shared" si="4"/>
        <v>1</v>
      </c>
      <c r="AT37">
        <f t="shared" si="5"/>
        <v>1</v>
      </c>
      <c r="AU37">
        <f t="shared" si="6"/>
        <v>1.5</v>
      </c>
      <c r="AV37">
        <f>SUM(Table1[[#This Row],[Satis]:[29]])</f>
        <v>2</v>
      </c>
      <c r="AW37">
        <f t="shared" si="7"/>
        <v>1</v>
      </c>
      <c r="AX37">
        <f t="shared" si="8"/>
        <v>2</v>
      </c>
      <c r="AY37">
        <f t="shared" si="9"/>
        <v>2</v>
      </c>
      <c r="AZ37" t="str">
        <f t="shared" si="10"/>
        <v>Neutral YSRCP</v>
      </c>
    </row>
    <row r="38" spans="1:52" x14ac:dyDescent="0.3">
      <c r="A38" t="s">
        <v>331</v>
      </c>
      <c r="B38" s="94">
        <v>46042</v>
      </c>
      <c r="C38" t="s">
        <v>332</v>
      </c>
      <c r="D38" t="s">
        <v>327</v>
      </c>
      <c r="E38" t="s">
        <v>328</v>
      </c>
      <c r="F38" t="s">
        <v>240</v>
      </c>
      <c r="G38" t="s">
        <v>39</v>
      </c>
      <c r="H38" t="s">
        <v>333</v>
      </c>
      <c r="I38" t="s">
        <v>230</v>
      </c>
      <c r="J38" t="s">
        <v>37</v>
      </c>
      <c r="K38" t="s">
        <v>212</v>
      </c>
      <c r="L38" t="s">
        <v>62</v>
      </c>
      <c r="M38" t="s">
        <v>51</v>
      </c>
      <c r="N38" t="s">
        <v>63</v>
      </c>
      <c r="O38" t="s">
        <v>330</v>
      </c>
      <c r="P38">
        <v>1111111111</v>
      </c>
      <c r="Q38" t="s">
        <v>54</v>
      </c>
      <c r="R38" t="s">
        <v>61</v>
      </c>
      <c r="S38" t="s">
        <v>43</v>
      </c>
      <c r="T38" t="s">
        <v>89</v>
      </c>
      <c r="U38" t="s">
        <v>90</v>
      </c>
      <c r="V38" t="s">
        <v>45</v>
      </c>
      <c r="W38" t="s">
        <v>296</v>
      </c>
      <c r="X38" t="s">
        <v>45</v>
      </c>
      <c r="Y38" t="s">
        <v>46</v>
      </c>
      <c r="Z38" t="s">
        <v>92</v>
      </c>
      <c r="AA38" t="s">
        <v>48</v>
      </c>
      <c r="AB38" t="s">
        <v>49</v>
      </c>
      <c r="AC38" t="s">
        <v>49</v>
      </c>
      <c r="AD38" t="s">
        <v>481</v>
      </c>
      <c r="AE38" t="s">
        <v>185</v>
      </c>
      <c r="AF38">
        <v>0</v>
      </c>
      <c r="AG38" t="s">
        <v>196</v>
      </c>
      <c r="AH38">
        <f>VLOOKUP(Table1[[#This Row],[Caste]],Factor!$H$1:$K$13,4,0)</f>
        <v>1.0786696182614144</v>
      </c>
      <c r="AI3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8">
        <f>Table1[[#This Row],[Factor_1]]*Table1[[#This Row],[2024 Factor]]</f>
        <v>1.1644596794624567</v>
      </c>
      <c r="AK38">
        <f>VLOOKUP(Table1[[#This Row],[Q18: Gender]],Factor!$A$33:$E$35,5,0)</f>
        <v>0.85034013605442171</v>
      </c>
      <c r="AL38">
        <f>VLOOKUP(Table1[[#This Row],[Taluka]],Factor!$A$42:$G$46,7,0)</f>
        <v>0.75433779645928134</v>
      </c>
      <c r="AM38">
        <f>VLOOKUP(Table1[[#This Row],[Caste]]&amp;Table1[[#This Row],[Q18: Gender]],Factor!$W$1:$X$23,2,0)</f>
        <v>1.0786696182614144</v>
      </c>
      <c r="AN38">
        <f>VLOOKUP(Table1[[#This Row],[Taluka]]&amp;Table1[[#This Row],[Caste]]&amp;Table1[[#This Row],[Q18: Gender]],Factor!$AK$4:$AL$93,2,0)</f>
        <v>0.36371552453725964</v>
      </c>
      <c r="AO38">
        <f t="shared" si="0"/>
        <v>1</v>
      </c>
      <c r="AP38">
        <f t="shared" si="1"/>
        <v>1</v>
      </c>
      <c r="AQ38">
        <f t="shared" si="2"/>
        <v>-1</v>
      </c>
      <c r="AR38">
        <f t="shared" si="3"/>
        <v>-1</v>
      </c>
      <c r="AS38">
        <f t="shared" si="4"/>
        <v>-1</v>
      </c>
      <c r="AT38">
        <f t="shared" si="5"/>
        <v>1</v>
      </c>
      <c r="AU38">
        <f t="shared" si="6"/>
        <v>0.5</v>
      </c>
      <c r="AV38">
        <f>SUM(Table1[[#This Row],[Satis]:[29]])</f>
        <v>0</v>
      </c>
      <c r="AW38">
        <f t="shared" si="7"/>
        <v>-1</v>
      </c>
      <c r="AX38">
        <f t="shared" si="8"/>
        <v>-2</v>
      </c>
      <c r="AY38">
        <f t="shared" si="9"/>
        <v>2</v>
      </c>
      <c r="AZ38" t="str">
        <f t="shared" si="10"/>
        <v>Neutral YSRCP</v>
      </c>
    </row>
    <row r="39" spans="1:52" x14ac:dyDescent="0.3">
      <c r="A39" t="s">
        <v>334</v>
      </c>
      <c r="B39" s="94">
        <v>46042</v>
      </c>
      <c r="C39" t="s">
        <v>335</v>
      </c>
      <c r="D39" t="s">
        <v>336</v>
      </c>
      <c r="E39" t="s">
        <v>337</v>
      </c>
      <c r="F39" t="s">
        <v>307</v>
      </c>
      <c r="G39" t="s">
        <v>39</v>
      </c>
      <c r="H39" t="s">
        <v>338</v>
      </c>
      <c r="I39" t="s">
        <v>59</v>
      </c>
      <c r="J39" s="112" t="s">
        <v>203</v>
      </c>
      <c r="K39" s="112" t="s">
        <v>204</v>
      </c>
      <c r="L39" t="s">
        <v>170</v>
      </c>
      <c r="M39" t="s">
        <v>51</v>
      </c>
      <c r="N39" t="s">
        <v>162</v>
      </c>
      <c r="O39" t="s">
        <v>339</v>
      </c>
      <c r="P39">
        <v>9032664364</v>
      </c>
      <c r="Q39" t="s">
        <v>54</v>
      </c>
      <c r="R39" t="s">
        <v>61</v>
      </c>
      <c r="S39" t="s">
        <v>88</v>
      </c>
      <c r="T39" t="s">
        <v>89</v>
      </c>
      <c r="U39" t="s">
        <v>90</v>
      </c>
      <c r="V39" t="s">
        <v>91</v>
      </c>
      <c r="W39" t="s">
        <v>74</v>
      </c>
      <c r="X39" t="s">
        <v>91</v>
      </c>
      <c r="Y39" t="s">
        <v>46</v>
      </c>
      <c r="Z39" t="s">
        <v>92</v>
      </c>
      <c r="AA39" t="s">
        <v>48</v>
      </c>
      <c r="AB39" t="s">
        <v>49</v>
      </c>
      <c r="AC39" t="s">
        <v>49</v>
      </c>
      <c r="AD39" t="s">
        <v>481</v>
      </c>
      <c r="AE39" t="s">
        <v>185</v>
      </c>
      <c r="AF39" t="s">
        <v>488</v>
      </c>
      <c r="AG39" t="s">
        <v>196</v>
      </c>
      <c r="AH39">
        <f>VLOOKUP(Table1[[#This Row],[Caste]],Factor!$H$1:$K$13,4,0)</f>
        <v>1.1461625511156397</v>
      </c>
      <c r="AI3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9">
        <f>Table1[[#This Row],[Factor_1]]*Table1[[#This Row],[2024 Factor]]</f>
        <v>0.77721139583220644</v>
      </c>
      <c r="AK39">
        <f>VLOOKUP(Table1[[#This Row],[Q18: Gender]],Factor!$A$33:$E$35,5,0)</f>
        <v>0.85034013605442171</v>
      </c>
      <c r="AL39">
        <f>VLOOKUP(Table1[[#This Row],[Taluka]],Factor!$A$42:$G$46,7,0)</f>
        <v>1.9264642089343564</v>
      </c>
      <c r="AM39">
        <f>VLOOKUP(Table1[[#This Row],[Caste]]&amp;Table1[[#This Row],[Q18: Gender]],Factor!$W$1:$X$23,2,0)</f>
        <v>0.71995135120329123</v>
      </c>
      <c r="AN39">
        <f>VLOOKUP(Table1[[#This Row],[Taluka]]&amp;Table1[[#This Row],[Caste]]&amp;Table1[[#This Row],[Q18: Gender]],Factor!$AK$4:$AL$93,2,0)</f>
        <v>0.70534647283248642</v>
      </c>
      <c r="AO39">
        <f t="shared" si="0"/>
        <v>1</v>
      </c>
      <c r="AP39">
        <f t="shared" si="1"/>
        <v>1</v>
      </c>
      <c r="AQ39">
        <f t="shared" si="2"/>
        <v>1</v>
      </c>
      <c r="AR39">
        <f t="shared" si="3"/>
        <v>1</v>
      </c>
      <c r="AS39">
        <f t="shared" si="4"/>
        <v>-1</v>
      </c>
      <c r="AT39">
        <f t="shared" si="5"/>
        <v>1</v>
      </c>
      <c r="AU39">
        <f t="shared" si="6"/>
        <v>4.5</v>
      </c>
      <c r="AV39">
        <f>SUM(Table1[[#This Row],[Satis]:[29]])</f>
        <v>4</v>
      </c>
      <c r="AW39">
        <f t="shared" si="7"/>
        <v>3</v>
      </c>
      <c r="AX39">
        <f t="shared" si="8"/>
        <v>2</v>
      </c>
      <c r="AY39">
        <f t="shared" si="9"/>
        <v>2</v>
      </c>
      <c r="AZ39" t="str">
        <f t="shared" si="10"/>
        <v>Neutral YSRCP</v>
      </c>
    </row>
    <row r="40" spans="1:52" x14ac:dyDescent="0.3">
      <c r="A40" t="s">
        <v>340</v>
      </c>
      <c r="B40" s="94">
        <v>46042</v>
      </c>
      <c r="C40" t="s">
        <v>341</v>
      </c>
      <c r="D40" t="s">
        <v>342</v>
      </c>
      <c r="E40" t="s">
        <v>343</v>
      </c>
      <c r="F40" t="s">
        <v>240</v>
      </c>
      <c r="G40" t="s">
        <v>39</v>
      </c>
      <c r="H40" t="s">
        <v>344</v>
      </c>
      <c r="I40" t="s">
        <v>59</v>
      </c>
      <c r="J40" t="s">
        <v>37</v>
      </c>
      <c r="K40" t="s">
        <v>212</v>
      </c>
      <c r="L40" t="s">
        <v>75</v>
      </c>
      <c r="M40" t="s">
        <v>51</v>
      </c>
      <c r="N40" t="s">
        <v>63</v>
      </c>
      <c r="O40" t="s">
        <v>345</v>
      </c>
      <c r="P40">
        <v>7013871168</v>
      </c>
      <c r="Q40" t="s">
        <v>54</v>
      </c>
      <c r="R40" t="s">
        <v>139</v>
      </c>
      <c r="S40" t="s">
        <v>43</v>
      </c>
      <c r="T40" t="s">
        <v>43</v>
      </c>
      <c r="U40" t="s">
        <v>44</v>
      </c>
      <c r="V40" t="s">
        <v>45</v>
      </c>
      <c r="W40" t="s">
        <v>5054</v>
      </c>
      <c r="X40" t="s">
        <v>45</v>
      </c>
      <c r="Y40" t="s">
        <v>46</v>
      </c>
      <c r="Z40" t="s">
        <v>47</v>
      </c>
      <c r="AA40" t="s">
        <v>48</v>
      </c>
      <c r="AB40" t="s">
        <v>49</v>
      </c>
      <c r="AC40" t="s">
        <v>49</v>
      </c>
      <c r="AD40" t="s">
        <v>481</v>
      </c>
      <c r="AE40" t="s">
        <v>185</v>
      </c>
      <c r="AF40">
        <v>0</v>
      </c>
      <c r="AG40" t="s">
        <v>196</v>
      </c>
      <c r="AH40">
        <f>VLOOKUP(Table1[[#This Row],[Caste]],Factor!$H$1:$K$13,4,0)</f>
        <v>1.1461625511156397</v>
      </c>
      <c r="AI4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0">
        <f>Table1[[#This Row],[Factor_1]]*Table1[[#This Row],[2024 Factor]]</f>
        <v>0.77721139583220644</v>
      </c>
      <c r="AK40">
        <f>VLOOKUP(Table1[[#This Row],[Q18: Gender]],Factor!$A$33:$E$35,5,0)</f>
        <v>0.85034013605442171</v>
      </c>
      <c r="AL40">
        <f>VLOOKUP(Table1[[#This Row],[Taluka]],Factor!$A$42:$G$46,7,0)</f>
        <v>0.75433779645928134</v>
      </c>
      <c r="AM40">
        <f>VLOOKUP(Table1[[#This Row],[Caste]]&amp;Table1[[#This Row],[Q18: Gender]],Factor!$W$1:$X$23,2,0)</f>
        <v>0.71995135120329123</v>
      </c>
      <c r="AN40">
        <f>VLOOKUP(Table1[[#This Row],[Taluka]]&amp;Table1[[#This Row],[Caste]]&amp;Table1[[#This Row],[Q18: Gender]],Factor!$AK$4:$AL$93,2,0)</f>
        <v>0.55527787174877274</v>
      </c>
      <c r="AO40">
        <f t="shared" si="0"/>
        <v>-1</v>
      </c>
      <c r="AP40">
        <f t="shared" si="1"/>
        <v>-1</v>
      </c>
      <c r="AQ40">
        <f t="shared" si="2"/>
        <v>-1</v>
      </c>
      <c r="AR40">
        <f t="shared" si="3"/>
        <v>-1</v>
      </c>
      <c r="AS40">
        <f t="shared" si="4"/>
        <v>-1</v>
      </c>
      <c r="AT40">
        <f t="shared" si="5"/>
        <v>-1</v>
      </c>
      <c r="AU40">
        <f t="shared" si="6"/>
        <v>-5.5</v>
      </c>
      <c r="AV40">
        <f>SUM(Table1[[#This Row],[Satis]:[29]])</f>
        <v>-6</v>
      </c>
      <c r="AW40">
        <f t="shared" si="7"/>
        <v>-5</v>
      </c>
      <c r="AX40">
        <f t="shared" si="8"/>
        <v>-4</v>
      </c>
      <c r="AY40">
        <f t="shared" si="9"/>
        <v>-3</v>
      </c>
      <c r="AZ40" t="str">
        <f t="shared" si="10"/>
        <v>TDP HardCore</v>
      </c>
    </row>
    <row r="41" spans="1:52" x14ac:dyDescent="0.3">
      <c r="A41" t="s">
        <v>353</v>
      </c>
      <c r="B41" s="94">
        <v>46042</v>
      </c>
      <c r="C41" t="s">
        <v>354</v>
      </c>
      <c r="D41" t="s">
        <v>355</v>
      </c>
      <c r="E41" t="s">
        <v>349</v>
      </c>
      <c r="F41" t="s">
        <v>240</v>
      </c>
      <c r="G41" t="s">
        <v>39</v>
      </c>
      <c r="H41" t="s">
        <v>356</v>
      </c>
      <c r="I41" t="s">
        <v>59</v>
      </c>
      <c r="J41" t="s">
        <v>37</v>
      </c>
      <c r="K41" t="s">
        <v>212</v>
      </c>
      <c r="L41" t="s">
        <v>62</v>
      </c>
      <c r="M41" t="s">
        <v>51</v>
      </c>
      <c r="N41" t="s">
        <v>107</v>
      </c>
      <c r="O41" t="s">
        <v>357</v>
      </c>
      <c r="P41">
        <v>6304074354</v>
      </c>
      <c r="Q41" t="s">
        <v>54</v>
      </c>
      <c r="R41" t="s">
        <v>42</v>
      </c>
      <c r="S41" t="s">
        <v>43</v>
      </c>
      <c r="T41" t="s">
        <v>43</v>
      </c>
      <c r="U41" t="s">
        <v>44</v>
      </c>
      <c r="V41" t="s">
        <v>45</v>
      </c>
      <c r="W41" t="s">
        <v>5041</v>
      </c>
      <c r="X41" t="s">
        <v>45</v>
      </c>
      <c r="Y41" t="s">
        <v>46</v>
      </c>
      <c r="Z41" t="s">
        <v>47</v>
      </c>
      <c r="AA41" t="s">
        <v>48</v>
      </c>
      <c r="AB41" t="s">
        <v>49</v>
      </c>
      <c r="AC41" t="s">
        <v>49</v>
      </c>
      <c r="AD41" t="s">
        <v>184</v>
      </c>
      <c r="AE41" t="s">
        <v>189</v>
      </c>
      <c r="AF41" t="s">
        <v>489</v>
      </c>
      <c r="AG41" t="s">
        <v>196</v>
      </c>
      <c r="AH41">
        <f>VLOOKUP(Table1[[#This Row],[Caste]],Factor!$H$1:$K$13,4,0)</f>
        <v>1.1461625511156397</v>
      </c>
      <c r="AI4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1">
        <f>Table1[[#This Row],[Factor_1]]*Table1[[#This Row],[2024 Factor]]</f>
        <v>0.77721139583220644</v>
      </c>
      <c r="AK41">
        <f>VLOOKUP(Table1[[#This Row],[Q18: Gender]],Factor!$A$33:$E$35,5,0)</f>
        <v>0.85034013605442171</v>
      </c>
      <c r="AL41">
        <f>VLOOKUP(Table1[[#This Row],[Taluka]],Factor!$A$42:$G$46,7,0)</f>
        <v>0.75433779645928134</v>
      </c>
      <c r="AM41">
        <f>VLOOKUP(Table1[[#This Row],[Caste]]&amp;Table1[[#This Row],[Q18: Gender]],Factor!$W$1:$X$23,2,0)</f>
        <v>0.71995135120329123</v>
      </c>
      <c r="AN41">
        <f>VLOOKUP(Table1[[#This Row],[Taluka]]&amp;Table1[[#This Row],[Caste]]&amp;Table1[[#This Row],[Q18: Gender]],Factor!$AK$4:$AL$93,2,0)</f>
        <v>0.55527787174877274</v>
      </c>
      <c r="AO41">
        <f t="shared" si="0"/>
        <v>-1</v>
      </c>
      <c r="AP41">
        <f t="shared" si="1"/>
        <v>-1</v>
      </c>
      <c r="AQ41">
        <f t="shared" si="2"/>
        <v>-1</v>
      </c>
      <c r="AR41">
        <f t="shared" si="3"/>
        <v>-1</v>
      </c>
      <c r="AS41">
        <f t="shared" si="4"/>
        <v>-1</v>
      </c>
      <c r="AT41">
        <f t="shared" si="5"/>
        <v>-1</v>
      </c>
      <c r="AU41">
        <f t="shared" si="6"/>
        <v>-5.5</v>
      </c>
      <c r="AV41">
        <f>SUM(Table1[[#This Row],[Satis]:[29]])</f>
        <v>-6</v>
      </c>
      <c r="AW41">
        <f t="shared" si="7"/>
        <v>-5</v>
      </c>
      <c r="AX41">
        <f t="shared" si="8"/>
        <v>-4</v>
      </c>
      <c r="AY41">
        <f t="shared" si="9"/>
        <v>-3</v>
      </c>
      <c r="AZ41" t="str">
        <f t="shared" si="10"/>
        <v>TDP HardCore</v>
      </c>
    </row>
    <row r="42" spans="1:52" x14ac:dyDescent="0.3">
      <c r="A42" t="s">
        <v>358</v>
      </c>
      <c r="B42" s="94">
        <v>46042</v>
      </c>
      <c r="C42" t="s">
        <v>359</v>
      </c>
      <c r="D42" t="s">
        <v>360</v>
      </c>
      <c r="E42" t="s">
        <v>361</v>
      </c>
      <c r="F42" t="s">
        <v>307</v>
      </c>
      <c r="G42" t="s">
        <v>39</v>
      </c>
      <c r="H42" t="s">
        <v>362</v>
      </c>
      <c r="I42" t="s">
        <v>70</v>
      </c>
      <c r="J42" t="s">
        <v>37</v>
      </c>
      <c r="K42" t="s">
        <v>80</v>
      </c>
      <c r="L42" t="s">
        <v>50</v>
      </c>
      <c r="M42" t="s">
        <v>51</v>
      </c>
      <c r="N42" t="s">
        <v>52</v>
      </c>
      <c r="O42" t="s">
        <v>363</v>
      </c>
      <c r="P42">
        <v>8639391252</v>
      </c>
      <c r="Q42" t="s">
        <v>54</v>
      </c>
      <c r="R42" t="s">
        <v>73</v>
      </c>
      <c r="S42" t="s">
        <v>89</v>
      </c>
      <c r="T42" t="s">
        <v>89</v>
      </c>
      <c r="U42" t="s">
        <v>90</v>
      </c>
      <c r="V42" t="s">
        <v>91</v>
      </c>
      <c r="W42" t="s">
        <v>5039</v>
      </c>
      <c r="X42" t="s">
        <v>91</v>
      </c>
      <c r="Y42" t="s">
        <v>46</v>
      </c>
      <c r="Z42" t="s">
        <v>92</v>
      </c>
      <c r="AA42" t="s">
        <v>92</v>
      </c>
      <c r="AB42" t="s">
        <v>351</v>
      </c>
      <c r="AC42" t="s">
        <v>49</v>
      </c>
      <c r="AD42" t="s">
        <v>184</v>
      </c>
      <c r="AE42" t="s">
        <v>187</v>
      </c>
      <c r="AF42" t="s">
        <v>490</v>
      </c>
      <c r="AG42" t="s">
        <v>498</v>
      </c>
      <c r="AH42">
        <f>VLOOKUP(Table1[[#This Row],[Caste]],Factor!$H$1:$K$13,4,0)</f>
        <v>1.3836274505214585</v>
      </c>
      <c r="AI42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42">
        <f>Table1[[#This Row],[Factor_1]]*Table1[[#This Row],[2024 Factor]]</f>
        <v>1.9482662206881376</v>
      </c>
      <c r="AK42">
        <f>VLOOKUP(Table1[[#This Row],[Q18: Gender]],Factor!$A$33:$E$35,5,0)</f>
        <v>0.85034013605442171</v>
      </c>
      <c r="AL42">
        <f>VLOOKUP(Table1[[#This Row],[Taluka]],Factor!$A$42:$G$46,7,0)</f>
        <v>0.75433779645928134</v>
      </c>
      <c r="AM42">
        <f>VLOOKUP(Table1[[#This Row],[Caste]]&amp;Table1[[#This Row],[Q18: Gender]],Factor!$W$1:$X$23,2,0)</f>
        <v>1.0790228998469584</v>
      </c>
      <c r="AN42">
        <f>VLOOKUP(Table1[[#This Row],[Taluka]]&amp;Table1[[#This Row],[Caste]]&amp;Table1[[#This Row],[Q18: Gender]],Factor!$AK$4:$AL$93,2,0)</f>
        <v>0.52423486800867025</v>
      </c>
      <c r="AO42">
        <f t="shared" si="0"/>
        <v>1</v>
      </c>
      <c r="AP42">
        <f t="shared" si="1"/>
        <v>1</v>
      </c>
      <c r="AQ42">
        <f t="shared" si="2"/>
        <v>1</v>
      </c>
      <c r="AR42">
        <f t="shared" si="3"/>
        <v>1</v>
      </c>
      <c r="AS42">
        <f t="shared" si="4"/>
        <v>1</v>
      </c>
      <c r="AT42">
        <f t="shared" si="5"/>
        <v>1</v>
      </c>
      <c r="AU42">
        <f t="shared" si="6"/>
        <v>5.5</v>
      </c>
      <c r="AV42">
        <f>SUM(Table1[[#This Row],[Satis]:[29]])</f>
        <v>6</v>
      </c>
      <c r="AW42">
        <f t="shared" si="7"/>
        <v>5</v>
      </c>
      <c r="AX42">
        <f t="shared" si="8"/>
        <v>4</v>
      </c>
      <c r="AY42">
        <f t="shared" si="9"/>
        <v>3</v>
      </c>
      <c r="AZ42" t="str">
        <f t="shared" si="10"/>
        <v>YSRCP HardCore</v>
      </c>
    </row>
    <row r="43" spans="1:52" x14ac:dyDescent="0.3">
      <c r="A43" t="s">
        <v>236</v>
      </c>
      <c r="B43" s="94">
        <v>46042</v>
      </c>
      <c r="C43" t="s">
        <v>237</v>
      </c>
      <c r="D43" t="s">
        <v>238</v>
      </c>
      <c r="E43" t="s">
        <v>239</v>
      </c>
      <c r="F43" t="s">
        <v>240</v>
      </c>
      <c r="G43" t="s">
        <v>39</v>
      </c>
      <c r="H43" t="s">
        <v>241</v>
      </c>
      <c r="I43" t="s">
        <v>36</v>
      </c>
      <c r="J43" t="s">
        <v>37</v>
      </c>
      <c r="K43" t="s">
        <v>212</v>
      </c>
      <c r="L43" t="s">
        <v>82</v>
      </c>
      <c r="M43" t="s">
        <v>51</v>
      </c>
      <c r="N43" t="s">
        <v>107</v>
      </c>
      <c r="O43" t="s">
        <v>243</v>
      </c>
      <c r="P43">
        <v>9603131936</v>
      </c>
      <c r="Q43" t="s">
        <v>54</v>
      </c>
      <c r="R43" t="s">
        <v>139</v>
      </c>
      <c r="S43" t="s">
        <v>43</v>
      </c>
      <c r="T43" t="s">
        <v>43</v>
      </c>
      <c r="U43" t="s">
        <v>90</v>
      </c>
      <c r="V43" t="s">
        <v>91</v>
      </c>
      <c r="W43" t="s">
        <v>5041</v>
      </c>
      <c r="X43" t="s">
        <v>91</v>
      </c>
      <c r="Y43" t="s">
        <v>46</v>
      </c>
      <c r="Z43" t="s">
        <v>242</v>
      </c>
      <c r="AA43" t="s">
        <v>48</v>
      </c>
      <c r="AB43" t="s">
        <v>49</v>
      </c>
      <c r="AC43" t="s">
        <v>49</v>
      </c>
      <c r="AD43" t="s">
        <v>481</v>
      </c>
      <c r="AE43" t="s">
        <v>185</v>
      </c>
      <c r="AF43">
        <v>0</v>
      </c>
      <c r="AG43" t="s">
        <v>196</v>
      </c>
      <c r="AH43">
        <f>VLOOKUP(Table1[[#This Row],[Caste]],Factor!$H$1:$K$13,4,0)</f>
        <v>1.1705128247062893</v>
      </c>
      <c r="AI4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3">
        <f>Table1[[#This Row],[Factor_1]]*Table1[[#This Row],[2024 Factor]]</f>
        <v>0.86308903171383233</v>
      </c>
      <c r="AK43">
        <f>VLOOKUP(Table1[[#This Row],[Q18: Gender]],Factor!$A$33:$E$35,5,0)</f>
        <v>0.85034013605442171</v>
      </c>
      <c r="AL43">
        <f>VLOOKUP(Table1[[#This Row],[Taluka]],Factor!$A$42:$G$46,7,0)</f>
        <v>0.75433779645928134</v>
      </c>
      <c r="AM43">
        <f>VLOOKUP(Table1[[#This Row],[Caste]]&amp;Table1[[#This Row],[Q18: Gender]],Factor!$W$1:$X$23,2,0)</f>
        <v>0.79950206330384943</v>
      </c>
      <c r="AN43">
        <f>VLOOKUP(Table1[[#This Row],[Taluka]]&amp;Table1[[#This Row],[Caste]]&amp;Table1[[#This Row],[Q18: Gender]],Factor!$AK$4:$AL$93,2,0)</f>
        <v>0.40257772387792479</v>
      </c>
      <c r="AO43">
        <f t="shared" si="0"/>
        <v>-1</v>
      </c>
      <c r="AP43">
        <f t="shared" si="1"/>
        <v>1</v>
      </c>
      <c r="AQ43">
        <f t="shared" si="2"/>
        <v>1</v>
      </c>
      <c r="AR43">
        <f t="shared" si="3"/>
        <v>1</v>
      </c>
      <c r="AS43">
        <f t="shared" si="4"/>
        <v>-1</v>
      </c>
      <c r="AT43">
        <f t="shared" si="5"/>
        <v>-1</v>
      </c>
      <c r="AU43">
        <f t="shared" si="6"/>
        <v>0.5</v>
      </c>
      <c r="AV43">
        <f>SUM(Table1[[#This Row],[Satis]:[29]])</f>
        <v>0</v>
      </c>
      <c r="AW43">
        <f t="shared" si="7"/>
        <v>-1</v>
      </c>
      <c r="AX43">
        <f t="shared" si="8"/>
        <v>0</v>
      </c>
      <c r="AY43">
        <f t="shared" si="9"/>
        <v>-3</v>
      </c>
      <c r="AZ43" t="str">
        <f t="shared" si="10"/>
        <v>Neutral TDP</v>
      </c>
    </row>
    <row r="44" spans="1:52" x14ac:dyDescent="0.3">
      <c r="A44" t="s">
        <v>371</v>
      </c>
      <c r="B44" s="94">
        <v>46042</v>
      </c>
      <c r="C44" t="s">
        <v>372</v>
      </c>
      <c r="D44" t="s">
        <v>373</v>
      </c>
      <c r="E44" t="s">
        <v>361</v>
      </c>
      <c r="F44" t="s">
        <v>307</v>
      </c>
      <c r="G44" t="s">
        <v>39</v>
      </c>
      <c r="H44" t="s">
        <v>374</v>
      </c>
      <c r="I44" t="s">
        <v>70</v>
      </c>
      <c r="J44" t="s">
        <v>37</v>
      </c>
      <c r="K44" t="s">
        <v>80</v>
      </c>
      <c r="L44" t="s">
        <v>170</v>
      </c>
      <c r="M44" t="s">
        <v>51</v>
      </c>
      <c r="N44" t="s">
        <v>162</v>
      </c>
      <c r="O44" t="s">
        <v>375</v>
      </c>
      <c r="P44">
        <v>7993098485</v>
      </c>
      <c r="Q44" t="s">
        <v>54</v>
      </c>
      <c r="R44" t="s">
        <v>61</v>
      </c>
      <c r="S44" t="s">
        <v>89</v>
      </c>
      <c r="T44" t="s">
        <v>89</v>
      </c>
      <c r="U44" t="s">
        <v>90</v>
      </c>
      <c r="V44" t="s">
        <v>91</v>
      </c>
      <c r="W44" t="s">
        <v>296</v>
      </c>
      <c r="X44" t="s">
        <v>91</v>
      </c>
      <c r="Y44" t="s">
        <v>46</v>
      </c>
      <c r="Z44" t="s">
        <v>92</v>
      </c>
      <c r="AA44" t="s">
        <v>92</v>
      </c>
      <c r="AB44" t="s">
        <v>351</v>
      </c>
      <c r="AC44" t="s">
        <v>148</v>
      </c>
      <c r="AD44" t="s">
        <v>184</v>
      </c>
      <c r="AE44" t="s">
        <v>189</v>
      </c>
      <c r="AF44" t="s">
        <v>491</v>
      </c>
      <c r="AG44" t="s">
        <v>196</v>
      </c>
      <c r="AH44">
        <f>VLOOKUP(Table1[[#This Row],[Caste]],Factor!$H$1:$K$13,4,0)</f>
        <v>1.3836274505214585</v>
      </c>
      <c r="AI44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44">
        <f>Table1[[#This Row],[Factor_1]]*Table1[[#This Row],[2024 Factor]]</f>
        <v>1.9482662206881376</v>
      </c>
      <c r="AK44">
        <f>VLOOKUP(Table1[[#This Row],[Q18: Gender]],Factor!$A$33:$E$35,5,0)</f>
        <v>0.85034013605442171</v>
      </c>
      <c r="AL44">
        <f>VLOOKUP(Table1[[#This Row],[Taluka]],Factor!$A$42:$G$46,7,0)</f>
        <v>0.75433779645928134</v>
      </c>
      <c r="AM44">
        <f>VLOOKUP(Table1[[#This Row],[Caste]]&amp;Table1[[#This Row],[Q18: Gender]],Factor!$W$1:$X$23,2,0)</f>
        <v>1.0790228998469584</v>
      </c>
      <c r="AN44">
        <f>VLOOKUP(Table1[[#This Row],[Taluka]]&amp;Table1[[#This Row],[Caste]]&amp;Table1[[#This Row],[Q18: Gender]],Factor!$AK$4:$AL$93,2,0)</f>
        <v>0.52423486800867025</v>
      </c>
      <c r="AO44">
        <f t="shared" si="0"/>
        <v>1</v>
      </c>
      <c r="AP44">
        <f t="shared" si="1"/>
        <v>1</v>
      </c>
      <c r="AQ44">
        <f t="shared" si="2"/>
        <v>1</v>
      </c>
      <c r="AR44">
        <f t="shared" si="3"/>
        <v>1</v>
      </c>
      <c r="AS44">
        <f t="shared" si="4"/>
        <v>1</v>
      </c>
      <c r="AT44">
        <f t="shared" si="5"/>
        <v>1</v>
      </c>
      <c r="AU44">
        <f t="shared" si="6"/>
        <v>5.5</v>
      </c>
      <c r="AV44">
        <f>SUM(Table1[[#This Row],[Satis]:[29]])</f>
        <v>6</v>
      </c>
      <c r="AW44">
        <f t="shared" si="7"/>
        <v>5</v>
      </c>
      <c r="AX44">
        <f t="shared" si="8"/>
        <v>4</v>
      </c>
      <c r="AY44">
        <f t="shared" si="9"/>
        <v>3</v>
      </c>
      <c r="AZ44" t="str">
        <f t="shared" si="10"/>
        <v>YSRCP HardCore</v>
      </c>
    </row>
    <row r="45" spans="1:52" x14ac:dyDescent="0.3">
      <c r="A45" t="s">
        <v>346</v>
      </c>
      <c r="B45" s="94">
        <v>46042</v>
      </c>
      <c r="C45" t="s">
        <v>347</v>
      </c>
      <c r="D45" t="s">
        <v>348</v>
      </c>
      <c r="E45" t="s">
        <v>349</v>
      </c>
      <c r="F45" t="s">
        <v>240</v>
      </c>
      <c r="G45" t="s">
        <v>39</v>
      </c>
      <c r="H45" t="s">
        <v>350</v>
      </c>
      <c r="I45" t="s">
        <v>59</v>
      </c>
      <c r="J45" t="s">
        <v>37</v>
      </c>
      <c r="K45" t="s">
        <v>212</v>
      </c>
      <c r="L45" t="s">
        <v>82</v>
      </c>
      <c r="M45" t="s">
        <v>51</v>
      </c>
      <c r="N45" t="s">
        <v>107</v>
      </c>
      <c r="O45" t="s">
        <v>352</v>
      </c>
      <c r="P45">
        <v>9999999999</v>
      </c>
      <c r="Q45" t="s">
        <v>54</v>
      </c>
      <c r="R45" t="s">
        <v>132</v>
      </c>
      <c r="S45" t="s">
        <v>89</v>
      </c>
      <c r="T45" t="s">
        <v>89</v>
      </c>
      <c r="U45" t="s">
        <v>90</v>
      </c>
      <c r="V45" t="s">
        <v>91</v>
      </c>
      <c r="W45" t="s">
        <v>5055</v>
      </c>
      <c r="X45" t="s">
        <v>91</v>
      </c>
      <c r="Y45" t="s">
        <v>46</v>
      </c>
      <c r="Z45" t="s">
        <v>92</v>
      </c>
      <c r="AA45" t="s">
        <v>92</v>
      </c>
      <c r="AB45" t="s">
        <v>351</v>
      </c>
      <c r="AC45" t="s">
        <v>148</v>
      </c>
      <c r="AD45" t="s">
        <v>184</v>
      </c>
      <c r="AE45" t="s">
        <v>185</v>
      </c>
      <c r="AF45">
        <v>0</v>
      </c>
      <c r="AG45" t="s">
        <v>196</v>
      </c>
      <c r="AH45">
        <f>VLOOKUP(Table1[[#This Row],[Caste]],Factor!$H$1:$K$13,4,0)</f>
        <v>1.1461625511156397</v>
      </c>
      <c r="AI45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45">
        <f>Table1[[#This Row],[Factor_1]]*Table1[[#This Row],[2024 Factor]]</f>
        <v>1.2999324650914248</v>
      </c>
      <c r="AK45">
        <f>VLOOKUP(Table1[[#This Row],[Q18: Gender]],Factor!$A$33:$E$35,5,0)</f>
        <v>0.85034013605442171</v>
      </c>
      <c r="AL45">
        <f>VLOOKUP(Table1[[#This Row],[Taluka]],Factor!$A$42:$G$46,7,0)</f>
        <v>0.75433779645928134</v>
      </c>
      <c r="AM45">
        <f>VLOOKUP(Table1[[#This Row],[Caste]]&amp;Table1[[#This Row],[Q18: Gender]],Factor!$W$1:$X$23,2,0)</f>
        <v>0.71995135120329123</v>
      </c>
      <c r="AN45">
        <f>VLOOKUP(Table1[[#This Row],[Taluka]]&amp;Table1[[#This Row],[Caste]]&amp;Table1[[#This Row],[Q18: Gender]],Factor!$AK$4:$AL$93,2,0)</f>
        <v>0.55527787174877274</v>
      </c>
      <c r="AO45">
        <f t="shared" si="0"/>
        <v>1</v>
      </c>
      <c r="AP45">
        <f t="shared" si="1"/>
        <v>1</v>
      </c>
      <c r="AQ45">
        <f t="shared" si="2"/>
        <v>1</v>
      </c>
      <c r="AR45">
        <f t="shared" si="3"/>
        <v>1</v>
      </c>
      <c r="AS45">
        <f t="shared" si="4"/>
        <v>1</v>
      </c>
      <c r="AT45">
        <f t="shared" si="5"/>
        <v>1</v>
      </c>
      <c r="AU45">
        <f t="shared" si="6"/>
        <v>5.5</v>
      </c>
      <c r="AV45">
        <f>SUM(Table1[[#This Row],[Satis]:[29]])</f>
        <v>6</v>
      </c>
      <c r="AW45">
        <f t="shared" si="7"/>
        <v>5</v>
      </c>
      <c r="AX45">
        <f t="shared" si="8"/>
        <v>4</v>
      </c>
      <c r="AY45">
        <f t="shared" si="9"/>
        <v>3</v>
      </c>
      <c r="AZ45" t="str">
        <f t="shared" si="10"/>
        <v>YSRCP HardCore</v>
      </c>
    </row>
    <row r="46" spans="1:52" x14ac:dyDescent="0.3">
      <c r="A46" t="s">
        <v>383</v>
      </c>
      <c r="B46" s="94">
        <v>46042</v>
      </c>
      <c r="C46" t="s">
        <v>384</v>
      </c>
      <c r="D46" t="s">
        <v>385</v>
      </c>
      <c r="E46" t="s">
        <v>386</v>
      </c>
      <c r="F46" t="s">
        <v>307</v>
      </c>
      <c r="G46" t="s">
        <v>39</v>
      </c>
      <c r="H46" t="s">
        <v>387</v>
      </c>
      <c r="I46" t="s">
        <v>70</v>
      </c>
      <c r="J46" t="s">
        <v>37</v>
      </c>
      <c r="K46" t="s">
        <v>80</v>
      </c>
      <c r="L46" t="s">
        <v>75</v>
      </c>
      <c r="M46" t="s">
        <v>51</v>
      </c>
      <c r="N46" t="s">
        <v>52</v>
      </c>
      <c r="O46" t="s">
        <v>388</v>
      </c>
      <c r="P46">
        <v>8977463362</v>
      </c>
      <c r="Q46" t="s">
        <v>54</v>
      </c>
      <c r="R46" t="s">
        <v>132</v>
      </c>
      <c r="S46" t="s">
        <v>43</v>
      </c>
      <c r="T46" t="s">
        <v>89</v>
      </c>
      <c r="U46" t="s">
        <v>90</v>
      </c>
      <c r="V46" t="s">
        <v>91</v>
      </c>
      <c r="W46" t="s">
        <v>369</v>
      </c>
      <c r="X46" t="s">
        <v>91</v>
      </c>
      <c r="Y46" t="s">
        <v>46</v>
      </c>
      <c r="Z46" t="s">
        <v>92</v>
      </c>
      <c r="AA46" t="s">
        <v>92</v>
      </c>
      <c r="AB46" t="s">
        <v>351</v>
      </c>
      <c r="AC46" t="s">
        <v>381</v>
      </c>
      <c r="AD46" t="s">
        <v>481</v>
      </c>
      <c r="AE46" t="s">
        <v>189</v>
      </c>
      <c r="AF46" t="s">
        <v>492</v>
      </c>
      <c r="AG46" t="s">
        <v>196</v>
      </c>
      <c r="AH46">
        <f>VLOOKUP(Table1[[#This Row],[Caste]],Factor!$H$1:$K$13,4,0)</f>
        <v>1.3836274505214585</v>
      </c>
      <c r="AI46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46">
        <f>Table1[[#This Row],[Factor_1]]*Table1[[#This Row],[2024 Factor]]</f>
        <v>1.9482662206881376</v>
      </c>
      <c r="AK46">
        <f>VLOOKUP(Table1[[#This Row],[Q18: Gender]],Factor!$A$33:$E$35,5,0)</f>
        <v>0.85034013605442171</v>
      </c>
      <c r="AL46">
        <f>VLOOKUP(Table1[[#This Row],[Taluka]],Factor!$A$42:$G$46,7,0)</f>
        <v>0.75433779645928134</v>
      </c>
      <c r="AM46">
        <f>VLOOKUP(Table1[[#This Row],[Caste]]&amp;Table1[[#This Row],[Q18: Gender]],Factor!$W$1:$X$23,2,0)</f>
        <v>1.0790228998469584</v>
      </c>
      <c r="AN46">
        <f>VLOOKUP(Table1[[#This Row],[Taluka]]&amp;Table1[[#This Row],[Caste]]&amp;Table1[[#This Row],[Q18: Gender]],Factor!$AK$4:$AL$93,2,0)</f>
        <v>0.52423486800867025</v>
      </c>
      <c r="AO46">
        <f t="shared" si="0"/>
        <v>1</v>
      </c>
      <c r="AP46">
        <f t="shared" si="1"/>
        <v>1</v>
      </c>
      <c r="AQ46">
        <f t="shared" si="2"/>
        <v>1</v>
      </c>
      <c r="AR46">
        <f t="shared" si="3"/>
        <v>1</v>
      </c>
      <c r="AS46">
        <f t="shared" si="4"/>
        <v>1</v>
      </c>
      <c r="AT46">
        <f t="shared" si="5"/>
        <v>1</v>
      </c>
      <c r="AU46">
        <f t="shared" si="6"/>
        <v>5.5</v>
      </c>
      <c r="AV46">
        <f>SUM(Table1[[#This Row],[Satis]:[29]])</f>
        <v>6</v>
      </c>
      <c r="AW46">
        <f t="shared" si="7"/>
        <v>5</v>
      </c>
      <c r="AX46">
        <f t="shared" si="8"/>
        <v>4</v>
      </c>
      <c r="AY46">
        <f t="shared" si="9"/>
        <v>3</v>
      </c>
      <c r="AZ46" t="str">
        <f t="shared" si="10"/>
        <v>YSRCP HardCore</v>
      </c>
    </row>
    <row r="47" spans="1:52" x14ac:dyDescent="0.3">
      <c r="A47" t="s">
        <v>389</v>
      </c>
      <c r="B47" s="94">
        <v>46042</v>
      </c>
      <c r="C47" t="s">
        <v>390</v>
      </c>
      <c r="D47" t="s">
        <v>391</v>
      </c>
      <c r="E47" t="s">
        <v>392</v>
      </c>
      <c r="F47" t="s">
        <v>307</v>
      </c>
      <c r="G47" t="s">
        <v>39</v>
      </c>
      <c r="H47" t="s">
        <v>393</v>
      </c>
      <c r="I47" t="s">
        <v>70</v>
      </c>
      <c r="J47" t="s">
        <v>37</v>
      </c>
      <c r="K47" t="s">
        <v>80</v>
      </c>
      <c r="L47" t="s">
        <v>62</v>
      </c>
      <c r="M47" t="s">
        <v>51</v>
      </c>
      <c r="N47" t="s">
        <v>63</v>
      </c>
      <c r="O47" t="s">
        <v>394</v>
      </c>
      <c r="P47">
        <v>9032257054</v>
      </c>
      <c r="Q47" t="s">
        <v>54</v>
      </c>
      <c r="R47" t="s">
        <v>132</v>
      </c>
      <c r="S47" t="s">
        <v>89</v>
      </c>
      <c r="T47" t="s">
        <v>89</v>
      </c>
      <c r="U47" t="s">
        <v>44</v>
      </c>
      <c r="V47" t="s">
        <v>91</v>
      </c>
      <c r="W47" t="s">
        <v>74</v>
      </c>
      <c r="X47" t="s">
        <v>91</v>
      </c>
      <c r="Y47" t="s">
        <v>46</v>
      </c>
      <c r="Z47" t="s">
        <v>47</v>
      </c>
      <c r="AA47" t="s">
        <v>48</v>
      </c>
      <c r="AB47" t="s">
        <v>49</v>
      </c>
      <c r="AC47" t="s">
        <v>49</v>
      </c>
      <c r="AD47" t="s">
        <v>481</v>
      </c>
      <c r="AE47" t="s">
        <v>189</v>
      </c>
      <c r="AF47" t="s">
        <v>493</v>
      </c>
      <c r="AG47" t="s">
        <v>196</v>
      </c>
      <c r="AH47">
        <f>VLOOKUP(Table1[[#This Row],[Caste]],Factor!$H$1:$K$13,4,0)</f>
        <v>1.3836274505214585</v>
      </c>
      <c r="AI4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7">
        <f>Table1[[#This Row],[Factor_1]]*Table1[[#This Row],[2024 Factor]]</f>
        <v>1.1648410586678206</v>
      </c>
      <c r="AK47">
        <f>VLOOKUP(Table1[[#This Row],[Q18: Gender]],Factor!$A$33:$E$35,5,0)</f>
        <v>0.85034013605442171</v>
      </c>
      <c r="AL47">
        <f>VLOOKUP(Table1[[#This Row],[Taluka]],Factor!$A$42:$G$46,7,0)</f>
        <v>0.75433779645928134</v>
      </c>
      <c r="AM47">
        <f>VLOOKUP(Table1[[#This Row],[Caste]]&amp;Table1[[#This Row],[Q18: Gender]],Factor!$W$1:$X$23,2,0)</f>
        <v>1.0790228998469584</v>
      </c>
      <c r="AN47">
        <f>VLOOKUP(Table1[[#This Row],[Taluka]]&amp;Table1[[#This Row],[Caste]]&amp;Table1[[#This Row],[Q18: Gender]],Factor!$AK$4:$AL$93,2,0)</f>
        <v>0.52423486800867025</v>
      </c>
      <c r="AO47">
        <f t="shared" si="0"/>
        <v>1</v>
      </c>
      <c r="AP47">
        <f t="shared" si="1"/>
        <v>-1</v>
      </c>
      <c r="AQ47">
        <f t="shared" si="2"/>
        <v>1</v>
      </c>
      <c r="AR47">
        <f t="shared" si="3"/>
        <v>1</v>
      </c>
      <c r="AS47">
        <f t="shared" si="4"/>
        <v>-1</v>
      </c>
      <c r="AT47">
        <f t="shared" si="5"/>
        <v>-1</v>
      </c>
      <c r="AU47">
        <f t="shared" si="6"/>
        <v>0.5</v>
      </c>
      <c r="AV47">
        <f>SUM(Table1[[#This Row],[Satis]:[29]])</f>
        <v>0</v>
      </c>
      <c r="AW47">
        <f t="shared" si="7"/>
        <v>1</v>
      </c>
      <c r="AX47">
        <f t="shared" si="8"/>
        <v>0</v>
      </c>
      <c r="AY47">
        <f t="shared" si="9"/>
        <v>-2</v>
      </c>
      <c r="AZ47" t="str">
        <f t="shared" si="10"/>
        <v>Neutral TDP</v>
      </c>
    </row>
    <row r="48" spans="1:52" x14ac:dyDescent="0.3">
      <c r="A48" t="s">
        <v>395</v>
      </c>
      <c r="B48" s="94">
        <v>46042</v>
      </c>
      <c r="C48" t="s">
        <v>396</v>
      </c>
      <c r="D48" t="s">
        <v>391</v>
      </c>
      <c r="E48" t="s">
        <v>392</v>
      </c>
      <c r="F48" t="s">
        <v>307</v>
      </c>
      <c r="G48" t="s">
        <v>39</v>
      </c>
      <c r="H48" t="s">
        <v>397</v>
      </c>
      <c r="I48" t="s">
        <v>70</v>
      </c>
      <c r="J48" t="s">
        <v>37</v>
      </c>
      <c r="K48" t="s">
        <v>80</v>
      </c>
      <c r="L48" t="s">
        <v>62</v>
      </c>
      <c r="M48" t="s">
        <v>51</v>
      </c>
      <c r="N48" t="s">
        <v>63</v>
      </c>
      <c r="O48" t="s">
        <v>394</v>
      </c>
      <c r="P48">
        <v>9032257054</v>
      </c>
      <c r="Q48" t="s">
        <v>54</v>
      </c>
      <c r="R48" t="s">
        <v>132</v>
      </c>
      <c r="S48" t="s">
        <v>89</v>
      </c>
      <c r="T48" t="s">
        <v>89</v>
      </c>
      <c r="U48" t="s">
        <v>44</v>
      </c>
      <c r="V48" t="s">
        <v>91</v>
      </c>
      <c r="W48" t="s">
        <v>74</v>
      </c>
      <c r="X48" t="s">
        <v>91</v>
      </c>
      <c r="Y48" t="s">
        <v>46</v>
      </c>
      <c r="Z48" t="s">
        <v>47</v>
      </c>
      <c r="AA48" t="s">
        <v>48</v>
      </c>
      <c r="AB48" t="s">
        <v>49</v>
      </c>
      <c r="AC48" t="s">
        <v>49</v>
      </c>
      <c r="AD48">
        <v>0</v>
      </c>
      <c r="AE48" t="s">
        <v>185</v>
      </c>
      <c r="AF48">
        <v>0</v>
      </c>
      <c r="AG48" t="s">
        <v>196</v>
      </c>
      <c r="AH48">
        <f>VLOOKUP(Table1[[#This Row],[Caste]],Factor!$H$1:$K$13,4,0)</f>
        <v>1.3836274505214585</v>
      </c>
      <c r="AI4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8">
        <f>Table1[[#This Row],[Factor_1]]*Table1[[#This Row],[2024 Factor]]</f>
        <v>1.1648410586678206</v>
      </c>
      <c r="AK48">
        <f>VLOOKUP(Table1[[#This Row],[Q18: Gender]],Factor!$A$33:$E$35,5,0)</f>
        <v>0.85034013605442171</v>
      </c>
      <c r="AL48">
        <f>VLOOKUP(Table1[[#This Row],[Taluka]],Factor!$A$42:$G$46,7,0)</f>
        <v>0.75433779645928134</v>
      </c>
      <c r="AM48">
        <f>VLOOKUP(Table1[[#This Row],[Caste]]&amp;Table1[[#This Row],[Q18: Gender]],Factor!$W$1:$X$23,2,0)</f>
        <v>1.0790228998469584</v>
      </c>
      <c r="AN48">
        <f>VLOOKUP(Table1[[#This Row],[Taluka]]&amp;Table1[[#This Row],[Caste]]&amp;Table1[[#This Row],[Q18: Gender]],Factor!$AK$4:$AL$93,2,0)</f>
        <v>0.52423486800867025</v>
      </c>
      <c r="AO48">
        <f t="shared" si="0"/>
        <v>1</v>
      </c>
      <c r="AP48">
        <f t="shared" si="1"/>
        <v>-1</v>
      </c>
      <c r="AQ48">
        <f t="shared" si="2"/>
        <v>1</v>
      </c>
      <c r="AR48">
        <f t="shared" si="3"/>
        <v>1</v>
      </c>
      <c r="AS48">
        <f t="shared" si="4"/>
        <v>-1</v>
      </c>
      <c r="AT48">
        <f t="shared" si="5"/>
        <v>-1</v>
      </c>
      <c r="AU48">
        <f t="shared" si="6"/>
        <v>0.5</v>
      </c>
      <c r="AV48">
        <f>SUM(Table1[[#This Row],[Satis]:[29]])</f>
        <v>0</v>
      </c>
      <c r="AW48">
        <f t="shared" si="7"/>
        <v>1</v>
      </c>
      <c r="AX48">
        <f t="shared" si="8"/>
        <v>0</v>
      </c>
      <c r="AY48">
        <f t="shared" si="9"/>
        <v>-2</v>
      </c>
      <c r="AZ48" t="str">
        <f t="shared" si="10"/>
        <v>Neutral TDP</v>
      </c>
    </row>
    <row r="49" spans="1:52" x14ac:dyDescent="0.3">
      <c r="A49" t="s">
        <v>398</v>
      </c>
      <c r="B49" s="94">
        <v>46042</v>
      </c>
      <c r="C49" t="s">
        <v>399</v>
      </c>
      <c r="D49" t="s">
        <v>391</v>
      </c>
      <c r="E49" t="s">
        <v>392</v>
      </c>
      <c r="F49" t="s">
        <v>307</v>
      </c>
      <c r="G49" t="s">
        <v>39</v>
      </c>
      <c r="H49" t="s">
        <v>400</v>
      </c>
      <c r="I49" t="s">
        <v>70</v>
      </c>
      <c r="J49" t="s">
        <v>37</v>
      </c>
      <c r="K49" t="s">
        <v>80</v>
      </c>
      <c r="L49" t="s">
        <v>62</v>
      </c>
      <c r="M49" t="s">
        <v>51</v>
      </c>
      <c r="N49" t="s">
        <v>63</v>
      </c>
      <c r="O49" t="s">
        <v>394</v>
      </c>
      <c r="P49">
        <v>9032257054</v>
      </c>
      <c r="Q49" t="s">
        <v>54</v>
      </c>
      <c r="R49" t="s">
        <v>132</v>
      </c>
      <c r="S49" t="s">
        <v>89</v>
      </c>
      <c r="T49" t="s">
        <v>89</v>
      </c>
      <c r="U49" t="s">
        <v>44</v>
      </c>
      <c r="V49" t="s">
        <v>91</v>
      </c>
      <c r="W49" t="s">
        <v>74</v>
      </c>
      <c r="X49" t="s">
        <v>91</v>
      </c>
      <c r="Y49" t="s">
        <v>46</v>
      </c>
      <c r="Z49" t="s">
        <v>47</v>
      </c>
      <c r="AA49" t="s">
        <v>48</v>
      </c>
      <c r="AB49" t="s">
        <v>49</v>
      </c>
      <c r="AC49" t="s">
        <v>49</v>
      </c>
      <c r="AD49">
        <v>0</v>
      </c>
      <c r="AE49" t="s">
        <v>185</v>
      </c>
      <c r="AF49">
        <v>0</v>
      </c>
      <c r="AG49" t="s">
        <v>196</v>
      </c>
      <c r="AH49">
        <f>VLOOKUP(Table1[[#This Row],[Caste]],Factor!$H$1:$K$13,4,0)</f>
        <v>1.3836274505214585</v>
      </c>
      <c r="AI4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9">
        <f>Table1[[#This Row],[Factor_1]]*Table1[[#This Row],[2024 Factor]]</f>
        <v>1.1648410586678206</v>
      </c>
      <c r="AK49">
        <f>VLOOKUP(Table1[[#This Row],[Q18: Gender]],Factor!$A$33:$E$35,5,0)</f>
        <v>0.85034013605442171</v>
      </c>
      <c r="AL49">
        <f>VLOOKUP(Table1[[#This Row],[Taluka]],Factor!$A$42:$G$46,7,0)</f>
        <v>0.75433779645928134</v>
      </c>
      <c r="AM49">
        <f>VLOOKUP(Table1[[#This Row],[Caste]]&amp;Table1[[#This Row],[Q18: Gender]],Factor!$W$1:$X$23,2,0)</f>
        <v>1.0790228998469584</v>
      </c>
      <c r="AN49">
        <f>VLOOKUP(Table1[[#This Row],[Taluka]]&amp;Table1[[#This Row],[Caste]]&amp;Table1[[#This Row],[Q18: Gender]],Factor!$AK$4:$AL$93,2,0)</f>
        <v>0.52423486800867025</v>
      </c>
      <c r="AO49">
        <f t="shared" si="0"/>
        <v>1</v>
      </c>
      <c r="AP49">
        <f t="shared" si="1"/>
        <v>-1</v>
      </c>
      <c r="AQ49">
        <f t="shared" si="2"/>
        <v>1</v>
      </c>
      <c r="AR49">
        <f t="shared" si="3"/>
        <v>1</v>
      </c>
      <c r="AS49">
        <f t="shared" si="4"/>
        <v>-1</v>
      </c>
      <c r="AT49">
        <f t="shared" si="5"/>
        <v>-1</v>
      </c>
      <c r="AU49">
        <f t="shared" si="6"/>
        <v>0.5</v>
      </c>
      <c r="AV49">
        <f>SUM(Table1[[#This Row],[Satis]:[29]])</f>
        <v>0</v>
      </c>
      <c r="AW49">
        <f t="shared" si="7"/>
        <v>1</v>
      </c>
      <c r="AX49">
        <f t="shared" si="8"/>
        <v>0</v>
      </c>
      <c r="AY49">
        <f t="shared" si="9"/>
        <v>-2</v>
      </c>
      <c r="AZ49" t="str">
        <f t="shared" si="10"/>
        <v>Neutral TDP</v>
      </c>
    </row>
    <row r="50" spans="1:52" x14ac:dyDescent="0.3">
      <c r="A50" t="s">
        <v>401</v>
      </c>
      <c r="B50" s="94">
        <v>46042</v>
      </c>
      <c r="C50" t="s">
        <v>402</v>
      </c>
      <c r="D50" t="s">
        <v>403</v>
      </c>
      <c r="E50" t="s">
        <v>404</v>
      </c>
      <c r="F50" t="s">
        <v>307</v>
      </c>
      <c r="G50" t="s">
        <v>39</v>
      </c>
      <c r="H50" t="s">
        <v>405</v>
      </c>
      <c r="I50" t="s">
        <v>36</v>
      </c>
      <c r="J50" t="s">
        <v>37</v>
      </c>
      <c r="K50" t="s">
        <v>80</v>
      </c>
      <c r="L50" t="s">
        <v>50</v>
      </c>
      <c r="M50" t="s">
        <v>51</v>
      </c>
      <c r="N50" t="s">
        <v>52</v>
      </c>
      <c r="O50" t="s">
        <v>406</v>
      </c>
      <c r="P50">
        <v>7671079969</v>
      </c>
      <c r="Q50" t="s">
        <v>54</v>
      </c>
      <c r="R50" t="s">
        <v>61</v>
      </c>
      <c r="S50" t="s">
        <v>43</v>
      </c>
      <c r="T50" t="s">
        <v>89</v>
      </c>
      <c r="U50" t="s">
        <v>90</v>
      </c>
      <c r="V50" t="s">
        <v>91</v>
      </c>
      <c r="W50" t="s">
        <v>296</v>
      </c>
      <c r="X50" t="s">
        <v>91</v>
      </c>
      <c r="Y50" t="s">
        <v>46</v>
      </c>
      <c r="Z50" t="s">
        <v>92</v>
      </c>
      <c r="AA50" t="s">
        <v>92</v>
      </c>
      <c r="AB50" t="s">
        <v>93</v>
      </c>
      <c r="AC50" t="s">
        <v>148</v>
      </c>
      <c r="AD50" t="s">
        <v>494</v>
      </c>
      <c r="AE50" t="s">
        <v>185</v>
      </c>
      <c r="AF50">
        <v>0</v>
      </c>
      <c r="AG50" t="s">
        <v>196</v>
      </c>
      <c r="AH50">
        <f>VLOOKUP(Table1[[#This Row],[Caste]],Factor!$H$1:$K$13,4,0)</f>
        <v>1.1705128247062893</v>
      </c>
      <c r="AI50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50">
        <f>Table1[[#This Row],[Factor_1]]*Table1[[#This Row],[2024 Factor]]</f>
        <v>1.4435679386658844</v>
      </c>
      <c r="AK50">
        <f>VLOOKUP(Table1[[#This Row],[Q18: Gender]],Factor!$A$33:$E$35,5,0)</f>
        <v>0.85034013605442171</v>
      </c>
      <c r="AL50">
        <f>VLOOKUP(Table1[[#This Row],[Taluka]],Factor!$A$42:$G$46,7,0)</f>
        <v>0.75433779645928134</v>
      </c>
      <c r="AM50">
        <f>VLOOKUP(Table1[[#This Row],[Caste]]&amp;Table1[[#This Row],[Q18: Gender]],Factor!$W$1:$X$23,2,0)</f>
        <v>0.79950206330384943</v>
      </c>
      <c r="AN50">
        <f>VLOOKUP(Table1[[#This Row],[Taluka]]&amp;Table1[[#This Row],[Caste]]&amp;Table1[[#This Row],[Q18: Gender]],Factor!$AK$4:$AL$93,2,0)</f>
        <v>0.40257772387792479</v>
      </c>
      <c r="AO50">
        <f t="shared" si="0"/>
        <v>1</v>
      </c>
      <c r="AP50">
        <f t="shared" si="1"/>
        <v>1</v>
      </c>
      <c r="AQ50">
        <f t="shared" si="2"/>
        <v>1</v>
      </c>
      <c r="AR50">
        <f t="shared" si="3"/>
        <v>1</v>
      </c>
      <c r="AS50">
        <f t="shared" si="4"/>
        <v>1</v>
      </c>
      <c r="AT50">
        <f t="shared" si="5"/>
        <v>1</v>
      </c>
      <c r="AU50">
        <f t="shared" si="6"/>
        <v>5.5</v>
      </c>
      <c r="AV50">
        <f>SUM(Table1[[#This Row],[Satis]:[29]])</f>
        <v>6</v>
      </c>
      <c r="AW50">
        <f t="shared" si="7"/>
        <v>5</v>
      </c>
      <c r="AX50">
        <f t="shared" si="8"/>
        <v>4</v>
      </c>
      <c r="AY50">
        <f t="shared" si="9"/>
        <v>3</v>
      </c>
      <c r="AZ50" t="str">
        <f t="shared" si="10"/>
        <v>YSRCP HardCore</v>
      </c>
    </row>
    <row r="51" spans="1:52" x14ac:dyDescent="0.3">
      <c r="A51" t="s">
        <v>407</v>
      </c>
      <c r="B51" s="94">
        <v>46042</v>
      </c>
      <c r="C51" t="s">
        <v>408</v>
      </c>
      <c r="D51" t="s">
        <v>409</v>
      </c>
      <c r="E51" t="s">
        <v>410</v>
      </c>
      <c r="F51" t="s">
        <v>307</v>
      </c>
      <c r="G51" t="s">
        <v>39</v>
      </c>
      <c r="H51" t="s">
        <v>411</v>
      </c>
      <c r="I51" t="s">
        <v>227</v>
      </c>
      <c r="J51" t="s">
        <v>37</v>
      </c>
      <c r="K51" t="s">
        <v>80</v>
      </c>
      <c r="L51" t="s">
        <v>62</v>
      </c>
      <c r="M51" t="s">
        <v>51</v>
      </c>
      <c r="N51" t="s">
        <v>52</v>
      </c>
      <c r="O51" t="s">
        <v>412</v>
      </c>
      <c r="P51">
        <v>9999999999</v>
      </c>
      <c r="Q51" t="s">
        <v>54</v>
      </c>
      <c r="R51" t="s">
        <v>61</v>
      </c>
      <c r="S51" t="s">
        <v>43</v>
      </c>
      <c r="T51" t="s">
        <v>89</v>
      </c>
      <c r="U51" t="s">
        <v>90</v>
      </c>
      <c r="V51" t="s">
        <v>91</v>
      </c>
      <c r="W51" t="s">
        <v>296</v>
      </c>
      <c r="X51" t="s">
        <v>91</v>
      </c>
      <c r="Y51" t="s">
        <v>46</v>
      </c>
      <c r="Z51" t="s">
        <v>92</v>
      </c>
      <c r="AA51" t="s">
        <v>92</v>
      </c>
      <c r="AB51" t="s">
        <v>93</v>
      </c>
      <c r="AC51" t="s">
        <v>94</v>
      </c>
      <c r="AD51" t="s">
        <v>494</v>
      </c>
      <c r="AE51" t="s">
        <v>185</v>
      </c>
      <c r="AF51">
        <v>0</v>
      </c>
      <c r="AG51" t="s">
        <v>196</v>
      </c>
      <c r="AH51">
        <f>VLOOKUP(Table1[[#This Row],[Caste]],Factor!$H$1:$K$13,4,0)</f>
        <v>1.2612194085121222</v>
      </c>
      <c r="AI51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51">
        <f>Table1[[#This Row],[Factor_1]]*Table1[[#This Row],[2024 Factor]]</f>
        <v>1.5392437151422549</v>
      </c>
      <c r="AK51">
        <f>VLOOKUP(Table1[[#This Row],[Q18: Gender]],Factor!$A$33:$E$35,5,0)</f>
        <v>0.85034013605442171</v>
      </c>
      <c r="AL51">
        <f>VLOOKUP(Table1[[#This Row],[Taluka]],Factor!$A$42:$G$46,7,0)</f>
        <v>0.75433779645928134</v>
      </c>
      <c r="AM51">
        <f>VLOOKUP(Table1[[#This Row],[Caste]]&amp;Table1[[#This Row],[Q18: Gender]],Factor!$W$1:$X$23,2,0)</f>
        <v>0.85249089649430487</v>
      </c>
      <c r="AN51">
        <f>VLOOKUP(Table1[[#This Row],[Taluka]]&amp;Table1[[#This Row],[Caste]]&amp;Table1[[#This Row],[Q18: Gender]],Factor!$AK$4:$AL$93,2,0)</f>
        <v>1.2935274689263982</v>
      </c>
      <c r="AO51">
        <f t="shared" si="0"/>
        <v>1</v>
      </c>
      <c r="AP51">
        <f t="shared" si="1"/>
        <v>1</v>
      </c>
      <c r="AQ51">
        <f t="shared" si="2"/>
        <v>1</v>
      </c>
      <c r="AR51">
        <f t="shared" si="3"/>
        <v>1</v>
      </c>
      <c r="AS51">
        <f t="shared" si="4"/>
        <v>1</v>
      </c>
      <c r="AT51">
        <f t="shared" si="5"/>
        <v>1</v>
      </c>
      <c r="AU51">
        <f t="shared" si="6"/>
        <v>5.5</v>
      </c>
      <c r="AV51">
        <f>SUM(Table1[[#This Row],[Satis]:[29]])</f>
        <v>6</v>
      </c>
      <c r="AW51">
        <f t="shared" si="7"/>
        <v>5</v>
      </c>
      <c r="AX51">
        <f t="shared" si="8"/>
        <v>4</v>
      </c>
      <c r="AY51">
        <f t="shared" si="9"/>
        <v>3</v>
      </c>
      <c r="AZ51" t="str">
        <f t="shared" si="10"/>
        <v>YSRCP HardCore</v>
      </c>
    </row>
    <row r="52" spans="1:52" x14ac:dyDescent="0.3">
      <c r="A52" t="s">
        <v>413</v>
      </c>
      <c r="B52" s="94">
        <v>46042</v>
      </c>
      <c r="C52" t="s">
        <v>414</v>
      </c>
      <c r="D52" t="s">
        <v>415</v>
      </c>
      <c r="E52" t="s">
        <v>416</v>
      </c>
      <c r="F52" t="s">
        <v>240</v>
      </c>
      <c r="G52" t="s">
        <v>39</v>
      </c>
      <c r="H52" t="s">
        <v>417</v>
      </c>
      <c r="I52" t="s">
        <v>36</v>
      </c>
      <c r="J52" t="s">
        <v>37</v>
      </c>
      <c r="K52" t="s">
        <v>211</v>
      </c>
      <c r="L52" t="s">
        <v>82</v>
      </c>
      <c r="M52" t="s">
        <v>51</v>
      </c>
      <c r="N52" t="s">
        <v>52</v>
      </c>
      <c r="O52" t="s">
        <v>418</v>
      </c>
      <c r="P52">
        <v>9010004837</v>
      </c>
      <c r="Q52" t="s">
        <v>54</v>
      </c>
      <c r="R52" t="s">
        <v>73</v>
      </c>
      <c r="S52" t="s">
        <v>43</v>
      </c>
      <c r="T52" t="s">
        <v>43</v>
      </c>
      <c r="U52" t="s">
        <v>44</v>
      </c>
      <c r="V52" t="s">
        <v>45</v>
      </c>
      <c r="W52" t="s">
        <v>5056</v>
      </c>
      <c r="X52" t="s">
        <v>45</v>
      </c>
      <c r="Y52" t="s">
        <v>46</v>
      </c>
      <c r="Z52" t="s">
        <v>47</v>
      </c>
      <c r="AA52" t="s">
        <v>48</v>
      </c>
      <c r="AB52" t="s">
        <v>49</v>
      </c>
      <c r="AC52" t="s">
        <v>49</v>
      </c>
      <c r="AD52" t="s">
        <v>494</v>
      </c>
      <c r="AE52" t="s">
        <v>185</v>
      </c>
      <c r="AF52">
        <v>0</v>
      </c>
      <c r="AG52" t="s">
        <v>196</v>
      </c>
      <c r="AH52">
        <f>VLOOKUP(Table1[[#This Row],[Caste]],Factor!$H$1:$K$13,4,0)</f>
        <v>1.1705128247062893</v>
      </c>
      <c r="AI5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2">
        <f>Table1[[#This Row],[Factor_1]]*Table1[[#This Row],[2024 Factor]]</f>
        <v>0.86308903171383233</v>
      </c>
      <c r="AK52">
        <f>VLOOKUP(Table1[[#This Row],[Q18: Gender]],Factor!$A$33:$E$35,5,0)</f>
        <v>0.85034013605442171</v>
      </c>
      <c r="AL52">
        <f>VLOOKUP(Table1[[#This Row],[Taluka]],Factor!$A$42:$G$46,7,0)</f>
        <v>0.75433779645928134</v>
      </c>
      <c r="AM52">
        <f>VLOOKUP(Table1[[#This Row],[Caste]]&amp;Table1[[#This Row],[Q18: Gender]],Factor!$W$1:$X$23,2,0)</f>
        <v>0.79950206330384943</v>
      </c>
      <c r="AN52">
        <f>VLOOKUP(Table1[[#This Row],[Taluka]]&amp;Table1[[#This Row],[Caste]]&amp;Table1[[#This Row],[Q18: Gender]],Factor!$AK$4:$AL$93,2,0)</f>
        <v>0.40257772387792479</v>
      </c>
      <c r="AO52">
        <f t="shared" si="0"/>
        <v>-1</v>
      </c>
      <c r="AP52">
        <f t="shared" si="1"/>
        <v>-1</v>
      </c>
      <c r="AQ52">
        <f t="shared" si="2"/>
        <v>-1</v>
      </c>
      <c r="AR52">
        <f t="shared" si="3"/>
        <v>-1</v>
      </c>
      <c r="AS52">
        <f t="shared" si="4"/>
        <v>-1</v>
      </c>
      <c r="AT52">
        <f t="shared" si="5"/>
        <v>-1</v>
      </c>
      <c r="AU52">
        <f t="shared" si="6"/>
        <v>-5.5</v>
      </c>
      <c r="AV52">
        <f>SUM(Table1[[#This Row],[Satis]:[29]])</f>
        <v>-6</v>
      </c>
      <c r="AW52">
        <f t="shared" si="7"/>
        <v>-5</v>
      </c>
      <c r="AX52">
        <f t="shared" si="8"/>
        <v>-4</v>
      </c>
      <c r="AY52">
        <f t="shared" si="9"/>
        <v>-3</v>
      </c>
      <c r="AZ52" t="str">
        <f t="shared" si="10"/>
        <v>TDP HardCore</v>
      </c>
    </row>
    <row r="53" spans="1:52" x14ac:dyDescent="0.3">
      <c r="A53" t="s">
        <v>419</v>
      </c>
      <c r="B53" s="94">
        <v>46042</v>
      </c>
      <c r="C53" t="s">
        <v>420</v>
      </c>
      <c r="D53" t="s">
        <v>421</v>
      </c>
      <c r="E53" t="s">
        <v>422</v>
      </c>
      <c r="F53" t="s">
        <v>240</v>
      </c>
      <c r="G53" t="s">
        <v>39</v>
      </c>
      <c r="H53" t="s">
        <v>423</v>
      </c>
      <c r="I53" t="s">
        <v>59</v>
      </c>
      <c r="J53" t="s">
        <v>37</v>
      </c>
      <c r="K53" t="s">
        <v>211</v>
      </c>
      <c r="L53" t="s">
        <v>50</v>
      </c>
      <c r="M53" t="s">
        <v>51</v>
      </c>
      <c r="N53" t="s">
        <v>52</v>
      </c>
      <c r="O53" t="s">
        <v>424</v>
      </c>
      <c r="P53">
        <v>9493252100</v>
      </c>
      <c r="Q53" t="s">
        <v>54</v>
      </c>
      <c r="R53" t="s">
        <v>61</v>
      </c>
      <c r="S53" t="s">
        <v>43</v>
      </c>
      <c r="T53" t="s">
        <v>43</v>
      </c>
      <c r="U53" t="s">
        <v>90</v>
      </c>
      <c r="V53" t="s">
        <v>91</v>
      </c>
      <c r="W53" t="s">
        <v>5050</v>
      </c>
      <c r="X53" t="s">
        <v>45</v>
      </c>
      <c r="Y53" t="s">
        <v>46</v>
      </c>
      <c r="Z53" t="s">
        <v>47</v>
      </c>
      <c r="AA53" t="s">
        <v>48</v>
      </c>
      <c r="AB53" t="s">
        <v>49</v>
      </c>
      <c r="AC53" t="s">
        <v>49</v>
      </c>
      <c r="AD53" t="s">
        <v>494</v>
      </c>
      <c r="AE53" t="s">
        <v>185</v>
      </c>
      <c r="AF53">
        <v>0</v>
      </c>
      <c r="AG53" t="s">
        <v>196</v>
      </c>
      <c r="AH53">
        <f>VLOOKUP(Table1[[#This Row],[Caste]],Factor!$H$1:$K$13,4,0)</f>
        <v>1.1461625511156397</v>
      </c>
      <c r="AI5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3">
        <f>Table1[[#This Row],[Factor_1]]*Table1[[#This Row],[2024 Factor]]</f>
        <v>0.77721139583220644</v>
      </c>
      <c r="AK53">
        <f>VLOOKUP(Table1[[#This Row],[Q18: Gender]],Factor!$A$33:$E$35,5,0)</f>
        <v>0.85034013605442171</v>
      </c>
      <c r="AL53">
        <f>VLOOKUP(Table1[[#This Row],[Taluka]],Factor!$A$42:$G$46,7,0)</f>
        <v>0.75433779645928134</v>
      </c>
      <c r="AM53">
        <f>VLOOKUP(Table1[[#This Row],[Caste]]&amp;Table1[[#This Row],[Q18: Gender]],Factor!$W$1:$X$23,2,0)</f>
        <v>0.71995135120329123</v>
      </c>
      <c r="AN53">
        <f>VLOOKUP(Table1[[#This Row],[Taluka]]&amp;Table1[[#This Row],[Caste]]&amp;Table1[[#This Row],[Q18: Gender]],Factor!$AK$4:$AL$93,2,0)</f>
        <v>0.55527787174877274</v>
      </c>
      <c r="AO53">
        <f t="shared" si="0"/>
        <v>-1</v>
      </c>
      <c r="AP53">
        <f t="shared" si="1"/>
        <v>1</v>
      </c>
      <c r="AQ53">
        <f t="shared" si="2"/>
        <v>1</v>
      </c>
      <c r="AR53">
        <f t="shared" si="3"/>
        <v>-1</v>
      </c>
      <c r="AS53">
        <f t="shared" si="4"/>
        <v>-1</v>
      </c>
      <c r="AT53">
        <f t="shared" si="5"/>
        <v>-1</v>
      </c>
      <c r="AU53">
        <f t="shared" si="6"/>
        <v>-1.5</v>
      </c>
      <c r="AV53">
        <f>SUM(Table1[[#This Row],[Satis]:[29]])</f>
        <v>-2</v>
      </c>
      <c r="AW53">
        <f t="shared" si="7"/>
        <v>-3</v>
      </c>
      <c r="AX53">
        <f t="shared" si="8"/>
        <v>-2</v>
      </c>
      <c r="AY53">
        <f t="shared" si="9"/>
        <v>-3</v>
      </c>
      <c r="AZ53" t="str">
        <f t="shared" si="10"/>
        <v>Neutral TDP</v>
      </c>
    </row>
    <row r="54" spans="1:52" x14ac:dyDescent="0.3">
      <c r="A54" t="s">
        <v>425</v>
      </c>
      <c r="B54" s="94">
        <v>46042</v>
      </c>
      <c r="C54" t="s">
        <v>426</v>
      </c>
      <c r="D54" t="s">
        <v>427</v>
      </c>
      <c r="E54" t="s">
        <v>428</v>
      </c>
      <c r="F54" t="s">
        <v>240</v>
      </c>
      <c r="G54" t="s">
        <v>39</v>
      </c>
      <c r="H54" t="s">
        <v>429</v>
      </c>
      <c r="I54" t="s">
        <v>59</v>
      </c>
      <c r="J54" t="s">
        <v>37</v>
      </c>
      <c r="K54" t="s">
        <v>211</v>
      </c>
      <c r="L54" t="s">
        <v>62</v>
      </c>
      <c r="M54" t="s">
        <v>51</v>
      </c>
      <c r="N54" t="s">
        <v>63</v>
      </c>
      <c r="O54" t="s">
        <v>430</v>
      </c>
      <c r="P54">
        <v>9542275679</v>
      </c>
      <c r="Q54" t="s">
        <v>54</v>
      </c>
      <c r="R54" t="s">
        <v>132</v>
      </c>
      <c r="S54" t="s">
        <v>43</v>
      </c>
      <c r="T54" t="s">
        <v>43</v>
      </c>
      <c r="U54" t="s">
        <v>44</v>
      </c>
      <c r="V54" t="s">
        <v>45</v>
      </c>
      <c r="W54" t="s">
        <v>5057</v>
      </c>
      <c r="X54" t="s">
        <v>45</v>
      </c>
      <c r="Y54" t="s">
        <v>46</v>
      </c>
      <c r="Z54" t="s">
        <v>47</v>
      </c>
      <c r="AA54" t="s">
        <v>48</v>
      </c>
      <c r="AB54" t="s">
        <v>49</v>
      </c>
      <c r="AC54" t="s">
        <v>49</v>
      </c>
      <c r="AD54" t="s">
        <v>481</v>
      </c>
      <c r="AE54" t="s">
        <v>185</v>
      </c>
      <c r="AF54">
        <v>0</v>
      </c>
      <c r="AG54" t="s">
        <v>196</v>
      </c>
      <c r="AH54">
        <f>VLOOKUP(Table1[[#This Row],[Caste]],Factor!$H$1:$K$13,4,0)</f>
        <v>1.1461625511156397</v>
      </c>
      <c r="AI5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4">
        <f>Table1[[#This Row],[Factor_1]]*Table1[[#This Row],[2024 Factor]]</f>
        <v>0.77721139583220644</v>
      </c>
      <c r="AK54">
        <f>VLOOKUP(Table1[[#This Row],[Q18: Gender]],Factor!$A$33:$E$35,5,0)</f>
        <v>0.85034013605442171</v>
      </c>
      <c r="AL54">
        <f>VLOOKUP(Table1[[#This Row],[Taluka]],Factor!$A$42:$G$46,7,0)</f>
        <v>0.75433779645928134</v>
      </c>
      <c r="AM54">
        <f>VLOOKUP(Table1[[#This Row],[Caste]]&amp;Table1[[#This Row],[Q18: Gender]],Factor!$W$1:$X$23,2,0)</f>
        <v>0.71995135120329123</v>
      </c>
      <c r="AN54">
        <f>VLOOKUP(Table1[[#This Row],[Taluka]]&amp;Table1[[#This Row],[Caste]]&amp;Table1[[#This Row],[Q18: Gender]],Factor!$AK$4:$AL$93,2,0)</f>
        <v>0.55527787174877274</v>
      </c>
      <c r="AO54">
        <f t="shared" si="0"/>
        <v>-1</v>
      </c>
      <c r="AP54">
        <f t="shared" si="1"/>
        <v>-1</v>
      </c>
      <c r="AQ54">
        <f t="shared" si="2"/>
        <v>-1</v>
      </c>
      <c r="AR54">
        <f t="shared" si="3"/>
        <v>-1</v>
      </c>
      <c r="AS54">
        <f t="shared" si="4"/>
        <v>-1</v>
      </c>
      <c r="AT54">
        <f t="shared" si="5"/>
        <v>-1</v>
      </c>
      <c r="AU54">
        <f t="shared" si="6"/>
        <v>-5.5</v>
      </c>
      <c r="AV54">
        <f>SUM(Table1[[#This Row],[Satis]:[29]])</f>
        <v>-6</v>
      </c>
      <c r="AW54">
        <f t="shared" si="7"/>
        <v>-5</v>
      </c>
      <c r="AX54">
        <f t="shared" si="8"/>
        <v>-4</v>
      </c>
      <c r="AY54">
        <f t="shared" si="9"/>
        <v>-3</v>
      </c>
      <c r="AZ54" t="str">
        <f t="shared" si="10"/>
        <v>TDP HardCore</v>
      </c>
    </row>
    <row r="55" spans="1:52" x14ac:dyDescent="0.3">
      <c r="A55" t="s">
        <v>431</v>
      </c>
      <c r="B55" s="94">
        <v>46042</v>
      </c>
      <c r="C55" t="s">
        <v>432</v>
      </c>
      <c r="D55" t="s">
        <v>433</v>
      </c>
      <c r="E55" t="s">
        <v>428</v>
      </c>
      <c r="F55" t="s">
        <v>240</v>
      </c>
      <c r="G55" t="s">
        <v>39</v>
      </c>
      <c r="H55" t="s">
        <v>434</v>
      </c>
      <c r="I55" t="s">
        <v>59</v>
      </c>
      <c r="J55" t="s">
        <v>37</v>
      </c>
      <c r="K55" t="s">
        <v>211</v>
      </c>
      <c r="L55" t="s">
        <v>62</v>
      </c>
      <c r="M55" t="s">
        <v>51</v>
      </c>
      <c r="N55" t="s">
        <v>107</v>
      </c>
      <c r="O55" t="s">
        <v>435</v>
      </c>
      <c r="P55">
        <v>9502664249</v>
      </c>
      <c r="Q55" t="s">
        <v>54</v>
      </c>
      <c r="R55" t="s">
        <v>42</v>
      </c>
      <c r="S55" t="s">
        <v>43</v>
      </c>
      <c r="T55" t="s">
        <v>43</v>
      </c>
      <c r="U55" t="s">
        <v>90</v>
      </c>
      <c r="V55" t="s">
        <v>45</v>
      </c>
      <c r="W55" t="s">
        <v>5058</v>
      </c>
      <c r="X55" t="s">
        <v>45</v>
      </c>
      <c r="Y55" t="s">
        <v>46</v>
      </c>
      <c r="Z55" t="s">
        <v>47</v>
      </c>
      <c r="AA55" t="s">
        <v>92</v>
      </c>
      <c r="AB55" t="s">
        <v>147</v>
      </c>
      <c r="AC55" t="s">
        <v>94</v>
      </c>
      <c r="AD55" t="s">
        <v>481</v>
      </c>
      <c r="AE55" t="s">
        <v>189</v>
      </c>
      <c r="AF55" t="s">
        <v>495</v>
      </c>
      <c r="AG55" t="s">
        <v>196</v>
      </c>
      <c r="AH55">
        <f>VLOOKUP(Table1[[#This Row],[Caste]],Factor!$H$1:$K$13,4,0)</f>
        <v>1.1461625511156397</v>
      </c>
      <c r="AI55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55">
        <f>Table1[[#This Row],[Factor_1]]*Table1[[#This Row],[2024 Factor]]</f>
        <v>1.2999324650914248</v>
      </c>
      <c r="AK55">
        <f>VLOOKUP(Table1[[#This Row],[Q18: Gender]],Factor!$A$33:$E$35,5,0)</f>
        <v>0.85034013605442171</v>
      </c>
      <c r="AL55">
        <f>VLOOKUP(Table1[[#This Row],[Taluka]],Factor!$A$42:$G$46,7,0)</f>
        <v>0.75433779645928134</v>
      </c>
      <c r="AM55">
        <f>VLOOKUP(Table1[[#This Row],[Caste]]&amp;Table1[[#This Row],[Q18: Gender]],Factor!$W$1:$X$23,2,0)</f>
        <v>0.71995135120329123</v>
      </c>
      <c r="AN55">
        <f>VLOOKUP(Table1[[#This Row],[Taluka]]&amp;Table1[[#This Row],[Caste]]&amp;Table1[[#This Row],[Q18: Gender]],Factor!$AK$4:$AL$93,2,0)</f>
        <v>0.55527787174877274</v>
      </c>
      <c r="AO55">
        <f t="shared" si="0"/>
        <v>-1</v>
      </c>
      <c r="AP55">
        <f t="shared" si="1"/>
        <v>1</v>
      </c>
      <c r="AQ55">
        <f t="shared" si="2"/>
        <v>-1</v>
      </c>
      <c r="AR55">
        <f t="shared" si="3"/>
        <v>-1</v>
      </c>
      <c r="AS55">
        <f t="shared" si="4"/>
        <v>1</v>
      </c>
      <c r="AT55">
        <f t="shared" si="5"/>
        <v>-1</v>
      </c>
      <c r="AU55">
        <f t="shared" si="6"/>
        <v>-2.5</v>
      </c>
      <c r="AV55">
        <f>SUM(Table1[[#This Row],[Satis]:[29]])</f>
        <v>-2</v>
      </c>
      <c r="AW55">
        <f t="shared" si="7"/>
        <v>-3</v>
      </c>
      <c r="AX55">
        <f t="shared" si="8"/>
        <v>-2</v>
      </c>
      <c r="AY55">
        <f t="shared" si="9"/>
        <v>-2</v>
      </c>
      <c r="AZ55" t="str">
        <f t="shared" si="10"/>
        <v>Neutral TDP</v>
      </c>
    </row>
    <row r="56" spans="1:52" x14ac:dyDescent="0.3">
      <c r="A56" t="s">
        <v>436</v>
      </c>
      <c r="B56" s="94">
        <v>46042</v>
      </c>
      <c r="C56" t="s">
        <v>437</v>
      </c>
      <c r="D56" t="s">
        <v>433</v>
      </c>
      <c r="E56" t="s">
        <v>428</v>
      </c>
      <c r="F56" t="s">
        <v>240</v>
      </c>
      <c r="G56" t="s">
        <v>39</v>
      </c>
      <c r="H56" t="s">
        <v>438</v>
      </c>
      <c r="I56" t="s">
        <v>59</v>
      </c>
      <c r="J56" t="s">
        <v>37</v>
      </c>
      <c r="K56" t="s">
        <v>211</v>
      </c>
      <c r="L56" t="s">
        <v>62</v>
      </c>
      <c r="M56" t="s">
        <v>51</v>
      </c>
      <c r="N56" t="s">
        <v>107</v>
      </c>
      <c r="O56" t="s">
        <v>435</v>
      </c>
      <c r="P56">
        <v>9502664249</v>
      </c>
      <c r="Q56" t="s">
        <v>54</v>
      </c>
      <c r="R56" t="s">
        <v>42</v>
      </c>
      <c r="S56" t="s">
        <v>43</v>
      </c>
      <c r="T56" t="s">
        <v>43</v>
      </c>
      <c r="U56" t="s">
        <v>90</v>
      </c>
      <c r="V56" t="s">
        <v>45</v>
      </c>
      <c r="W56" t="s">
        <v>5058</v>
      </c>
      <c r="X56" t="s">
        <v>45</v>
      </c>
      <c r="Y56" t="s">
        <v>46</v>
      </c>
      <c r="Z56" t="s">
        <v>47</v>
      </c>
      <c r="AA56" t="s">
        <v>92</v>
      </c>
      <c r="AB56" t="s">
        <v>147</v>
      </c>
      <c r="AC56" t="s">
        <v>94</v>
      </c>
      <c r="AD56">
        <v>0</v>
      </c>
      <c r="AE56" t="s">
        <v>185</v>
      </c>
      <c r="AF56">
        <v>0</v>
      </c>
      <c r="AG56" t="s">
        <v>196</v>
      </c>
      <c r="AH56">
        <f>VLOOKUP(Table1[[#This Row],[Caste]],Factor!$H$1:$K$13,4,0)</f>
        <v>1.1461625511156397</v>
      </c>
      <c r="AI56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56">
        <f>Table1[[#This Row],[Factor_1]]*Table1[[#This Row],[2024 Factor]]</f>
        <v>1.2999324650914248</v>
      </c>
      <c r="AK56">
        <f>VLOOKUP(Table1[[#This Row],[Q18: Gender]],Factor!$A$33:$E$35,5,0)</f>
        <v>0.85034013605442171</v>
      </c>
      <c r="AL56">
        <f>VLOOKUP(Table1[[#This Row],[Taluka]],Factor!$A$42:$G$46,7,0)</f>
        <v>0.75433779645928134</v>
      </c>
      <c r="AM56">
        <f>VLOOKUP(Table1[[#This Row],[Caste]]&amp;Table1[[#This Row],[Q18: Gender]],Factor!$W$1:$X$23,2,0)</f>
        <v>0.71995135120329123</v>
      </c>
      <c r="AN56">
        <f>VLOOKUP(Table1[[#This Row],[Taluka]]&amp;Table1[[#This Row],[Caste]]&amp;Table1[[#This Row],[Q18: Gender]],Factor!$AK$4:$AL$93,2,0)</f>
        <v>0.55527787174877274</v>
      </c>
      <c r="AO56">
        <f t="shared" si="0"/>
        <v>-1</v>
      </c>
      <c r="AP56">
        <f t="shared" si="1"/>
        <v>1</v>
      </c>
      <c r="AQ56">
        <f t="shared" si="2"/>
        <v>-1</v>
      </c>
      <c r="AR56">
        <f t="shared" si="3"/>
        <v>-1</v>
      </c>
      <c r="AS56">
        <f t="shared" si="4"/>
        <v>1</v>
      </c>
      <c r="AT56">
        <f t="shared" si="5"/>
        <v>-1</v>
      </c>
      <c r="AU56">
        <f t="shared" si="6"/>
        <v>-2.5</v>
      </c>
      <c r="AV56">
        <f>SUM(Table1[[#This Row],[Satis]:[29]])</f>
        <v>-2</v>
      </c>
      <c r="AW56">
        <f t="shared" si="7"/>
        <v>-3</v>
      </c>
      <c r="AX56">
        <f t="shared" si="8"/>
        <v>-2</v>
      </c>
      <c r="AY56">
        <f t="shared" si="9"/>
        <v>-2</v>
      </c>
      <c r="AZ56" t="str">
        <f t="shared" si="10"/>
        <v>Neutral TDP</v>
      </c>
    </row>
    <row r="57" spans="1:52" x14ac:dyDescent="0.3">
      <c r="A57" t="s">
        <v>439</v>
      </c>
      <c r="B57" s="94">
        <v>46042</v>
      </c>
      <c r="C57" t="s">
        <v>440</v>
      </c>
      <c r="D57" t="s">
        <v>441</v>
      </c>
      <c r="E57" t="s">
        <v>428</v>
      </c>
      <c r="F57" t="s">
        <v>240</v>
      </c>
      <c r="G57" t="s">
        <v>39</v>
      </c>
      <c r="H57" t="s">
        <v>442</v>
      </c>
      <c r="I57" t="s">
        <v>228</v>
      </c>
      <c r="J57" t="s">
        <v>37</v>
      </c>
      <c r="K57" t="s">
        <v>211</v>
      </c>
      <c r="L57" t="s">
        <v>62</v>
      </c>
      <c r="M57" t="s">
        <v>443</v>
      </c>
      <c r="N57" t="s">
        <v>63</v>
      </c>
      <c r="O57" t="s">
        <v>444</v>
      </c>
      <c r="P57">
        <v>7330620740</v>
      </c>
      <c r="Q57" t="s">
        <v>445</v>
      </c>
      <c r="R57" t="s">
        <v>61</v>
      </c>
      <c r="S57" t="s">
        <v>43</v>
      </c>
      <c r="T57" t="s">
        <v>43</v>
      </c>
      <c r="U57" t="s">
        <v>90</v>
      </c>
      <c r="V57" t="s">
        <v>91</v>
      </c>
      <c r="W57" t="s">
        <v>5050</v>
      </c>
      <c r="X57" t="s">
        <v>45</v>
      </c>
      <c r="Y57" t="s">
        <v>46</v>
      </c>
      <c r="Z57" t="s">
        <v>47</v>
      </c>
      <c r="AA57" t="s">
        <v>48</v>
      </c>
      <c r="AB57" t="s">
        <v>49</v>
      </c>
      <c r="AC57" t="s">
        <v>49</v>
      </c>
      <c r="AD57" t="s">
        <v>481</v>
      </c>
      <c r="AE57" t="s">
        <v>185</v>
      </c>
      <c r="AF57">
        <v>0</v>
      </c>
      <c r="AG57" t="s">
        <v>196</v>
      </c>
      <c r="AH57">
        <f>VLOOKUP(Table1[[#This Row],[Caste]],Factor!$H$1:$K$13,4,0)</f>
        <v>0.80207032429970992</v>
      </c>
      <c r="AI5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7">
        <f>Table1[[#This Row],[Factor_1]]*Table1[[#This Row],[2024 Factor]]</f>
        <v>1.2733258158237817</v>
      </c>
      <c r="AK57">
        <f>VLOOKUP(Table1[[#This Row],[Q18: Gender]],Factor!$A$33:$E$35,5,0)</f>
        <v>2.1645021645021645</v>
      </c>
      <c r="AL57">
        <f>VLOOKUP(Table1[[#This Row],[Taluka]],Factor!$A$42:$G$46,7,0)</f>
        <v>0.75433779645928134</v>
      </c>
      <c r="AM57">
        <f>VLOOKUP(Table1[[#This Row],[Caste]]&amp;Table1[[#This Row],[Q18: Gender]],Factor!$W$1:$X$23,2,0)</f>
        <v>1.1795151827936912</v>
      </c>
      <c r="AN57">
        <f>VLOOKUP(Table1[[#This Row],[Taluka]]&amp;Table1[[#This Row],[Caste]]&amp;Table1[[#This Row],[Q18: Gender]],Factor!$AK$4:$AL$93,2,0)</f>
        <v>0.37562400914419181</v>
      </c>
      <c r="AO57">
        <f t="shared" si="0"/>
        <v>-1</v>
      </c>
      <c r="AP57">
        <f t="shared" si="1"/>
        <v>1</v>
      </c>
      <c r="AQ57">
        <f t="shared" si="2"/>
        <v>1</v>
      </c>
      <c r="AR57">
        <f t="shared" si="3"/>
        <v>-1</v>
      </c>
      <c r="AS57">
        <f t="shared" si="4"/>
        <v>-1</v>
      </c>
      <c r="AT57">
        <f t="shared" si="5"/>
        <v>-1</v>
      </c>
      <c r="AU57">
        <f t="shared" si="6"/>
        <v>-1.5</v>
      </c>
      <c r="AV57">
        <f>SUM(Table1[[#This Row],[Satis]:[29]])</f>
        <v>-2</v>
      </c>
      <c r="AW57">
        <f t="shared" si="7"/>
        <v>-3</v>
      </c>
      <c r="AX57">
        <f t="shared" si="8"/>
        <v>-2</v>
      </c>
      <c r="AY57">
        <f t="shared" si="9"/>
        <v>-3</v>
      </c>
      <c r="AZ57" t="str">
        <f t="shared" si="10"/>
        <v>Neutral TDP</v>
      </c>
    </row>
    <row r="58" spans="1:52" x14ac:dyDescent="0.3">
      <c r="A58" t="s">
        <v>446</v>
      </c>
      <c r="B58" s="94">
        <v>46042</v>
      </c>
      <c r="C58" t="s">
        <v>447</v>
      </c>
      <c r="D58" t="s">
        <v>448</v>
      </c>
      <c r="E58" t="s">
        <v>449</v>
      </c>
      <c r="F58" t="s">
        <v>240</v>
      </c>
      <c r="G58" t="s">
        <v>39</v>
      </c>
      <c r="H58" t="s">
        <v>450</v>
      </c>
      <c r="I58" t="s">
        <v>70</v>
      </c>
      <c r="J58" t="s">
        <v>37</v>
      </c>
      <c r="K58" t="s">
        <v>211</v>
      </c>
      <c r="L58" t="s">
        <v>451</v>
      </c>
      <c r="M58" t="s">
        <v>51</v>
      </c>
      <c r="N58" t="s">
        <v>63</v>
      </c>
      <c r="O58" t="s">
        <v>452</v>
      </c>
      <c r="P58">
        <v>8655209743</v>
      </c>
      <c r="Q58" t="s">
        <v>445</v>
      </c>
      <c r="R58" t="s">
        <v>132</v>
      </c>
      <c r="S58" t="s">
        <v>43</v>
      </c>
      <c r="T58" t="s">
        <v>43</v>
      </c>
      <c r="U58" t="s">
        <v>90</v>
      </c>
      <c r="V58" t="s">
        <v>45</v>
      </c>
      <c r="W58" t="s">
        <v>5059</v>
      </c>
      <c r="X58" t="s">
        <v>91</v>
      </c>
      <c r="Y58" t="s">
        <v>46</v>
      </c>
      <c r="Z58" t="s">
        <v>92</v>
      </c>
      <c r="AA58" t="s">
        <v>48</v>
      </c>
      <c r="AB58" t="s">
        <v>49</v>
      </c>
      <c r="AC58" t="s">
        <v>49</v>
      </c>
      <c r="AD58" t="s">
        <v>494</v>
      </c>
      <c r="AE58" t="s">
        <v>185</v>
      </c>
      <c r="AF58">
        <v>0</v>
      </c>
      <c r="AG58" t="s">
        <v>196</v>
      </c>
      <c r="AH58">
        <f>VLOOKUP(Table1[[#This Row],[Caste]],Factor!$H$1:$K$13,4,0)</f>
        <v>1.3836274505214585</v>
      </c>
      <c r="AI5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8">
        <f>Table1[[#This Row],[Factor_1]]*Table1[[#This Row],[2024 Factor]]</f>
        <v>2.0811826914865059</v>
      </c>
      <c r="AK58">
        <f>VLOOKUP(Table1[[#This Row],[Q18: Gender]],Factor!$A$33:$E$35,5,0)</f>
        <v>2.1645021645021645</v>
      </c>
      <c r="AL58">
        <f>VLOOKUP(Table1[[#This Row],[Taluka]],Factor!$A$42:$G$46,7,0)</f>
        <v>0.75433779645928134</v>
      </c>
      <c r="AM58">
        <f>VLOOKUP(Table1[[#This Row],[Caste]]&amp;Table1[[#This Row],[Q18: Gender]],Factor!$W$1:$X$23,2,0)</f>
        <v>1.9278542477265657</v>
      </c>
      <c r="AN58">
        <f>VLOOKUP(Table1[[#This Row],[Taluka]]&amp;Table1[[#This Row],[Caste]]&amp;Table1[[#This Row],[Q18: Gender]],Factor!$AK$4:$AL$93,2,0)</f>
        <v>0.95595770048639872</v>
      </c>
      <c r="AO58">
        <f t="shared" si="0"/>
        <v>-1</v>
      </c>
      <c r="AP58">
        <f t="shared" si="1"/>
        <v>1</v>
      </c>
      <c r="AQ58">
        <f t="shared" si="2"/>
        <v>-1</v>
      </c>
      <c r="AR58">
        <f t="shared" si="3"/>
        <v>1</v>
      </c>
      <c r="AS58">
        <f t="shared" si="4"/>
        <v>-1</v>
      </c>
      <c r="AT58">
        <f t="shared" si="5"/>
        <v>1</v>
      </c>
      <c r="AU58">
        <f t="shared" si="6"/>
        <v>0.5</v>
      </c>
      <c r="AV58">
        <f>SUM(Table1[[#This Row],[Satis]:[29]])</f>
        <v>0</v>
      </c>
      <c r="AW58">
        <f t="shared" si="7"/>
        <v>-1</v>
      </c>
      <c r="AX58">
        <f t="shared" si="8"/>
        <v>0</v>
      </c>
      <c r="AY58" t="str">
        <f t="shared" si="9"/>
        <v>ND</v>
      </c>
      <c r="AZ58" t="str">
        <f t="shared" si="10"/>
        <v>ND</v>
      </c>
    </row>
    <row r="59" spans="1:52" x14ac:dyDescent="0.3">
      <c r="A59" t="s">
        <v>453</v>
      </c>
      <c r="B59" s="94">
        <v>46042</v>
      </c>
      <c r="C59" t="s">
        <v>454</v>
      </c>
      <c r="D59" t="s">
        <v>448</v>
      </c>
      <c r="E59" t="s">
        <v>449</v>
      </c>
      <c r="F59" t="s">
        <v>240</v>
      </c>
      <c r="G59" t="s">
        <v>39</v>
      </c>
      <c r="H59" t="s">
        <v>455</v>
      </c>
      <c r="I59" t="s">
        <v>70</v>
      </c>
      <c r="J59" t="s">
        <v>37</v>
      </c>
      <c r="K59" t="s">
        <v>211</v>
      </c>
      <c r="L59" t="s">
        <v>451</v>
      </c>
      <c r="M59" t="s">
        <v>51</v>
      </c>
      <c r="N59" t="s">
        <v>63</v>
      </c>
      <c r="O59" t="s">
        <v>452</v>
      </c>
      <c r="P59">
        <v>8655209743</v>
      </c>
      <c r="Q59" t="s">
        <v>445</v>
      </c>
      <c r="R59" t="s">
        <v>132</v>
      </c>
      <c r="S59" t="s">
        <v>43</v>
      </c>
      <c r="T59" t="s">
        <v>43</v>
      </c>
      <c r="U59" t="s">
        <v>90</v>
      </c>
      <c r="V59" t="s">
        <v>45</v>
      </c>
      <c r="W59" t="s">
        <v>5059</v>
      </c>
      <c r="X59" t="s">
        <v>91</v>
      </c>
      <c r="Y59" t="s">
        <v>46</v>
      </c>
      <c r="Z59" t="s">
        <v>92</v>
      </c>
      <c r="AA59" t="s">
        <v>48</v>
      </c>
      <c r="AB59" t="s">
        <v>49</v>
      </c>
      <c r="AC59" t="s">
        <v>49</v>
      </c>
      <c r="AD59">
        <v>0</v>
      </c>
      <c r="AE59" t="s">
        <v>185</v>
      </c>
      <c r="AF59">
        <v>0</v>
      </c>
      <c r="AG59" t="s">
        <v>196</v>
      </c>
      <c r="AH59">
        <f>VLOOKUP(Table1[[#This Row],[Caste]],Factor!$H$1:$K$13,4,0)</f>
        <v>1.3836274505214585</v>
      </c>
      <c r="AI5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9">
        <f>Table1[[#This Row],[Factor_1]]*Table1[[#This Row],[2024 Factor]]</f>
        <v>2.0811826914865059</v>
      </c>
      <c r="AK59">
        <f>VLOOKUP(Table1[[#This Row],[Q18: Gender]],Factor!$A$33:$E$35,5,0)</f>
        <v>2.1645021645021645</v>
      </c>
      <c r="AL59">
        <f>VLOOKUP(Table1[[#This Row],[Taluka]],Factor!$A$42:$G$46,7,0)</f>
        <v>0.75433779645928134</v>
      </c>
      <c r="AM59">
        <f>VLOOKUP(Table1[[#This Row],[Caste]]&amp;Table1[[#This Row],[Q18: Gender]],Factor!$W$1:$X$23,2,0)</f>
        <v>1.9278542477265657</v>
      </c>
      <c r="AN59">
        <f>VLOOKUP(Table1[[#This Row],[Taluka]]&amp;Table1[[#This Row],[Caste]]&amp;Table1[[#This Row],[Q18: Gender]],Factor!$AK$4:$AL$93,2,0)</f>
        <v>0.95595770048639872</v>
      </c>
      <c r="AO59">
        <f t="shared" si="0"/>
        <v>-1</v>
      </c>
      <c r="AP59">
        <f t="shared" si="1"/>
        <v>1</v>
      </c>
      <c r="AQ59">
        <f t="shared" si="2"/>
        <v>-1</v>
      </c>
      <c r="AR59">
        <f t="shared" si="3"/>
        <v>1</v>
      </c>
      <c r="AS59">
        <f t="shared" si="4"/>
        <v>-1</v>
      </c>
      <c r="AT59">
        <f t="shared" si="5"/>
        <v>1</v>
      </c>
      <c r="AU59">
        <f t="shared" si="6"/>
        <v>0.5</v>
      </c>
      <c r="AV59">
        <f>SUM(Table1[[#This Row],[Satis]:[29]])</f>
        <v>0</v>
      </c>
      <c r="AW59">
        <f t="shared" si="7"/>
        <v>-1</v>
      </c>
      <c r="AX59">
        <f t="shared" si="8"/>
        <v>0</v>
      </c>
      <c r="AY59" t="str">
        <f t="shared" si="9"/>
        <v>ND</v>
      </c>
      <c r="AZ59" t="str">
        <f t="shared" si="10"/>
        <v>ND</v>
      </c>
    </row>
    <row r="60" spans="1:52" x14ac:dyDescent="0.3">
      <c r="A60" t="s">
        <v>456</v>
      </c>
      <c r="B60" s="94">
        <v>46042</v>
      </c>
      <c r="C60" t="s">
        <v>457</v>
      </c>
      <c r="D60" t="s">
        <v>458</v>
      </c>
      <c r="E60" t="s">
        <v>449</v>
      </c>
      <c r="F60" t="s">
        <v>240</v>
      </c>
      <c r="G60" t="s">
        <v>39</v>
      </c>
      <c r="H60" t="s">
        <v>459</v>
      </c>
      <c r="I60" t="s">
        <v>70</v>
      </c>
      <c r="J60" t="s">
        <v>37</v>
      </c>
      <c r="K60" t="s">
        <v>211</v>
      </c>
      <c r="L60" t="s">
        <v>82</v>
      </c>
      <c r="M60" t="s">
        <v>51</v>
      </c>
      <c r="N60" t="s">
        <v>107</v>
      </c>
      <c r="O60" t="s">
        <v>460</v>
      </c>
      <c r="P60">
        <v>9121339895</v>
      </c>
      <c r="Q60" t="s">
        <v>54</v>
      </c>
      <c r="R60" t="s">
        <v>139</v>
      </c>
      <c r="S60" t="s">
        <v>43</v>
      </c>
      <c r="T60" t="s">
        <v>43</v>
      </c>
      <c r="U60" t="s">
        <v>90</v>
      </c>
      <c r="V60" t="s">
        <v>45</v>
      </c>
      <c r="W60" t="s">
        <v>5060</v>
      </c>
      <c r="X60" t="s">
        <v>45</v>
      </c>
      <c r="Y60" t="s">
        <v>46</v>
      </c>
      <c r="Z60" t="s">
        <v>47</v>
      </c>
      <c r="AA60" t="s">
        <v>48</v>
      </c>
      <c r="AB60" t="s">
        <v>49</v>
      </c>
      <c r="AC60" t="s">
        <v>49</v>
      </c>
      <c r="AD60" t="s">
        <v>481</v>
      </c>
      <c r="AE60" t="s">
        <v>185</v>
      </c>
      <c r="AF60">
        <v>0</v>
      </c>
      <c r="AG60" t="s">
        <v>196</v>
      </c>
      <c r="AH60">
        <f>VLOOKUP(Table1[[#This Row],[Caste]],Factor!$H$1:$K$13,4,0)</f>
        <v>1.3836274505214585</v>
      </c>
      <c r="AI6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0">
        <f>Table1[[#This Row],[Factor_1]]*Table1[[#This Row],[2024 Factor]]</f>
        <v>1.1648410586678206</v>
      </c>
      <c r="AK60">
        <f>VLOOKUP(Table1[[#This Row],[Q18: Gender]],Factor!$A$33:$E$35,5,0)</f>
        <v>0.85034013605442171</v>
      </c>
      <c r="AL60">
        <f>VLOOKUP(Table1[[#This Row],[Taluka]],Factor!$A$42:$G$46,7,0)</f>
        <v>0.75433779645928134</v>
      </c>
      <c r="AM60">
        <f>VLOOKUP(Table1[[#This Row],[Caste]]&amp;Table1[[#This Row],[Q18: Gender]],Factor!$W$1:$X$23,2,0)</f>
        <v>1.0790228998469584</v>
      </c>
      <c r="AN60">
        <f>VLOOKUP(Table1[[#This Row],[Taluka]]&amp;Table1[[#This Row],[Caste]]&amp;Table1[[#This Row],[Q18: Gender]],Factor!$AK$4:$AL$93,2,0)</f>
        <v>0.52423486800867025</v>
      </c>
      <c r="AO60">
        <f t="shared" si="0"/>
        <v>-1</v>
      </c>
      <c r="AP60">
        <f t="shared" si="1"/>
        <v>1</v>
      </c>
      <c r="AQ60">
        <f t="shared" si="2"/>
        <v>-1</v>
      </c>
      <c r="AR60">
        <f t="shared" si="3"/>
        <v>-1</v>
      </c>
      <c r="AS60">
        <f t="shared" si="4"/>
        <v>-1</v>
      </c>
      <c r="AT60">
        <f t="shared" si="5"/>
        <v>-1</v>
      </c>
      <c r="AU60">
        <f t="shared" si="6"/>
        <v>-3.5</v>
      </c>
      <c r="AV60">
        <f>SUM(Table1[[#This Row],[Satis]:[29]])</f>
        <v>-4</v>
      </c>
      <c r="AW60">
        <f t="shared" si="7"/>
        <v>-5</v>
      </c>
      <c r="AX60">
        <f t="shared" si="8"/>
        <v>-4</v>
      </c>
      <c r="AY60">
        <f t="shared" si="9"/>
        <v>-3</v>
      </c>
      <c r="AZ60" t="str">
        <f t="shared" si="10"/>
        <v>TDP Sympathiser</v>
      </c>
    </row>
    <row r="61" spans="1:52" x14ac:dyDescent="0.3">
      <c r="A61" t="s">
        <v>461</v>
      </c>
      <c r="B61" s="94">
        <v>46042</v>
      </c>
      <c r="C61" t="s">
        <v>462</v>
      </c>
      <c r="D61" t="s">
        <v>463</v>
      </c>
      <c r="E61" t="s">
        <v>449</v>
      </c>
      <c r="F61" t="s">
        <v>240</v>
      </c>
      <c r="G61" t="s">
        <v>39</v>
      </c>
      <c r="H61" t="s">
        <v>464</v>
      </c>
      <c r="I61" t="s">
        <v>70</v>
      </c>
      <c r="J61" t="s">
        <v>37</v>
      </c>
      <c r="K61" t="s">
        <v>211</v>
      </c>
      <c r="L61" t="s">
        <v>62</v>
      </c>
      <c r="M61" t="s">
        <v>51</v>
      </c>
      <c r="N61" t="s">
        <v>52</v>
      </c>
      <c r="O61" t="s">
        <v>465</v>
      </c>
      <c r="P61">
        <v>8897955864</v>
      </c>
      <c r="Q61" t="s">
        <v>445</v>
      </c>
      <c r="R61" t="s">
        <v>61</v>
      </c>
      <c r="S61" t="s">
        <v>43</v>
      </c>
      <c r="T61" t="s">
        <v>43</v>
      </c>
      <c r="U61" t="s">
        <v>44</v>
      </c>
      <c r="V61" t="s">
        <v>91</v>
      </c>
      <c r="W61" t="s">
        <v>5061</v>
      </c>
      <c r="X61" t="s">
        <v>91</v>
      </c>
      <c r="Y61" t="s">
        <v>46</v>
      </c>
      <c r="Z61" t="s">
        <v>47</v>
      </c>
      <c r="AA61" t="s">
        <v>48</v>
      </c>
      <c r="AB61" t="s">
        <v>49</v>
      </c>
      <c r="AC61" t="s">
        <v>49</v>
      </c>
      <c r="AD61" t="s">
        <v>481</v>
      </c>
      <c r="AE61" t="s">
        <v>189</v>
      </c>
      <c r="AF61" t="s">
        <v>496</v>
      </c>
      <c r="AG61" t="s">
        <v>196</v>
      </c>
      <c r="AH61">
        <f>VLOOKUP(Table1[[#This Row],[Caste]],Factor!$H$1:$K$13,4,0)</f>
        <v>1.3836274505214585</v>
      </c>
      <c r="AI6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1">
        <f>Table1[[#This Row],[Factor_1]]*Table1[[#This Row],[2024 Factor]]</f>
        <v>2.0811826914865059</v>
      </c>
      <c r="AK61">
        <f>VLOOKUP(Table1[[#This Row],[Q18: Gender]],Factor!$A$33:$E$35,5,0)</f>
        <v>2.1645021645021645</v>
      </c>
      <c r="AL61">
        <f>VLOOKUP(Table1[[#This Row],[Taluka]],Factor!$A$42:$G$46,7,0)</f>
        <v>0.75433779645928134</v>
      </c>
      <c r="AM61">
        <f>VLOOKUP(Table1[[#This Row],[Caste]]&amp;Table1[[#This Row],[Q18: Gender]],Factor!$W$1:$X$23,2,0)</f>
        <v>1.9278542477265657</v>
      </c>
      <c r="AN61">
        <f>VLOOKUP(Table1[[#This Row],[Taluka]]&amp;Table1[[#This Row],[Caste]]&amp;Table1[[#This Row],[Q18: Gender]],Factor!$AK$4:$AL$93,2,0)</f>
        <v>0.95595770048639872</v>
      </c>
      <c r="AO61">
        <f t="shared" si="0"/>
        <v>-1</v>
      </c>
      <c r="AP61">
        <f t="shared" si="1"/>
        <v>-1</v>
      </c>
      <c r="AQ61">
        <f t="shared" si="2"/>
        <v>1</v>
      </c>
      <c r="AR61">
        <f t="shared" si="3"/>
        <v>1</v>
      </c>
      <c r="AS61">
        <f t="shared" si="4"/>
        <v>-1</v>
      </c>
      <c r="AT61">
        <f t="shared" si="5"/>
        <v>-1</v>
      </c>
      <c r="AU61">
        <f t="shared" si="6"/>
        <v>-1.5</v>
      </c>
      <c r="AV61">
        <f>SUM(Table1[[#This Row],[Satis]:[29]])</f>
        <v>-2</v>
      </c>
      <c r="AW61">
        <f t="shared" si="7"/>
        <v>-1</v>
      </c>
      <c r="AX61">
        <f t="shared" si="8"/>
        <v>0</v>
      </c>
      <c r="AY61">
        <f t="shared" si="9"/>
        <v>-3</v>
      </c>
      <c r="AZ61" t="str">
        <f t="shared" si="10"/>
        <v>Neutral TDP</v>
      </c>
    </row>
    <row r="62" spans="1:52" x14ac:dyDescent="0.3">
      <c r="A62" t="s">
        <v>466</v>
      </c>
      <c r="B62" s="94">
        <v>46042</v>
      </c>
      <c r="C62" t="s">
        <v>467</v>
      </c>
      <c r="D62" t="s">
        <v>468</v>
      </c>
      <c r="E62" t="s">
        <v>449</v>
      </c>
      <c r="F62" t="s">
        <v>240</v>
      </c>
      <c r="G62" t="s">
        <v>39</v>
      </c>
      <c r="H62" t="s">
        <v>469</v>
      </c>
      <c r="I62" t="s">
        <v>70</v>
      </c>
      <c r="J62" t="s">
        <v>37</v>
      </c>
      <c r="K62" t="s">
        <v>211</v>
      </c>
      <c r="L62" t="s">
        <v>62</v>
      </c>
      <c r="M62" t="s">
        <v>443</v>
      </c>
      <c r="N62" t="s">
        <v>107</v>
      </c>
      <c r="O62" t="s">
        <v>471</v>
      </c>
      <c r="P62">
        <v>9949294240</v>
      </c>
      <c r="Q62" t="s">
        <v>54</v>
      </c>
      <c r="R62" t="s">
        <v>132</v>
      </c>
      <c r="S62" t="s">
        <v>88</v>
      </c>
      <c r="T62" t="s">
        <v>89</v>
      </c>
      <c r="U62" t="s">
        <v>90</v>
      </c>
      <c r="V62" t="s">
        <v>91</v>
      </c>
      <c r="W62" t="s">
        <v>5062</v>
      </c>
      <c r="X62" t="s">
        <v>91</v>
      </c>
      <c r="Y62" t="s">
        <v>46</v>
      </c>
      <c r="Z62" t="s">
        <v>92</v>
      </c>
      <c r="AA62" t="s">
        <v>92</v>
      </c>
      <c r="AB62" t="s">
        <v>147</v>
      </c>
      <c r="AC62" t="s">
        <v>470</v>
      </c>
      <c r="AD62" t="s">
        <v>481</v>
      </c>
      <c r="AE62" t="s">
        <v>185</v>
      </c>
      <c r="AF62">
        <v>0</v>
      </c>
      <c r="AG62" t="s">
        <v>196</v>
      </c>
      <c r="AH62">
        <f>VLOOKUP(Table1[[#This Row],[Caste]],Factor!$H$1:$K$13,4,0)</f>
        <v>1.3836274505214585</v>
      </c>
      <c r="AI62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62">
        <f>Table1[[#This Row],[Factor_1]]*Table1[[#This Row],[2024 Factor]]</f>
        <v>1.9482662206881376</v>
      </c>
      <c r="AK62">
        <f>VLOOKUP(Table1[[#This Row],[Q18: Gender]],Factor!$A$33:$E$35,5,0)</f>
        <v>0.85034013605442171</v>
      </c>
      <c r="AL62">
        <f>VLOOKUP(Table1[[#This Row],[Taluka]],Factor!$A$42:$G$46,7,0)</f>
        <v>0.75433779645928134</v>
      </c>
      <c r="AM62">
        <f>VLOOKUP(Table1[[#This Row],[Caste]]&amp;Table1[[#This Row],[Q18: Gender]],Factor!$W$1:$X$23,2,0)</f>
        <v>1.0790228998469584</v>
      </c>
      <c r="AN62">
        <f>VLOOKUP(Table1[[#This Row],[Taluka]]&amp;Table1[[#This Row],[Caste]]&amp;Table1[[#This Row],[Q18: Gender]],Factor!$AK$4:$AL$93,2,0)</f>
        <v>0.52423486800867025</v>
      </c>
      <c r="AO62">
        <f t="shared" si="0"/>
        <v>1</v>
      </c>
      <c r="AP62">
        <f t="shared" si="1"/>
        <v>1</v>
      </c>
      <c r="AQ62">
        <f t="shared" si="2"/>
        <v>1</v>
      </c>
      <c r="AR62">
        <f t="shared" si="3"/>
        <v>1</v>
      </c>
      <c r="AS62">
        <f t="shared" si="4"/>
        <v>1</v>
      </c>
      <c r="AT62">
        <f t="shared" si="5"/>
        <v>1</v>
      </c>
      <c r="AU62">
        <f t="shared" si="6"/>
        <v>5.5</v>
      </c>
      <c r="AV62">
        <f>SUM(Table1[[#This Row],[Satis]:[29]])</f>
        <v>6</v>
      </c>
      <c r="AW62">
        <f t="shared" si="7"/>
        <v>5</v>
      </c>
      <c r="AX62">
        <f t="shared" si="8"/>
        <v>4</v>
      </c>
      <c r="AY62">
        <f t="shared" si="9"/>
        <v>3</v>
      </c>
      <c r="AZ62" t="str">
        <f t="shared" si="10"/>
        <v>YSRCP HardCore</v>
      </c>
    </row>
    <row r="63" spans="1:52" x14ac:dyDescent="0.3">
      <c r="A63" t="s">
        <v>472</v>
      </c>
      <c r="B63" s="94">
        <v>46042</v>
      </c>
      <c r="C63" t="s">
        <v>473</v>
      </c>
      <c r="D63" t="s">
        <v>468</v>
      </c>
      <c r="E63" t="s">
        <v>449</v>
      </c>
      <c r="F63" t="s">
        <v>240</v>
      </c>
      <c r="G63" t="s">
        <v>39</v>
      </c>
      <c r="H63" t="s">
        <v>474</v>
      </c>
      <c r="I63" t="s">
        <v>70</v>
      </c>
      <c r="J63" t="s">
        <v>37</v>
      </c>
      <c r="K63" t="s">
        <v>211</v>
      </c>
      <c r="L63" t="s">
        <v>62</v>
      </c>
      <c r="M63" t="s">
        <v>443</v>
      </c>
      <c r="N63" t="s">
        <v>107</v>
      </c>
      <c r="O63" t="s">
        <v>471</v>
      </c>
      <c r="P63">
        <v>9949294240</v>
      </c>
      <c r="Q63" t="s">
        <v>54</v>
      </c>
      <c r="R63" t="s">
        <v>132</v>
      </c>
      <c r="S63" t="s">
        <v>88</v>
      </c>
      <c r="T63" t="s">
        <v>89</v>
      </c>
      <c r="U63" t="s">
        <v>90</v>
      </c>
      <c r="V63" t="s">
        <v>91</v>
      </c>
      <c r="W63" t="s">
        <v>5062</v>
      </c>
      <c r="X63" t="s">
        <v>91</v>
      </c>
      <c r="Y63" t="s">
        <v>46</v>
      </c>
      <c r="Z63" t="s">
        <v>92</v>
      </c>
      <c r="AA63" t="s">
        <v>92</v>
      </c>
      <c r="AB63" t="s">
        <v>147</v>
      </c>
      <c r="AC63" t="s">
        <v>470</v>
      </c>
      <c r="AD63">
        <v>0</v>
      </c>
      <c r="AE63" t="s">
        <v>185</v>
      </c>
      <c r="AF63">
        <v>0</v>
      </c>
      <c r="AG63" t="s">
        <v>196</v>
      </c>
      <c r="AH63">
        <f>VLOOKUP(Table1[[#This Row],[Caste]],Factor!$H$1:$K$13,4,0)</f>
        <v>1.3836274505214585</v>
      </c>
      <c r="AI63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63">
        <f>Table1[[#This Row],[Factor_1]]*Table1[[#This Row],[2024 Factor]]</f>
        <v>1.9482662206881376</v>
      </c>
      <c r="AK63">
        <f>VLOOKUP(Table1[[#This Row],[Q18: Gender]],Factor!$A$33:$E$35,5,0)</f>
        <v>0.85034013605442171</v>
      </c>
      <c r="AL63">
        <f>VLOOKUP(Table1[[#This Row],[Taluka]],Factor!$A$42:$G$46,7,0)</f>
        <v>0.75433779645928134</v>
      </c>
      <c r="AM63">
        <f>VLOOKUP(Table1[[#This Row],[Caste]]&amp;Table1[[#This Row],[Q18: Gender]],Factor!$W$1:$X$23,2,0)</f>
        <v>1.0790228998469584</v>
      </c>
      <c r="AN63">
        <f>VLOOKUP(Table1[[#This Row],[Taluka]]&amp;Table1[[#This Row],[Caste]]&amp;Table1[[#This Row],[Q18: Gender]],Factor!$AK$4:$AL$93,2,0)</f>
        <v>0.52423486800867025</v>
      </c>
      <c r="AO63">
        <f t="shared" si="0"/>
        <v>1</v>
      </c>
      <c r="AP63">
        <f t="shared" si="1"/>
        <v>1</v>
      </c>
      <c r="AQ63">
        <f t="shared" si="2"/>
        <v>1</v>
      </c>
      <c r="AR63">
        <f t="shared" si="3"/>
        <v>1</v>
      </c>
      <c r="AS63">
        <f t="shared" si="4"/>
        <v>1</v>
      </c>
      <c r="AT63">
        <f t="shared" si="5"/>
        <v>1</v>
      </c>
      <c r="AU63">
        <f t="shared" si="6"/>
        <v>5.5</v>
      </c>
      <c r="AV63">
        <f>SUM(Table1[[#This Row],[Satis]:[29]])</f>
        <v>6</v>
      </c>
      <c r="AW63">
        <f t="shared" si="7"/>
        <v>5</v>
      </c>
      <c r="AX63">
        <f t="shared" si="8"/>
        <v>4</v>
      </c>
      <c r="AY63">
        <f t="shared" si="9"/>
        <v>3</v>
      </c>
      <c r="AZ63" t="str">
        <f t="shared" si="10"/>
        <v>YSRCP HardCore</v>
      </c>
    </row>
    <row r="64" spans="1:52" x14ac:dyDescent="0.3">
      <c r="A64" t="s">
        <v>475</v>
      </c>
      <c r="B64" s="94">
        <v>46042</v>
      </c>
      <c r="C64" t="s">
        <v>476</v>
      </c>
      <c r="D64" t="s">
        <v>477</v>
      </c>
      <c r="E64" t="s">
        <v>478</v>
      </c>
      <c r="F64" t="s">
        <v>240</v>
      </c>
      <c r="G64" t="s">
        <v>39</v>
      </c>
      <c r="H64" t="s">
        <v>479</v>
      </c>
      <c r="I64" t="s">
        <v>36</v>
      </c>
      <c r="J64" t="s">
        <v>37</v>
      </c>
      <c r="K64" t="s">
        <v>211</v>
      </c>
      <c r="L64" t="s">
        <v>170</v>
      </c>
      <c r="M64" t="s">
        <v>51</v>
      </c>
      <c r="N64" t="s">
        <v>63</v>
      </c>
      <c r="O64" t="s">
        <v>480</v>
      </c>
      <c r="P64">
        <v>9999999999</v>
      </c>
      <c r="Q64" t="s">
        <v>54</v>
      </c>
      <c r="R64" t="s">
        <v>132</v>
      </c>
      <c r="S64" t="s">
        <v>43</v>
      </c>
      <c r="T64" t="s">
        <v>43</v>
      </c>
      <c r="U64" t="s">
        <v>44</v>
      </c>
      <c r="V64" t="s">
        <v>45</v>
      </c>
      <c r="W64" t="s">
        <v>5052</v>
      </c>
      <c r="X64" t="s">
        <v>45</v>
      </c>
      <c r="Y64" t="s">
        <v>46</v>
      </c>
      <c r="Z64" t="s">
        <v>47</v>
      </c>
      <c r="AA64" t="s">
        <v>48</v>
      </c>
      <c r="AB64" t="s">
        <v>49</v>
      </c>
      <c r="AC64" t="s">
        <v>49</v>
      </c>
      <c r="AD64" t="s">
        <v>494</v>
      </c>
      <c r="AE64" t="s">
        <v>185</v>
      </c>
      <c r="AF64">
        <v>0</v>
      </c>
      <c r="AG64" t="s">
        <v>196</v>
      </c>
      <c r="AH64">
        <f>VLOOKUP(Table1[[#This Row],[Caste]],Factor!$H$1:$K$13,4,0)</f>
        <v>1.1705128247062893</v>
      </c>
      <c r="AI6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4">
        <f>Table1[[#This Row],[Factor_1]]*Table1[[#This Row],[2024 Factor]]</f>
        <v>0.86308903171383233</v>
      </c>
      <c r="AK64">
        <f>VLOOKUP(Table1[[#This Row],[Q18: Gender]],Factor!$A$33:$E$35,5,0)</f>
        <v>0.85034013605442171</v>
      </c>
      <c r="AL64">
        <f>VLOOKUP(Table1[[#This Row],[Taluka]],Factor!$A$42:$G$46,7,0)</f>
        <v>0.75433779645928134</v>
      </c>
      <c r="AM64">
        <f>VLOOKUP(Table1[[#This Row],[Caste]]&amp;Table1[[#This Row],[Q18: Gender]],Factor!$W$1:$X$23,2,0)</f>
        <v>0.79950206330384943</v>
      </c>
      <c r="AN64">
        <f>VLOOKUP(Table1[[#This Row],[Taluka]]&amp;Table1[[#This Row],[Caste]]&amp;Table1[[#This Row],[Q18: Gender]],Factor!$AK$4:$AL$93,2,0)</f>
        <v>0.40257772387792479</v>
      </c>
      <c r="AO64">
        <f t="shared" si="0"/>
        <v>-1</v>
      </c>
      <c r="AP64">
        <f t="shared" si="1"/>
        <v>-1</v>
      </c>
      <c r="AQ64">
        <f t="shared" si="2"/>
        <v>-1</v>
      </c>
      <c r="AR64">
        <f t="shared" si="3"/>
        <v>-1</v>
      </c>
      <c r="AS64">
        <f t="shared" si="4"/>
        <v>-1</v>
      </c>
      <c r="AT64">
        <f t="shared" si="5"/>
        <v>-1</v>
      </c>
      <c r="AU64">
        <f t="shared" si="6"/>
        <v>-5.5</v>
      </c>
      <c r="AV64">
        <f>SUM(Table1[[#This Row],[Satis]:[29]])</f>
        <v>-6</v>
      </c>
      <c r="AW64">
        <f t="shared" si="7"/>
        <v>-5</v>
      </c>
      <c r="AX64">
        <f t="shared" si="8"/>
        <v>-4</v>
      </c>
      <c r="AY64">
        <f t="shared" si="9"/>
        <v>-3</v>
      </c>
      <c r="AZ64" t="str">
        <f t="shared" si="10"/>
        <v>TDP HardCore</v>
      </c>
    </row>
    <row r="65" spans="1:52" x14ac:dyDescent="0.3">
      <c r="A65" t="s">
        <v>527</v>
      </c>
      <c r="B65" s="94">
        <v>46043</v>
      </c>
      <c r="C65" t="s">
        <v>528</v>
      </c>
      <c r="D65" t="s">
        <v>529</v>
      </c>
      <c r="E65" t="s">
        <v>530</v>
      </c>
      <c r="F65" t="s">
        <v>69</v>
      </c>
      <c r="G65" t="s">
        <v>39</v>
      </c>
      <c r="H65" t="s">
        <v>531</v>
      </c>
      <c r="I65" s="112" t="s">
        <v>70</v>
      </c>
      <c r="J65" t="s">
        <v>219</v>
      </c>
      <c r="K65" t="s">
        <v>220</v>
      </c>
      <c r="L65" t="s">
        <v>62</v>
      </c>
      <c r="M65" t="s">
        <v>443</v>
      </c>
      <c r="N65" t="s">
        <v>52</v>
      </c>
      <c r="O65" t="s">
        <v>532</v>
      </c>
      <c r="P65">
        <v>9989624221</v>
      </c>
      <c r="Q65" t="s">
        <v>54</v>
      </c>
      <c r="R65" t="s">
        <v>132</v>
      </c>
      <c r="S65" t="s">
        <v>89</v>
      </c>
      <c r="T65" t="s">
        <v>89</v>
      </c>
      <c r="U65" t="s">
        <v>90</v>
      </c>
      <c r="V65" t="s">
        <v>91</v>
      </c>
      <c r="W65" t="s">
        <v>5063</v>
      </c>
      <c r="X65" t="s">
        <v>91</v>
      </c>
      <c r="Y65" t="s">
        <v>46</v>
      </c>
      <c r="Z65" t="s">
        <v>92</v>
      </c>
      <c r="AA65" t="s">
        <v>92</v>
      </c>
      <c r="AB65" t="s">
        <v>93</v>
      </c>
      <c r="AC65" t="s">
        <v>94</v>
      </c>
      <c r="AD65" t="s">
        <v>184</v>
      </c>
      <c r="AE65" t="s">
        <v>189</v>
      </c>
      <c r="AF65" t="s">
        <v>1219</v>
      </c>
      <c r="AG65" t="s">
        <v>196</v>
      </c>
      <c r="AH65" s="93">
        <f>VLOOKUP(Table1[[#This Row],[Caste]],Factor!$H$1:$K$13,4,0)</f>
        <v>1.3836274505214585</v>
      </c>
      <c r="AI65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65">
        <f>Table1[[#This Row],[Factor_1]]*Table1[[#This Row],[2024 Factor]]</f>
        <v>1.9482662206881376</v>
      </c>
      <c r="AK65">
        <f>VLOOKUP(Table1[[#This Row],[Q18: Gender]],Factor!$A$33:$E$35,5,0)</f>
        <v>0.85034013605442171</v>
      </c>
      <c r="AL65">
        <f>VLOOKUP(Table1[[#This Row],[Taluka]],Factor!$A$42:$G$46,7,0)</f>
        <v>1.147984664167413</v>
      </c>
      <c r="AM65">
        <f>VLOOKUP(Table1[[#This Row],[Caste]]&amp;Table1[[#This Row],[Q18: Gender]],Factor!$W$1:$X$23,2,0)</f>
        <v>1.0790228998469584</v>
      </c>
      <c r="AN65">
        <f>VLOOKUP(Table1[[#This Row],[Taluka]]&amp;Table1[[#This Row],[Caste]]&amp;Table1[[#This Row],[Q18: Gender]],Factor!$AK$4:$AL$93,2,0)</f>
        <v>1.1572915102003449</v>
      </c>
      <c r="AO65">
        <f t="shared" si="0"/>
        <v>1</v>
      </c>
      <c r="AP65">
        <f t="shared" si="1"/>
        <v>1</v>
      </c>
      <c r="AQ65">
        <f t="shared" si="2"/>
        <v>1</v>
      </c>
      <c r="AR65">
        <f t="shared" si="3"/>
        <v>1</v>
      </c>
      <c r="AS65">
        <f t="shared" si="4"/>
        <v>1</v>
      </c>
      <c r="AT65">
        <f t="shared" si="5"/>
        <v>1</v>
      </c>
      <c r="AU65">
        <f t="shared" si="6"/>
        <v>5.5</v>
      </c>
      <c r="AV65">
        <f>SUM(Table1[[#This Row],[Satis]:[29]])</f>
        <v>6</v>
      </c>
      <c r="AW65">
        <f t="shared" si="7"/>
        <v>5</v>
      </c>
      <c r="AX65">
        <f t="shared" si="8"/>
        <v>4</v>
      </c>
      <c r="AY65">
        <f t="shared" si="9"/>
        <v>3</v>
      </c>
      <c r="AZ65" t="str">
        <f t="shared" si="10"/>
        <v>YSRCP HardCore</v>
      </c>
    </row>
    <row r="66" spans="1:52" x14ac:dyDescent="0.3">
      <c r="A66" t="s">
        <v>533</v>
      </c>
      <c r="B66" s="94">
        <v>46043</v>
      </c>
      <c r="C66" t="s">
        <v>534</v>
      </c>
      <c r="D66" t="s">
        <v>535</v>
      </c>
      <c r="E66" t="s">
        <v>530</v>
      </c>
      <c r="F66" t="s">
        <v>69</v>
      </c>
      <c r="G66" t="s">
        <v>39</v>
      </c>
      <c r="H66" t="s">
        <v>536</v>
      </c>
      <c r="I66" t="s">
        <v>59</v>
      </c>
      <c r="J66" t="s">
        <v>219</v>
      </c>
      <c r="K66" t="s">
        <v>220</v>
      </c>
      <c r="L66" t="s">
        <v>82</v>
      </c>
      <c r="M66" t="s">
        <v>51</v>
      </c>
      <c r="N66" t="s">
        <v>52</v>
      </c>
      <c r="O66" t="s">
        <v>537</v>
      </c>
      <c r="P66">
        <v>9491173950</v>
      </c>
      <c r="Q66" t="s">
        <v>54</v>
      </c>
      <c r="R66" t="s">
        <v>61</v>
      </c>
      <c r="S66" t="s">
        <v>43</v>
      </c>
      <c r="T66" t="s">
        <v>43</v>
      </c>
      <c r="U66" t="s">
        <v>44</v>
      </c>
      <c r="V66" t="s">
        <v>45</v>
      </c>
      <c r="W66" t="s">
        <v>5056</v>
      </c>
      <c r="X66" t="s">
        <v>45</v>
      </c>
      <c r="Y66" t="s">
        <v>46</v>
      </c>
      <c r="Z66" t="s">
        <v>47</v>
      </c>
      <c r="AA66" t="s">
        <v>48</v>
      </c>
      <c r="AB66" t="s">
        <v>49</v>
      </c>
      <c r="AC66" t="s">
        <v>49</v>
      </c>
      <c r="AD66" t="s">
        <v>184</v>
      </c>
      <c r="AE66" t="s">
        <v>185</v>
      </c>
      <c r="AF66" t="s">
        <v>1220</v>
      </c>
      <c r="AG66" t="s">
        <v>196</v>
      </c>
      <c r="AH66" s="93">
        <f>VLOOKUP(Table1[[#This Row],[Caste]],Factor!$H$1:$K$13,4,0)</f>
        <v>1.1461625511156397</v>
      </c>
      <c r="AI6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6">
        <f>Table1[[#This Row],[Factor_1]]*Table1[[#This Row],[2024 Factor]]</f>
        <v>0.77721139583220644</v>
      </c>
      <c r="AK66">
        <f>VLOOKUP(Table1[[#This Row],[Q18: Gender]],Factor!$A$33:$E$35,5,0)</f>
        <v>0.85034013605442171</v>
      </c>
      <c r="AL66">
        <f>VLOOKUP(Table1[[#This Row],[Taluka]],Factor!$A$42:$G$46,7,0)</f>
        <v>1.147984664167413</v>
      </c>
      <c r="AM66">
        <f>VLOOKUP(Table1[[#This Row],[Caste]]&amp;Table1[[#This Row],[Q18: Gender]],Factor!$W$1:$X$23,2,0)</f>
        <v>0.71995135120329123</v>
      </c>
      <c r="AN66">
        <f>VLOOKUP(Table1[[#This Row],[Taluka]]&amp;Table1[[#This Row],[Caste]]&amp;Table1[[#This Row],[Q18: Gender]],Factor!$AK$4:$AL$93,2,0)</f>
        <v>0.54319084681293095</v>
      </c>
      <c r="AO66">
        <f t="shared" ref="AO66:AO129" si="11">IF(T66="బాగుంది",-1,1)</f>
        <v>-1</v>
      </c>
      <c r="AP66">
        <f t="shared" ref="AP66:AP129" si="12">IF(U66="అమలవడం లేదు",1,-1)</f>
        <v>-1</v>
      </c>
      <c r="AQ66">
        <f t="shared" ref="AQ66:AQ129" si="13">IF(V66="జగన్ మోహన్ రెడ్డి గారు",1,-1)</f>
        <v>-1</v>
      </c>
      <c r="AR66">
        <f t="shared" ref="AR66:AR129" si="14">IF(X66="జగన్ మోహన్ రెడ్డి గారు",1,-1)</f>
        <v>-1</v>
      </c>
      <c r="AS66">
        <f t="shared" ref="AS66:AS129" si="15">IF(AA66="YSRCP (వైఎస్‌ఆర్‌సీపీ)",1,-1)</f>
        <v>-1</v>
      </c>
      <c r="AT66">
        <f t="shared" ref="AT66:AT129" si="16">IF(Z66="YSRCP (వైఎస్‌ఆర్‌సీపీ)",1,-1)</f>
        <v>-1</v>
      </c>
      <c r="AU66">
        <f t="shared" ref="AU66:AU129" si="17">AO66+AP66+AQ66+AR66+(0.5*AS66)+AT66</f>
        <v>-5.5</v>
      </c>
      <c r="AV66">
        <f>SUM(Table1[[#This Row],[Satis]:[29]])</f>
        <v>-6</v>
      </c>
      <c r="AW66">
        <f t="shared" ref="AW66:AW129" si="18">AO66+AQ66+AR66+AS66+AT66</f>
        <v>-5</v>
      </c>
      <c r="AX66">
        <f t="shared" ref="AX66:AX129" si="19">AQ66+AR66+AS66+AT66</f>
        <v>-4</v>
      </c>
      <c r="AY66">
        <f t="shared" ref="AY66:AY129" si="20">IF(AND(AO66=1,AS66=1,AT66=1),3,IF(AND(AO66=-1,AS66=-1,AT66=-1),-3,IF(AND(AO66=1,AS66=-1,AT66=1),2,IF(AND(AO66=-1,AS66=1,AT66=-1),-2,IF(AND(AS66=1,AT66=1),2,IF(AND(AS66=-1,AT66=-1),-2,"ND"))))))</f>
        <v>-3</v>
      </c>
      <c r="AZ66" t="str">
        <f t="shared" ref="AZ66:AZ129" si="21">IFERROR(IF(AV66=6,"YSRCP HardCore",IF(AV66=-6,"TDP HardCore",IF(AW66&gt;=4,"YSRCP Sympathiser",IF(AW66&lt;=-4,"TDP Sympathiser",IF(AX66&gt;=3,"YSRCP Sympathiser",IF(AX66&lt;=-3,"TDP Sympathiser",IF(AY66="ND","ND",IF(AY66&gt;=2,"Neutral YSRCP",IF(AY66&lt;=-2,"Neutral TDP",0))))))))),"ND")</f>
        <v>TDP HardCore</v>
      </c>
    </row>
    <row r="67" spans="1:52" x14ac:dyDescent="0.3">
      <c r="A67" t="s">
        <v>538</v>
      </c>
      <c r="B67" s="94">
        <v>46043</v>
      </c>
      <c r="C67" t="s">
        <v>539</v>
      </c>
      <c r="D67" t="s">
        <v>540</v>
      </c>
      <c r="E67" t="s">
        <v>530</v>
      </c>
      <c r="F67" t="s">
        <v>69</v>
      </c>
      <c r="G67" t="s">
        <v>39</v>
      </c>
      <c r="H67" t="s">
        <v>541</v>
      </c>
      <c r="I67" t="s">
        <v>36</v>
      </c>
      <c r="J67" t="s">
        <v>219</v>
      </c>
      <c r="K67" t="s">
        <v>220</v>
      </c>
      <c r="L67" t="s">
        <v>62</v>
      </c>
      <c r="M67" t="s">
        <v>51</v>
      </c>
      <c r="N67" t="s">
        <v>63</v>
      </c>
      <c r="O67" t="s">
        <v>542</v>
      </c>
      <c r="P67">
        <v>9959520782</v>
      </c>
      <c r="Q67" t="s">
        <v>54</v>
      </c>
      <c r="R67" t="s">
        <v>73</v>
      </c>
      <c r="S67" t="s">
        <v>43</v>
      </c>
      <c r="T67" t="s">
        <v>43</v>
      </c>
      <c r="U67" t="s">
        <v>44</v>
      </c>
      <c r="V67" t="s">
        <v>45</v>
      </c>
      <c r="W67" t="s">
        <v>5049</v>
      </c>
      <c r="X67" t="s">
        <v>45</v>
      </c>
      <c r="Y67" t="s">
        <v>46</v>
      </c>
      <c r="Z67" t="s">
        <v>47</v>
      </c>
      <c r="AA67" t="s">
        <v>48</v>
      </c>
      <c r="AB67" t="s">
        <v>49</v>
      </c>
      <c r="AC67" t="s">
        <v>49</v>
      </c>
      <c r="AD67" t="s">
        <v>184</v>
      </c>
      <c r="AE67" t="s">
        <v>185</v>
      </c>
      <c r="AF67">
        <v>0</v>
      </c>
      <c r="AG67" t="s">
        <v>196</v>
      </c>
      <c r="AH67" s="93">
        <f>VLOOKUP(Table1[[#This Row],[Caste]],Factor!$H$1:$K$13,4,0)</f>
        <v>1.1705128247062893</v>
      </c>
      <c r="AI6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7">
        <f>Table1[[#This Row],[Factor_1]]*Table1[[#This Row],[2024 Factor]]</f>
        <v>0.86308903171383233</v>
      </c>
      <c r="AK67">
        <f>VLOOKUP(Table1[[#This Row],[Q18: Gender]],Factor!$A$33:$E$35,5,0)</f>
        <v>0.85034013605442171</v>
      </c>
      <c r="AL67">
        <f>VLOOKUP(Table1[[#This Row],[Taluka]],Factor!$A$42:$G$46,7,0)</f>
        <v>1.147984664167413</v>
      </c>
      <c r="AM67">
        <f>VLOOKUP(Table1[[#This Row],[Caste]]&amp;Table1[[#This Row],[Q18: Gender]],Factor!$W$1:$X$23,2,0)</f>
        <v>0.79950206330384943</v>
      </c>
      <c r="AN67">
        <f>VLOOKUP(Table1[[#This Row],[Taluka]]&amp;Table1[[#This Row],[Caste]]&amp;Table1[[#This Row],[Q18: Gender]],Factor!$AK$4:$AL$93,2,0)</f>
        <v>0.92148737207359532</v>
      </c>
      <c r="AO67">
        <f t="shared" si="11"/>
        <v>-1</v>
      </c>
      <c r="AP67">
        <f t="shared" si="12"/>
        <v>-1</v>
      </c>
      <c r="AQ67">
        <f t="shared" si="13"/>
        <v>-1</v>
      </c>
      <c r="AR67">
        <f t="shared" si="14"/>
        <v>-1</v>
      </c>
      <c r="AS67">
        <f t="shared" si="15"/>
        <v>-1</v>
      </c>
      <c r="AT67">
        <f t="shared" si="16"/>
        <v>-1</v>
      </c>
      <c r="AU67">
        <f t="shared" si="17"/>
        <v>-5.5</v>
      </c>
      <c r="AV67">
        <f>SUM(Table1[[#This Row],[Satis]:[29]])</f>
        <v>-6</v>
      </c>
      <c r="AW67">
        <f t="shared" si="18"/>
        <v>-5</v>
      </c>
      <c r="AX67">
        <f t="shared" si="19"/>
        <v>-4</v>
      </c>
      <c r="AY67">
        <f t="shared" si="20"/>
        <v>-3</v>
      </c>
      <c r="AZ67" t="str">
        <f t="shared" si="21"/>
        <v>TDP HardCore</v>
      </c>
    </row>
    <row r="68" spans="1:52" x14ac:dyDescent="0.3">
      <c r="A68" t="s">
        <v>543</v>
      </c>
      <c r="B68" s="94">
        <v>46043</v>
      </c>
      <c r="C68" t="s">
        <v>544</v>
      </c>
      <c r="D68" t="s">
        <v>545</v>
      </c>
      <c r="E68" t="s">
        <v>546</v>
      </c>
      <c r="F68" t="s">
        <v>69</v>
      </c>
      <c r="G68" t="s">
        <v>39</v>
      </c>
      <c r="H68" t="s">
        <v>547</v>
      </c>
      <c r="I68" t="s">
        <v>59</v>
      </c>
      <c r="J68" t="s">
        <v>219</v>
      </c>
      <c r="K68" t="s">
        <v>220</v>
      </c>
      <c r="L68" t="s">
        <v>75</v>
      </c>
      <c r="M68" t="s">
        <v>51</v>
      </c>
      <c r="N68" t="s">
        <v>63</v>
      </c>
      <c r="O68" t="s">
        <v>548</v>
      </c>
      <c r="P68">
        <v>9493745159</v>
      </c>
      <c r="Q68" t="s">
        <v>54</v>
      </c>
      <c r="R68" t="s">
        <v>73</v>
      </c>
      <c r="S68" t="s">
        <v>43</v>
      </c>
      <c r="T68" t="s">
        <v>43</v>
      </c>
      <c r="U68" t="s">
        <v>44</v>
      </c>
      <c r="V68" t="s">
        <v>45</v>
      </c>
      <c r="W68" t="s">
        <v>5064</v>
      </c>
      <c r="X68" t="s">
        <v>45</v>
      </c>
      <c r="Y68" t="s">
        <v>46</v>
      </c>
      <c r="Z68" t="s">
        <v>47</v>
      </c>
      <c r="AA68" t="s">
        <v>48</v>
      </c>
      <c r="AB68" t="s">
        <v>49</v>
      </c>
      <c r="AC68" t="s">
        <v>49</v>
      </c>
      <c r="AD68" t="s">
        <v>184</v>
      </c>
      <c r="AE68" t="s">
        <v>185</v>
      </c>
      <c r="AF68">
        <v>0</v>
      </c>
      <c r="AG68" t="s">
        <v>196</v>
      </c>
      <c r="AH68" s="93">
        <f>VLOOKUP(Table1[[#This Row],[Caste]],Factor!$H$1:$K$13,4,0)</f>
        <v>1.1461625511156397</v>
      </c>
      <c r="AI6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8">
        <f>Table1[[#This Row],[Factor_1]]*Table1[[#This Row],[2024 Factor]]</f>
        <v>0.77721139583220644</v>
      </c>
      <c r="AK68">
        <f>VLOOKUP(Table1[[#This Row],[Q18: Gender]],Factor!$A$33:$E$35,5,0)</f>
        <v>0.85034013605442171</v>
      </c>
      <c r="AL68">
        <f>VLOOKUP(Table1[[#This Row],[Taluka]],Factor!$A$42:$G$46,7,0)</f>
        <v>1.147984664167413</v>
      </c>
      <c r="AM68">
        <f>VLOOKUP(Table1[[#This Row],[Caste]]&amp;Table1[[#This Row],[Q18: Gender]],Factor!$W$1:$X$23,2,0)</f>
        <v>0.71995135120329123</v>
      </c>
      <c r="AN68">
        <f>VLOOKUP(Table1[[#This Row],[Taluka]]&amp;Table1[[#This Row],[Caste]]&amp;Table1[[#This Row],[Q18: Gender]],Factor!$AK$4:$AL$93,2,0)</f>
        <v>0.54319084681293095</v>
      </c>
      <c r="AO68">
        <f t="shared" si="11"/>
        <v>-1</v>
      </c>
      <c r="AP68">
        <f t="shared" si="12"/>
        <v>-1</v>
      </c>
      <c r="AQ68">
        <f t="shared" si="13"/>
        <v>-1</v>
      </c>
      <c r="AR68">
        <f t="shared" si="14"/>
        <v>-1</v>
      </c>
      <c r="AS68">
        <f t="shared" si="15"/>
        <v>-1</v>
      </c>
      <c r="AT68">
        <f t="shared" si="16"/>
        <v>-1</v>
      </c>
      <c r="AU68">
        <f t="shared" si="17"/>
        <v>-5.5</v>
      </c>
      <c r="AV68">
        <f>SUM(Table1[[#This Row],[Satis]:[29]])</f>
        <v>-6</v>
      </c>
      <c r="AW68">
        <f t="shared" si="18"/>
        <v>-5</v>
      </c>
      <c r="AX68">
        <f t="shared" si="19"/>
        <v>-4</v>
      </c>
      <c r="AY68">
        <f t="shared" si="20"/>
        <v>-3</v>
      </c>
      <c r="AZ68" t="str">
        <f t="shared" si="21"/>
        <v>TDP HardCore</v>
      </c>
    </row>
    <row r="69" spans="1:52" x14ac:dyDescent="0.3">
      <c r="A69" t="s">
        <v>549</v>
      </c>
      <c r="B69" s="94">
        <v>46043</v>
      </c>
      <c r="C69" t="s">
        <v>550</v>
      </c>
      <c r="D69" t="s">
        <v>545</v>
      </c>
      <c r="E69" t="s">
        <v>546</v>
      </c>
      <c r="F69" t="s">
        <v>69</v>
      </c>
      <c r="G69" t="s">
        <v>39</v>
      </c>
      <c r="H69" t="s">
        <v>551</v>
      </c>
      <c r="I69" t="s">
        <v>59</v>
      </c>
      <c r="J69" t="s">
        <v>219</v>
      </c>
      <c r="K69" t="s">
        <v>220</v>
      </c>
      <c r="L69" t="s">
        <v>75</v>
      </c>
      <c r="M69" t="s">
        <v>51</v>
      </c>
      <c r="N69" t="s">
        <v>63</v>
      </c>
      <c r="O69" t="s">
        <v>548</v>
      </c>
      <c r="P69">
        <v>9493745159</v>
      </c>
      <c r="Q69" t="s">
        <v>54</v>
      </c>
      <c r="R69" t="s">
        <v>73</v>
      </c>
      <c r="S69" t="s">
        <v>43</v>
      </c>
      <c r="T69" t="s">
        <v>43</v>
      </c>
      <c r="U69" t="s">
        <v>44</v>
      </c>
      <c r="V69" t="s">
        <v>45</v>
      </c>
      <c r="W69" t="s">
        <v>5064</v>
      </c>
      <c r="X69" t="s">
        <v>45</v>
      </c>
      <c r="Y69" t="s">
        <v>46</v>
      </c>
      <c r="Z69" t="s">
        <v>47</v>
      </c>
      <c r="AA69" t="s">
        <v>48</v>
      </c>
      <c r="AB69" t="s">
        <v>49</v>
      </c>
      <c r="AC69" t="s">
        <v>49</v>
      </c>
      <c r="AD69">
        <v>0</v>
      </c>
      <c r="AE69" t="s">
        <v>185</v>
      </c>
      <c r="AF69">
        <v>0</v>
      </c>
      <c r="AG69" t="s">
        <v>196</v>
      </c>
      <c r="AH69" s="93">
        <f>VLOOKUP(Table1[[#This Row],[Caste]],Factor!$H$1:$K$13,4,0)</f>
        <v>1.1461625511156397</v>
      </c>
      <c r="AI6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9">
        <f>Table1[[#This Row],[Factor_1]]*Table1[[#This Row],[2024 Factor]]</f>
        <v>0.77721139583220644</v>
      </c>
      <c r="AK69">
        <f>VLOOKUP(Table1[[#This Row],[Q18: Gender]],Factor!$A$33:$E$35,5,0)</f>
        <v>0.85034013605442171</v>
      </c>
      <c r="AL69">
        <f>VLOOKUP(Table1[[#This Row],[Taluka]],Factor!$A$42:$G$46,7,0)</f>
        <v>1.147984664167413</v>
      </c>
      <c r="AM69">
        <f>VLOOKUP(Table1[[#This Row],[Caste]]&amp;Table1[[#This Row],[Q18: Gender]],Factor!$W$1:$X$23,2,0)</f>
        <v>0.71995135120329123</v>
      </c>
      <c r="AN69">
        <f>VLOOKUP(Table1[[#This Row],[Taluka]]&amp;Table1[[#This Row],[Caste]]&amp;Table1[[#This Row],[Q18: Gender]],Factor!$AK$4:$AL$93,2,0)</f>
        <v>0.54319084681293095</v>
      </c>
      <c r="AO69">
        <f t="shared" si="11"/>
        <v>-1</v>
      </c>
      <c r="AP69">
        <f t="shared" si="12"/>
        <v>-1</v>
      </c>
      <c r="AQ69">
        <f t="shared" si="13"/>
        <v>-1</v>
      </c>
      <c r="AR69">
        <f t="shared" si="14"/>
        <v>-1</v>
      </c>
      <c r="AS69">
        <f t="shared" si="15"/>
        <v>-1</v>
      </c>
      <c r="AT69">
        <f t="shared" si="16"/>
        <v>-1</v>
      </c>
      <c r="AU69">
        <f t="shared" si="17"/>
        <v>-5.5</v>
      </c>
      <c r="AV69">
        <f>SUM(Table1[[#This Row],[Satis]:[29]])</f>
        <v>-6</v>
      </c>
      <c r="AW69">
        <f t="shared" si="18"/>
        <v>-5</v>
      </c>
      <c r="AX69">
        <f t="shared" si="19"/>
        <v>-4</v>
      </c>
      <c r="AY69">
        <f t="shared" si="20"/>
        <v>-3</v>
      </c>
      <c r="AZ69" t="str">
        <f t="shared" si="21"/>
        <v>TDP HardCore</v>
      </c>
    </row>
    <row r="70" spans="1:52" x14ac:dyDescent="0.3">
      <c r="A70" t="s">
        <v>552</v>
      </c>
      <c r="B70" s="94">
        <v>46043</v>
      </c>
      <c r="C70" t="s">
        <v>553</v>
      </c>
      <c r="D70" t="s">
        <v>554</v>
      </c>
      <c r="E70" t="s">
        <v>555</v>
      </c>
      <c r="F70" t="s">
        <v>69</v>
      </c>
      <c r="G70" t="s">
        <v>39</v>
      </c>
      <c r="H70" t="s">
        <v>556</v>
      </c>
      <c r="I70" t="s">
        <v>59</v>
      </c>
      <c r="J70" t="s">
        <v>219</v>
      </c>
      <c r="K70" t="s">
        <v>220</v>
      </c>
      <c r="L70" t="s">
        <v>451</v>
      </c>
      <c r="M70" t="s">
        <v>51</v>
      </c>
      <c r="N70" t="s">
        <v>63</v>
      </c>
      <c r="O70" t="s">
        <v>557</v>
      </c>
      <c r="P70">
        <v>9999999999</v>
      </c>
      <c r="Q70" t="s">
        <v>445</v>
      </c>
      <c r="R70" t="s">
        <v>61</v>
      </c>
      <c r="S70" t="s">
        <v>43</v>
      </c>
      <c r="T70" t="s">
        <v>43</v>
      </c>
      <c r="U70" t="s">
        <v>44</v>
      </c>
      <c r="V70" t="s">
        <v>45</v>
      </c>
      <c r="W70" t="s">
        <v>5065</v>
      </c>
      <c r="X70" t="s">
        <v>45</v>
      </c>
      <c r="Y70" t="s">
        <v>46</v>
      </c>
      <c r="Z70" t="s">
        <v>47</v>
      </c>
      <c r="AA70" t="s">
        <v>48</v>
      </c>
      <c r="AB70" t="s">
        <v>49</v>
      </c>
      <c r="AC70" t="s">
        <v>49</v>
      </c>
      <c r="AD70" t="s">
        <v>184</v>
      </c>
      <c r="AE70" t="s">
        <v>185</v>
      </c>
      <c r="AF70">
        <v>0</v>
      </c>
      <c r="AG70" t="s">
        <v>196</v>
      </c>
      <c r="AH70" s="93">
        <f>VLOOKUP(Table1[[#This Row],[Caste]],Factor!$H$1:$K$13,4,0)</f>
        <v>1.1461625511156397</v>
      </c>
      <c r="AI7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0">
        <f>Table1[[#This Row],[Factor_1]]*Table1[[#This Row],[2024 Factor]]</f>
        <v>3.0326483876590018</v>
      </c>
      <c r="AK70">
        <f>VLOOKUP(Table1[[#This Row],[Q18: Gender]],Factor!$A$33:$E$35,5,0)</f>
        <v>2.1645021645021645</v>
      </c>
      <c r="AL70">
        <f>VLOOKUP(Table1[[#This Row],[Taluka]],Factor!$A$42:$G$46,7,0)</f>
        <v>1.147984664167413</v>
      </c>
      <c r="AM70">
        <f>VLOOKUP(Table1[[#This Row],[Caste]]&amp;Table1[[#This Row],[Q18: Gender]],Factor!$W$1:$X$23,2,0)</f>
        <v>2.8092219390089208</v>
      </c>
      <c r="AN70">
        <f>VLOOKUP(Table1[[#This Row],[Taluka]]&amp;Table1[[#This Row],[Caste]]&amp;Table1[[#This Row],[Q18: Gender]],Factor!$AK$4:$AL$93,2,0)</f>
        <v>2.2934724643212636</v>
      </c>
      <c r="AO70">
        <f t="shared" si="11"/>
        <v>-1</v>
      </c>
      <c r="AP70">
        <f t="shared" si="12"/>
        <v>-1</v>
      </c>
      <c r="AQ70">
        <f t="shared" si="13"/>
        <v>-1</v>
      </c>
      <c r="AR70">
        <f t="shared" si="14"/>
        <v>-1</v>
      </c>
      <c r="AS70">
        <f t="shared" si="15"/>
        <v>-1</v>
      </c>
      <c r="AT70">
        <f t="shared" si="16"/>
        <v>-1</v>
      </c>
      <c r="AU70">
        <f t="shared" si="17"/>
        <v>-5.5</v>
      </c>
      <c r="AV70">
        <f>SUM(Table1[[#This Row],[Satis]:[29]])</f>
        <v>-6</v>
      </c>
      <c r="AW70">
        <f t="shared" si="18"/>
        <v>-5</v>
      </c>
      <c r="AX70">
        <f t="shared" si="19"/>
        <v>-4</v>
      </c>
      <c r="AY70">
        <f t="shared" si="20"/>
        <v>-3</v>
      </c>
      <c r="AZ70" t="str">
        <f t="shared" si="21"/>
        <v>TDP HardCore</v>
      </c>
    </row>
    <row r="71" spans="1:52" x14ac:dyDescent="0.3">
      <c r="A71" t="s">
        <v>558</v>
      </c>
      <c r="B71" s="94">
        <v>46043</v>
      </c>
      <c r="C71" t="s">
        <v>559</v>
      </c>
      <c r="D71" t="s">
        <v>560</v>
      </c>
      <c r="E71" t="s">
        <v>561</v>
      </c>
      <c r="F71" t="s">
        <v>69</v>
      </c>
      <c r="G71" t="s">
        <v>39</v>
      </c>
      <c r="H71" t="s">
        <v>562</v>
      </c>
      <c r="I71" s="112" t="s">
        <v>36</v>
      </c>
      <c r="J71" t="s">
        <v>219</v>
      </c>
      <c r="K71" t="s">
        <v>220</v>
      </c>
      <c r="L71" t="s">
        <v>62</v>
      </c>
      <c r="M71" t="s">
        <v>51</v>
      </c>
      <c r="N71" t="s">
        <v>52</v>
      </c>
      <c r="O71" t="s">
        <v>563</v>
      </c>
      <c r="P71">
        <v>9999999999</v>
      </c>
      <c r="Q71" t="s">
        <v>445</v>
      </c>
      <c r="R71" t="s">
        <v>61</v>
      </c>
      <c r="S71" t="s">
        <v>89</v>
      </c>
      <c r="T71" t="s">
        <v>43</v>
      </c>
      <c r="U71" t="s">
        <v>90</v>
      </c>
      <c r="V71" t="s">
        <v>91</v>
      </c>
      <c r="W71" t="s">
        <v>5056</v>
      </c>
      <c r="X71" t="s">
        <v>45</v>
      </c>
      <c r="Y71" t="s">
        <v>46</v>
      </c>
      <c r="Z71" t="s">
        <v>242</v>
      </c>
      <c r="AA71" t="s">
        <v>48</v>
      </c>
      <c r="AB71" t="s">
        <v>49</v>
      </c>
      <c r="AC71" t="s">
        <v>49</v>
      </c>
      <c r="AD71" t="s">
        <v>184</v>
      </c>
      <c r="AE71" t="s">
        <v>185</v>
      </c>
      <c r="AF71" t="s">
        <v>1221</v>
      </c>
      <c r="AG71" t="s">
        <v>196</v>
      </c>
      <c r="AH71" s="93">
        <f>VLOOKUP(Table1[[#This Row],[Caste]],Factor!$H$1:$K$13,4,0)</f>
        <v>1.1705128247062893</v>
      </c>
      <c r="AI7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1">
        <f>Table1[[#This Row],[Factor_1]]*Table1[[#This Row],[2024 Factor]]</f>
        <v>2.3577066232182737</v>
      </c>
      <c r="AK71">
        <f>VLOOKUP(Table1[[#This Row],[Q18: Gender]],Factor!$A$33:$E$35,5,0)</f>
        <v>2.1645021645021645</v>
      </c>
      <c r="AL71">
        <f>VLOOKUP(Table1[[#This Row],[Taluka]],Factor!$A$42:$G$46,7,0)</f>
        <v>1.147984664167413</v>
      </c>
      <c r="AM71">
        <f>VLOOKUP(Table1[[#This Row],[Caste]]&amp;Table1[[#This Row],[Q18: Gender]],Factor!$W$1:$X$23,2,0)</f>
        <v>2.1840056363422229</v>
      </c>
      <c r="AN71">
        <f>VLOOKUP(Table1[[#This Row],[Taluka]]&amp;Table1[[#This Row],[Caste]]&amp;Table1[[#This Row],[Q18: Gender]],Factor!$AK$4:$AL$93,2,0)</f>
        <v>25.80164641806067</v>
      </c>
      <c r="AO71">
        <f t="shared" si="11"/>
        <v>-1</v>
      </c>
      <c r="AP71">
        <f t="shared" si="12"/>
        <v>1</v>
      </c>
      <c r="AQ71">
        <f t="shared" si="13"/>
        <v>1</v>
      </c>
      <c r="AR71">
        <f t="shared" si="14"/>
        <v>-1</v>
      </c>
      <c r="AS71">
        <f t="shared" si="15"/>
        <v>-1</v>
      </c>
      <c r="AT71">
        <f t="shared" si="16"/>
        <v>-1</v>
      </c>
      <c r="AU71">
        <f t="shared" si="17"/>
        <v>-1.5</v>
      </c>
      <c r="AV71">
        <f>SUM(Table1[[#This Row],[Satis]:[29]])</f>
        <v>-2</v>
      </c>
      <c r="AW71">
        <f t="shared" si="18"/>
        <v>-3</v>
      </c>
      <c r="AX71">
        <f t="shared" si="19"/>
        <v>-2</v>
      </c>
      <c r="AY71">
        <f t="shared" si="20"/>
        <v>-3</v>
      </c>
      <c r="AZ71" t="str">
        <f t="shared" si="21"/>
        <v>Neutral TDP</v>
      </c>
    </row>
    <row r="72" spans="1:52" x14ac:dyDescent="0.3">
      <c r="A72" t="s">
        <v>564</v>
      </c>
      <c r="B72" s="94">
        <v>46043</v>
      </c>
      <c r="C72" t="s">
        <v>565</v>
      </c>
      <c r="D72" t="s">
        <v>566</v>
      </c>
      <c r="E72" t="s">
        <v>530</v>
      </c>
      <c r="F72" t="s">
        <v>69</v>
      </c>
      <c r="G72" t="s">
        <v>39</v>
      </c>
      <c r="H72" t="s">
        <v>567</v>
      </c>
      <c r="I72" t="s">
        <v>229</v>
      </c>
      <c r="J72" t="s">
        <v>219</v>
      </c>
      <c r="K72" t="s">
        <v>220</v>
      </c>
      <c r="L72" t="s">
        <v>451</v>
      </c>
      <c r="M72" t="s">
        <v>51</v>
      </c>
      <c r="N72" t="s">
        <v>63</v>
      </c>
      <c r="O72" t="s">
        <v>568</v>
      </c>
      <c r="P72">
        <v>9999999999</v>
      </c>
      <c r="Q72" t="s">
        <v>445</v>
      </c>
      <c r="R72" t="s">
        <v>139</v>
      </c>
      <c r="S72" t="s">
        <v>43</v>
      </c>
      <c r="T72" t="s">
        <v>43</v>
      </c>
      <c r="U72" t="s">
        <v>90</v>
      </c>
      <c r="V72" t="s">
        <v>45</v>
      </c>
      <c r="W72" t="s">
        <v>5041</v>
      </c>
      <c r="X72" t="s">
        <v>45</v>
      </c>
      <c r="Y72" t="s">
        <v>46</v>
      </c>
      <c r="Z72" t="s">
        <v>47</v>
      </c>
      <c r="AA72" t="s">
        <v>48</v>
      </c>
      <c r="AB72" t="s">
        <v>49</v>
      </c>
      <c r="AC72" t="s">
        <v>49</v>
      </c>
      <c r="AD72" t="s">
        <v>184</v>
      </c>
      <c r="AE72" t="s">
        <v>185</v>
      </c>
      <c r="AF72" t="s">
        <v>1222</v>
      </c>
      <c r="AG72" t="s">
        <v>196</v>
      </c>
      <c r="AH72" s="93">
        <f>VLOOKUP(Table1[[#This Row],[Caste]],Factor!$H$1:$K$13,4,0)</f>
        <v>1.1209668980183516</v>
      </c>
      <c r="AI7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2">
        <f>Table1[[#This Row],[Factor_1]]*Table1[[#This Row],[2024 Factor]]</f>
        <v>1.4370186848956754</v>
      </c>
      <c r="AK72">
        <f>VLOOKUP(Table1[[#This Row],[Q18: Gender]],Factor!$A$33:$E$35,5,0)</f>
        <v>2.1645021645021645</v>
      </c>
      <c r="AL72">
        <f>VLOOKUP(Table1[[#This Row],[Taluka]],Factor!$A$42:$G$46,7,0)</f>
        <v>1.147984664167413</v>
      </c>
      <c r="AM72">
        <f>VLOOKUP(Table1[[#This Row],[Caste]]&amp;Table1[[#This Row],[Q18: Gender]],Factor!$W$1:$X$23,2,0)</f>
        <v>1.3311481913967924</v>
      </c>
      <c r="AN72">
        <f>VLOOKUP(Table1[[#This Row],[Taluka]]&amp;Table1[[#This Row],[Caste]]&amp;Table1[[#This Row],[Q18: Gender]],Factor!$AK$4:$AL$93,2,0)</f>
        <v>0.51141675343184545</v>
      </c>
      <c r="AO72">
        <f t="shared" si="11"/>
        <v>-1</v>
      </c>
      <c r="AP72">
        <f t="shared" si="12"/>
        <v>1</v>
      </c>
      <c r="AQ72">
        <f t="shared" si="13"/>
        <v>-1</v>
      </c>
      <c r="AR72">
        <f t="shared" si="14"/>
        <v>-1</v>
      </c>
      <c r="AS72">
        <f t="shared" si="15"/>
        <v>-1</v>
      </c>
      <c r="AT72">
        <f t="shared" si="16"/>
        <v>-1</v>
      </c>
      <c r="AU72">
        <f t="shared" si="17"/>
        <v>-3.5</v>
      </c>
      <c r="AV72">
        <f>SUM(Table1[[#This Row],[Satis]:[29]])</f>
        <v>-4</v>
      </c>
      <c r="AW72">
        <f t="shared" si="18"/>
        <v>-5</v>
      </c>
      <c r="AX72">
        <f t="shared" si="19"/>
        <v>-4</v>
      </c>
      <c r="AY72">
        <f t="shared" si="20"/>
        <v>-3</v>
      </c>
      <c r="AZ72" t="str">
        <f t="shared" si="21"/>
        <v>TDP Sympathiser</v>
      </c>
    </row>
    <row r="73" spans="1:52" x14ac:dyDescent="0.3">
      <c r="A73" t="s">
        <v>569</v>
      </c>
      <c r="B73" s="94">
        <v>46043</v>
      </c>
      <c r="C73" t="s">
        <v>570</v>
      </c>
      <c r="D73" t="s">
        <v>571</v>
      </c>
      <c r="E73" t="s">
        <v>572</v>
      </c>
      <c r="F73" t="s">
        <v>240</v>
      </c>
      <c r="G73" t="s">
        <v>39</v>
      </c>
      <c r="H73" t="s">
        <v>573</v>
      </c>
      <c r="I73" t="s">
        <v>36</v>
      </c>
      <c r="J73" t="s">
        <v>37</v>
      </c>
      <c r="K73" t="s">
        <v>211</v>
      </c>
      <c r="L73" t="s">
        <v>62</v>
      </c>
      <c r="M73" t="s">
        <v>443</v>
      </c>
      <c r="N73" t="s">
        <v>63</v>
      </c>
      <c r="O73" t="s">
        <v>574</v>
      </c>
      <c r="P73">
        <v>9573537943</v>
      </c>
      <c r="Q73" t="s">
        <v>54</v>
      </c>
      <c r="R73" t="s">
        <v>61</v>
      </c>
      <c r="S73" t="s">
        <v>43</v>
      </c>
      <c r="T73" t="s">
        <v>89</v>
      </c>
      <c r="U73" t="s">
        <v>44</v>
      </c>
      <c r="V73" t="s">
        <v>45</v>
      </c>
      <c r="W73" t="s">
        <v>5055</v>
      </c>
      <c r="X73" t="s">
        <v>91</v>
      </c>
      <c r="Y73" t="s">
        <v>46</v>
      </c>
      <c r="Z73" t="s">
        <v>92</v>
      </c>
      <c r="AA73" t="s">
        <v>48</v>
      </c>
      <c r="AB73" t="s">
        <v>49</v>
      </c>
      <c r="AC73" t="s">
        <v>49</v>
      </c>
      <c r="AD73" t="s">
        <v>481</v>
      </c>
      <c r="AE73" t="s">
        <v>189</v>
      </c>
      <c r="AF73" t="s">
        <v>1211</v>
      </c>
      <c r="AG73" t="s">
        <v>196</v>
      </c>
      <c r="AH73" s="93">
        <f>VLOOKUP(Table1[[#This Row],[Caste]],Factor!$H$1:$K$13,4,0)</f>
        <v>1.1705128247062893</v>
      </c>
      <c r="AI7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3">
        <f>Table1[[#This Row],[Factor_1]]*Table1[[#This Row],[2024 Factor]]</f>
        <v>0.86308903171383233</v>
      </c>
      <c r="AK73">
        <f>VLOOKUP(Table1[[#This Row],[Q18: Gender]],Factor!$A$33:$E$35,5,0)</f>
        <v>0.85034013605442171</v>
      </c>
      <c r="AL73">
        <f>VLOOKUP(Table1[[#This Row],[Taluka]],Factor!$A$42:$G$46,7,0)</f>
        <v>0.75433779645928134</v>
      </c>
      <c r="AM73">
        <f>VLOOKUP(Table1[[#This Row],[Caste]]&amp;Table1[[#This Row],[Q18: Gender]],Factor!$W$1:$X$23,2,0)</f>
        <v>0.79950206330384943</v>
      </c>
      <c r="AN73">
        <f>VLOOKUP(Table1[[#This Row],[Taluka]]&amp;Table1[[#This Row],[Caste]]&amp;Table1[[#This Row],[Q18: Gender]],Factor!$AK$4:$AL$93,2,0)</f>
        <v>0.40257772387792479</v>
      </c>
      <c r="AO73">
        <f t="shared" si="11"/>
        <v>1</v>
      </c>
      <c r="AP73">
        <f t="shared" si="12"/>
        <v>-1</v>
      </c>
      <c r="AQ73">
        <f t="shared" si="13"/>
        <v>-1</v>
      </c>
      <c r="AR73">
        <f t="shared" si="14"/>
        <v>1</v>
      </c>
      <c r="AS73">
        <f t="shared" si="15"/>
        <v>-1</v>
      </c>
      <c r="AT73">
        <f t="shared" si="16"/>
        <v>1</v>
      </c>
      <c r="AU73">
        <f t="shared" si="17"/>
        <v>0.5</v>
      </c>
      <c r="AV73">
        <f>SUM(Table1[[#This Row],[Satis]:[29]])</f>
        <v>0</v>
      </c>
      <c r="AW73">
        <f t="shared" si="18"/>
        <v>1</v>
      </c>
      <c r="AX73">
        <f t="shared" si="19"/>
        <v>0</v>
      </c>
      <c r="AY73">
        <f t="shared" si="20"/>
        <v>2</v>
      </c>
      <c r="AZ73" t="str">
        <f t="shared" si="21"/>
        <v>Neutral YSRCP</v>
      </c>
    </row>
    <row r="74" spans="1:52" x14ac:dyDescent="0.3">
      <c r="A74" t="s">
        <v>575</v>
      </c>
      <c r="B74" s="94">
        <v>46043</v>
      </c>
      <c r="C74" t="s">
        <v>576</v>
      </c>
      <c r="D74" t="s">
        <v>577</v>
      </c>
      <c r="E74" t="s">
        <v>561</v>
      </c>
      <c r="F74" t="s">
        <v>69</v>
      </c>
      <c r="G74" t="s">
        <v>39</v>
      </c>
      <c r="H74" t="s">
        <v>578</v>
      </c>
      <c r="I74" t="s">
        <v>59</v>
      </c>
      <c r="J74" t="s">
        <v>219</v>
      </c>
      <c r="K74" t="s">
        <v>220</v>
      </c>
      <c r="L74" t="s">
        <v>451</v>
      </c>
      <c r="M74" t="s">
        <v>51</v>
      </c>
      <c r="N74" t="s">
        <v>52</v>
      </c>
      <c r="O74" t="s">
        <v>579</v>
      </c>
      <c r="P74">
        <v>9999999999</v>
      </c>
      <c r="Q74" t="s">
        <v>445</v>
      </c>
      <c r="R74" t="s">
        <v>73</v>
      </c>
      <c r="S74" t="s">
        <v>89</v>
      </c>
      <c r="T74" t="s">
        <v>89</v>
      </c>
      <c r="U74" t="s">
        <v>90</v>
      </c>
      <c r="V74" t="s">
        <v>91</v>
      </c>
      <c r="W74" t="s">
        <v>5066</v>
      </c>
      <c r="X74" t="s">
        <v>45</v>
      </c>
      <c r="Y74" t="s">
        <v>46</v>
      </c>
      <c r="Z74" t="s">
        <v>47</v>
      </c>
      <c r="AA74" t="s">
        <v>48</v>
      </c>
      <c r="AB74" t="s">
        <v>49</v>
      </c>
      <c r="AC74" t="s">
        <v>49</v>
      </c>
      <c r="AD74" t="s">
        <v>184</v>
      </c>
      <c r="AE74" t="s">
        <v>189</v>
      </c>
      <c r="AF74" t="s">
        <v>1223</v>
      </c>
      <c r="AG74" t="s">
        <v>196</v>
      </c>
      <c r="AH74" s="93">
        <f>VLOOKUP(Table1[[#This Row],[Caste]],Factor!$H$1:$K$13,4,0)</f>
        <v>1.1461625511156397</v>
      </c>
      <c r="AI7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4">
        <f>Table1[[#This Row],[Factor_1]]*Table1[[#This Row],[2024 Factor]]</f>
        <v>3.0326483876590018</v>
      </c>
      <c r="AK74">
        <f>VLOOKUP(Table1[[#This Row],[Q18: Gender]],Factor!$A$33:$E$35,5,0)</f>
        <v>2.1645021645021645</v>
      </c>
      <c r="AL74">
        <f>VLOOKUP(Table1[[#This Row],[Taluka]],Factor!$A$42:$G$46,7,0)</f>
        <v>1.147984664167413</v>
      </c>
      <c r="AM74">
        <f>VLOOKUP(Table1[[#This Row],[Caste]]&amp;Table1[[#This Row],[Q18: Gender]],Factor!$W$1:$X$23,2,0)</f>
        <v>2.8092219390089208</v>
      </c>
      <c r="AN74">
        <f>VLOOKUP(Table1[[#This Row],[Taluka]]&amp;Table1[[#This Row],[Caste]]&amp;Table1[[#This Row],[Q18: Gender]],Factor!$AK$4:$AL$93,2,0)</f>
        <v>2.2934724643212636</v>
      </c>
      <c r="AO74">
        <f t="shared" si="11"/>
        <v>1</v>
      </c>
      <c r="AP74">
        <f t="shared" si="12"/>
        <v>1</v>
      </c>
      <c r="AQ74">
        <f t="shared" si="13"/>
        <v>1</v>
      </c>
      <c r="AR74">
        <f t="shared" si="14"/>
        <v>-1</v>
      </c>
      <c r="AS74">
        <f t="shared" si="15"/>
        <v>-1</v>
      </c>
      <c r="AT74">
        <f t="shared" si="16"/>
        <v>-1</v>
      </c>
      <c r="AU74">
        <f t="shared" si="17"/>
        <v>0.5</v>
      </c>
      <c r="AV74">
        <f>SUM(Table1[[#This Row],[Satis]:[29]])</f>
        <v>0</v>
      </c>
      <c r="AW74">
        <f t="shared" si="18"/>
        <v>-1</v>
      </c>
      <c r="AX74">
        <f t="shared" si="19"/>
        <v>-2</v>
      </c>
      <c r="AY74">
        <f t="shared" si="20"/>
        <v>-2</v>
      </c>
      <c r="AZ74" t="str">
        <f t="shared" si="21"/>
        <v>Neutral TDP</v>
      </c>
    </row>
    <row r="75" spans="1:52" x14ac:dyDescent="0.3">
      <c r="A75" t="s">
        <v>580</v>
      </c>
      <c r="B75" s="94">
        <v>46043</v>
      </c>
      <c r="C75" t="s">
        <v>581</v>
      </c>
      <c r="D75" t="s">
        <v>582</v>
      </c>
      <c r="E75" t="s">
        <v>572</v>
      </c>
      <c r="F75" t="s">
        <v>240</v>
      </c>
      <c r="G75" t="s">
        <v>39</v>
      </c>
      <c r="H75" t="s">
        <v>583</v>
      </c>
      <c r="I75" t="s">
        <v>70</v>
      </c>
      <c r="J75" t="s">
        <v>37</v>
      </c>
      <c r="K75" t="s">
        <v>211</v>
      </c>
      <c r="L75" t="s">
        <v>170</v>
      </c>
      <c r="M75" t="s">
        <v>51</v>
      </c>
      <c r="N75" t="s">
        <v>162</v>
      </c>
      <c r="O75" t="s">
        <v>584</v>
      </c>
      <c r="P75">
        <v>7842157252</v>
      </c>
      <c r="Q75" t="s">
        <v>54</v>
      </c>
      <c r="R75" t="s">
        <v>61</v>
      </c>
      <c r="S75" t="s">
        <v>43</v>
      </c>
      <c r="T75" t="s">
        <v>43</v>
      </c>
      <c r="U75" t="s">
        <v>44</v>
      </c>
      <c r="V75" t="s">
        <v>91</v>
      </c>
      <c r="W75" t="s">
        <v>5050</v>
      </c>
      <c r="X75" t="s">
        <v>45</v>
      </c>
      <c r="Y75" t="s">
        <v>46</v>
      </c>
      <c r="Z75" t="s">
        <v>47</v>
      </c>
      <c r="AA75" t="s">
        <v>48</v>
      </c>
      <c r="AB75" t="s">
        <v>49</v>
      </c>
      <c r="AC75" t="s">
        <v>49</v>
      </c>
      <c r="AD75" t="s">
        <v>481</v>
      </c>
      <c r="AE75" t="s">
        <v>185</v>
      </c>
      <c r="AF75">
        <v>0</v>
      </c>
      <c r="AG75" t="s">
        <v>196</v>
      </c>
      <c r="AH75" s="93">
        <f>VLOOKUP(Table1[[#This Row],[Caste]],Factor!$H$1:$K$13,4,0)</f>
        <v>1.3836274505214585</v>
      </c>
      <c r="AI7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5">
        <f>Table1[[#This Row],[Factor_1]]*Table1[[#This Row],[2024 Factor]]</f>
        <v>1.1648410586678206</v>
      </c>
      <c r="AK75">
        <f>VLOOKUP(Table1[[#This Row],[Q18: Gender]],Factor!$A$33:$E$35,5,0)</f>
        <v>0.85034013605442171</v>
      </c>
      <c r="AL75">
        <f>VLOOKUP(Table1[[#This Row],[Taluka]],Factor!$A$42:$G$46,7,0)</f>
        <v>0.75433779645928134</v>
      </c>
      <c r="AM75">
        <f>VLOOKUP(Table1[[#This Row],[Caste]]&amp;Table1[[#This Row],[Q18: Gender]],Factor!$W$1:$X$23,2,0)</f>
        <v>1.0790228998469584</v>
      </c>
      <c r="AN75">
        <f>VLOOKUP(Table1[[#This Row],[Taluka]]&amp;Table1[[#This Row],[Caste]]&amp;Table1[[#This Row],[Q18: Gender]],Factor!$AK$4:$AL$93,2,0)</f>
        <v>0.52423486800867025</v>
      </c>
      <c r="AO75">
        <f t="shared" si="11"/>
        <v>-1</v>
      </c>
      <c r="AP75">
        <f t="shared" si="12"/>
        <v>-1</v>
      </c>
      <c r="AQ75">
        <f t="shared" si="13"/>
        <v>1</v>
      </c>
      <c r="AR75">
        <f t="shared" si="14"/>
        <v>-1</v>
      </c>
      <c r="AS75">
        <f t="shared" si="15"/>
        <v>-1</v>
      </c>
      <c r="AT75">
        <f t="shared" si="16"/>
        <v>-1</v>
      </c>
      <c r="AU75">
        <f t="shared" si="17"/>
        <v>-3.5</v>
      </c>
      <c r="AV75">
        <f>SUM(Table1[[#This Row],[Satis]:[29]])</f>
        <v>-4</v>
      </c>
      <c r="AW75">
        <f t="shared" si="18"/>
        <v>-3</v>
      </c>
      <c r="AX75">
        <f t="shared" si="19"/>
        <v>-2</v>
      </c>
      <c r="AY75">
        <f t="shared" si="20"/>
        <v>-3</v>
      </c>
      <c r="AZ75" t="str">
        <f t="shared" si="21"/>
        <v>Neutral TDP</v>
      </c>
    </row>
    <row r="76" spans="1:52" x14ac:dyDescent="0.3">
      <c r="A76" t="s">
        <v>585</v>
      </c>
      <c r="B76" s="94">
        <v>46043</v>
      </c>
      <c r="C76" t="s">
        <v>586</v>
      </c>
      <c r="D76" t="s">
        <v>587</v>
      </c>
      <c r="E76" t="s">
        <v>588</v>
      </c>
      <c r="F76" t="s">
        <v>69</v>
      </c>
      <c r="G76" t="s">
        <v>39</v>
      </c>
      <c r="H76" t="s">
        <v>589</v>
      </c>
      <c r="I76" t="s">
        <v>59</v>
      </c>
      <c r="J76" t="s">
        <v>219</v>
      </c>
      <c r="K76" t="s">
        <v>220</v>
      </c>
      <c r="L76" t="s">
        <v>82</v>
      </c>
      <c r="M76" t="s">
        <v>51</v>
      </c>
      <c r="N76" t="s">
        <v>52</v>
      </c>
      <c r="O76" t="s">
        <v>181</v>
      </c>
      <c r="P76">
        <v>9133728933</v>
      </c>
      <c r="Q76" t="s">
        <v>54</v>
      </c>
      <c r="R76" t="s">
        <v>61</v>
      </c>
      <c r="S76" t="s">
        <v>43</v>
      </c>
      <c r="T76" t="s">
        <v>43</v>
      </c>
      <c r="U76" t="s">
        <v>44</v>
      </c>
      <c r="V76" t="s">
        <v>45</v>
      </c>
      <c r="W76" t="s">
        <v>5067</v>
      </c>
      <c r="X76" t="s">
        <v>45</v>
      </c>
      <c r="Y76" t="s">
        <v>46</v>
      </c>
      <c r="Z76" t="s">
        <v>47</v>
      </c>
      <c r="AA76" t="s">
        <v>48</v>
      </c>
      <c r="AB76" t="s">
        <v>49</v>
      </c>
      <c r="AC76" t="s">
        <v>49</v>
      </c>
      <c r="AD76" t="s">
        <v>184</v>
      </c>
      <c r="AE76" t="s">
        <v>185</v>
      </c>
      <c r="AF76">
        <v>0</v>
      </c>
      <c r="AG76" t="s">
        <v>196</v>
      </c>
      <c r="AH76" s="93">
        <f>VLOOKUP(Table1[[#This Row],[Caste]],Factor!$H$1:$K$13,4,0)</f>
        <v>1.1461625511156397</v>
      </c>
      <c r="AI7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6">
        <f>Table1[[#This Row],[Factor_1]]*Table1[[#This Row],[2024 Factor]]</f>
        <v>0.77721139583220644</v>
      </c>
      <c r="AK76">
        <f>VLOOKUP(Table1[[#This Row],[Q18: Gender]],Factor!$A$33:$E$35,5,0)</f>
        <v>0.85034013605442171</v>
      </c>
      <c r="AL76">
        <f>VLOOKUP(Table1[[#This Row],[Taluka]],Factor!$A$42:$G$46,7,0)</f>
        <v>1.147984664167413</v>
      </c>
      <c r="AM76">
        <f>VLOOKUP(Table1[[#This Row],[Caste]]&amp;Table1[[#This Row],[Q18: Gender]],Factor!$W$1:$X$23,2,0)</f>
        <v>0.71995135120329123</v>
      </c>
      <c r="AN76">
        <f>VLOOKUP(Table1[[#This Row],[Taluka]]&amp;Table1[[#This Row],[Caste]]&amp;Table1[[#This Row],[Q18: Gender]],Factor!$AK$4:$AL$93,2,0)</f>
        <v>0.54319084681293095</v>
      </c>
      <c r="AO76">
        <f t="shared" si="11"/>
        <v>-1</v>
      </c>
      <c r="AP76">
        <f t="shared" si="12"/>
        <v>-1</v>
      </c>
      <c r="AQ76">
        <f t="shared" si="13"/>
        <v>-1</v>
      </c>
      <c r="AR76">
        <f t="shared" si="14"/>
        <v>-1</v>
      </c>
      <c r="AS76">
        <f t="shared" si="15"/>
        <v>-1</v>
      </c>
      <c r="AT76">
        <f t="shared" si="16"/>
        <v>-1</v>
      </c>
      <c r="AU76">
        <f t="shared" si="17"/>
        <v>-5.5</v>
      </c>
      <c r="AV76">
        <f>SUM(Table1[[#This Row],[Satis]:[29]])</f>
        <v>-6</v>
      </c>
      <c r="AW76">
        <f t="shared" si="18"/>
        <v>-5</v>
      </c>
      <c r="AX76">
        <f t="shared" si="19"/>
        <v>-4</v>
      </c>
      <c r="AY76">
        <f t="shared" si="20"/>
        <v>-3</v>
      </c>
      <c r="AZ76" t="str">
        <f t="shared" si="21"/>
        <v>TDP HardCore</v>
      </c>
    </row>
    <row r="77" spans="1:52" x14ac:dyDescent="0.3">
      <c r="A77" t="s">
        <v>590</v>
      </c>
      <c r="B77" s="94">
        <v>46043</v>
      </c>
      <c r="C77" t="s">
        <v>591</v>
      </c>
      <c r="D77" t="s">
        <v>592</v>
      </c>
      <c r="E77" t="s">
        <v>572</v>
      </c>
      <c r="F77" t="s">
        <v>240</v>
      </c>
      <c r="G77" t="s">
        <v>39</v>
      </c>
      <c r="H77" t="s">
        <v>593</v>
      </c>
      <c r="I77" t="s">
        <v>36</v>
      </c>
      <c r="J77" s="112" t="s">
        <v>203</v>
      </c>
      <c r="K77" s="112" t="s">
        <v>204</v>
      </c>
      <c r="L77" t="s">
        <v>62</v>
      </c>
      <c r="M77" t="s">
        <v>51</v>
      </c>
      <c r="N77" t="s">
        <v>162</v>
      </c>
      <c r="O77" t="s">
        <v>480</v>
      </c>
      <c r="P77">
        <v>7993666237</v>
      </c>
      <c r="Q77" t="s">
        <v>54</v>
      </c>
      <c r="R77" t="s">
        <v>61</v>
      </c>
      <c r="S77" t="s">
        <v>43</v>
      </c>
      <c r="T77" t="s">
        <v>43</v>
      </c>
      <c r="U77" t="s">
        <v>44</v>
      </c>
      <c r="V77" t="s">
        <v>45</v>
      </c>
      <c r="W77" t="s">
        <v>5054</v>
      </c>
      <c r="X77" t="s">
        <v>45</v>
      </c>
      <c r="Y77" t="s">
        <v>46</v>
      </c>
      <c r="Z77" t="s">
        <v>47</v>
      </c>
      <c r="AA77" t="s">
        <v>48</v>
      </c>
      <c r="AB77" t="s">
        <v>49</v>
      </c>
      <c r="AC77" t="s">
        <v>49</v>
      </c>
      <c r="AD77" t="s">
        <v>481</v>
      </c>
      <c r="AE77" t="s">
        <v>185</v>
      </c>
      <c r="AF77" t="s">
        <v>1212</v>
      </c>
      <c r="AG77" t="s">
        <v>196</v>
      </c>
      <c r="AH77" s="93">
        <f>VLOOKUP(Table1[[#This Row],[Caste]],Factor!$H$1:$K$13,4,0)</f>
        <v>1.1705128247062893</v>
      </c>
      <c r="AI7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7">
        <f>Table1[[#This Row],[Factor_1]]*Table1[[#This Row],[2024 Factor]]</f>
        <v>0.86308903171383233</v>
      </c>
      <c r="AK77">
        <f>VLOOKUP(Table1[[#This Row],[Q18: Gender]],Factor!$A$33:$E$35,5,0)</f>
        <v>0.85034013605442171</v>
      </c>
      <c r="AL77">
        <f>VLOOKUP(Table1[[#This Row],[Taluka]],Factor!$A$42:$G$46,7,0)</f>
        <v>1.9264642089343564</v>
      </c>
      <c r="AM77">
        <f>VLOOKUP(Table1[[#This Row],[Caste]]&amp;Table1[[#This Row],[Q18: Gender]],Factor!$W$1:$X$23,2,0)</f>
        <v>0.79950206330384943</v>
      </c>
      <c r="AN77">
        <f>VLOOKUP(Table1[[#This Row],[Taluka]]&amp;Table1[[#This Row],[Caste]]&amp;Table1[[#This Row],[Q18: Gender]],Factor!$AK$4:$AL$93,2,0)</f>
        <v>1.1572126985895925</v>
      </c>
      <c r="AO77">
        <f t="shared" si="11"/>
        <v>-1</v>
      </c>
      <c r="AP77">
        <f t="shared" si="12"/>
        <v>-1</v>
      </c>
      <c r="AQ77">
        <f t="shared" si="13"/>
        <v>-1</v>
      </c>
      <c r="AR77">
        <f t="shared" si="14"/>
        <v>-1</v>
      </c>
      <c r="AS77">
        <f t="shared" si="15"/>
        <v>-1</v>
      </c>
      <c r="AT77">
        <f t="shared" si="16"/>
        <v>-1</v>
      </c>
      <c r="AU77">
        <f t="shared" si="17"/>
        <v>-5.5</v>
      </c>
      <c r="AV77">
        <f>SUM(Table1[[#This Row],[Satis]:[29]])</f>
        <v>-6</v>
      </c>
      <c r="AW77">
        <f t="shared" si="18"/>
        <v>-5</v>
      </c>
      <c r="AX77">
        <f t="shared" si="19"/>
        <v>-4</v>
      </c>
      <c r="AY77">
        <f t="shared" si="20"/>
        <v>-3</v>
      </c>
      <c r="AZ77" t="str">
        <f t="shared" si="21"/>
        <v>TDP HardCore</v>
      </c>
    </row>
    <row r="78" spans="1:52" x14ac:dyDescent="0.3">
      <c r="A78" t="s">
        <v>594</v>
      </c>
      <c r="B78" s="94">
        <v>46043</v>
      </c>
      <c r="C78" t="s">
        <v>591</v>
      </c>
      <c r="D78" t="s">
        <v>592</v>
      </c>
      <c r="E78" t="s">
        <v>572</v>
      </c>
      <c r="F78" t="s">
        <v>240</v>
      </c>
      <c r="G78" t="s">
        <v>39</v>
      </c>
      <c r="H78" t="s">
        <v>595</v>
      </c>
      <c r="I78" t="s">
        <v>36</v>
      </c>
      <c r="J78" t="s">
        <v>37</v>
      </c>
      <c r="K78" t="s">
        <v>211</v>
      </c>
      <c r="L78" t="s">
        <v>62</v>
      </c>
      <c r="M78" t="s">
        <v>51</v>
      </c>
      <c r="N78" t="s">
        <v>162</v>
      </c>
      <c r="O78" t="s">
        <v>480</v>
      </c>
      <c r="P78">
        <v>7993666237</v>
      </c>
      <c r="Q78" t="s">
        <v>54</v>
      </c>
      <c r="R78" t="s">
        <v>61</v>
      </c>
      <c r="S78" t="s">
        <v>43</v>
      </c>
      <c r="T78" t="s">
        <v>43</v>
      </c>
      <c r="U78" t="s">
        <v>44</v>
      </c>
      <c r="V78" t="s">
        <v>45</v>
      </c>
      <c r="W78" t="s">
        <v>5054</v>
      </c>
      <c r="X78" t="s">
        <v>45</v>
      </c>
      <c r="Y78" t="s">
        <v>46</v>
      </c>
      <c r="Z78" t="s">
        <v>47</v>
      </c>
      <c r="AA78" t="s">
        <v>48</v>
      </c>
      <c r="AB78" t="s">
        <v>49</v>
      </c>
      <c r="AC78" t="s">
        <v>49</v>
      </c>
      <c r="AD78">
        <v>0</v>
      </c>
      <c r="AE78" t="s">
        <v>185</v>
      </c>
      <c r="AF78">
        <v>0</v>
      </c>
      <c r="AG78" t="s">
        <v>196</v>
      </c>
      <c r="AH78" s="93">
        <f>VLOOKUP(Table1[[#This Row],[Caste]],Factor!$H$1:$K$13,4,0)</f>
        <v>1.1705128247062893</v>
      </c>
      <c r="AI7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8">
        <f>Table1[[#This Row],[Factor_1]]*Table1[[#This Row],[2024 Factor]]</f>
        <v>0.86308903171383233</v>
      </c>
      <c r="AK78">
        <f>VLOOKUP(Table1[[#This Row],[Q18: Gender]],Factor!$A$33:$E$35,5,0)</f>
        <v>0.85034013605442171</v>
      </c>
      <c r="AL78">
        <f>VLOOKUP(Table1[[#This Row],[Taluka]],Factor!$A$42:$G$46,7,0)</f>
        <v>0.75433779645928134</v>
      </c>
      <c r="AM78">
        <f>VLOOKUP(Table1[[#This Row],[Caste]]&amp;Table1[[#This Row],[Q18: Gender]],Factor!$W$1:$X$23,2,0)</f>
        <v>0.79950206330384943</v>
      </c>
      <c r="AN78">
        <f>VLOOKUP(Table1[[#This Row],[Taluka]]&amp;Table1[[#This Row],[Caste]]&amp;Table1[[#This Row],[Q18: Gender]],Factor!$AK$4:$AL$93,2,0)</f>
        <v>0.40257772387792479</v>
      </c>
      <c r="AO78">
        <f t="shared" si="11"/>
        <v>-1</v>
      </c>
      <c r="AP78">
        <f t="shared" si="12"/>
        <v>-1</v>
      </c>
      <c r="AQ78">
        <f t="shared" si="13"/>
        <v>-1</v>
      </c>
      <c r="AR78">
        <f t="shared" si="14"/>
        <v>-1</v>
      </c>
      <c r="AS78">
        <f t="shared" si="15"/>
        <v>-1</v>
      </c>
      <c r="AT78">
        <f t="shared" si="16"/>
        <v>-1</v>
      </c>
      <c r="AU78">
        <f t="shared" si="17"/>
        <v>-5.5</v>
      </c>
      <c r="AV78">
        <f>SUM(Table1[[#This Row],[Satis]:[29]])</f>
        <v>-6</v>
      </c>
      <c r="AW78">
        <f t="shared" si="18"/>
        <v>-5</v>
      </c>
      <c r="AX78">
        <f t="shared" si="19"/>
        <v>-4</v>
      </c>
      <c r="AY78">
        <f t="shared" si="20"/>
        <v>-3</v>
      </c>
      <c r="AZ78" t="str">
        <f t="shared" si="21"/>
        <v>TDP HardCore</v>
      </c>
    </row>
    <row r="79" spans="1:52" x14ac:dyDescent="0.3">
      <c r="A79" t="s">
        <v>596</v>
      </c>
      <c r="B79" s="94">
        <v>46043</v>
      </c>
      <c r="C79" t="s">
        <v>597</v>
      </c>
      <c r="D79" t="s">
        <v>592</v>
      </c>
      <c r="E79" t="s">
        <v>572</v>
      </c>
      <c r="F79" t="s">
        <v>240</v>
      </c>
      <c r="G79" t="s">
        <v>39</v>
      </c>
      <c r="H79" t="s">
        <v>598</v>
      </c>
      <c r="I79" t="s">
        <v>36</v>
      </c>
      <c r="J79" t="s">
        <v>37</v>
      </c>
      <c r="K79" t="s">
        <v>211</v>
      </c>
      <c r="L79" t="s">
        <v>62</v>
      </c>
      <c r="M79" t="s">
        <v>51</v>
      </c>
      <c r="N79" t="s">
        <v>162</v>
      </c>
      <c r="O79" t="s">
        <v>480</v>
      </c>
      <c r="P79">
        <v>7993666237</v>
      </c>
      <c r="Q79" t="s">
        <v>54</v>
      </c>
      <c r="R79" t="s">
        <v>61</v>
      </c>
      <c r="S79" t="s">
        <v>43</v>
      </c>
      <c r="T79" t="s">
        <v>43</v>
      </c>
      <c r="U79" t="s">
        <v>44</v>
      </c>
      <c r="V79" t="s">
        <v>45</v>
      </c>
      <c r="W79" t="s">
        <v>5054</v>
      </c>
      <c r="X79" t="s">
        <v>45</v>
      </c>
      <c r="Y79" t="s">
        <v>46</v>
      </c>
      <c r="Z79" t="s">
        <v>47</v>
      </c>
      <c r="AA79" t="s">
        <v>48</v>
      </c>
      <c r="AB79" t="s">
        <v>49</v>
      </c>
      <c r="AC79" t="s">
        <v>49</v>
      </c>
      <c r="AD79">
        <v>0</v>
      </c>
      <c r="AE79" t="s">
        <v>185</v>
      </c>
      <c r="AF79">
        <v>0</v>
      </c>
      <c r="AG79" t="s">
        <v>196</v>
      </c>
      <c r="AH79" s="93">
        <f>VLOOKUP(Table1[[#This Row],[Caste]],Factor!$H$1:$K$13,4,0)</f>
        <v>1.1705128247062893</v>
      </c>
      <c r="AI7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9">
        <f>Table1[[#This Row],[Factor_1]]*Table1[[#This Row],[2024 Factor]]</f>
        <v>0.86308903171383233</v>
      </c>
      <c r="AK79">
        <f>VLOOKUP(Table1[[#This Row],[Q18: Gender]],Factor!$A$33:$E$35,5,0)</f>
        <v>0.85034013605442171</v>
      </c>
      <c r="AL79">
        <f>VLOOKUP(Table1[[#This Row],[Taluka]],Factor!$A$42:$G$46,7,0)</f>
        <v>0.75433779645928134</v>
      </c>
      <c r="AM79">
        <f>VLOOKUP(Table1[[#This Row],[Caste]]&amp;Table1[[#This Row],[Q18: Gender]],Factor!$W$1:$X$23,2,0)</f>
        <v>0.79950206330384943</v>
      </c>
      <c r="AN79">
        <f>VLOOKUP(Table1[[#This Row],[Taluka]]&amp;Table1[[#This Row],[Caste]]&amp;Table1[[#This Row],[Q18: Gender]],Factor!$AK$4:$AL$93,2,0)</f>
        <v>0.40257772387792479</v>
      </c>
      <c r="AO79">
        <f t="shared" si="11"/>
        <v>-1</v>
      </c>
      <c r="AP79">
        <f t="shared" si="12"/>
        <v>-1</v>
      </c>
      <c r="AQ79">
        <f t="shared" si="13"/>
        <v>-1</v>
      </c>
      <c r="AR79">
        <f t="shared" si="14"/>
        <v>-1</v>
      </c>
      <c r="AS79">
        <f t="shared" si="15"/>
        <v>-1</v>
      </c>
      <c r="AT79">
        <f t="shared" si="16"/>
        <v>-1</v>
      </c>
      <c r="AU79">
        <f t="shared" si="17"/>
        <v>-5.5</v>
      </c>
      <c r="AV79">
        <f>SUM(Table1[[#This Row],[Satis]:[29]])</f>
        <v>-6</v>
      </c>
      <c r="AW79">
        <f t="shared" si="18"/>
        <v>-5</v>
      </c>
      <c r="AX79">
        <f t="shared" si="19"/>
        <v>-4</v>
      </c>
      <c r="AY79">
        <f t="shared" si="20"/>
        <v>-3</v>
      </c>
      <c r="AZ79" t="str">
        <f t="shared" si="21"/>
        <v>TDP HardCore</v>
      </c>
    </row>
    <row r="80" spans="1:52" x14ac:dyDescent="0.3">
      <c r="A80" t="s">
        <v>599</v>
      </c>
      <c r="B80" s="94">
        <v>46043</v>
      </c>
      <c r="C80" t="s">
        <v>600</v>
      </c>
      <c r="D80" t="s">
        <v>601</v>
      </c>
      <c r="E80" t="s">
        <v>588</v>
      </c>
      <c r="F80" t="s">
        <v>69</v>
      </c>
      <c r="G80" t="s">
        <v>39</v>
      </c>
      <c r="H80" t="s">
        <v>602</v>
      </c>
      <c r="I80" t="s">
        <v>59</v>
      </c>
      <c r="J80" t="s">
        <v>219</v>
      </c>
      <c r="K80" t="s">
        <v>220</v>
      </c>
      <c r="L80" t="s">
        <v>62</v>
      </c>
      <c r="M80" t="s">
        <v>51</v>
      </c>
      <c r="N80" t="s">
        <v>107</v>
      </c>
      <c r="O80" t="s">
        <v>181</v>
      </c>
      <c r="P80">
        <v>9999999999</v>
      </c>
      <c r="Q80" t="s">
        <v>54</v>
      </c>
      <c r="R80" t="s">
        <v>132</v>
      </c>
      <c r="S80" t="s">
        <v>89</v>
      </c>
      <c r="T80" t="s">
        <v>43</v>
      </c>
      <c r="U80" t="s">
        <v>44</v>
      </c>
      <c r="V80" t="s">
        <v>45</v>
      </c>
      <c r="W80" t="s">
        <v>5068</v>
      </c>
      <c r="X80" t="s">
        <v>45</v>
      </c>
      <c r="Y80" t="s">
        <v>46</v>
      </c>
      <c r="Z80" t="s">
        <v>47</v>
      </c>
      <c r="AA80" t="s">
        <v>48</v>
      </c>
      <c r="AB80" t="s">
        <v>49</v>
      </c>
      <c r="AC80" t="s">
        <v>49</v>
      </c>
      <c r="AD80" t="s">
        <v>184</v>
      </c>
      <c r="AE80" t="s">
        <v>185</v>
      </c>
      <c r="AF80">
        <v>0</v>
      </c>
      <c r="AG80" t="s">
        <v>196</v>
      </c>
      <c r="AH80" s="93">
        <f>VLOOKUP(Table1[[#This Row],[Caste]],Factor!$H$1:$K$13,4,0)</f>
        <v>1.1461625511156397</v>
      </c>
      <c r="AI8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0">
        <f>Table1[[#This Row],[Factor_1]]*Table1[[#This Row],[2024 Factor]]</f>
        <v>0.77721139583220644</v>
      </c>
      <c r="AK80">
        <f>VLOOKUP(Table1[[#This Row],[Q18: Gender]],Factor!$A$33:$E$35,5,0)</f>
        <v>0.85034013605442171</v>
      </c>
      <c r="AL80">
        <f>VLOOKUP(Table1[[#This Row],[Taluka]],Factor!$A$42:$G$46,7,0)</f>
        <v>1.147984664167413</v>
      </c>
      <c r="AM80">
        <f>VLOOKUP(Table1[[#This Row],[Caste]]&amp;Table1[[#This Row],[Q18: Gender]],Factor!$W$1:$X$23,2,0)</f>
        <v>0.71995135120329123</v>
      </c>
      <c r="AN80">
        <f>VLOOKUP(Table1[[#This Row],[Taluka]]&amp;Table1[[#This Row],[Caste]]&amp;Table1[[#This Row],[Q18: Gender]],Factor!$AK$4:$AL$93,2,0)</f>
        <v>0.54319084681293095</v>
      </c>
      <c r="AO80">
        <f t="shared" si="11"/>
        <v>-1</v>
      </c>
      <c r="AP80">
        <f t="shared" si="12"/>
        <v>-1</v>
      </c>
      <c r="AQ80">
        <f t="shared" si="13"/>
        <v>-1</v>
      </c>
      <c r="AR80">
        <f t="shared" si="14"/>
        <v>-1</v>
      </c>
      <c r="AS80">
        <f t="shared" si="15"/>
        <v>-1</v>
      </c>
      <c r="AT80">
        <f t="shared" si="16"/>
        <v>-1</v>
      </c>
      <c r="AU80">
        <f t="shared" si="17"/>
        <v>-5.5</v>
      </c>
      <c r="AV80">
        <f>SUM(Table1[[#This Row],[Satis]:[29]])</f>
        <v>-6</v>
      </c>
      <c r="AW80">
        <f t="shared" si="18"/>
        <v>-5</v>
      </c>
      <c r="AX80">
        <f t="shared" si="19"/>
        <v>-4</v>
      </c>
      <c r="AY80">
        <f t="shared" si="20"/>
        <v>-3</v>
      </c>
      <c r="AZ80" t="str">
        <f t="shared" si="21"/>
        <v>TDP HardCore</v>
      </c>
    </row>
    <row r="81" spans="1:52" x14ac:dyDescent="0.3">
      <c r="A81" t="s">
        <v>603</v>
      </c>
      <c r="B81" s="94">
        <v>46043</v>
      </c>
      <c r="C81" t="s">
        <v>604</v>
      </c>
      <c r="D81" t="s">
        <v>605</v>
      </c>
      <c r="E81" t="s">
        <v>606</v>
      </c>
      <c r="F81" t="s">
        <v>240</v>
      </c>
      <c r="G81" t="s">
        <v>39</v>
      </c>
      <c r="H81" t="s">
        <v>607</v>
      </c>
      <c r="I81" t="s">
        <v>36</v>
      </c>
      <c r="J81" t="s">
        <v>37</v>
      </c>
      <c r="K81" t="s">
        <v>211</v>
      </c>
      <c r="L81" t="s">
        <v>82</v>
      </c>
      <c r="M81" t="s">
        <v>51</v>
      </c>
      <c r="N81" t="s">
        <v>52</v>
      </c>
      <c r="O81" t="s">
        <v>608</v>
      </c>
      <c r="P81">
        <v>999999999</v>
      </c>
      <c r="Q81" t="s">
        <v>54</v>
      </c>
      <c r="R81" t="s">
        <v>61</v>
      </c>
      <c r="S81" t="s">
        <v>88</v>
      </c>
      <c r="T81" t="s">
        <v>43</v>
      </c>
      <c r="U81" t="s">
        <v>90</v>
      </c>
      <c r="V81" t="s">
        <v>45</v>
      </c>
      <c r="W81" t="s">
        <v>5069</v>
      </c>
      <c r="X81" t="s">
        <v>45</v>
      </c>
      <c r="Y81" t="s">
        <v>46</v>
      </c>
      <c r="Z81" t="s">
        <v>47</v>
      </c>
      <c r="AA81" t="s">
        <v>242</v>
      </c>
      <c r="AB81" t="s">
        <v>49</v>
      </c>
      <c r="AC81" t="s">
        <v>49</v>
      </c>
      <c r="AD81" t="s">
        <v>481</v>
      </c>
      <c r="AE81" t="s">
        <v>189</v>
      </c>
      <c r="AF81" t="s">
        <v>1213</v>
      </c>
      <c r="AG81" t="s">
        <v>196</v>
      </c>
      <c r="AH81" s="93">
        <f>VLOOKUP(Table1[[#This Row],[Caste]],Factor!$H$1:$K$13,4,0)</f>
        <v>1.1705128247062893</v>
      </c>
      <c r="AI81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81">
        <f>Table1[[#This Row],[Factor_1]]*Table1[[#This Row],[2024 Factor]]</f>
        <v>0.52890136495485462</v>
      </c>
      <c r="AK81">
        <f>VLOOKUP(Table1[[#This Row],[Q18: Gender]],Factor!$A$33:$E$35,5,0)</f>
        <v>0.85034013605442171</v>
      </c>
      <c r="AL81">
        <f>VLOOKUP(Table1[[#This Row],[Taluka]],Factor!$A$42:$G$46,7,0)</f>
        <v>0.75433779645928134</v>
      </c>
      <c r="AM81">
        <f>VLOOKUP(Table1[[#This Row],[Caste]]&amp;Table1[[#This Row],[Q18: Gender]],Factor!$W$1:$X$23,2,0)</f>
        <v>0.79950206330384943</v>
      </c>
      <c r="AN81">
        <f>VLOOKUP(Table1[[#This Row],[Taluka]]&amp;Table1[[#This Row],[Caste]]&amp;Table1[[#This Row],[Q18: Gender]],Factor!$AK$4:$AL$93,2,0)</f>
        <v>0.40257772387792479</v>
      </c>
      <c r="AO81">
        <f t="shared" si="11"/>
        <v>-1</v>
      </c>
      <c r="AP81">
        <f t="shared" si="12"/>
        <v>1</v>
      </c>
      <c r="AQ81">
        <f t="shared" si="13"/>
        <v>-1</v>
      </c>
      <c r="AR81">
        <f t="shared" si="14"/>
        <v>-1</v>
      </c>
      <c r="AS81">
        <f t="shared" si="15"/>
        <v>-1</v>
      </c>
      <c r="AT81">
        <f t="shared" si="16"/>
        <v>-1</v>
      </c>
      <c r="AU81">
        <f t="shared" si="17"/>
        <v>-3.5</v>
      </c>
      <c r="AV81">
        <f>SUM(Table1[[#This Row],[Satis]:[29]])</f>
        <v>-4</v>
      </c>
      <c r="AW81">
        <f t="shared" si="18"/>
        <v>-5</v>
      </c>
      <c r="AX81">
        <f t="shared" si="19"/>
        <v>-4</v>
      </c>
      <c r="AY81">
        <f t="shared" si="20"/>
        <v>-3</v>
      </c>
      <c r="AZ81" t="str">
        <f t="shared" si="21"/>
        <v>TDP Sympathiser</v>
      </c>
    </row>
    <row r="82" spans="1:52" x14ac:dyDescent="0.3">
      <c r="A82" t="s">
        <v>609</v>
      </c>
      <c r="B82" s="94">
        <v>46043</v>
      </c>
      <c r="C82" t="s">
        <v>610</v>
      </c>
      <c r="D82" t="s">
        <v>611</v>
      </c>
      <c r="E82" t="s">
        <v>612</v>
      </c>
      <c r="F82" t="s">
        <v>69</v>
      </c>
      <c r="G82" t="s">
        <v>39</v>
      </c>
      <c r="H82" t="s">
        <v>613</v>
      </c>
      <c r="I82" t="s">
        <v>59</v>
      </c>
      <c r="J82" t="s">
        <v>219</v>
      </c>
      <c r="K82" t="s">
        <v>220</v>
      </c>
      <c r="L82" t="s">
        <v>62</v>
      </c>
      <c r="M82" t="s">
        <v>51</v>
      </c>
      <c r="N82" t="s">
        <v>63</v>
      </c>
      <c r="O82" t="s">
        <v>614</v>
      </c>
      <c r="P82">
        <v>6281414158</v>
      </c>
      <c r="Q82" t="s">
        <v>54</v>
      </c>
      <c r="R82" t="s">
        <v>132</v>
      </c>
      <c r="S82" t="s">
        <v>43</v>
      </c>
      <c r="T82" t="s">
        <v>43</v>
      </c>
      <c r="U82" t="s">
        <v>44</v>
      </c>
      <c r="V82" t="s">
        <v>45</v>
      </c>
      <c r="W82" t="s">
        <v>5067</v>
      </c>
      <c r="X82" t="s">
        <v>45</v>
      </c>
      <c r="Y82" t="s">
        <v>46</v>
      </c>
      <c r="Z82" t="s">
        <v>47</v>
      </c>
      <c r="AA82" t="s">
        <v>48</v>
      </c>
      <c r="AB82" t="s">
        <v>49</v>
      </c>
      <c r="AC82" t="s">
        <v>49</v>
      </c>
      <c r="AD82" t="s">
        <v>184</v>
      </c>
      <c r="AE82" t="s">
        <v>185</v>
      </c>
      <c r="AF82">
        <v>0</v>
      </c>
      <c r="AG82" t="s">
        <v>196</v>
      </c>
      <c r="AH82" s="93">
        <f>VLOOKUP(Table1[[#This Row],[Caste]],Factor!$H$1:$K$13,4,0)</f>
        <v>1.1461625511156397</v>
      </c>
      <c r="AI8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2">
        <f>Table1[[#This Row],[Factor_1]]*Table1[[#This Row],[2024 Factor]]</f>
        <v>0.77721139583220644</v>
      </c>
      <c r="AK82">
        <f>VLOOKUP(Table1[[#This Row],[Q18: Gender]],Factor!$A$33:$E$35,5,0)</f>
        <v>0.85034013605442171</v>
      </c>
      <c r="AL82">
        <f>VLOOKUP(Table1[[#This Row],[Taluka]],Factor!$A$42:$G$46,7,0)</f>
        <v>1.147984664167413</v>
      </c>
      <c r="AM82">
        <f>VLOOKUP(Table1[[#This Row],[Caste]]&amp;Table1[[#This Row],[Q18: Gender]],Factor!$W$1:$X$23,2,0)</f>
        <v>0.71995135120329123</v>
      </c>
      <c r="AN82">
        <f>VLOOKUP(Table1[[#This Row],[Taluka]]&amp;Table1[[#This Row],[Caste]]&amp;Table1[[#This Row],[Q18: Gender]],Factor!$AK$4:$AL$93,2,0)</f>
        <v>0.54319084681293095</v>
      </c>
      <c r="AO82">
        <f t="shared" si="11"/>
        <v>-1</v>
      </c>
      <c r="AP82">
        <f t="shared" si="12"/>
        <v>-1</v>
      </c>
      <c r="AQ82">
        <f t="shared" si="13"/>
        <v>-1</v>
      </c>
      <c r="AR82">
        <f t="shared" si="14"/>
        <v>-1</v>
      </c>
      <c r="AS82">
        <f t="shared" si="15"/>
        <v>-1</v>
      </c>
      <c r="AT82">
        <f t="shared" si="16"/>
        <v>-1</v>
      </c>
      <c r="AU82">
        <f t="shared" si="17"/>
        <v>-5.5</v>
      </c>
      <c r="AV82">
        <f>SUM(Table1[[#This Row],[Satis]:[29]])</f>
        <v>-6</v>
      </c>
      <c r="AW82">
        <f t="shared" si="18"/>
        <v>-5</v>
      </c>
      <c r="AX82">
        <f t="shared" si="19"/>
        <v>-4</v>
      </c>
      <c r="AY82">
        <f t="shared" si="20"/>
        <v>-3</v>
      </c>
      <c r="AZ82" t="str">
        <f t="shared" si="21"/>
        <v>TDP HardCore</v>
      </c>
    </row>
    <row r="83" spans="1:52" x14ac:dyDescent="0.3">
      <c r="A83" t="s">
        <v>615</v>
      </c>
      <c r="B83" s="94">
        <v>46043</v>
      </c>
      <c r="C83" t="s">
        <v>616</v>
      </c>
      <c r="D83" t="s">
        <v>617</v>
      </c>
      <c r="E83" t="s">
        <v>618</v>
      </c>
      <c r="F83" t="s">
        <v>69</v>
      </c>
      <c r="G83" t="s">
        <v>39</v>
      </c>
      <c r="H83" t="s">
        <v>619</v>
      </c>
      <c r="I83" t="s">
        <v>59</v>
      </c>
      <c r="J83" t="s">
        <v>219</v>
      </c>
      <c r="K83" t="s">
        <v>220</v>
      </c>
      <c r="L83" t="s">
        <v>82</v>
      </c>
      <c r="M83" t="s">
        <v>51</v>
      </c>
      <c r="N83" t="s">
        <v>107</v>
      </c>
      <c r="O83" t="s">
        <v>620</v>
      </c>
      <c r="P83">
        <v>9491615659</v>
      </c>
      <c r="Q83" t="s">
        <v>54</v>
      </c>
      <c r="R83" t="s">
        <v>73</v>
      </c>
      <c r="S83" t="s">
        <v>43</v>
      </c>
      <c r="T83" t="s">
        <v>43</v>
      </c>
      <c r="U83" t="s">
        <v>44</v>
      </c>
      <c r="V83" t="s">
        <v>45</v>
      </c>
      <c r="W83" t="s">
        <v>5053</v>
      </c>
      <c r="X83" t="s">
        <v>45</v>
      </c>
      <c r="Y83" t="s">
        <v>46</v>
      </c>
      <c r="Z83" t="s">
        <v>47</v>
      </c>
      <c r="AA83" t="s">
        <v>48</v>
      </c>
      <c r="AB83" t="s">
        <v>49</v>
      </c>
      <c r="AC83" t="s">
        <v>49</v>
      </c>
      <c r="AD83" t="s">
        <v>184</v>
      </c>
      <c r="AE83" t="s">
        <v>189</v>
      </c>
      <c r="AF83" t="s">
        <v>1224</v>
      </c>
      <c r="AG83" t="s">
        <v>196</v>
      </c>
      <c r="AH83" s="93">
        <f>VLOOKUP(Table1[[#This Row],[Caste]],Factor!$H$1:$K$13,4,0)</f>
        <v>1.1461625511156397</v>
      </c>
      <c r="AI8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3">
        <f>Table1[[#This Row],[Factor_1]]*Table1[[#This Row],[2024 Factor]]</f>
        <v>0.77721139583220644</v>
      </c>
      <c r="AK83">
        <f>VLOOKUP(Table1[[#This Row],[Q18: Gender]],Factor!$A$33:$E$35,5,0)</f>
        <v>0.85034013605442171</v>
      </c>
      <c r="AL83">
        <f>VLOOKUP(Table1[[#This Row],[Taluka]],Factor!$A$42:$G$46,7,0)</f>
        <v>1.147984664167413</v>
      </c>
      <c r="AM83">
        <f>VLOOKUP(Table1[[#This Row],[Caste]]&amp;Table1[[#This Row],[Q18: Gender]],Factor!$W$1:$X$23,2,0)</f>
        <v>0.71995135120329123</v>
      </c>
      <c r="AN83">
        <f>VLOOKUP(Table1[[#This Row],[Taluka]]&amp;Table1[[#This Row],[Caste]]&amp;Table1[[#This Row],[Q18: Gender]],Factor!$AK$4:$AL$93,2,0)</f>
        <v>0.54319084681293095</v>
      </c>
      <c r="AO83">
        <f t="shared" si="11"/>
        <v>-1</v>
      </c>
      <c r="AP83">
        <f t="shared" si="12"/>
        <v>-1</v>
      </c>
      <c r="AQ83">
        <f t="shared" si="13"/>
        <v>-1</v>
      </c>
      <c r="AR83">
        <f t="shared" si="14"/>
        <v>-1</v>
      </c>
      <c r="AS83">
        <f t="shared" si="15"/>
        <v>-1</v>
      </c>
      <c r="AT83">
        <f t="shared" si="16"/>
        <v>-1</v>
      </c>
      <c r="AU83">
        <f t="shared" si="17"/>
        <v>-5.5</v>
      </c>
      <c r="AV83">
        <f>SUM(Table1[[#This Row],[Satis]:[29]])</f>
        <v>-6</v>
      </c>
      <c r="AW83">
        <f t="shared" si="18"/>
        <v>-5</v>
      </c>
      <c r="AX83">
        <f t="shared" si="19"/>
        <v>-4</v>
      </c>
      <c r="AY83">
        <f t="shared" si="20"/>
        <v>-3</v>
      </c>
      <c r="AZ83" t="str">
        <f t="shared" si="21"/>
        <v>TDP HardCore</v>
      </c>
    </row>
    <row r="84" spans="1:52" x14ac:dyDescent="0.3">
      <c r="A84" t="s">
        <v>621</v>
      </c>
      <c r="B84" s="94">
        <v>46043</v>
      </c>
      <c r="C84" t="s">
        <v>622</v>
      </c>
      <c r="D84" t="s">
        <v>623</v>
      </c>
      <c r="E84" t="s">
        <v>624</v>
      </c>
      <c r="F84" t="s">
        <v>240</v>
      </c>
      <c r="G84" t="s">
        <v>39</v>
      </c>
      <c r="H84" t="s">
        <v>625</v>
      </c>
      <c r="I84" t="s">
        <v>36</v>
      </c>
      <c r="J84" t="s">
        <v>37</v>
      </c>
      <c r="K84" t="s">
        <v>211</v>
      </c>
      <c r="L84" t="s">
        <v>626</v>
      </c>
      <c r="M84" t="s">
        <v>51</v>
      </c>
      <c r="N84" t="s">
        <v>63</v>
      </c>
      <c r="O84" t="s">
        <v>452</v>
      </c>
      <c r="P84">
        <v>9885391310</v>
      </c>
      <c r="Q84" t="s">
        <v>445</v>
      </c>
      <c r="R84" t="s">
        <v>61</v>
      </c>
      <c r="S84" t="s">
        <v>43</v>
      </c>
      <c r="T84" t="s">
        <v>43</v>
      </c>
      <c r="U84" t="s">
        <v>90</v>
      </c>
      <c r="V84" t="s">
        <v>91</v>
      </c>
      <c r="W84" t="s">
        <v>5069</v>
      </c>
      <c r="X84" t="s">
        <v>91</v>
      </c>
      <c r="Y84" t="s">
        <v>46</v>
      </c>
      <c r="Z84" t="s">
        <v>47</v>
      </c>
      <c r="AA84" t="s">
        <v>242</v>
      </c>
      <c r="AB84" t="s">
        <v>49</v>
      </c>
      <c r="AC84" t="s">
        <v>49</v>
      </c>
      <c r="AD84" t="s">
        <v>481</v>
      </c>
      <c r="AE84" t="s">
        <v>189</v>
      </c>
      <c r="AF84" t="s">
        <v>1214</v>
      </c>
      <c r="AG84" t="s">
        <v>196</v>
      </c>
      <c r="AH84" s="93">
        <f>VLOOKUP(Table1[[#This Row],[Caste]],Factor!$H$1:$K$13,4,0)</f>
        <v>1.1705128247062893</v>
      </c>
      <c r="AI84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84">
        <f>Table1[[#This Row],[Factor_1]]*Table1[[#This Row],[2024 Factor]]</f>
        <v>1.444803728657164</v>
      </c>
      <c r="AK84">
        <f>VLOOKUP(Table1[[#This Row],[Q18: Gender]],Factor!$A$33:$E$35,5,0)</f>
        <v>2.1645021645021645</v>
      </c>
      <c r="AL84">
        <f>VLOOKUP(Table1[[#This Row],[Taluka]],Factor!$A$42:$G$46,7,0)</f>
        <v>0.75433779645928134</v>
      </c>
      <c r="AM84">
        <f>VLOOKUP(Table1[[#This Row],[Caste]]&amp;Table1[[#This Row],[Q18: Gender]],Factor!$W$1:$X$23,2,0)</f>
        <v>2.1840056363422229</v>
      </c>
      <c r="AN84">
        <f>VLOOKUP(Table1[[#This Row],[Taluka]]&amp;Table1[[#This Row],[Caste]]&amp;Table1[[#This Row],[Q18: Gender]],Factor!$AK$4:$AL$93,2,0)</f>
        <v>1.1182714552164577</v>
      </c>
      <c r="AO84">
        <f t="shared" si="11"/>
        <v>-1</v>
      </c>
      <c r="AP84">
        <f t="shared" si="12"/>
        <v>1</v>
      </c>
      <c r="AQ84">
        <f t="shared" si="13"/>
        <v>1</v>
      </c>
      <c r="AR84">
        <f t="shared" si="14"/>
        <v>1</v>
      </c>
      <c r="AS84">
        <f t="shared" si="15"/>
        <v>-1</v>
      </c>
      <c r="AT84">
        <f t="shared" si="16"/>
        <v>-1</v>
      </c>
      <c r="AU84">
        <f t="shared" si="17"/>
        <v>0.5</v>
      </c>
      <c r="AV84">
        <f>SUM(Table1[[#This Row],[Satis]:[29]])</f>
        <v>0</v>
      </c>
      <c r="AW84">
        <f t="shared" si="18"/>
        <v>-1</v>
      </c>
      <c r="AX84">
        <f t="shared" si="19"/>
        <v>0</v>
      </c>
      <c r="AY84">
        <f t="shared" si="20"/>
        <v>-3</v>
      </c>
      <c r="AZ84" t="str">
        <f t="shared" si="21"/>
        <v>Neutral TDP</v>
      </c>
    </row>
    <row r="85" spans="1:52" x14ac:dyDescent="0.3">
      <c r="A85" t="s">
        <v>627</v>
      </c>
      <c r="B85" s="94">
        <v>46043</v>
      </c>
      <c r="C85" t="s">
        <v>628</v>
      </c>
      <c r="D85" t="s">
        <v>629</v>
      </c>
      <c r="E85" t="s">
        <v>630</v>
      </c>
      <c r="F85" t="s">
        <v>240</v>
      </c>
      <c r="G85" t="s">
        <v>39</v>
      </c>
      <c r="H85" t="s">
        <v>631</v>
      </c>
      <c r="I85" t="s">
        <v>59</v>
      </c>
      <c r="J85" t="s">
        <v>37</v>
      </c>
      <c r="K85" t="s">
        <v>211</v>
      </c>
      <c r="L85" t="s">
        <v>75</v>
      </c>
      <c r="M85" t="s">
        <v>51</v>
      </c>
      <c r="N85" t="s">
        <v>63</v>
      </c>
      <c r="O85" t="s">
        <v>632</v>
      </c>
      <c r="P85">
        <v>8466833926</v>
      </c>
      <c r="Q85" t="s">
        <v>54</v>
      </c>
      <c r="R85" t="s">
        <v>61</v>
      </c>
      <c r="S85" t="s">
        <v>43</v>
      </c>
      <c r="T85" t="s">
        <v>43</v>
      </c>
      <c r="U85" t="s">
        <v>44</v>
      </c>
      <c r="V85" t="s">
        <v>45</v>
      </c>
      <c r="W85" t="s">
        <v>5070</v>
      </c>
      <c r="X85" t="s">
        <v>45</v>
      </c>
      <c r="Y85" t="s">
        <v>46</v>
      </c>
      <c r="Z85" t="s">
        <v>47</v>
      </c>
      <c r="AA85" t="s">
        <v>48</v>
      </c>
      <c r="AB85" t="s">
        <v>49</v>
      </c>
      <c r="AC85" t="s">
        <v>49</v>
      </c>
      <c r="AD85" t="s">
        <v>481</v>
      </c>
      <c r="AE85" t="s">
        <v>185</v>
      </c>
      <c r="AF85">
        <v>0</v>
      </c>
      <c r="AG85" t="s">
        <v>196</v>
      </c>
      <c r="AH85" s="93">
        <f>VLOOKUP(Table1[[#This Row],[Caste]],Factor!$H$1:$K$13,4,0)</f>
        <v>1.1461625511156397</v>
      </c>
      <c r="AI8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5">
        <f>Table1[[#This Row],[Factor_1]]*Table1[[#This Row],[2024 Factor]]</f>
        <v>0.77721139583220644</v>
      </c>
      <c r="AK85">
        <f>VLOOKUP(Table1[[#This Row],[Q18: Gender]],Factor!$A$33:$E$35,5,0)</f>
        <v>0.85034013605442171</v>
      </c>
      <c r="AL85">
        <f>VLOOKUP(Table1[[#This Row],[Taluka]],Factor!$A$42:$G$46,7,0)</f>
        <v>0.75433779645928134</v>
      </c>
      <c r="AM85">
        <f>VLOOKUP(Table1[[#This Row],[Caste]]&amp;Table1[[#This Row],[Q18: Gender]],Factor!$W$1:$X$23,2,0)</f>
        <v>0.71995135120329123</v>
      </c>
      <c r="AN85">
        <f>VLOOKUP(Table1[[#This Row],[Taluka]]&amp;Table1[[#This Row],[Caste]]&amp;Table1[[#This Row],[Q18: Gender]],Factor!$AK$4:$AL$93,2,0)</f>
        <v>0.55527787174877274</v>
      </c>
      <c r="AO85">
        <f t="shared" si="11"/>
        <v>-1</v>
      </c>
      <c r="AP85">
        <f t="shared" si="12"/>
        <v>-1</v>
      </c>
      <c r="AQ85">
        <f t="shared" si="13"/>
        <v>-1</v>
      </c>
      <c r="AR85">
        <f t="shared" si="14"/>
        <v>-1</v>
      </c>
      <c r="AS85">
        <f t="shared" si="15"/>
        <v>-1</v>
      </c>
      <c r="AT85">
        <f t="shared" si="16"/>
        <v>-1</v>
      </c>
      <c r="AU85">
        <f t="shared" si="17"/>
        <v>-5.5</v>
      </c>
      <c r="AV85">
        <f>SUM(Table1[[#This Row],[Satis]:[29]])</f>
        <v>-6</v>
      </c>
      <c r="AW85">
        <f t="shared" si="18"/>
        <v>-5</v>
      </c>
      <c r="AX85">
        <f t="shared" si="19"/>
        <v>-4</v>
      </c>
      <c r="AY85">
        <f t="shared" si="20"/>
        <v>-3</v>
      </c>
      <c r="AZ85" t="str">
        <f t="shared" si="21"/>
        <v>TDP HardCore</v>
      </c>
    </row>
    <row r="86" spans="1:52" x14ac:dyDescent="0.3">
      <c r="A86" t="s">
        <v>633</v>
      </c>
      <c r="B86" s="94">
        <v>46043</v>
      </c>
      <c r="C86" t="s">
        <v>634</v>
      </c>
      <c r="D86" t="s">
        <v>635</v>
      </c>
      <c r="E86" t="s">
        <v>636</v>
      </c>
      <c r="F86" t="s">
        <v>69</v>
      </c>
      <c r="G86" t="s">
        <v>39</v>
      </c>
      <c r="H86" t="s">
        <v>637</v>
      </c>
      <c r="I86" t="s">
        <v>70</v>
      </c>
      <c r="J86" t="s">
        <v>219</v>
      </c>
      <c r="K86" t="s">
        <v>220</v>
      </c>
      <c r="L86" t="s">
        <v>75</v>
      </c>
      <c r="M86" t="s">
        <v>443</v>
      </c>
      <c r="N86" t="s">
        <v>162</v>
      </c>
      <c r="O86" t="s">
        <v>639</v>
      </c>
      <c r="P86">
        <v>9553120545</v>
      </c>
      <c r="Q86" t="s">
        <v>54</v>
      </c>
      <c r="R86" t="s">
        <v>139</v>
      </c>
      <c r="S86" t="s">
        <v>43</v>
      </c>
      <c r="T86" t="s">
        <v>43</v>
      </c>
      <c r="U86" t="s">
        <v>44</v>
      </c>
      <c r="V86" t="s">
        <v>91</v>
      </c>
      <c r="W86" t="s">
        <v>5071</v>
      </c>
      <c r="X86" t="s">
        <v>91</v>
      </c>
      <c r="Y86" t="s">
        <v>638</v>
      </c>
      <c r="Z86" t="s">
        <v>92</v>
      </c>
      <c r="AA86" t="s">
        <v>92</v>
      </c>
      <c r="AB86" t="s">
        <v>147</v>
      </c>
      <c r="AC86" t="s">
        <v>94</v>
      </c>
      <c r="AD86" t="s">
        <v>184</v>
      </c>
      <c r="AE86" t="s">
        <v>189</v>
      </c>
      <c r="AF86" t="s">
        <v>1225</v>
      </c>
      <c r="AG86" t="s">
        <v>196</v>
      </c>
      <c r="AH86" s="93">
        <f>VLOOKUP(Table1[[#This Row],[Caste]],Factor!$H$1:$K$13,4,0)</f>
        <v>1.3836274505214585</v>
      </c>
      <c r="AI86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86">
        <f>Table1[[#This Row],[Factor_1]]*Table1[[#This Row],[2024 Factor]]</f>
        <v>1.9482662206881376</v>
      </c>
      <c r="AK86">
        <f>VLOOKUP(Table1[[#This Row],[Q18: Gender]],Factor!$A$33:$E$35,5,0)</f>
        <v>0.85034013605442171</v>
      </c>
      <c r="AL86">
        <f>VLOOKUP(Table1[[#This Row],[Taluka]],Factor!$A$42:$G$46,7,0)</f>
        <v>1.147984664167413</v>
      </c>
      <c r="AM86">
        <f>VLOOKUP(Table1[[#This Row],[Caste]]&amp;Table1[[#This Row],[Q18: Gender]],Factor!$W$1:$X$23,2,0)</f>
        <v>1.0790228998469584</v>
      </c>
      <c r="AN86">
        <f>VLOOKUP(Table1[[#This Row],[Taluka]]&amp;Table1[[#This Row],[Caste]]&amp;Table1[[#This Row],[Q18: Gender]],Factor!$AK$4:$AL$93,2,0)</f>
        <v>1.1572915102003449</v>
      </c>
      <c r="AO86">
        <f t="shared" si="11"/>
        <v>-1</v>
      </c>
      <c r="AP86">
        <f t="shared" si="12"/>
        <v>-1</v>
      </c>
      <c r="AQ86">
        <f t="shared" si="13"/>
        <v>1</v>
      </c>
      <c r="AR86">
        <f t="shared" si="14"/>
        <v>1</v>
      </c>
      <c r="AS86">
        <f t="shared" si="15"/>
        <v>1</v>
      </c>
      <c r="AT86">
        <f t="shared" si="16"/>
        <v>1</v>
      </c>
      <c r="AU86">
        <f t="shared" si="17"/>
        <v>1.5</v>
      </c>
      <c r="AV86">
        <f>SUM(Table1[[#This Row],[Satis]:[29]])</f>
        <v>2</v>
      </c>
      <c r="AW86">
        <f t="shared" si="18"/>
        <v>3</v>
      </c>
      <c r="AX86">
        <f t="shared" si="19"/>
        <v>4</v>
      </c>
      <c r="AY86">
        <f t="shared" si="20"/>
        <v>2</v>
      </c>
      <c r="AZ86" t="str">
        <f t="shared" si="21"/>
        <v>YSRCP Sympathiser</v>
      </c>
    </row>
    <row r="87" spans="1:52" x14ac:dyDescent="0.3">
      <c r="A87" t="s">
        <v>640</v>
      </c>
      <c r="B87" s="94">
        <v>46043</v>
      </c>
      <c r="C87" t="s">
        <v>641</v>
      </c>
      <c r="D87" t="s">
        <v>642</v>
      </c>
      <c r="E87" t="s">
        <v>643</v>
      </c>
      <c r="F87" t="s">
        <v>69</v>
      </c>
      <c r="G87" t="s">
        <v>39</v>
      </c>
      <c r="H87" t="s">
        <v>644</v>
      </c>
      <c r="I87" t="s">
        <v>227</v>
      </c>
      <c r="J87" t="s">
        <v>219</v>
      </c>
      <c r="K87" t="s">
        <v>220</v>
      </c>
      <c r="L87" t="s">
        <v>75</v>
      </c>
      <c r="M87" t="s">
        <v>51</v>
      </c>
      <c r="N87" t="s">
        <v>52</v>
      </c>
      <c r="O87" t="s">
        <v>645</v>
      </c>
      <c r="P87">
        <v>9849035561</v>
      </c>
      <c r="Q87" t="s">
        <v>54</v>
      </c>
      <c r="R87" t="s">
        <v>73</v>
      </c>
      <c r="S87" t="s">
        <v>43</v>
      </c>
      <c r="T87" t="s">
        <v>43</v>
      </c>
      <c r="U87" t="s">
        <v>44</v>
      </c>
      <c r="V87" t="s">
        <v>45</v>
      </c>
      <c r="W87" t="s">
        <v>5072</v>
      </c>
      <c r="X87" t="s">
        <v>45</v>
      </c>
      <c r="Y87" t="s">
        <v>46</v>
      </c>
      <c r="Z87" t="s">
        <v>47</v>
      </c>
      <c r="AA87" t="s">
        <v>48</v>
      </c>
      <c r="AB87" t="s">
        <v>49</v>
      </c>
      <c r="AC87" t="s">
        <v>49</v>
      </c>
      <c r="AD87" t="s">
        <v>494</v>
      </c>
      <c r="AE87" t="s">
        <v>185</v>
      </c>
      <c r="AF87">
        <v>0</v>
      </c>
      <c r="AG87" t="s">
        <v>196</v>
      </c>
      <c r="AH87" s="93">
        <f>VLOOKUP(Table1[[#This Row],[Caste]],Factor!$H$1:$K$13,4,0)</f>
        <v>1.2612194085121222</v>
      </c>
      <c r="AI8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7">
        <f>Table1[[#This Row],[Factor_1]]*Table1[[#This Row],[2024 Factor]]</f>
        <v>0.92029223709519836</v>
      </c>
      <c r="AK87">
        <f>VLOOKUP(Table1[[#This Row],[Q18: Gender]],Factor!$A$33:$E$35,5,0)</f>
        <v>0.85034013605442171</v>
      </c>
      <c r="AL87">
        <f>VLOOKUP(Table1[[#This Row],[Taluka]],Factor!$A$42:$G$46,7,0)</f>
        <v>1.147984664167413</v>
      </c>
      <c r="AM87">
        <f>VLOOKUP(Table1[[#This Row],[Caste]]&amp;Table1[[#This Row],[Q18: Gender]],Factor!$W$1:$X$23,2,0)</f>
        <v>0.85249089649430487</v>
      </c>
      <c r="AN87">
        <f>VLOOKUP(Table1[[#This Row],[Taluka]]&amp;Table1[[#This Row],[Caste]]&amp;Table1[[#This Row],[Q18: Gender]],Factor!$AK$4:$AL$93,2,0)</f>
        <v>0.41451794778650441</v>
      </c>
      <c r="AO87">
        <f t="shared" si="11"/>
        <v>-1</v>
      </c>
      <c r="AP87">
        <f t="shared" si="12"/>
        <v>-1</v>
      </c>
      <c r="AQ87">
        <f t="shared" si="13"/>
        <v>-1</v>
      </c>
      <c r="AR87">
        <f t="shared" si="14"/>
        <v>-1</v>
      </c>
      <c r="AS87">
        <f t="shared" si="15"/>
        <v>-1</v>
      </c>
      <c r="AT87">
        <f t="shared" si="16"/>
        <v>-1</v>
      </c>
      <c r="AU87">
        <f t="shared" si="17"/>
        <v>-5.5</v>
      </c>
      <c r="AV87">
        <f>SUM(Table1[[#This Row],[Satis]:[29]])</f>
        <v>-6</v>
      </c>
      <c r="AW87">
        <f t="shared" si="18"/>
        <v>-5</v>
      </c>
      <c r="AX87">
        <f t="shared" si="19"/>
        <v>-4</v>
      </c>
      <c r="AY87">
        <f t="shared" si="20"/>
        <v>-3</v>
      </c>
      <c r="AZ87" t="str">
        <f t="shared" si="21"/>
        <v>TDP HardCore</v>
      </c>
    </row>
    <row r="88" spans="1:52" x14ac:dyDescent="0.3">
      <c r="A88" t="s">
        <v>646</v>
      </c>
      <c r="B88" s="94">
        <v>46043</v>
      </c>
      <c r="C88" t="s">
        <v>647</v>
      </c>
      <c r="D88" t="s">
        <v>648</v>
      </c>
      <c r="E88" t="s">
        <v>649</v>
      </c>
      <c r="F88" t="s">
        <v>240</v>
      </c>
      <c r="G88" t="s">
        <v>39</v>
      </c>
      <c r="H88" t="s">
        <v>650</v>
      </c>
      <c r="I88" t="s">
        <v>70</v>
      </c>
      <c r="J88" t="s">
        <v>37</v>
      </c>
      <c r="K88" t="s">
        <v>211</v>
      </c>
      <c r="L88" t="s">
        <v>50</v>
      </c>
      <c r="M88" t="s">
        <v>51</v>
      </c>
      <c r="N88" t="s">
        <v>52</v>
      </c>
      <c r="O88" t="s">
        <v>651</v>
      </c>
      <c r="P88">
        <v>9912027511</v>
      </c>
      <c r="Q88" t="s">
        <v>54</v>
      </c>
      <c r="R88" t="s">
        <v>61</v>
      </c>
      <c r="S88" t="s">
        <v>43</v>
      </c>
      <c r="T88" t="s">
        <v>43</v>
      </c>
      <c r="U88" t="s">
        <v>90</v>
      </c>
      <c r="V88" t="s">
        <v>45</v>
      </c>
      <c r="W88" t="s">
        <v>5073</v>
      </c>
      <c r="X88" t="s">
        <v>45</v>
      </c>
      <c r="Y88" t="s">
        <v>46</v>
      </c>
      <c r="Z88" t="s">
        <v>47</v>
      </c>
      <c r="AA88" t="s">
        <v>48</v>
      </c>
      <c r="AB88" t="s">
        <v>49</v>
      </c>
      <c r="AC88" t="s">
        <v>49</v>
      </c>
      <c r="AD88">
        <v>0</v>
      </c>
      <c r="AE88" t="s">
        <v>189</v>
      </c>
      <c r="AF88" t="s">
        <v>1215</v>
      </c>
      <c r="AG88" t="s">
        <v>196</v>
      </c>
      <c r="AH88" s="93">
        <f>VLOOKUP(Table1[[#This Row],[Caste]],Factor!$H$1:$K$13,4,0)</f>
        <v>1.3836274505214585</v>
      </c>
      <c r="AI8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8">
        <f>Table1[[#This Row],[Factor_1]]*Table1[[#This Row],[2024 Factor]]</f>
        <v>1.1648410586678206</v>
      </c>
      <c r="AK88">
        <f>VLOOKUP(Table1[[#This Row],[Q18: Gender]],Factor!$A$33:$E$35,5,0)</f>
        <v>0.85034013605442171</v>
      </c>
      <c r="AL88">
        <f>VLOOKUP(Table1[[#This Row],[Taluka]],Factor!$A$42:$G$46,7,0)</f>
        <v>0.75433779645928134</v>
      </c>
      <c r="AM88">
        <f>VLOOKUP(Table1[[#This Row],[Caste]]&amp;Table1[[#This Row],[Q18: Gender]],Factor!$W$1:$X$23,2,0)</f>
        <v>1.0790228998469584</v>
      </c>
      <c r="AN88">
        <f>VLOOKUP(Table1[[#This Row],[Taluka]]&amp;Table1[[#This Row],[Caste]]&amp;Table1[[#This Row],[Q18: Gender]],Factor!$AK$4:$AL$93,2,0)</f>
        <v>0.52423486800867025</v>
      </c>
      <c r="AO88">
        <f t="shared" si="11"/>
        <v>-1</v>
      </c>
      <c r="AP88">
        <f t="shared" si="12"/>
        <v>1</v>
      </c>
      <c r="AQ88">
        <f t="shared" si="13"/>
        <v>-1</v>
      </c>
      <c r="AR88">
        <f t="shared" si="14"/>
        <v>-1</v>
      </c>
      <c r="AS88">
        <f t="shared" si="15"/>
        <v>-1</v>
      </c>
      <c r="AT88">
        <f t="shared" si="16"/>
        <v>-1</v>
      </c>
      <c r="AU88">
        <f t="shared" si="17"/>
        <v>-3.5</v>
      </c>
      <c r="AV88">
        <f>SUM(Table1[[#This Row],[Satis]:[29]])</f>
        <v>-4</v>
      </c>
      <c r="AW88">
        <f t="shared" si="18"/>
        <v>-5</v>
      </c>
      <c r="AX88">
        <f t="shared" si="19"/>
        <v>-4</v>
      </c>
      <c r="AY88">
        <f t="shared" si="20"/>
        <v>-3</v>
      </c>
      <c r="AZ88" t="str">
        <f t="shared" si="21"/>
        <v>TDP Sympathiser</v>
      </c>
    </row>
    <row r="89" spans="1:52" x14ac:dyDescent="0.3">
      <c r="A89" t="s">
        <v>652</v>
      </c>
      <c r="B89" s="94">
        <v>46043</v>
      </c>
      <c r="C89" t="s">
        <v>653</v>
      </c>
      <c r="D89" t="s">
        <v>654</v>
      </c>
      <c r="E89" t="s">
        <v>655</v>
      </c>
      <c r="F89" t="s">
        <v>69</v>
      </c>
      <c r="G89" t="s">
        <v>39</v>
      </c>
      <c r="H89" t="s">
        <v>656</v>
      </c>
      <c r="I89" t="s">
        <v>70</v>
      </c>
      <c r="J89" t="s">
        <v>219</v>
      </c>
      <c r="K89" t="s">
        <v>220</v>
      </c>
      <c r="L89" t="s">
        <v>62</v>
      </c>
      <c r="M89" t="s">
        <v>443</v>
      </c>
      <c r="N89" t="s">
        <v>52</v>
      </c>
      <c r="O89" t="s">
        <v>657</v>
      </c>
      <c r="P89">
        <v>9989832319</v>
      </c>
      <c r="Q89" t="s">
        <v>54</v>
      </c>
      <c r="R89" t="s">
        <v>61</v>
      </c>
      <c r="S89" t="s">
        <v>89</v>
      </c>
      <c r="T89" t="s">
        <v>89</v>
      </c>
      <c r="U89" t="s">
        <v>90</v>
      </c>
      <c r="V89" t="s">
        <v>91</v>
      </c>
      <c r="W89" t="s">
        <v>5057</v>
      </c>
      <c r="X89" t="s">
        <v>91</v>
      </c>
      <c r="Y89" t="s">
        <v>638</v>
      </c>
      <c r="Z89" t="s">
        <v>92</v>
      </c>
      <c r="AA89" t="s">
        <v>92</v>
      </c>
      <c r="AB89" t="s">
        <v>351</v>
      </c>
      <c r="AC89" t="s">
        <v>148</v>
      </c>
      <c r="AD89" t="s">
        <v>494</v>
      </c>
      <c r="AE89" t="s">
        <v>185</v>
      </c>
      <c r="AF89">
        <v>0</v>
      </c>
      <c r="AG89" t="s">
        <v>196</v>
      </c>
      <c r="AH89" s="93">
        <f>VLOOKUP(Table1[[#This Row],[Caste]],Factor!$H$1:$K$13,4,0)</f>
        <v>1.3836274505214585</v>
      </c>
      <c r="AI89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89">
        <f>Table1[[#This Row],[Factor_1]]*Table1[[#This Row],[2024 Factor]]</f>
        <v>1.9482662206881376</v>
      </c>
      <c r="AK89">
        <f>VLOOKUP(Table1[[#This Row],[Q18: Gender]],Factor!$A$33:$E$35,5,0)</f>
        <v>0.85034013605442171</v>
      </c>
      <c r="AL89">
        <f>VLOOKUP(Table1[[#This Row],[Taluka]],Factor!$A$42:$G$46,7,0)</f>
        <v>1.147984664167413</v>
      </c>
      <c r="AM89">
        <f>VLOOKUP(Table1[[#This Row],[Caste]]&amp;Table1[[#This Row],[Q18: Gender]],Factor!$W$1:$X$23,2,0)</f>
        <v>1.0790228998469584</v>
      </c>
      <c r="AN89">
        <f>VLOOKUP(Table1[[#This Row],[Taluka]]&amp;Table1[[#This Row],[Caste]]&amp;Table1[[#This Row],[Q18: Gender]],Factor!$AK$4:$AL$93,2,0)</f>
        <v>1.1572915102003449</v>
      </c>
      <c r="AO89">
        <f t="shared" si="11"/>
        <v>1</v>
      </c>
      <c r="AP89">
        <f t="shared" si="12"/>
        <v>1</v>
      </c>
      <c r="AQ89">
        <f t="shared" si="13"/>
        <v>1</v>
      </c>
      <c r="AR89">
        <f t="shared" si="14"/>
        <v>1</v>
      </c>
      <c r="AS89">
        <f t="shared" si="15"/>
        <v>1</v>
      </c>
      <c r="AT89">
        <f t="shared" si="16"/>
        <v>1</v>
      </c>
      <c r="AU89">
        <f t="shared" si="17"/>
        <v>5.5</v>
      </c>
      <c r="AV89">
        <f>SUM(Table1[[#This Row],[Satis]:[29]])</f>
        <v>6</v>
      </c>
      <c r="AW89">
        <f t="shared" si="18"/>
        <v>5</v>
      </c>
      <c r="AX89">
        <f t="shared" si="19"/>
        <v>4</v>
      </c>
      <c r="AY89">
        <f t="shared" si="20"/>
        <v>3</v>
      </c>
      <c r="AZ89" t="str">
        <f t="shared" si="21"/>
        <v>YSRCP HardCore</v>
      </c>
    </row>
    <row r="90" spans="1:52" x14ac:dyDescent="0.3">
      <c r="A90" t="s">
        <v>658</v>
      </c>
      <c r="B90" s="94">
        <v>46043</v>
      </c>
      <c r="C90" t="s">
        <v>659</v>
      </c>
      <c r="D90" t="s">
        <v>660</v>
      </c>
      <c r="E90" t="s">
        <v>661</v>
      </c>
      <c r="F90" t="s">
        <v>240</v>
      </c>
      <c r="G90" t="s">
        <v>39</v>
      </c>
      <c r="H90" t="s">
        <v>662</v>
      </c>
      <c r="I90" t="s">
        <v>70</v>
      </c>
      <c r="J90" t="s">
        <v>37</v>
      </c>
      <c r="K90" t="s">
        <v>211</v>
      </c>
      <c r="L90" t="s">
        <v>62</v>
      </c>
      <c r="M90" t="s">
        <v>51</v>
      </c>
      <c r="N90" t="s">
        <v>63</v>
      </c>
      <c r="O90" t="s">
        <v>663</v>
      </c>
      <c r="P90">
        <v>8341456878</v>
      </c>
      <c r="Q90" t="s">
        <v>54</v>
      </c>
      <c r="R90" t="s">
        <v>61</v>
      </c>
      <c r="S90" t="s">
        <v>43</v>
      </c>
      <c r="T90" t="s">
        <v>43</v>
      </c>
      <c r="U90" t="s">
        <v>90</v>
      </c>
      <c r="V90" t="s">
        <v>91</v>
      </c>
      <c r="W90" t="s">
        <v>5069</v>
      </c>
      <c r="X90" t="s">
        <v>45</v>
      </c>
      <c r="Y90" t="s">
        <v>46</v>
      </c>
      <c r="Z90" t="s">
        <v>47</v>
      </c>
      <c r="AA90" t="s">
        <v>92</v>
      </c>
      <c r="AB90" t="s">
        <v>93</v>
      </c>
      <c r="AC90" t="s">
        <v>148</v>
      </c>
      <c r="AD90" t="s">
        <v>481</v>
      </c>
      <c r="AE90" t="s">
        <v>185</v>
      </c>
      <c r="AF90">
        <v>0</v>
      </c>
      <c r="AG90" t="s">
        <v>196</v>
      </c>
      <c r="AH90" s="93">
        <f>VLOOKUP(Table1[[#This Row],[Caste]],Factor!$H$1:$K$13,4,0)</f>
        <v>1.3836274505214585</v>
      </c>
      <c r="AI90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90">
        <f>Table1[[#This Row],[Factor_1]]*Table1[[#This Row],[2024 Factor]]</f>
        <v>1.9482662206881376</v>
      </c>
      <c r="AK90">
        <f>VLOOKUP(Table1[[#This Row],[Q18: Gender]],Factor!$A$33:$E$35,5,0)</f>
        <v>0.85034013605442171</v>
      </c>
      <c r="AL90">
        <f>VLOOKUP(Table1[[#This Row],[Taluka]],Factor!$A$42:$G$46,7,0)</f>
        <v>0.75433779645928134</v>
      </c>
      <c r="AM90">
        <f>VLOOKUP(Table1[[#This Row],[Caste]]&amp;Table1[[#This Row],[Q18: Gender]],Factor!$W$1:$X$23,2,0)</f>
        <v>1.0790228998469584</v>
      </c>
      <c r="AN90">
        <f>VLOOKUP(Table1[[#This Row],[Taluka]]&amp;Table1[[#This Row],[Caste]]&amp;Table1[[#This Row],[Q18: Gender]],Factor!$AK$4:$AL$93,2,0)</f>
        <v>0.52423486800867025</v>
      </c>
      <c r="AO90">
        <f t="shared" si="11"/>
        <v>-1</v>
      </c>
      <c r="AP90">
        <f t="shared" si="12"/>
        <v>1</v>
      </c>
      <c r="AQ90">
        <f t="shared" si="13"/>
        <v>1</v>
      </c>
      <c r="AR90">
        <f t="shared" si="14"/>
        <v>-1</v>
      </c>
      <c r="AS90">
        <f t="shared" si="15"/>
        <v>1</v>
      </c>
      <c r="AT90">
        <f t="shared" si="16"/>
        <v>-1</v>
      </c>
      <c r="AU90">
        <f t="shared" si="17"/>
        <v>-0.5</v>
      </c>
      <c r="AV90">
        <f>SUM(Table1[[#This Row],[Satis]:[29]])</f>
        <v>0</v>
      </c>
      <c r="AW90">
        <f t="shared" si="18"/>
        <v>-1</v>
      </c>
      <c r="AX90">
        <f t="shared" si="19"/>
        <v>0</v>
      </c>
      <c r="AY90">
        <f t="shared" si="20"/>
        <v>-2</v>
      </c>
      <c r="AZ90" t="str">
        <f t="shared" si="21"/>
        <v>Neutral TDP</v>
      </c>
    </row>
    <row r="91" spans="1:52" x14ac:dyDescent="0.3">
      <c r="A91" t="s">
        <v>664</v>
      </c>
      <c r="B91" s="94">
        <v>46043</v>
      </c>
      <c r="C91" t="s">
        <v>659</v>
      </c>
      <c r="D91" t="s">
        <v>660</v>
      </c>
      <c r="E91" t="s">
        <v>661</v>
      </c>
      <c r="F91" t="s">
        <v>240</v>
      </c>
      <c r="G91" t="s">
        <v>39</v>
      </c>
      <c r="H91" t="s">
        <v>665</v>
      </c>
      <c r="I91" t="s">
        <v>70</v>
      </c>
      <c r="J91" t="s">
        <v>37</v>
      </c>
      <c r="K91" t="s">
        <v>211</v>
      </c>
      <c r="L91" t="s">
        <v>62</v>
      </c>
      <c r="M91" t="s">
        <v>51</v>
      </c>
      <c r="N91" t="s">
        <v>63</v>
      </c>
      <c r="O91" t="s">
        <v>663</v>
      </c>
      <c r="P91">
        <v>8341456878</v>
      </c>
      <c r="Q91" t="s">
        <v>54</v>
      </c>
      <c r="R91" t="s">
        <v>61</v>
      </c>
      <c r="S91" t="s">
        <v>43</v>
      </c>
      <c r="T91" t="s">
        <v>43</v>
      </c>
      <c r="U91" t="s">
        <v>90</v>
      </c>
      <c r="V91" t="s">
        <v>91</v>
      </c>
      <c r="W91" t="s">
        <v>5069</v>
      </c>
      <c r="X91" t="s">
        <v>45</v>
      </c>
      <c r="Y91" t="s">
        <v>46</v>
      </c>
      <c r="Z91" t="s">
        <v>47</v>
      </c>
      <c r="AA91" t="s">
        <v>92</v>
      </c>
      <c r="AB91" t="s">
        <v>93</v>
      </c>
      <c r="AC91" t="s">
        <v>148</v>
      </c>
      <c r="AD91">
        <v>0</v>
      </c>
      <c r="AE91" t="s">
        <v>185</v>
      </c>
      <c r="AF91">
        <v>0</v>
      </c>
      <c r="AG91" t="s">
        <v>196</v>
      </c>
      <c r="AH91" s="93">
        <f>VLOOKUP(Table1[[#This Row],[Caste]],Factor!$H$1:$K$13,4,0)</f>
        <v>1.3836274505214585</v>
      </c>
      <c r="AI91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91">
        <f>Table1[[#This Row],[Factor_1]]*Table1[[#This Row],[2024 Factor]]</f>
        <v>1.9482662206881376</v>
      </c>
      <c r="AK91">
        <f>VLOOKUP(Table1[[#This Row],[Q18: Gender]],Factor!$A$33:$E$35,5,0)</f>
        <v>0.85034013605442171</v>
      </c>
      <c r="AL91">
        <f>VLOOKUP(Table1[[#This Row],[Taluka]],Factor!$A$42:$G$46,7,0)</f>
        <v>0.75433779645928134</v>
      </c>
      <c r="AM91">
        <f>VLOOKUP(Table1[[#This Row],[Caste]]&amp;Table1[[#This Row],[Q18: Gender]],Factor!$W$1:$X$23,2,0)</f>
        <v>1.0790228998469584</v>
      </c>
      <c r="AN91">
        <f>VLOOKUP(Table1[[#This Row],[Taluka]]&amp;Table1[[#This Row],[Caste]]&amp;Table1[[#This Row],[Q18: Gender]],Factor!$AK$4:$AL$93,2,0)</f>
        <v>0.52423486800867025</v>
      </c>
      <c r="AO91">
        <f t="shared" si="11"/>
        <v>-1</v>
      </c>
      <c r="AP91">
        <f t="shared" si="12"/>
        <v>1</v>
      </c>
      <c r="AQ91">
        <f t="shared" si="13"/>
        <v>1</v>
      </c>
      <c r="AR91">
        <f t="shared" si="14"/>
        <v>-1</v>
      </c>
      <c r="AS91">
        <f t="shared" si="15"/>
        <v>1</v>
      </c>
      <c r="AT91">
        <f t="shared" si="16"/>
        <v>-1</v>
      </c>
      <c r="AU91">
        <f t="shared" si="17"/>
        <v>-0.5</v>
      </c>
      <c r="AV91">
        <f>SUM(Table1[[#This Row],[Satis]:[29]])</f>
        <v>0</v>
      </c>
      <c r="AW91">
        <f t="shared" si="18"/>
        <v>-1</v>
      </c>
      <c r="AX91">
        <f t="shared" si="19"/>
        <v>0</v>
      </c>
      <c r="AY91">
        <f t="shared" si="20"/>
        <v>-2</v>
      </c>
      <c r="AZ91" t="str">
        <f t="shared" si="21"/>
        <v>Neutral TDP</v>
      </c>
    </row>
    <row r="92" spans="1:52" x14ac:dyDescent="0.3">
      <c r="A92" t="s">
        <v>666</v>
      </c>
      <c r="B92" s="94">
        <v>46043</v>
      </c>
      <c r="C92" t="s">
        <v>667</v>
      </c>
      <c r="D92" t="s">
        <v>668</v>
      </c>
      <c r="E92" t="s">
        <v>669</v>
      </c>
      <c r="F92" t="s">
        <v>69</v>
      </c>
      <c r="G92" t="s">
        <v>39</v>
      </c>
      <c r="H92" t="s">
        <v>670</v>
      </c>
      <c r="I92" t="s">
        <v>59</v>
      </c>
      <c r="J92" t="s">
        <v>219</v>
      </c>
      <c r="K92" t="s">
        <v>220</v>
      </c>
      <c r="L92" t="s">
        <v>62</v>
      </c>
      <c r="M92" t="s">
        <v>51</v>
      </c>
      <c r="N92" t="s">
        <v>52</v>
      </c>
      <c r="O92" t="s">
        <v>657</v>
      </c>
      <c r="P92">
        <v>9999999999</v>
      </c>
      <c r="Q92" t="s">
        <v>54</v>
      </c>
      <c r="R92" t="s">
        <v>73</v>
      </c>
      <c r="S92" t="s">
        <v>43</v>
      </c>
      <c r="T92" t="s">
        <v>43</v>
      </c>
      <c r="U92" t="s">
        <v>44</v>
      </c>
      <c r="V92" t="s">
        <v>45</v>
      </c>
      <c r="W92" t="s">
        <v>5064</v>
      </c>
      <c r="X92" t="s">
        <v>45</v>
      </c>
      <c r="Y92" t="s">
        <v>46</v>
      </c>
      <c r="Z92" t="s">
        <v>47</v>
      </c>
      <c r="AA92" t="s">
        <v>242</v>
      </c>
      <c r="AB92" t="s">
        <v>49</v>
      </c>
      <c r="AC92" t="s">
        <v>49</v>
      </c>
      <c r="AD92" t="s">
        <v>494</v>
      </c>
      <c r="AE92" t="s">
        <v>189</v>
      </c>
      <c r="AF92" t="s">
        <v>1226</v>
      </c>
      <c r="AG92" t="s">
        <v>196</v>
      </c>
      <c r="AH92" s="93">
        <f>VLOOKUP(Table1[[#This Row],[Caste]],Factor!$H$1:$K$13,4,0)</f>
        <v>1.1461625511156397</v>
      </c>
      <c r="AI92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92">
        <f>Table1[[#This Row],[Factor_1]]*Table1[[#This Row],[2024 Factor]]</f>
        <v>0.47627550925756229</v>
      </c>
      <c r="AK92">
        <f>VLOOKUP(Table1[[#This Row],[Q18: Gender]],Factor!$A$33:$E$35,5,0)</f>
        <v>0.85034013605442171</v>
      </c>
      <c r="AL92">
        <f>VLOOKUP(Table1[[#This Row],[Taluka]],Factor!$A$42:$G$46,7,0)</f>
        <v>1.147984664167413</v>
      </c>
      <c r="AM92">
        <f>VLOOKUP(Table1[[#This Row],[Caste]]&amp;Table1[[#This Row],[Q18: Gender]],Factor!$W$1:$X$23,2,0)</f>
        <v>0.71995135120329123</v>
      </c>
      <c r="AN92">
        <f>VLOOKUP(Table1[[#This Row],[Taluka]]&amp;Table1[[#This Row],[Caste]]&amp;Table1[[#This Row],[Q18: Gender]],Factor!$AK$4:$AL$93,2,0)</f>
        <v>0.54319084681293095</v>
      </c>
      <c r="AO92">
        <f t="shared" si="11"/>
        <v>-1</v>
      </c>
      <c r="AP92">
        <f t="shared" si="12"/>
        <v>-1</v>
      </c>
      <c r="AQ92">
        <f t="shared" si="13"/>
        <v>-1</v>
      </c>
      <c r="AR92">
        <f t="shared" si="14"/>
        <v>-1</v>
      </c>
      <c r="AS92">
        <f t="shared" si="15"/>
        <v>-1</v>
      </c>
      <c r="AT92">
        <f t="shared" si="16"/>
        <v>-1</v>
      </c>
      <c r="AU92">
        <f t="shared" si="17"/>
        <v>-5.5</v>
      </c>
      <c r="AV92">
        <f>SUM(Table1[[#This Row],[Satis]:[29]])</f>
        <v>-6</v>
      </c>
      <c r="AW92">
        <f t="shared" si="18"/>
        <v>-5</v>
      </c>
      <c r="AX92">
        <f t="shared" si="19"/>
        <v>-4</v>
      </c>
      <c r="AY92">
        <f t="shared" si="20"/>
        <v>-3</v>
      </c>
      <c r="AZ92" t="str">
        <f t="shared" si="21"/>
        <v>TDP HardCore</v>
      </c>
    </row>
    <row r="93" spans="1:52" x14ac:dyDescent="0.3">
      <c r="A93" t="s">
        <v>671</v>
      </c>
      <c r="B93" s="94">
        <v>46043</v>
      </c>
      <c r="C93" t="s">
        <v>672</v>
      </c>
      <c r="D93" t="s">
        <v>673</v>
      </c>
      <c r="E93" t="s">
        <v>661</v>
      </c>
      <c r="F93" t="s">
        <v>240</v>
      </c>
      <c r="G93" t="s">
        <v>39</v>
      </c>
      <c r="H93" t="s">
        <v>674</v>
      </c>
      <c r="I93" t="s">
        <v>228</v>
      </c>
      <c r="J93" t="s">
        <v>37</v>
      </c>
      <c r="K93" t="s">
        <v>211</v>
      </c>
      <c r="L93" t="s">
        <v>62</v>
      </c>
      <c r="M93" t="s">
        <v>51</v>
      </c>
      <c r="N93" t="s">
        <v>162</v>
      </c>
      <c r="O93" t="s">
        <v>249</v>
      </c>
      <c r="P93">
        <v>9966943972</v>
      </c>
      <c r="Q93" t="s">
        <v>54</v>
      </c>
      <c r="R93" t="s">
        <v>61</v>
      </c>
      <c r="S93" t="s">
        <v>43</v>
      </c>
      <c r="T93" t="s">
        <v>89</v>
      </c>
      <c r="U93" t="s">
        <v>90</v>
      </c>
      <c r="V93" t="s">
        <v>91</v>
      </c>
      <c r="W93" t="s">
        <v>5074</v>
      </c>
      <c r="X93" t="s">
        <v>91</v>
      </c>
      <c r="Y93" t="s">
        <v>46</v>
      </c>
      <c r="Z93" t="s">
        <v>92</v>
      </c>
      <c r="AA93" t="s">
        <v>92</v>
      </c>
      <c r="AB93" t="s">
        <v>93</v>
      </c>
      <c r="AC93" t="s">
        <v>148</v>
      </c>
      <c r="AD93" t="s">
        <v>481</v>
      </c>
      <c r="AE93" t="s">
        <v>185</v>
      </c>
      <c r="AF93">
        <v>0</v>
      </c>
      <c r="AG93" t="s">
        <v>196</v>
      </c>
      <c r="AH93" s="93">
        <f>VLOOKUP(Table1[[#This Row],[Caste]],Factor!$H$1:$K$13,4,0)</f>
        <v>0.80207032429970992</v>
      </c>
      <c r="AI93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93">
        <f>Table1[[#This Row],[Factor_1]]*Table1[[#This Row],[2024 Factor]]</f>
        <v>1.0971251128803523</v>
      </c>
      <c r="AK93">
        <f>VLOOKUP(Table1[[#This Row],[Q18: Gender]],Factor!$A$33:$E$35,5,0)</f>
        <v>0.85034013605442171</v>
      </c>
      <c r="AL93">
        <f>VLOOKUP(Table1[[#This Row],[Taluka]],Factor!$A$42:$G$46,7,0)</f>
        <v>0.75433779645928134</v>
      </c>
      <c r="AM93">
        <f>VLOOKUP(Table1[[#This Row],[Caste]]&amp;Table1[[#This Row],[Q18: Gender]],Factor!$W$1:$X$23,2,0)</f>
        <v>0.60762903356038633</v>
      </c>
      <c r="AN93">
        <f>VLOOKUP(Table1[[#This Row],[Taluka]]&amp;Table1[[#This Row],[Caste]]&amp;Table1[[#This Row],[Q18: Gender]],Factor!$AK$4:$AL$93,2,0)</f>
        <v>0.22537440548651508</v>
      </c>
      <c r="AO93">
        <f t="shared" si="11"/>
        <v>1</v>
      </c>
      <c r="AP93">
        <f t="shared" si="12"/>
        <v>1</v>
      </c>
      <c r="AQ93">
        <f t="shared" si="13"/>
        <v>1</v>
      </c>
      <c r="AR93">
        <f t="shared" si="14"/>
        <v>1</v>
      </c>
      <c r="AS93">
        <f t="shared" si="15"/>
        <v>1</v>
      </c>
      <c r="AT93">
        <f t="shared" si="16"/>
        <v>1</v>
      </c>
      <c r="AU93">
        <f t="shared" si="17"/>
        <v>5.5</v>
      </c>
      <c r="AV93">
        <f>SUM(Table1[[#This Row],[Satis]:[29]])</f>
        <v>6</v>
      </c>
      <c r="AW93">
        <f t="shared" si="18"/>
        <v>5</v>
      </c>
      <c r="AX93">
        <f t="shared" si="19"/>
        <v>4</v>
      </c>
      <c r="AY93">
        <f t="shared" si="20"/>
        <v>3</v>
      </c>
      <c r="AZ93" t="str">
        <f t="shared" si="21"/>
        <v>YSRCP HardCore</v>
      </c>
    </row>
    <row r="94" spans="1:52" x14ac:dyDescent="0.3">
      <c r="A94" t="s">
        <v>675</v>
      </c>
      <c r="B94" s="94">
        <v>46043</v>
      </c>
      <c r="C94" t="s">
        <v>676</v>
      </c>
      <c r="D94" t="s">
        <v>677</v>
      </c>
      <c r="E94" t="s">
        <v>678</v>
      </c>
      <c r="F94" t="s">
        <v>69</v>
      </c>
      <c r="G94" t="s">
        <v>39</v>
      </c>
      <c r="H94" t="s">
        <v>679</v>
      </c>
      <c r="I94" t="s">
        <v>59</v>
      </c>
      <c r="J94" t="s">
        <v>219</v>
      </c>
      <c r="K94" t="s">
        <v>220</v>
      </c>
      <c r="L94" t="s">
        <v>62</v>
      </c>
      <c r="M94" t="s">
        <v>51</v>
      </c>
      <c r="N94" t="s">
        <v>52</v>
      </c>
      <c r="O94" t="s">
        <v>680</v>
      </c>
      <c r="P94">
        <v>9493195529</v>
      </c>
      <c r="Q94" t="s">
        <v>54</v>
      </c>
      <c r="R94" t="s">
        <v>73</v>
      </c>
      <c r="S94" t="s">
        <v>43</v>
      </c>
      <c r="T94" t="s">
        <v>43</v>
      </c>
      <c r="U94" t="s">
        <v>44</v>
      </c>
      <c r="V94" t="s">
        <v>45</v>
      </c>
      <c r="W94" t="s">
        <v>5075</v>
      </c>
      <c r="X94" t="s">
        <v>45</v>
      </c>
      <c r="Y94" t="s">
        <v>46</v>
      </c>
      <c r="Z94" t="s">
        <v>47</v>
      </c>
      <c r="AA94" t="s">
        <v>48</v>
      </c>
      <c r="AB94" t="s">
        <v>49</v>
      </c>
      <c r="AC94" t="s">
        <v>49</v>
      </c>
      <c r="AD94" t="s">
        <v>494</v>
      </c>
      <c r="AE94" t="s">
        <v>185</v>
      </c>
      <c r="AF94">
        <v>0</v>
      </c>
      <c r="AG94" t="s">
        <v>196</v>
      </c>
      <c r="AH94" s="93">
        <f>VLOOKUP(Table1[[#This Row],[Caste]],Factor!$H$1:$K$13,4,0)</f>
        <v>1.1461625511156397</v>
      </c>
      <c r="AI9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94">
        <f>Table1[[#This Row],[Factor_1]]*Table1[[#This Row],[2024 Factor]]</f>
        <v>0.77721139583220644</v>
      </c>
      <c r="AK94">
        <f>VLOOKUP(Table1[[#This Row],[Q18: Gender]],Factor!$A$33:$E$35,5,0)</f>
        <v>0.85034013605442171</v>
      </c>
      <c r="AL94">
        <f>VLOOKUP(Table1[[#This Row],[Taluka]],Factor!$A$42:$G$46,7,0)</f>
        <v>1.147984664167413</v>
      </c>
      <c r="AM94">
        <f>VLOOKUP(Table1[[#This Row],[Caste]]&amp;Table1[[#This Row],[Q18: Gender]],Factor!$W$1:$X$23,2,0)</f>
        <v>0.71995135120329123</v>
      </c>
      <c r="AN94">
        <f>VLOOKUP(Table1[[#This Row],[Taluka]]&amp;Table1[[#This Row],[Caste]]&amp;Table1[[#This Row],[Q18: Gender]],Factor!$AK$4:$AL$93,2,0)</f>
        <v>0.54319084681293095</v>
      </c>
      <c r="AO94">
        <f t="shared" si="11"/>
        <v>-1</v>
      </c>
      <c r="AP94">
        <f t="shared" si="12"/>
        <v>-1</v>
      </c>
      <c r="AQ94">
        <f t="shared" si="13"/>
        <v>-1</v>
      </c>
      <c r="AR94">
        <f t="shared" si="14"/>
        <v>-1</v>
      </c>
      <c r="AS94">
        <f t="shared" si="15"/>
        <v>-1</v>
      </c>
      <c r="AT94">
        <f t="shared" si="16"/>
        <v>-1</v>
      </c>
      <c r="AU94">
        <f t="shared" si="17"/>
        <v>-5.5</v>
      </c>
      <c r="AV94">
        <f>SUM(Table1[[#This Row],[Satis]:[29]])</f>
        <v>-6</v>
      </c>
      <c r="AW94">
        <f t="shared" si="18"/>
        <v>-5</v>
      </c>
      <c r="AX94">
        <f t="shared" si="19"/>
        <v>-4</v>
      </c>
      <c r="AY94">
        <f t="shared" si="20"/>
        <v>-3</v>
      </c>
      <c r="AZ94" t="str">
        <f t="shared" si="21"/>
        <v>TDP HardCore</v>
      </c>
    </row>
    <row r="95" spans="1:52" x14ac:dyDescent="0.3">
      <c r="A95" t="s">
        <v>681</v>
      </c>
      <c r="B95" s="94">
        <v>46043</v>
      </c>
      <c r="C95" t="s">
        <v>682</v>
      </c>
      <c r="D95" t="s">
        <v>683</v>
      </c>
      <c r="E95" t="s">
        <v>684</v>
      </c>
      <c r="F95" t="s">
        <v>69</v>
      </c>
      <c r="G95" t="s">
        <v>39</v>
      </c>
      <c r="H95" t="s">
        <v>685</v>
      </c>
      <c r="I95" t="s">
        <v>59</v>
      </c>
      <c r="J95" t="s">
        <v>219</v>
      </c>
      <c r="K95" t="s">
        <v>220</v>
      </c>
      <c r="L95" t="s">
        <v>451</v>
      </c>
      <c r="M95" t="s">
        <v>51</v>
      </c>
      <c r="N95" t="s">
        <v>162</v>
      </c>
      <c r="O95" t="s">
        <v>686</v>
      </c>
      <c r="P95">
        <v>9999999999</v>
      </c>
      <c r="Q95" t="s">
        <v>445</v>
      </c>
      <c r="R95" t="s">
        <v>61</v>
      </c>
      <c r="S95" t="s">
        <v>43</v>
      </c>
      <c r="T95" t="s">
        <v>43</v>
      </c>
      <c r="U95" t="s">
        <v>90</v>
      </c>
      <c r="V95" t="s">
        <v>45</v>
      </c>
      <c r="W95" t="s">
        <v>5057</v>
      </c>
      <c r="X95" t="s">
        <v>45</v>
      </c>
      <c r="Y95" t="s">
        <v>46</v>
      </c>
      <c r="Z95" t="s">
        <v>47</v>
      </c>
      <c r="AA95" t="s">
        <v>48</v>
      </c>
      <c r="AB95" t="s">
        <v>49</v>
      </c>
      <c r="AC95" t="s">
        <v>49</v>
      </c>
      <c r="AD95" t="s">
        <v>494</v>
      </c>
      <c r="AE95" t="s">
        <v>185</v>
      </c>
      <c r="AF95">
        <v>0</v>
      </c>
      <c r="AG95" t="s">
        <v>196</v>
      </c>
      <c r="AH95" s="93">
        <f>VLOOKUP(Table1[[#This Row],[Caste]],Factor!$H$1:$K$13,4,0)</f>
        <v>1.1461625511156397</v>
      </c>
      <c r="AI9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95">
        <f>Table1[[#This Row],[Factor_1]]*Table1[[#This Row],[2024 Factor]]</f>
        <v>3.0326483876590018</v>
      </c>
      <c r="AK95">
        <f>VLOOKUP(Table1[[#This Row],[Q18: Gender]],Factor!$A$33:$E$35,5,0)</f>
        <v>2.1645021645021645</v>
      </c>
      <c r="AL95">
        <f>VLOOKUP(Table1[[#This Row],[Taluka]],Factor!$A$42:$G$46,7,0)</f>
        <v>1.147984664167413</v>
      </c>
      <c r="AM95">
        <f>VLOOKUP(Table1[[#This Row],[Caste]]&amp;Table1[[#This Row],[Q18: Gender]],Factor!$W$1:$X$23,2,0)</f>
        <v>2.8092219390089208</v>
      </c>
      <c r="AN95">
        <f>VLOOKUP(Table1[[#This Row],[Taluka]]&amp;Table1[[#This Row],[Caste]]&amp;Table1[[#This Row],[Q18: Gender]],Factor!$AK$4:$AL$93,2,0)</f>
        <v>2.2934724643212636</v>
      </c>
      <c r="AO95">
        <f t="shared" si="11"/>
        <v>-1</v>
      </c>
      <c r="AP95">
        <f t="shared" si="12"/>
        <v>1</v>
      </c>
      <c r="AQ95">
        <f t="shared" si="13"/>
        <v>-1</v>
      </c>
      <c r="AR95">
        <f t="shared" si="14"/>
        <v>-1</v>
      </c>
      <c r="AS95">
        <f t="shared" si="15"/>
        <v>-1</v>
      </c>
      <c r="AT95">
        <f t="shared" si="16"/>
        <v>-1</v>
      </c>
      <c r="AU95">
        <f t="shared" si="17"/>
        <v>-3.5</v>
      </c>
      <c r="AV95">
        <f>SUM(Table1[[#This Row],[Satis]:[29]])</f>
        <v>-4</v>
      </c>
      <c r="AW95">
        <f t="shared" si="18"/>
        <v>-5</v>
      </c>
      <c r="AX95">
        <f t="shared" si="19"/>
        <v>-4</v>
      </c>
      <c r="AY95">
        <f t="shared" si="20"/>
        <v>-3</v>
      </c>
      <c r="AZ95" t="str">
        <f t="shared" si="21"/>
        <v>TDP Sympathiser</v>
      </c>
    </row>
    <row r="96" spans="1:52" x14ac:dyDescent="0.3">
      <c r="A96" t="s">
        <v>687</v>
      </c>
      <c r="B96" s="94">
        <v>46043</v>
      </c>
      <c r="C96" t="s">
        <v>688</v>
      </c>
      <c r="D96" t="s">
        <v>689</v>
      </c>
      <c r="E96" t="s">
        <v>661</v>
      </c>
      <c r="F96" t="s">
        <v>240</v>
      </c>
      <c r="G96" t="s">
        <v>39</v>
      </c>
      <c r="H96" t="s">
        <v>690</v>
      </c>
      <c r="I96" t="s">
        <v>70</v>
      </c>
      <c r="J96" t="s">
        <v>37</v>
      </c>
      <c r="K96" t="s">
        <v>211</v>
      </c>
      <c r="L96" t="s">
        <v>75</v>
      </c>
      <c r="M96" t="s">
        <v>51</v>
      </c>
      <c r="N96" t="s">
        <v>63</v>
      </c>
      <c r="O96" t="s">
        <v>452</v>
      </c>
      <c r="P96">
        <v>7416162445</v>
      </c>
      <c r="Q96" t="s">
        <v>445</v>
      </c>
      <c r="R96" t="s">
        <v>61</v>
      </c>
      <c r="S96" t="s">
        <v>43</v>
      </c>
      <c r="T96" t="s">
        <v>43</v>
      </c>
      <c r="U96" t="s">
        <v>44</v>
      </c>
      <c r="V96" t="s">
        <v>45</v>
      </c>
      <c r="W96" t="s">
        <v>5069</v>
      </c>
      <c r="X96" t="s">
        <v>45</v>
      </c>
      <c r="Y96" t="s">
        <v>46</v>
      </c>
      <c r="Z96" t="s">
        <v>47</v>
      </c>
      <c r="AA96" t="s">
        <v>691</v>
      </c>
      <c r="AB96" t="s">
        <v>49</v>
      </c>
      <c r="AC96" t="s">
        <v>49</v>
      </c>
      <c r="AD96" t="s">
        <v>481</v>
      </c>
      <c r="AE96" t="s">
        <v>189</v>
      </c>
      <c r="AF96" t="s">
        <v>1216</v>
      </c>
      <c r="AG96" t="s">
        <v>196</v>
      </c>
      <c r="AH96" s="93">
        <f>VLOOKUP(Table1[[#This Row],[Caste]],Factor!$H$1:$K$13,4,0)</f>
        <v>1.3836274505214585</v>
      </c>
      <c r="AI96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96">
        <f>Table1[[#This Row],[Factor_1]]*Table1[[#This Row],[2024 Factor]]</f>
        <v>1.2753497331114214</v>
      </c>
      <c r="AK96">
        <f>VLOOKUP(Table1[[#This Row],[Q18: Gender]],Factor!$A$33:$E$35,5,0)</f>
        <v>2.1645021645021645</v>
      </c>
      <c r="AL96">
        <f>VLOOKUP(Table1[[#This Row],[Taluka]],Factor!$A$42:$G$46,7,0)</f>
        <v>0.75433779645928134</v>
      </c>
      <c r="AM96">
        <f>VLOOKUP(Table1[[#This Row],[Caste]]&amp;Table1[[#This Row],[Q18: Gender]],Factor!$W$1:$X$23,2,0)</f>
        <v>1.9278542477265657</v>
      </c>
      <c r="AN96">
        <f>VLOOKUP(Table1[[#This Row],[Taluka]]&amp;Table1[[#This Row],[Caste]]&amp;Table1[[#This Row],[Q18: Gender]],Factor!$AK$4:$AL$93,2,0)</f>
        <v>0.95595770048639872</v>
      </c>
      <c r="AO96">
        <f t="shared" si="11"/>
        <v>-1</v>
      </c>
      <c r="AP96">
        <f t="shared" si="12"/>
        <v>-1</v>
      </c>
      <c r="AQ96">
        <f t="shared" si="13"/>
        <v>-1</v>
      </c>
      <c r="AR96">
        <f t="shared" si="14"/>
        <v>-1</v>
      </c>
      <c r="AS96">
        <f t="shared" si="15"/>
        <v>-1</v>
      </c>
      <c r="AT96">
        <f t="shared" si="16"/>
        <v>-1</v>
      </c>
      <c r="AU96">
        <f t="shared" si="17"/>
        <v>-5.5</v>
      </c>
      <c r="AV96">
        <f>SUM(Table1[[#This Row],[Satis]:[29]])</f>
        <v>-6</v>
      </c>
      <c r="AW96">
        <f t="shared" si="18"/>
        <v>-5</v>
      </c>
      <c r="AX96">
        <f t="shared" si="19"/>
        <v>-4</v>
      </c>
      <c r="AY96">
        <f t="shared" si="20"/>
        <v>-3</v>
      </c>
      <c r="AZ96" t="str">
        <f t="shared" si="21"/>
        <v>TDP HardCore</v>
      </c>
    </row>
    <row r="97" spans="1:52" x14ac:dyDescent="0.3">
      <c r="A97" t="s">
        <v>692</v>
      </c>
      <c r="B97" s="94">
        <v>46043</v>
      </c>
      <c r="C97" t="s">
        <v>693</v>
      </c>
      <c r="D97" t="s">
        <v>694</v>
      </c>
      <c r="E97" t="s">
        <v>695</v>
      </c>
      <c r="F97" t="s">
        <v>69</v>
      </c>
      <c r="G97" t="s">
        <v>39</v>
      </c>
      <c r="H97" t="s">
        <v>696</v>
      </c>
      <c r="I97" t="s">
        <v>59</v>
      </c>
      <c r="J97" t="s">
        <v>219</v>
      </c>
      <c r="K97" t="s">
        <v>220</v>
      </c>
      <c r="L97" t="s">
        <v>451</v>
      </c>
      <c r="M97" t="s">
        <v>51</v>
      </c>
      <c r="N97" t="s">
        <v>63</v>
      </c>
      <c r="O97" t="s">
        <v>697</v>
      </c>
      <c r="P97">
        <v>9951960689</v>
      </c>
      <c r="Q97" t="s">
        <v>445</v>
      </c>
      <c r="R97" t="s">
        <v>139</v>
      </c>
      <c r="S97" t="s">
        <v>43</v>
      </c>
      <c r="T97" t="s">
        <v>43</v>
      </c>
      <c r="U97" t="s">
        <v>44</v>
      </c>
      <c r="V97" t="s">
        <v>45</v>
      </c>
      <c r="W97" t="s">
        <v>5072</v>
      </c>
      <c r="X97" t="s">
        <v>45</v>
      </c>
      <c r="Y97" t="s">
        <v>46</v>
      </c>
      <c r="Z97" t="s">
        <v>47</v>
      </c>
      <c r="AA97" t="s">
        <v>48</v>
      </c>
      <c r="AB97" t="s">
        <v>49</v>
      </c>
      <c r="AC97" t="s">
        <v>49</v>
      </c>
      <c r="AD97" t="s">
        <v>494</v>
      </c>
      <c r="AE97" t="s">
        <v>185</v>
      </c>
      <c r="AF97">
        <v>0</v>
      </c>
      <c r="AG97" t="s">
        <v>196</v>
      </c>
      <c r="AH97" s="93">
        <f>VLOOKUP(Table1[[#This Row],[Caste]],Factor!$H$1:$K$13,4,0)</f>
        <v>1.1461625511156397</v>
      </c>
      <c r="AI9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97">
        <f>Table1[[#This Row],[Factor_1]]*Table1[[#This Row],[2024 Factor]]</f>
        <v>3.0326483876590018</v>
      </c>
      <c r="AK97">
        <f>VLOOKUP(Table1[[#This Row],[Q18: Gender]],Factor!$A$33:$E$35,5,0)</f>
        <v>2.1645021645021645</v>
      </c>
      <c r="AL97">
        <f>VLOOKUP(Table1[[#This Row],[Taluka]],Factor!$A$42:$G$46,7,0)</f>
        <v>1.147984664167413</v>
      </c>
      <c r="AM97">
        <f>VLOOKUP(Table1[[#This Row],[Caste]]&amp;Table1[[#This Row],[Q18: Gender]],Factor!$W$1:$X$23,2,0)</f>
        <v>2.8092219390089208</v>
      </c>
      <c r="AN97">
        <f>VLOOKUP(Table1[[#This Row],[Taluka]]&amp;Table1[[#This Row],[Caste]]&amp;Table1[[#This Row],[Q18: Gender]],Factor!$AK$4:$AL$93,2,0)</f>
        <v>2.2934724643212636</v>
      </c>
      <c r="AO97">
        <f t="shared" si="11"/>
        <v>-1</v>
      </c>
      <c r="AP97">
        <f t="shared" si="12"/>
        <v>-1</v>
      </c>
      <c r="AQ97">
        <f t="shared" si="13"/>
        <v>-1</v>
      </c>
      <c r="AR97">
        <f t="shared" si="14"/>
        <v>-1</v>
      </c>
      <c r="AS97">
        <f t="shared" si="15"/>
        <v>-1</v>
      </c>
      <c r="AT97">
        <f t="shared" si="16"/>
        <v>-1</v>
      </c>
      <c r="AU97">
        <f t="shared" si="17"/>
        <v>-5.5</v>
      </c>
      <c r="AV97">
        <f>SUM(Table1[[#This Row],[Satis]:[29]])</f>
        <v>-6</v>
      </c>
      <c r="AW97">
        <f t="shared" si="18"/>
        <v>-5</v>
      </c>
      <c r="AX97">
        <f t="shared" si="19"/>
        <v>-4</v>
      </c>
      <c r="AY97">
        <f t="shared" si="20"/>
        <v>-3</v>
      </c>
      <c r="AZ97" t="str">
        <f t="shared" si="21"/>
        <v>TDP HardCore</v>
      </c>
    </row>
    <row r="98" spans="1:52" x14ac:dyDescent="0.3">
      <c r="A98" t="s">
        <v>698</v>
      </c>
      <c r="B98" s="94">
        <v>46043</v>
      </c>
      <c r="C98" t="s">
        <v>699</v>
      </c>
      <c r="D98" t="s">
        <v>700</v>
      </c>
      <c r="E98" t="s">
        <v>684</v>
      </c>
      <c r="F98" t="s">
        <v>69</v>
      </c>
      <c r="G98" t="s">
        <v>39</v>
      </c>
      <c r="H98" t="s">
        <v>701</v>
      </c>
      <c r="I98" t="s">
        <v>59</v>
      </c>
      <c r="J98" t="s">
        <v>219</v>
      </c>
      <c r="K98" t="s">
        <v>220</v>
      </c>
      <c r="L98" t="s">
        <v>451</v>
      </c>
      <c r="M98" t="s">
        <v>51</v>
      </c>
      <c r="N98" t="s">
        <v>63</v>
      </c>
      <c r="O98" t="s">
        <v>702</v>
      </c>
      <c r="P98">
        <v>9999999999</v>
      </c>
      <c r="Q98" t="s">
        <v>445</v>
      </c>
      <c r="R98" t="s">
        <v>73</v>
      </c>
      <c r="S98" t="s">
        <v>43</v>
      </c>
      <c r="T98" t="s">
        <v>43</v>
      </c>
      <c r="U98" t="s">
        <v>44</v>
      </c>
      <c r="V98" t="s">
        <v>45</v>
      </c>
      <c r="W98" t="s">
        <v>5076</v>
      </c>
      <c r="X98" t="s">
        <v>45</v>
      </c>
      <c r="Y98" t="s">
        <v>46</v>
      </c>
      <c r="Z98" t="s">
        <v>47</v>
      </c>
      <c r="AA98" t="s">
        <v>48</v>
      </c>
      <c r="AB98" t="s">
        <v>49</v>
      </c>
      <c r="AC98" t="s">
        <v>49</v>
      </c>
      <c r="AD98" t="s">
        <v>494</v>
      </c>
      <c r="AE98" t="s">
        <v>189</v>
      </c>
      <c r="AF98" t="s">
        <v>1227</v>
      </c>
      <c r="AG98" t="s">
        <v>196</v>
      </c>
      <c r="AH98" s="93">
        <f>VLOOKUP(Table1[[#This Row],[Caste]],Factor!$H$1:$K$13,4,0)</f>
        <v>1.1461625511156397</v>
      </c>
      <c r="AI9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98">
        <f>Table1[[#This Row],[Factor_1]]*Table1[[#This Row],[2024 Factor]]</f>
        <v>3.0326483876590018</v>
      </c>
      <c r="AK98">
        <f>VLOOKUP(Table1[[#This Row],[Q18: Gender]],Factor!$A$33:$E$35,5,0)</f>
        <v>2.1645021645021645</v>
      </c>
      <c r="AL98">
        <f>VLOOKUP(Table1[[#This Row],[Taluka]],Factor!$A$42:$G$46,7,0)</f>
        <v>1.147984664167413</v>
      </c>
      <c r="AM98">
        <f>VLOOKUP(Table1[[#This Row],[Caste]]&amp;Table1[[#This Row],[Q18: Gender]],Factor!$W$1:$X$23,2,0)</f>
        <v>2.8092219390089208</v>
      </c>
      <c r="AN98">
        <f>VLOOKUP(Table1[[#This Row],[Taluka]]&amp;Table1[[#This Row],[Caste]]&amp;Table1[[#This Row],[Q18: Gender]],Factor!$AK$4:$AL$93,2,0)</f>
        <v>2.2934724643212636</v>
      </c>
      <c r="AO98">
        <f t="shared" si="11"/>
        <v>-1</v>
      </c>
      <c r="AP98">
        <f t="shared" si="12"/>
        <v>-1</v>
      </c>
      <c r="AQ98">
        <f t="shared" si="13"/>
        <v>-1</v>
      </c>
      <c r="AR98">
        <f t="shared" si="14"/>
        <v>-1</v>
      </c>
      <c r="AS98">
        <f t="shared" si="15"/>
        <v>-1</v>
      </c>
      <c r="AT98">
        <f t="shared" si="16"/>
        <v>-1</v>
      </c>
      <c r="AU98">
        <f t="shared" si="17"/>
        <v>-5.5</v>
      </c>
      <c r="AV98">
        <f>SUM(Table1[[#This Row],[Satis]:[29]])</f>
        <v>-6</v>
      </c>
      <c r="AW98">
        <f t="shared" si="18"/>
        <v>-5</v>
      </c>
      <c r="AX98">
        <f t="shared" si="19"/>
        <v>-4</v>
      </c>
      <c r="AY98">
        <f t="shared" si="20"/>
        <v>-3</v>
      </c>
      <c r="AZ98" t="str">
        <f t="shared" si="21"/>
        <v>TDP HardCore</v>
      </c>
    </row>
    <row r="99" spans="1:52" x14ac:dyDescent="0.3">
      <c r="A99" t="s">
        <v>703</v>
      </c>
      <c r="B99" s="94">
        <v>46043</v>
      </c>
      <c r="C99" t="s">
        <v>704</v>
      </c>
      <c r="D99" t="s">
        <v>705</v>
      </c>
      <c r="E99" t="s">
        <v>661</v>
      </c>
      <c r="F99" t="s">
        <v>240</v>
      </c>
      <c r="G99" t="s">
        <v>39</v>
      </c>
      <c r="H99" t="s">
        <v>706</v>
      </c>
      <c r="I99" t="s">
        <v>70</v>
      </c>
      <c r="J99" t="s">
        <v>37</v>
      </c>
      <c r="K99" t="s">
        <v>211</v>
      </c>
      <c r="L99" t="s">
        <v>451</v>
      </c>
      <c r="M99" t="s">
        <v>51</v>
      </c>
      <c r="N99" t="s">
        <v>52</v>
      </c>
      <c r="O99" t="s">
        <v>707</v>
      </c>
      <c r="P99">
        <v>9553724482</v>
      </c>
      <c r="Q99" t="s">
        <v>445</v>
      </c>
      <c r="R99" t="s">
        <v>61</v>
      </c>
      <c r="S99" t="s">
        <v>89</v>
      </c>
      <c r="T99" t="s">
        <v>89</v>
      </c>
      <c r="U99" t="s">
        <v>90</v>
      </c>
      <c r="V99" t="s">
        <v>91</v>
      </c>
      <c r="W99" t="s">
        <v>5041</v>
      </c>
      <c r="X99" t="s">
        <v>91</v>
      </c>
      <c r="Y99" t="s">
        <v>46</v>
      </c>
      <c r="Z99" t="s">
        <v>92</v>
      </c>
      <c r="AA99" t="s">
        <v>92</v>
      </c>
      <c r="AB99" t="s">
        <v>351</v>
      </c>
      <c r="AC99" t="s">
        <v>94</v>
      </c>
      <c r="AD99" t="s">
        <v>481</v>
      </c>
      <c r="AE99" t="s">
        <v>189</v>
      </c>
      <c r="AF99" t="s">
        <v>1217</v>
      </c>
      <c r="AG99" t="s">
        <v>196</v>
      </c>
      <c r="AH99" s="93">
        <f>VLOOKUP(Table1[[#This Row],[Caste]],Factor!$H$1:$K$13,4,0)</f>
        <v>1.3836274505214585</v>
      </c>
      <c r="AI99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99">
        <f>Table1[[#This Row],[Factor_1]]*Table1[[#This Row],[2024 Factor]]</f>
        <v>3.4809023142961388</v>
      </c>
      <c r="AK99">
        <f>VLOOKUP(Table1[[#This Row],[Q18: Gender]],Factor!$A$33:$E$35,5,0)</f>
        <v>2.1645021645021645</v>
      </c>
      <c r="AL99">
        <f>VLOOKUP(Table1[[#This Row],[Taluka]],Factor!$A$42:$G$46,7,0)</f>
        <v>0.75433779645928134</v>
      </c>
      <c r="AM99">
        <f>VLOOKUP(Table1[[#This Row],[Caste]]&amp;Table1[[#This Row],[Q18: Gender]],Factor!$W$1:$X$23,2,0)</f>
        <v>1.9278542477265657</v>
      </c>
      <c r="AN99">
        <f>VLOOKUP(Table1[[#This Row],[Taluka]]&amp;Table1[[#This Row],[Caste]]&amp;Table1[[#This Row],[Q18: Gender]],Factor!$AK$4:$AL$93,2,0)</f>
        <v>0.95595770048639872</v>
      </c>
      <c r="AO99">
        <f t="shared" si="11"/>
        <v>1</v>
      </c>
      <c r="AP99">
        <f t="shared" si="12"/>
        <v>1</v>
      </c>
      <c r="AQ99">
        <f t="shared" si="13"/>
        <v>1</v>
      </c>
      <c r="AR99">
        <f t="shared" si="14"/>
        <v>1</v>
      </c>
      <c r="AS99">
        <f t="shared" si="15"/>
        <v>1</v>
      </c>
      <c r="AT99">
        <f t="shared" si="16"/>
        <v>1</v>
      </c>
      <c r="AU99">
        <f t="shared" si="17"/>
        <v>5.5</v>
      </c>
      <c r="AV99">
        <f>SUM(Table1[[#This Row],[Satis]:[29]])</f>
        <v>6</v>
      </c>
      <c r="AW99">
        <f t="shared" si="18"/>
        <v>5</v>
      </c>
      <c r="AX99">
        <f t="shared" si="19"/>
        <v>4</v>
      </c>
      <c r="AY99">
        <f t="shared" si="20"/>
        <v>3</v>
      </c>
      <c r="AZ99" t="str">
        <f t="shared" si="21"/>
        <v>YSRCP HardCore</v>
      </c>
    </row>
    <row r="100" spans="1:52" x14ac:dyDescent="0.3">
      <c r="A100" t="s">
        <v>708</v>
      </c>
      <c r="B100" s="94">
        <v>46043</v>
      </c>
      <c r="C100" t="s">
        <v>709</v>
      </c>
      <c r="D100" t="s">
        <v>710</v>
      </c>
      <c r="E100" t="s">
        <v>655</v>
      </c>
      <c r="F100" t="s">
        <v>69</v>
      </c>
      <c r="G100" t="s">
        <v>39</v>
      </c>
      <c r="H100" t="s">
        <v>711</v>
      </c>
      <c r="I100" t="s">
        <v>227</v>
      </c>
      <c r="J100" t="s">
        <v>219</v>
      </c>
      <c r="K100" t="s">
        <v>220</v>
      </c>
      <c r="L100" t="s">
        <v>62</v>
      </c>
      <c r="M100" t="s">
        <v>51</v>
      </c>
      <c r="N100" t="s">
        <v>63</v>
      </c>
      <c r="O100" t="s">
        <v>480</v>
      </c>
      <c r="P100">
        <v>9985854784</v>
      </c>
      <c r="Q100" t="s">
        <v>54</v>
      </c>
      <c r="R100" t="s">
        <v>61</v>
      </c>
      <c r="S100" t="s">
        <v>43</v>
      </c>
      <c r="T100" t="s">
        <v>43</v>
      </c>
      <c r="U100" t="s">
        <v>44</v>
      </c>
      <c r="V100" t="s">
        <v>91</v>
      </c>
      <c r="W100" t="s">
        <v>5057</v>
      </c>
      <c r="X100" t="s">
        <v>45</v>
      </c>
      <c r="Y100" t="s">
        <v>46</v>
      </c>
      <c r="Z100" t="s">
        <v>47</v>
      </c>
      <c r="AA100" t="s">
        <v>48</v>
      </c>
      <c r="AB100" t="s">
        <v>49</v>
      </c>
      <c r="AC100" t="s">
        <v>49</v>
      </c>
      <c r="AD100" t="s">
        <v>494</v>
      </c>
      <c r="AE100" t="s">
        <v>185</v>
      </c>
      <c r="AF100">
        <v>0</v>
      </c>
      <c r="AG100" t="s">
        <v>196</v>
      </c>
      <c r="AH100" s="93">
        <f>VLOOKUP(Table1[[#This Row],[Caste]],Factor!$H$1:$K$13,4,0)</f>
        <v>1.2612194085121222</v>
      </c>
      <c r="AI10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00">
        <f>Table1[[#This Row],[Factor_1]]*Table1[[#This Row],[2024 Factor]]</f>
        <v>0.92029223709519836</v>
      </c>
      <c r="AK100">
        <f>VLOOKUP(Table1[[#This Row],[Q18: Gender]],Factor!$A$33:$E$35,5,0)</f>
        <v>0.85034013605442171</v>
      </c>
      <c r="AL100">
        <f>VLOOKUP(Table1[[#This Row],[Taluka]],Factor!$A$42:$G$46,7,0)</f>
        <v>1.147984664167413</v>
      </c>
      <c r="AM100">
        <f>VLOOKUP(Table1[[#This Row],[Caste]]&amp;Table1[[#This Row],[Q18: Gender]],Factor!$W$1:$X$23,2,0)</f>
        <v>0.85249089649430487</v>
      </c>
      <c r="AN100">
        <f>VLOOKUP(Table1[[#This Row],[Taluka]]&amp;Table1[[#This Row],[Caste]]&amp;Table1[[#This Row],[Q18: Gender]],Factor!$AK$4:$AL$93,2,0)</f>
        <v>0.41451794778650441</v>
      </c>
      <c r="AO100">
        <f t="shared" si="11"/>
        <v>-1</v>
      </c>
      <c r="AP100">
        <f t="shared" si="12"/>
        <v>-1</v>
      </c>
      <c r="AQ100">
        <f t="shared" si="13"/>
        <v>1</v>
      </c>
      <c r="AR100">
        <f t="shared" si="14"/>
        <v>-1</v>
      </c>
      <c r="AS100">
        <f t="shared" si="15"/>
        <v>-1</v>
      </c>
      <c r="AT100">
        <f t="shared" si="16"/>
        <v>-1</v>
      </c>
      <c r="AU100">
        <f t="shared" si="17"/>
        <v>-3.5</v>
      </c>
      <c r="AV100">
        <f>SUM(Table1[[#This Row],[Satis]:[29]])</f>
        <v>-4</v>
      </c>
      <c r="AW100">
        <f t="shared" si="18"/>
        <v>-3</v>
      </c>
      <c r="AX100">
        <f t="shared" si="19"/>
        <v>-2</v>
      </c>
      <c r="AY100">
        <f t="shared" si="20"/>
        <v>-3</v>
      </c>
      <c r="AZ100" t="str">
        <f t="shared" si="21"/>
        <v>Neutral TDP</v>
      </c>
    </row>
    <row r="101" spans="1:52" x14ac:dyDescent="0.3">
      <c r="A101" t="s">
        <v>712</v>
      </c>
      <c r="B101" s="94">
        <v>46043</v>
      </c>
      <c r="C101" t="s">
        <v>713</v>
      </c>
      <c r="D101" t="s">
        <v>714</v>
      </c>
      <c r="E101" t="s">
        <v>661</v>
      </c>
      <c r="F101" t="s">
        <v>240</v>
      </c>
      <c r="G101" t="s">
        <v>39</v>
      </c>
      <c r="H101" t="s">
        <v>715</v>
      </c>
      <c r="I101" t="s">
        <v>230</v>
      </c>
      <c r="J101" t="s">
        <v>37</v>
      </c>
      <c r="K101" t="s">
        <v>211</v>
      </c>
      <c r="L101" t="s">
        <v>62</v>
      </c>
      <c r="M101" t="s">
        <v>51</v>
      </c>
      <c r="N101" t="s">
        <v>52</v>
      </c>
      <c r="O101" t="s">
        <v>717</v>
      </c>
      <c r="P101">
        <v>7095293309</v>
      </c>
      <c r="Q101" t="s">
        <v>445</v>
      </c>
      <c r="R101" t="s">
        <v>61</v>
      </c>
      <c r="S101" t="s">
        <v>89</v>
      </c>
      <c r="T101" t="s">
        <v>89</v>
      </c>
      <c r="U101" t="s">
        <v>90</v>
      </c>
      <c r="V101" t="s">
        <v>91</v>
      </c>
      <c r="W101" t="s">
        <v>5069</v>
      </c>
      <c r="X101" t="s">
        <v>91</v>
      </c>
      <c r="Y101" t="s">
        <v>716</v>
      </c>
      <c r="Z101" t="s">
        <v>92</v>
      </c>
      <c r="AA101" t="s">
        <v>48</v>
      </c>
      <c r="AB101" t="s">
        <v>49</v>
      </c>
      <c r="AC101" t="s">
        <v>49</v>
      </c>
      <c r="AD101" t="s">
        <v>481</v>
      </c>
      <c r="AE101" t="s">
        <v>185</v>
      </c>
      <c r="AF101">
        <v>0</v>
      </c>
      <c r="AG101" t="s">
        <v>196</v>
      </c>
      <c r="AH101" s="93">
        <f>VLOOKUP(Table1[[#This Row],[Caste]],Factor!$H$1:$K$13,4,0)</f>
        <v>1.0786696182614144</v>
      </c>
      <c r="AI10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01">
        <f>Table1[[#This Row],[Factor_1]]*Table1[[#This Row],[2024 Factor]]</f>
        <v>1.1644596794624567</v>
      </c>
      <c r="AK101">
        <f>VLOOKUP(Table1[[#This Row],[Q18: Gender]],Factor!$A$33:$E$35,5,0)</f>
        <v>2.1645021645021645</v>
      </c>
      <c r="AL101">
        <f>VLOOKUP(Table1[[#This Row],[Taluka]],Factor!$A$42:$G$46,7,0)</f>
        <v>0.75433779645928134</v>
      </c>
      <c r="AM101">
        <f>VLOOKUP(Table1[[#This Row],[Caste]]&amp;Table1[[#This Row],[Q18: Gender]],Factor!$W$1:$X$23,2,0)</f>
        <v>1.0786696182614144</v>
      </c>
      <c r="AN101">
        <f>VLOOKUP(Table1[[#This Row],[Taluka]]&amp;Table1[[#This Row],[Caste]]&amp;Table1[[#This Row],[Q18: Gender]],Factor!$AK$4:$AL$93,2,0)</f>
        <v>0.36371552453725964</v>
      </c>
      <c r="AO101">
        <f t="shared" si="11"/>
        <v>1</v>
      </c>
      <c r="AP101">
        <f t="shared" si="12"/>
        <v>1</v>
      </c>
      <c r="AQ101">
        <f t="shared" si="13"/>
        <v>1</v>
      </c>
      <c r="AR101">
        <f t="shared" si="14"/>
        <v>1</v>
      </c>
      <c r="AS101">
        <f t="shared" si="15"/>
        <v>-1</v>
      </c>
      <c r="AT101">
        <f t="shared" si="16"/>
        <v>1</v>
      </c>
      <c r="AU101">
        <f t="shared" si="17"/>
        <v>4.5</v>
      </c>
      <c r="AV101">
        <f>SUM(Table1[[#This Row],[Satis]:[29]])</f>
        <v>4</v>
      </c>
      <c r="AW101">
        <f t="shared" si="18"/>
        <v>3</v>
      </c>
      <c r="AX101">
        <f t="shared" si="19"/>
        <v>2</v>
      </c>
      <c r="AY101">
        <f t="shared" si="20"/>
        <v>2</v>
      </c>
      <c r="AZ101" t="str">
        <f t="shared" si="21"/>
        <v>Neutral YSRCP</v>
      </c>
    </row>
    <row r="102" spans="1:52" x14ac:dyDescent="0.3">
      <c r="A102" t="s">
        <v>718</v>
      </c>
      <c r="B102" s="94">
        <v>46043</v>
      </c>
      <c r="C102" t="s">
        <v>719</v>
      </c>
      <c r="D102" t="s">
        <v>720</v>
      </c>
      <c r="E102" t="s">
        <v>721</v>
      </c>
      <c r="F102" t="s">
        <v>69</v>
      </c>
      <c r="G102" t="s">
        <v>39</v>
      </c>
      <c r="H102" t="s">
        <v>722</v>
      </c>
      <c r="I102" t="s">
        <v>227</v>
      </c>
      <c r="J102" t="s">
        <v>219</v>
      </c>
      <c r="K102" t="s">
        <v>220</v>
      </c>
      <c r="L102" t="s">
        <v>62</v>
      </c>
      <c r="M102" t="s">
        <v>51</v>
      </c>
      <c r="N102" t="s">
        <v>52</v>
      </c>
      <c r="O102" t="s">
        <v>394</v>
      </c>
      <c r="P102">
        <v>9553412635</v>
      </c>
      <c r="Q102" t="s">
        <v>54</v>
      </c>
      <c r="R102" t="s">
        <v>73</v>
      </c>
      <c r="S102" t="s">
        <v>43</v>
      </c>
      <c r="T102" t="s">
        <v>43</v>
      </c>
      <c r="U102" t="s">
        <v>44</v>
      </c>
      <c r="V102" t="s">
        <v>91</v>
      </c>
      <c r="W102" t="s">
        <v>5060</v>
      </c>
      <c r="X102" t="s">
        <v>91</v>
      </c>
      <c r="Y102" t="s">
        <v>46</v>
      </c>
      <c r="Z102" t="s">
        <v>47</v>
      </c>
      <c r="AA102" t="s">
        <v>48</v>
      </c>
      <c r="AB102" t="s">
        <v>49</v>
      </c>
      <c r="AC102" t="s">
        <v>49</v>
      </c>
      <c r="AD102" t="s">
        <v>494</v>
      </c>
      <c r="AE102" t="s">
        <v>185</v>
      </c>
      <c r="AF102">
        <v>0</v>
      </c>
      <c r="AG102" t="s">
        <v>196</v>
      </c>
      <c r="AH102" s="93">
        <f>VLOOKUP(Table1[[#This Row],[Caste]],Factor!$H$1:$K$13,4,0)</f>
        <v>1.2612194085121222</v>
      </c>
      <c r="AI10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02">
        <f>Table1[[#This Row],[Factor_1]]*Table1[[#This Row],[2024 Factor]]</f>
        <v>0.92029223709519836</v>
      </c>
      <c r="AK102">
        <f>VLOOKUP(Table1[[#This Row],[Q18: Gender]],Factor!$A$33:$E$35,5,0)</f>
        <v>0.85034013605442171</v>
      </c>
      <c r="AL102">
        <f>VLOOKUP(Table1[[#This Row],[Taluka]],Factor!$A$42:$G$46,7,0)</f>
        <v>1.147984664167413</v>
      </c>
      <c r="AM102">
        <f>VLOOKUP(Table1[[#This Row],[Caste]]&amp;Table1[[#This Row],[Q18: Gender]],Factor!$W$1:$X$23,2,0)</f>
        <v>0.85249089649430487</v>
      </c>
      <c r="AN102">
        <f>VLOOKUP(Table1[[#This Row],[Taluka]]&amp;Table1[[#This Row],[Caste]]&amp;Table1[[#This Row],[Q18: Gender]],Factor!$AK$4:$AL$93,2,0)</f>
        <v>0.41451794778650441</v>
      </c>
      <c r="AO102">
        <f t="shared" si="11"/>
        <v>-1</v>
      </c>
      <c r="AP102">
        <f t="shared" si="12"/>
        <v>-1</v>
      </c>
      <c r="AQ102">
        <f t="shared" si="13"/>
        <v>1</v>
      </c>
      <c r="AR102">
        <f t="shared" si="14"/>
        <v>1</v>
      </c>
      <c r="AS102">
        <f t="shared" si="15"/>
        <v>-1</v>
      </c>
      <c r="AT102">
        <f t="shared" si="16"/>
        <v>-1</v>
      </c>
      <c r="AU102">
        <f t="shared" si="17"/>
        <v>-1.5</v>
      </c>
      <c r="AV102">
        <f>SUM(Table1[[#This Row],[Satis]:[29]])</f>
        <v>-2</v>
      </c>
      <c r="AW102">
        <f t="shared" si="18"/>
        <v>-1</v>
      </c>
      <c r="AX102">
        <f t="shared" si="19"/>
        <v>0</v>
      </c>
      <c r="AY102">
        <f t="shared" si="20"/>
        <v>-3</v>
      </c>
      <c r="AZ102" t="str">
        <f t="shared" si="21"/>
        <v>Neutral TDP</v>
      </c>
    </row>
    <row r="103" spans="1:52" x14ac:dyDescent="0.3">
      <c r="A103" t="s">
        <v>723</v>
      </c>
      <c r="B103" s="94">
        <v>46043</v>
      </c>
      <c r="C103" t="s">
        <v>724</v>
      </c>
      <c r="D103" t="s">
        <v>725</v>
      </c>
      <c r="E103" t="s">
        <v>726</v>
      </c>
      <c r="F103" t="s">
        <v>69</v>
      </c>
      <c r="G103" t="s">
        <v>39</v>
      </c>
      <c r="H103" t="s">
        <v>727</v>
      </c>
      <c r="I103" t="s">
        <v>229</v>
      </c>
      <c r="J103" t="s">
        <v>219</v>
      </c>
      <c r="K103" t="s">
        <v>220</v>
      </c>
      <c r="L103" t="s">
        <v>170</v>
      </c>
      <c r="M103" t="s">
        <v>51</v>
      </c>
      <c r="N103" t="s">
        <v>162</v>
      </c>
      <c r="O103" t="s">
        <v>728</v>
      </c>
      <c r="P103">
        <v>8886191937</v>
      </c>
      <c r="Q103" t="s">
        <v>54</v>
      </c>
      <c r="R103" t="s">
        <v>132</v>
      </c>
      <c r="S103" t="s">
        <v>89</v>
      </c>
      <c r="T103" t="s">
        <v>43</v>
      </c>
      <c r="U103" t="s">
        <v>90</v>
      </c>
      <c r="V103" t="s">
        <v>91</v>
      </c>
      <c r="W103" t="s">
        <v>5075</v>
      </c>
      <c r="X103" t="s">
        <v>91</v>
      </c>
      <c r="Y103" t="s">
        <v>638</v>
      </c>
      <c r="Z103" t="s">
        <v>92</v>
      </c>
      <c r="AA103" t="s">
        <v>92</v>
      </c>
      <c r="AB103" t="s">
        <v>93</v>
      </c>
      <c r="AC103" t="s">
        <v>94</v>
      </c>
      <c r="AD103" t="s">
        <v>494</v>
      </c>
      <c r="AE103" t="s">
        <v>185</v>
      </c>
      <c r="AF103">
        <v>0</v>
      </c>
      <c r="AG103" t="s">
        <v>196</v>
      </c>
      <c r="AH103" s="93">
        <f>VLOOKUP(Table1[[#This Row],[Caste]],Factor!$H$1:$K$13,4,0)</f>
        <v>1.1209668980183516</v>
      </c>
      <c r="AI103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103">
        <f>Table1[[#This Row],[Factor_1]]*Table1[[#This Row],[2024 Factor]]</f>
        <v>1.7479996739449526</v>
      </c>
      <c r="AK103">
        <f>VLOOKUP(Table1[[#This Row],[Q18: Gender]],Factor!$A$33:$E$35,5,0)</f>
        <v>0.85034013605442171</v>
      </c>
      <c r="AL103">
        <f>VLOOKUP(Table1[[#This Row],[Taluka]],Factor!$A$42:$G$46,7,0)</f>
        <v>1.147984664167413</v>
      </c>
      <c r="AM103">
        <f>VLOOKUP(Table1[[#This Row],[Caste]]&amp;Table1[[#This Row],[Q18: Gender]],Factor!$W$1:$X$23,2,0)</f>
        <v>0.96810777556130356</v>
      </c>
      <c r="AN103">
        <f>VLOOKUP(Table1[[#This Row],[Taluka]]&amp;Table1[[#This Row],[Caste]]&amp;Table1[[#This Row],[Q18: Gender]],Factor!$AK$4:$AL$93,2,0)</f>
        <v>0.30685005205910726</v>
      </c>
      <c r="AO103">
        <f t="shared" si="11"/>
        <v>-1</v>
      </c>
      <c r="AP103">
        <f t="shared" si="12"/>
        <v>1</v>
      </c>
      <c r="AQ103">
        <f t="shared" si="13"/>
        <v>1</v>
      </c>
      <c r="AR103">
        <f t="shared" si="14"/>
        <v>1</v>
      </c>
      <c r="AS103">
        <f t="shared" si="15"/>
        <v>1</v>
      </c>
      <c r="AT103">
        <f t="shared" si="16"/>
        <v>1</v>
      </c>
      <c r="AU103">
        <f t="shared" si="17"/>
        <v>3.5</v>
      </c>
      <c r="AV103">
        <f>SUM(Table1[[#This Row],[Satis]:[29]])</f>
        <v>4</v>
      </c>
      <c r="AW103">
        <f t="shared" si="18"/>
        <v>3</v>
      </c>
      <c r="AX103">
        <f t="shared" si="19"/>
        <v>4</v>
      </c>
      <c r="AY103">
        <f t="shared" si="20"/>
        <v>2</v>
      </c>
      <c r="AZ103" t="str">
        <f t="shared" si="21"/>
        <v>YSRCP Sympathiser</v>
      </c>
    </row>
    <row r="104" spans="1:52" x14ac:dyDescent="0.3">
      <c r="A104" t="s">
        <v>729</v>
      </c>
      <c r="B104" s="94">
        <v>46043</v>
      </c>
      <c r="C104" t="s">
        <v>730</v>
      </c>
      <c r="D104" t="s">
        <v>731</v>
      </c>
      <c r="E104" t="s">
        <v>661</v>
      </c>
      <c r="F104" t="s">
        <v>240</v>
      </c>
      <c r="G104" t="s">
        <v>39</v>
      </c>
      <c r="H104" t="s">
        <v>732</v>
      </c>
      <c r="I104" t="s">
        <v>228</v>
      </c>
      <c r="J104" t="s">
        <v>37</v>
      </c>
      <c r="K104" t="s">
        <v>211</v>
      </c>
      <c r="L104" t="s">
        <v>62</v>
      </c>
      <c r="M104" t="s">
        <v>51</v>
      </c>
      <c r="N104" t="s">
        <v>52</v>
      </c>
      <c r="O104" t="s">
        <v>733</v>
      </c>
      <c r="P104">
        <v>9999999999</v>
      </c>
      <c r="Q104" t="s">
        <v>54</v>
      </c>
      <c r="R104" t="s">
        <v>61</v>
      </c>
      <c r="S104" t="s">
        <v>43</v>
      </c>
      <c r="T104" t="s">
        <v>43</v>
      </c>
      <c r="U104" t="s">
        <v>44</v>
      </c>
      <c r="V104" t="s">
        <v>45</v>
      </c>
      <c r="W104" t="s">
        <v>5069</v>
      </c>
      <c r="X104" t="s">
        <v>45</v>
      </c>
      <c r="Y104" t="s">
        <v>46</v>
      </c>
      <c r="Z104" t="s">
        <v>47</v>
      </c>
      <c r="AA104" t="s">
        <v>48</v>
      </c>
      <c r="AB104" t="s">
        <v>49</v>
      </c>
      <c r="AC104" t="s">
        <v>49</v>
      </c>
      <c r="AD104" t="s">
        <v>481</v>
      </c>
      <c r="AE104" t="s">
        <v>189</v>
      </c>
      <c r="AF104" t="s">
        <v>1218</v>
      </c>
      <c r="AG104" t="s">
        <v>196</v>
      </c>
      <c r="AH104" s="93">
        <f>VLOOKUP(Table1[[#This Row],[Caste]],Factor!$H$1:$K$13,4,0)</f>
        <v>0.80207032429970992</v>
      </c>
      <c r="AI10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04">
        <f>Table1[[#This Row],[Factor_1]]*Table1[[#This Row],[2024 Factor]]</f>
        <v>0.65595572330316032</v>
      </c>
      <c r="AK104">
        <f>VLOOKUP(Table1[[#This Row],[Q18: Gender]],Factor!$A$33:$E$35,5,0)</f>
        <v>0.85034013605442171</v>
      </c>
      <c r="AL104">
        <f>VLOOKUP(Table1[[#This Row],[Taluka]],Factor!$A$42:$G$46,7,0)</f>
        <v>0.75433779645928134</v>
      </c>
      <c r="AM104">
        <f>VLOOKUP(Table1[[#This Row],[Caste]]&amp;Table1[[#This Row],[Q18: Gender]],Factor!$W$1:$X$23,2,0)</f>
        <v>0.60762903356038633</v>
      </c>
      <c r="AN104">
        <f>VLOOKUP(Table1[[#This Row],[Taluka]]&amp;Table1[[#This Row],[Caste]]&amp;Table1[[#This Row],[Q18: Gender]],Factor!$AK$4:$AL$93,2,0)</f>
        <v>0.22537440548651508</v>
      </c>
      <c r="AO104">
        <f t="shared" si="11"/>
        <v>-1</v>
      </c>
      <c r="AP104">
        <f t="shared" si="12"/>
        <v>-1</v>
      </c>
      <c r="AQ104">
        <f t="shared" si="13"/>
        <v>-1</v>
      </c>
      <c r="AR104">
        <f t="shared" si="14"/>
        <v>-1</v>
      </c>
      <c r="AS104">
        <f t="shared" si="15"/>
        <v>-1</v>
      </c>
      <c r="AT104">
        <f t="shared" si="16"/>
        <v>-1</v>
      </c>
      <c r="AU104">
        <f t="shared" si="17"/>
        <v>-5.5</v>
      </c>
      <c r="AV104">
        <f>SUM(Table1[[#This Row],[Satis]:[29]])</f>
        <v>-6</v>
      </c>
      <c r="AW104">
        <f t="shared" si="18"/>
        <v>-5</v>
      </c>
      <c r="AX104">
        <f t="shared" si="19"/>
        <v>-4</v>
      </c>
      <c r="AY104">
        <f t="shared" si="20"/>
        <v>-3</v>
      </c>
      <c r="AZ104" t="str">
        <f t="shared" si="21"/>
        <v>TDP HardCore</v>
      </c>
    </row>
    <row r="105" spans="1:52" x14ac:dyDescent="0.3">
      <c r="A105" t="s">
        <v>734</v>
      </c>
      <c r="B105" s="94">
        <v>46043</v>
      </c>
      <c r="C105" t="s">
        <v>735</v>
      </c>
      <c r="D105" t="s">
        <v>736</v>
      </c>
      <c r="E105" t="s">
        <v>669</v>
      </c>
      <c r="F105" t="s">
        <v>69</v>
      </c>
      <c r="G105" t="s">
        <v>39</v>
      </c>
      <c r="H105" t="s">
        <v>737</v>
      </c>
      <c r="I105" t="s">
        <v>70</v>
      </c>
      <c r="J105" t="s">
        <v>219</v>
      </c>
      <c r="K105" t="s">
        <v>220</v>
      </c>
      <c r="L105" t="s">
        <v>82</v>
      </c>
      <c r="M105" t="s">
        <v>51</v>
      </c>
      <c r="N105" t="s">
        <v>52</v>
      </c>
      <c r="O105" t="s">
        <v>738</v>
      </c>
      <c r="P105">
        <v>9999999999</v>
      </c>
      <c r="Q105" t="s">
        <v>54</v>
      </c>
      <c r="R105" t="s">
        <v>73</v>
      </c>
      <c r="S105" t="s">
        <v>43</v>
      </c>
      <c r="T105" t="s">
        <v>43</v>
      </c>
      <c r="U105" t="s">
        <v>44</v>
      </c>
      <c r="V105" t="s">
        <v>91</v>
      </c>
      <c r="W105" t="s">
        <v>5075</v>
      </c>
      <c r="X105" t="s">
        <v>91</v>
      </c>
      <c r="Y105" t="s">
        <v>46</v>
      </c>
      <c r="Z105" t="s">
        <v>92</v>
      </c>
      <c r="AA105" t="s">
        <v>92</v>
      </c>
      <c r="AB105" t="s">
        <v>93</v>
      </c>
      <c r="AC105" t="s">
        <v>94</v>
      </c>
      <c r="AD105" t="s">
        <v>494</v>
      </c>
      <c r="AE105" t="s">
        <v>189</v>
      </c>
      <c r="AF105" t="s">
        <v>1227</v>
      </c>
      <c r="AG105" t="s">
        <v>196</v>
      </c>
      <c r="AH105" s="93">
        <f>VLOOKUP(Table1[[#This Row],[Caste]],Factor!$H$1:$K$13,4,0)</f>
        <v>1.3836274505214585</v>
      </c>
      <c r="AI105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105">
        <f>Table1[[#This Row],[Factor_1]]*Table1[[#This Row],[2024 Factor]]</f>
        <v>1.9482662206881376</v>
      </c>
      <c r="AK105">
        <f>VLOOKUP(Table1[[#This Row],[Q18: Gender]],Factor!$A$33:$E$35,5,0)</f>
        <v>0.85034013605442171</v>
      </c>
      <c r="AL105">
        <f>VLOOKUP(Table1[[#This Row],[Taluka]],Factor!$A$42:$G$46,7,0)</f>
        <v>1.147984664167413</v>
      </c>
      <c r="AM105">
        <f>VLOOKUP(Table1[[#This Row],[Caste]]&amp;Table1[[#This Row],[Q18: Gender]],Factor!$W$1:$X$23,2,0)</f>
        <v>1.0790228998469584</v>
      </c>
      <c r="AN105">
        <f>VLOOKUP(Table1[[#This Row],[Taluka]]&amp;Table1[[#This Row],[Caste]]&amp;Table1[[#This Row],[Q18: Gender]],Factor!$AK$4:$AL$93,2,0)</f>
        <v>1.1572915102003449</v>
      </c>
      <c r="AO105">
        <f t="shared" si="11"/>
        <v>-1</v>
      </c>
      <c r="AP105">
        <f t="shared" si="12"/>
        <v>-1</v>
      </c>
      <c r="AQ105">
        <f t="shared" si="13"/>
        <v>1</v>
      </c>
      <c r="AR105">
        <f t="shared" si="14"/>
        <v>1</v>
      </c>
      <c r="AS105">
        <f t="shared" si="15"/>
        <v>1</v>
      </c>
      <c r="AT105">
        <f t="shared" si="16"/>
        <v>1</v>
      </c>
      <c r="AU105">
        <f t="shared" si="17"/>
        <v>1.5</v>
      </c>
      <c r="AV105">
        <f>SUM(Table1[[#This Row],[Satis]:[29]])</f>
        <v>2</v>
      </c>
      <c r="AW105">
        <f t="shared" si="18"/>
        <v>3</v>
      </c>
      <c r="AX105">
        <f t="shared" si="19"/>
        <v>4</v>
      </c>
      <c r="AY105">
        <f t="shared" si="20"/>
        <v>2</v>
      </c>
      <c r="AZ105" t="str">
        <f t="shared" si="21"/>
        <v>YSRCP Sympathiser</v>
      </c>
    </row>
    <row r="106" spans="1:52" x14ac:dyDescent="0.3">
      <c r="A106" t="s">
        <v>739</v>
      </c>
      <c r="B106" s="94">
        <v>46043</v>
      </c>
      <c r="C106" t="s">
        <v>740</v>
      </c>
      <c r="D106" t="s">
        <v>741</v>
      </c>
      <c r="E106" t="s">
        <v>661</v>
      </c>
      <c r="F106" t="s">
        <v>240</v>
      </c>
      <c r="G106" t="s">
        <v>39</v>
      </c>
      <c r="H106" t="s">
        <v>742</v>
      </c>
      <c r="I106" t="s">
        <v>228</v>
      </c>
      <c r="J106" t="s">
        <v>37</v>
      </c>
      <c r="K106" t="s">
        <v>211</v>
      </c>
      <c r="L106" t="s">
        <v>62</v>
      </c>
      <c r="M106" t="s">
        <v>51</v>
      </c>
      <c r="N106" t="s">
        <v>52</v>
      </c>
      <c r="O106" t="s">
        <v>743</v>
      </c>
      <c r="P106">
        <v>7285905233</v>
      </c>
      <c r="Q106" t="s">
        <v>445</v>
      </c>
      <c r="R106" t="s">
        <v>61</v>
      </c>
      <c r="S106" t="s">
        <v>89</v>
      </c>
      <c r="T106" t="s">
        <v>89</v>
      </c>
      <c r="U106" t="s">
        <v>90</v>
      </c>
      <c r="V106" t="s">
        <v>91</v>
      </c>
      <c r="W106" t="s">
        <v>5055</v>
      </c>
      <c r="X106" t="s">
        <v>91</v>
      </c>
      <c r="Y106" t="s">
        <v>46</v>
      </c>
      <c r="Z106" t="s">
        <v>242</v>
      </c>
      <c r="AA106" t="s">
        <v>48</v>
      </c>
      <c r="AB106" t="s">
        <v>49</v>
      </c>
      <c r="AC106" t="s">
        <v>49</v>
      </c>
      <c r="AD106" t="s">
        <v>481</v>
      </c>
      <c r="AE106" t="s">
        <v>185</v>
      </c>
      <c r="AF106">
        <v>0</v>
      </c>
      <c r="AG106" t="s">
        <v>196</v>
      </c>
      <c r="AH106" s="93">
        <f>VLOOKUP(Table1[[#This Row],[Caste]],Factor!$H$1:$K$13,4,0)</f>
        <v>0.80207032429970992</v>
      </c>
      <c r="AI10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06">
        <f>Table1[[#This Row],[Factor_1]]*Table1[[#This Row],[2024 Factor]]</f>
        <v>1.2733258158237817</v>
      </c>
      <c r="AK106">
        <f>VLOOKUP(Table1[[#This Row],[Q18: Gender]],Factor!$A$33:$E$35,5,0)</f>
        <v>2.1645021645021645</v>
      </c>
      <c r="AL106">
        <f>VLOOKUP(Table1[[#This Row],[Taluka]],Factor!$A$42:$G$46,7,0)</f>
        <v>0.75433779645928134</v>
      </c>
      <c r="AM106">
        <f>VLOOKUP(Table1[[#This Row],[Caste]]&amp;Table1[[#This Row],[Q18: Gender]],Factor!$W$1:$X$23,2,0)</f>
        <v>1.1795151827936912</v>
      </c>
      <c r="AN106">
        <f>VLOOKUP(Table1[[#This Row],[Taluka]]&amp;Table1[[#This Row],[Caste]]&amp;Table1[[#This Row],[Q18: Gender]],Factor!$AK$4:$AL$93,2,0)</f>
        <v>0.37562400914419181</v>
      </c>
      <c r="AO106">
        <f t="shared" si="11"/>
        <v>1</v>
      </c>
      <c r="AP106">
        <f t="shared" si="12"/>
        <v>1</v>
      </c>
      <c r="AQ106">
        <f t="shared" si="13"/>
        <v>1</v>
      </c>
      <c r="AR106">
        <f t="shared" si="14"/>
        <v>1</v>
      </c>
      <c r="AS106">
        <f t="shared" si="15"/>
        <v>-1</v>
      </c>
      <c r="AT106">
        <f t="shared" si="16"/>
        <v>-1</v>
      </c>
      <c r="AU106">
        <f t="shared" si="17"/>
        <v>2.5</v>
      </c>
      <c r="AV106">
        <f>SUM(Table1[[#This Row],[Satis]:[29]])</f>
        <v>2</v>
      </c>
      <c r="AW106">
        <f t="shared" si="18"/>
        <v>1</v>
      </c>
      <c r="AX106">
        <f t="shared" si="19"/>
        <v>0</v>
      </c>
      <c r="AY106">
        <f t="shared" si="20"/>
        <v>-2</v>
      </c>
      <c r="AZ106" t="str">
        <f t="shared" si="21"/>
        <v>Neutral TDP</v>
      </c>
    </row>
    <row r="107" spans="1:52" x14ac:dyDescent="0.3">
      <c r="A107" t="s">
        <v>744</v>
      </c>
      <c r="B107" s="94">
        <v>46043</v>
      </c>
      <c r="C107" t="s">
        <v>745</v>
      </c>
      <c r="D107" t="s">
        <v>746</v>
      </c>
      <c r="E107" t="s">
        <v>661</v>
      </c>
      <c r="F107" t="s">
        <v>240</v>
      </c>
      <c r="G107" t="s">
        <v>39</v>
      </c>
      <c r="H107" t="s">
        <v>747</v>
      </c>
      <c r="I107" t="s">
        <v>70</v>
      </c>
      <c r="J107" t="s">
        <v>37</v>
      </c>
      <c r="K107" t="s">
        <v>211</v>
      </c>
      <c r="L107" t="s">
        <v>62</v>
      </c>
      <c r="M107" t="s">
        <v>51</v>
      </c>
      <c r="N107" t="s">
        <v>52</v>
      </c>
      <c r="O107" t="s">
        <v>748</v>
      </c>
      <c r="P107">
        <v>7993189141</v>
      </c>
      <c r="Q107" t="s">
        <v>445</v>
      </c>
      <c r="R107" t="s">
        <v>61</v>
      </c>
      <c r="S107" t="s">
        <v>43</v>
      </c>
      <c r="T107" t="s">
        <v>89</v>
      </c>
      <c r="U107" t="s">
        <v>90</v>
      </c>
      <c r="V107" t="s">
        <v>91</v>
      </c>
      <c r="W107" t="s">
        <v>5041</v>
      </c>
      <c r="X107" t="s">
        <v>91</v>
      </c>
      <c r="Y107" t="s">
        <v>46</v>
      </c>
      <c r="Z107" t="s">
        <v>92</v>
      </c>
      <c r="AA107" t="s">
        <v>92</v>
      </c>
      <c r="AB107" t="s">
        <v>93</v>
      </c>
      <c r="AC107" t="s">
        <v>148</v>
      </c>
      <c r="AD107" t="s">
        <v>481</v>
      </c>
      <c r="AE107" t="s">
        <v>189</v>
      </c>
      <c r="AF107" t="s">
        <v>1212</v>
      </c>
      <c r="AG107" t="s">
        <v>196</v>
      </c>
      <c r="AH107" s="93">
        <f>VLOOKUP(Table1[[#This Row],[Caste]],Factor!$H$1:$K$13,4,0)</f>
        <v>1.3836274505214585</v>
      </c>
      <c r="AI107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107">
        <f>Table1[[#This Row],[Factor_1]]*Table1[[#This Row],[2024 Factor]]</f>
        <v>3.4809023142961388</v>
      </c>
      <c r="AK107">
        <f>VLOOKUP(Table1[[#This Row],[Q18: Gender]],Factor!$A$33:$E$35,5,0)</f>
        <v>2.1645021645021645</v>
      </c>
      <c r="AL107">
        <f>VLOOKUP(Table1[[#This Row],[Taluka]],Factor!$A$42:$G$46,7,0)</f>
        <v>0.75433779645928134</v>
      </c>
      <c r="AM107">
        <f>VLOOKUP(Table1[[#This Row],[Caste]]&amp;Table1[[#This Row],[Q18: Gender]],Factor!$W$1:$X$23,2,0)</f>
        <v>1.9278542477265657</v>
      </c>
      <c r="AN107">
        <f>VLOOKUP(Table1[[#This Row],[Taluka]]&amp;Table1[[#This Row],[Caste]]&amp;Table1[[#This Row],[Q18: Gender]],Factor!$AK$4:$AL$93,2,0)</f>
        <v>0.95595770048639872</v>
      </c>
      <c r="AO107">
        <f t="shared" si="11"/>
        <v>1</v>
      </c>
      <c r="AP107">
        <f t="shared" si="12"/>
        <v>1</v>
      </c>
      <c r="AQ107">
        <f t="shared" si="13"/>
        <v>1</v>
      </c>
      <c r="AR107">
        <f t="shared" si="14"/>
        <v>1</v>
      </c>
      <c r="AS107">
        <f t="shared" si="15"/>
        <v>1</v>
      </c>
      <c r="AT107">
        <f t="shared" si="16"/>
        <v>1</v>
      </c>
      <c r="AU107">
        <f t="shared" si="17"/>
        <v>5.5</v>
      </c>
      <c r="AV107">
        <f>SUM(Table1[[#This Row],[Satis]:[29]])</f>
        <v>6</v>
      </c>
      <c r="AW107">
        <f t="shared" si="18"/>
        <v>5</v>
      </c>
      <c r="AX107">
        <f t="shared" si="19"/>
        <v>4</v>
      </c>
      <c r="AY107">
        <f t="shared" si="20"/>
        <v>3</v>
      </c>
      <c r="AZ107" t="str">
        <f t="shared" si="21"/>
        <v>YSRCP HardCore</v>
      </c>
    </row>
    <row r="108" spans="1:52" x14ac:dyDescent="0.3">
      <c r="A108" t="s">
        <v>749</v>
      </c>
      <c r="B108" s="94">
        <v>46043</v>
      </c>
      <c r="C108" t="s">
        <v>750</v>
      </c>
      <c r="D108" t="s">
        <v>751</v>
      </c>
      <c r="E108" t="s">
        <v>726</v>
      </c>
      <c r="F108" t="s">
        <v>69</v>
      </c>
      <c r="G108" t="s">
        <v>39</v>
      </c>
      <c r="H108" t="s">
        <v>752</v>
      </c>
      <c r="I108" t="s">
        <v>59</v>
      </c>
      <c r="J108" t="s">
        <v>219</v>
      </c>
      <c r="K108" t="s">
        <v>220</v>
      </c>
      <c r="L108" t="s">
        <v>62</v>
      </c>
      <c r="M108" t="s">
        <v>51</v>
      </c>
      <c r="N108" t="s">
        <v>52</v>
      </c>
      <c r="O108" t="s">
        <v>753</v>
      </c>
      <c r="P108">
        <v>9849006551</v>
      </c>
      <c r="Q108" t="s">
        <v>445</v>
      </c>
      <c r="R108" t="s">
        <v>73</v>
      </c>
      <c r="S108" t="s">
        <v>89</v>
      </c>
      <c r="T108" t="s">
        <v>89</v>
      </c>
      <c r="U108" t="s">
        <v>90</v>
      </c>
      <c r="V108" t="s">
        <v>91</v>
      </c>
      <c r="W108" t="s">
        <v>5075</v>
      </c>
      <c r="X108" t="s">
        <v>45</v>
      </c>
      <c r="Y108" t="s">
        <v>638</v>
      </c>
      <c r="Z108" t="s">
        <v>92</v>
      </c>
      <c r="AA108" t="s">
        <v>48</v>
      </c>
      <c r="AB108" t="s">
        <v>49</v>
      </c>
      <c r="AC108" t="s">
        <v>49</v>
      </c>
      <c r="AD108" t="s">
        <v>494</v>
      </c>
      <c r="AE108" t="s">
        <v>185</v>
      </c>
      <c r="AF108" t="s">
        <v>1228</v>
      </c>
      <c r="AG108" t="s">
        <v>196</v>
      </c>
      <c r="AH108" s="93">
        <f>VLOOKUP(Table1[[#This Row],[Caste]],Factor!$H$1:$K$13,4,0)</f>
        <v>1.1461625511156397</v>
      </c>
      <c r="AI10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08">
        <f>Table1[[#This Row],[Factor_1]]*Table1[[#This Row],[2024 Factor]]</f>
        <v>3.0326483876590018</v>
      </c>
      <c r="AK108">
        <f>VLOOKUP(Table1[[#This Row],[Q18: Gender]],Factor!$A$33:$E$35,5,0)</f>
        <v>2.1645021645021645</v>
      </c>
      <c r="AL108">
        <f>VLOOKUP(Table1[[#This Row],[Taluka]],Factor!$A$42:$G$46,7,0)</f>
        <v>1.147984664167413</v>
      </c>
      <c r="AM108">
        <f>VLOOKUP(Table1[[#This Row],[Caste]]&amp;Table1[[#This Row],[Q18: Gender]],Factor!$W$1:$X$23,2,0)</f>
        <v>2.8092219390089208</v>
      </c>
      <c r="AN108">
        <f>VLOOKUP(Table1[[#This Row],[Taluka]]&amp;Table1[[#This Row],[Caste]]&amp;Table1[[#This Row],[Q18: Gender]],Factor!$AK$4:$AL$93,2,0)</f>
        <v>2.2934724643212636</v>
      </c>
      <c r="AO108">
        <f t="shared" si="11"/>
        <v>1</v>
      </c>
      <c r="AP108">
        <f t="shared" si="12"/>
        <v>1</v>
      </c>
      <c r="AQ108">
        <f t="shared" si="13"/>
        <v>1</v>
      </c>
      <c r="AR108">
        <f t="shared" si="14"/>
        <v>-1</v>
      </c>
      <c r="AS108">
        <f t="shared" si="15"/>
        <v>-1</v>
      </c>
      <c r="AT108">
        <f t="shared" si="16"/>
        <v>1</v>
      </c>
      <c r="AU108">
        <f t="shared" si="17"/>
        <v>2.5</v>
      </c>
      <c r="AV108">
        <f>SUM(Table1[[#This Row],[Satis]:[29]])</f>
        <v>2</v>
      </c>
      <c r="AW108">
        <f t="shared" si="18"/>
        <v>1</v>
      </c>
      <c r="AX108">
        <f t="shared" si="19"/>
        <v>0</v>
      </c>
      <c r="AY108">
        <f t="shared" si="20"/>
        <v>2</v>
      </c>
      <c r="AZ108" t="str">
        <f t="shared" si="21"/>
        <v>Neutral YSRCP</v>
      </c>
    </row>
    <row r="109" spans="1:52" x14ac:dyDescent="0.3">
      <c r="A109" t="s">
        <v>754</v>
      </c>
      <c r="B109" s="94">
        <v>46043</v>
      </c>
      <c r="C109" t="s">
        <v>755</v>
      </c>
      <c r="D109" t="s">
        <v>756</v>
      </c>
      <c r="E109" t="s">
        <v>726</v>
      </c>
      <c r="F109" t="s">
        <v>69</v>
      </c>
      <c r="G109" t="s">
        <v>39</v>
      </c>
      <c r="H109" t="s">
        <v>757</v>
      </c>
      <c r="I109" t="s">
        <v>70</v>
      </c>
      <c r="J109" t="s">
        <v>219</v>
      </c>
      <c r="K109" t="s">
        <v>220</v>
      </c>
      <c r="L109" t="s">
        <v>82</v>
      </c>
      <c r="M109" t="s">
        <v>51</v>
      </c>
      <c r="N109" t="s">
        <v>52</v>
      </c>
      <c r="O109" t="s">
        <v>758</v>
      </c>
      <c r="P109">
        <v>9959404360</v>
      </c>
      <c r="Q109" t="s">
        <v>54</v>
      </c>
      <c r="R109" t="s">
        <v>139</v>
      </c>
      <c r="S109" t="s">
        <v>43</v>
      </c>
      <c r="T109" t="s">
        <v>89</v>
      </c>
      <c r="U109" t="s">
        <v>90</v>
      </c>
      <c r="V109" t="s">
        <v>91</v>
      </c>
      <c r="W109" t="s">
        <v>5055</v>
      </c>
      <c r="X109" t="s">
        <v>91</v>
      </c>
      <c r="Y109" t="s">
        <v>46</v>
      </c>
      <c r="Z109" t="s">
        <v>92</v>
      </c>
      <c r="AA109" t="s">
        <v>92</v>
      </c>
      <c r="AB109" t="s">
        <v>147</v>
      </c>
      <c r="AC109" t="s">
        <v>94</v>
      </c>
      <c r="AD109" t="s">
        <v>494</v>
      </c>
      <c r="AE109" t="s">
        <v>191</v>
      </c>
      <c r="AF109">
        <v>0</v>
      </c>
      <c r="AG109" t="s">
        <v>498</v>
      </c>
      <c r="AH109" s="93">
        <f>VLOOKUP(Table1[[#This Row],[Caste]],Factor!$H$1:$K$13,4,0)</f>
        <v>1.3836274505214585</v>
      </c>
      <c r="AI109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109">
        <f>Table1[[#This Row],[Factor_1]]*Table1[[#This Row],[2024 Factor]]</f>
        <v>1.9482662206881376</v>
      </c>
      <c r="AK109">
        <f>VLOOKUP(Table1[[#This Row],[Q18: Gender]],Factor!$A$33:$E$35,5,0)</f>
        <v>0.85034013605442171</v>
      </c>
      <c r="AL109">
        <f>VLOOKUP(Table1[[#This Row],[Taluka]],Factor!$A$42:$G$46,7,0)</f>
        <v>1.147984664167413</v>
      </c>
      <c r="AM109">
        <f>VLOOKUP(Table1[[#This Row],[Caste]]&amp;Table1[[#This Row],[Q18: Gender]],Factor!$W$1:$X$23,2,0)</f>
        <v>1.0790228998469584</v>
      </c>
      <c r="AN109">
        <f>VLOOKUP(Table1[[#This Row],[Taluka]]&amp;Table1[[#This Row],[Caste]]&amp;Table1[[#This Row],[Q18: Gender]],Factor!$AK$4:$AL$93,2,0)</f>
        <v>1.1572915102003449</v>
      </c>
      <c r="AO109">
        <f t="shared" si="11"/>
        <v>1</v>
      </c>
      <c r="AP109">
        <f t="shared" si="12"/>
        <v>1</v>
      </c>
      <c r="AQ109">
        <f t="shared" si="13"/>
        <v>1</v>
      </c>
      <c r="AR109">
        <f t="shared" si="14"/>
        <v>1</v>
      </c>
      <c r="AS109">
        <f t="shared" si="15"/>
        <v>1</v>
      </c>
      <c r="AT109">
        <f t="shared" si="16"/>
        <v>1</v>
      </c>
      <c r="AU109">
        <f t="shared" si="17"/>
        <v>5.5</v>
      </c>
      <c r="AV109">
        <f>SUM(Table1[[#This Row],[Satis]:[29]])</f>
        <v>6</v>
      </c>
      <c r="AW109">
        <f t="shared" si="18"/>
        <v>5</v>
      </c>
      <c r="AX109">
        <f t="shared" si="19"/>
        <v>4</v>
      </c>
      <c r="AY109">
        <f t="shared" si="20"/>
        <v>3</v>
      </c>
      <c r="AZ109" t="str">
        <f t="shared" si="21"/>
        <v>YSRCP HardCore</v>
      </c>
    </row>
    <row r="110" spans="1:52" x14ac:dyDescent="0.3">
      <c r="A110" t="s">
        <v>759</v>
      </c>
      <c r="B110" s="94">
        <v>46043</v>
      </c>
      <c r="C110" t="s">
        <v>760</v>
      </c>
      <c r="D110" t="s">
        <v>761</v>
      </c>
      <c r="E110" t="s">
        <v>762</v>
      </c>
      <c r="F110" t="s">
        <v>240</v>
      </c>
      <c r="G110" t="s">
        <v>39</v>
      </c>
      <c r="H110" t="s">
        <v>763</v>
      </c>
      <c r="I110" t="s">
        <v>159</v>
      </c>
      <c r="J110" t="s">
        <v>37</v>
      </c>
      <c r="K110" t="s">
        <v>211</v>
      </c>
      <c r="L110" t="s">
        <v>75</v>
      </c>
      <c r="M110" t="s">
        <v>51</v>
      </c>
      <c r="N110" t="s">
        <v>52</v>
      </c>
      <c r="O110" t="s">
        <v>764</v>
      </c>
      <c r="P110">
        <v>7702951135</v>
      </c>
      <c r="Q110" t="s">
        <v>54</v>
      </c>
      <c r="R110" t="s">
        <v>61</v>
      </c>
      <c r="S110" t="s">
        <v>43</v>
      </c>
      <c r="T110" t="s">
        <v>43</v>
      </c>
      <c r="U110" t="s">
        <v>44</v>
      </c>
      <c r="V110" t="s">
        <v>45</v>
      </c>
      <c r="W110" t="s">
        <v>5077</v>
      </c>
      <c r="X110" t="s">
        <v>45</v>
      </c>
      <c r="Y110" t="s">
        <v>46</v>
      </c>
      <c r="Z110" t="s">
        <v>47</v>
      </c>
      <c r="AA110" t="s">
        <v>48</v>
      </c>
      <c r="AB110" t="s">
        <v>49</v>
      </c>
      <c r="AC110" t="s">
        <v>49</v>
      </c>
      <c r="AD110" t="s">
        <v>481</v>
      </c>
      <c r="AE110" t="s">
        <v>185</v>
      </c>
      <c r="AF110">
        <v>0</v>
      </c>
      <c r="AG110" t="s">
        <v>196</v>
      </c>
      <c r="AH110" s="93">
        <f>VLOOKUP(Table1[[#This Row],[Caste]],Factor!$H$1:$K$13,4,0)</f>
        <v>2.1852575402829908</v>
      </c>
      <c r="AI11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10">
        <f>Table1[[#This Row],[Factor_1]]*Table1[[#This Row],[2024 Factor]]</f>
        <v>1.7037641797963405</v>
      </c>
      <c r="AK110">
        <f>VLOOKUP(Table1[[#This Row],[Q18: Gender]],Factor!$A$33:$E$35,5,0)</f>
        <v>0.85034013605442171</v>
      </c>
      <c r="AL110">
        <f>VLOOKUP(Table1[[#This Row],[Taluka]],Factor!$A$42:$G$46,7,0)</f>
        <v>0.75433779645928134</v>
      </c>
      <c r="AM110">
        <f>VLOOKUP(Table1[[#This Row],[Caste]]&amp;Table1[[#This Row],[Q18: Gender]],Factor!$W$1:$X$23,2,0)</f>
        <v>1.5782415568710491</v>
      </c>
      <c r="AN110">
        <f>VLOOKUP(Table1[[#This Row],[Taluka]]&amp;Table1[[#This Row],[Caste]]&amp;Table1[[#This Row],[Q18: Gender]],Factor!$AK$4:$AL$93,2,0)</f>
        <v>0.79824852668382895</v>
      </c>
      <c r="AO110">
        <f t="shared" si="11"/>
        <v>-1</v>
      </c>
      <c r="AP110">
        <f t="shared" si="12"/>
        <v>-1</v>
      </c>
      <c r="AQ110">
        <f t="shared" si="13"/>
        <v>-1</v>
      </c>
      <c r="AR110">
        <f t="shared" si="14"/>
        <v>-1</v>
      </c>
      <c r="AS110">
        <f t="shared" si="15"/>
        <v>-1</v>
      </c>
      <c r="AT110">
        <f t="shared" si="16"/>
        <v>-1</v>
      </c>
      <c r="AU110">
        <f t="shared" si="17"/>
        <v>-5.5</v>
      </c>
      <c r="AV110">
        <f>SUM(Table1[[#This Row],[Satis]:[29]])</f>
        <v>-6</v>
      </c>
      <c r="AW110">
        <f t="shared" si="18"/>
        <v>-5</v>
      </c>
      <c r="AX110">
        <f t="shared" si="19"/>
        <v>-4</v>
      </c>
      <c r="AY110">
        <f t="shared" si="20"/>
        <v>-3</v>
      </c>
      <c r="AZ110" t="str">
        <f t="shared" si="21"/>
        <v>TDP HardCore</v>
      </c>
    </row>
    <row r="111" spans="1:52" x14ac:dyDescent="0.3">
      <c r="A111" t="s">
        <v>765</v>
      </c>
      <c r="B111" s="94">
        <v>46043</v>
      </c>
      <c r="C111" t="s">
        <v>766</v>
      </c>
      <c r="D111" t="s">
        <v>767</v>
      </c>
      <c r="E111" t="s">
        <v>768</v>
      </c>
      <c r="F111" t="s">
        <v>69</v>
      </c>
      <c r="G111" t="s">
        <v>39</v>
      </c>
      <c r="H111" t="s">
        <v>769</v>
      </c>
      <c r="I111" t="s">
        <v>59</v>
      </c>
      <c r="J111" t="s">
        <v>219</v>
      </c>
      <c r="K111" t="s">
        <v>220</v>
      </c>
      <c r="L111" t="s">
        <v>62</v>
      </c>
      <c r="M111" t="s">
        <v>51</v>
      </c>
      <c r="N111" t="s">
        <v>107</v>
      </c>
      <c r="O111" t="s">
        <v>770</v>
      </c>
      <c r="P111">
        <v>9491324087</v>
      </c>
      <c r="Q111" t="s">
        <v>54</v>
      </c>
      <c r="R111" t="s">
        <v>73</v>
      </c>
      <c r="S111" t="s">
        <v>43</v>
      </c>
      <c r="T111" t="s">
        <v>43</v>
      </c>
      <c r="U111" t="s">
        <v>44</v>
      </c>
      <c r="V111" t="s">
        <v>91</v>
      </c>
      <c r="W111" t="s">
        <v>5072</v>
      </c>
      <c r="X111" t="s">
        <v>45</v>
      </c>
      <c r="Y111" t="s">
        <v>46</v>
      </c>
      <c r="Z111" t="s">
        <v>47</v>
      </c>
      <c r="AA111" t="s">
        <v>48</v>
      </c>
      <c r="AB111" t="s">
        <v>49</v>
      </c>
      <c r="AC111" t="s">
        <v>49</v>
      </c>
      <c r="AD111" t="s">
        <v>494</v>
      </c>
      <c r="AE111" t="s">
        <v>189</v>
      </c>
      <c r="AF111" t="s">
        <v>1229</v>
      </c>
      <c r="AG111" t="s">
        <v>196</v>
      </c>
      <c r="AH111" s="93">
        <f>VLOOKUP(Table1[[#This Row],[Caste]],Factor!$H$1:$K$13,4,0)</f>
        <v>1.1461625511156397</v>
      </c>
      <c r="AI11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11">
        <f>Table1[[#This Row],[Factor_1]]*Table1[[#This Row],[2024 Factor]]</f>
        <v>0.77721139583220644</v>
      </c>
      <c r="AK111">
        <f>VLOOKUP(Table1[[#This Row],[Q18: Gender]],Factor!$A$33:$E$35,5,0)</f>
        <v>0.85034013605442171</v>
      </c>
      <c r="AL111">
        <f>VLOOKUP(Table1[[#This Row],[Taluka]],Factor!$A$42:$G$46,7,0)</f>
        <v>1.147984664167413</v>
      </c>
      <c r="AM111">
        <f>VLOOKUP(Table1[[#This Row],[Caste]]&amp;Table1[[#This Row],[Q18: Gender]],Factor!$W$1:$X$23,2,0)</f>
        <v>0.71995135120329123</v>
      </c>
      <c r="AN111">
        <f>VLOOKUP(Table1[[#This Row],[Taluka]]&amp;Table1[[#This Row],[Caste]]&amp;Table1[[#This Row],[Q18: Gender]],Factor!$AK$4:$AL$93,2,0)</f>
        <v>0.54319084681293095</v>
      </c>
      <c r="AO111">
        <f t="shared" si="11"/>
        <v>-1</v>
      </c>
      <c r="AP111">
        <f t="shared" si="12"/>
        <v>-1</v>
      </c>
      <c r="AQ111">
        <f t="shared" si="13"/>
        <v>1</v>
      </c>
      <c r="AR111">
        <f t="shared" si="14"/>
        <v>-1</v>
      </c>
      <c r="AS111">
        <f t="shared" si="15"/>
        <v>-1</v>
      </c>
      <c r="AT111">
        <f t="shared" si="16"/>
        <v>-1</v>
      </c>
      <c r="AU111">
        <f t="shared" si="17"/>
        <v>-3.5</v>
      </c>
      <c r="AV111">
        <f>SUM(Table1[[#This Row],[Satis]:[29]])</f>
        <v>-4</v>
      </c>
      <c r="AW111">
        <f t="shared" si="18"/>
        <v>-3</v>
      </c>
      <c r="AX111">
        <f t="shared" si="19"/>
        <v>-2</v>
      </c>
      <c r="AY111">
        <f t="shared" si="20"/>
        <v>-3</v>
      </c>
      <c r="AZ111" t="str">
        <f t="shared" si="21"/>
        <v>Neutral TDP</v>
      </c>
    </row>
    <row r="112" spans="1:52" x14ac:dyDescent="0.3">
      <c r="A112" t="s">
        <v>771</v>
      </c>
      <c r="B112" s="94">
        <v>46043</v>
      </c>
      <c r="C112" t="s">
        <v>772</v>
      </c>
      <c r="D112" t="s">
        <v>773</v>
      </c>
      <c r="E112" t="s">
        <v>774</v>
      </c>
      <c r="F112" t="s">
        <v>240</v>
      </c>
      <c r="G112" t="s">
        <v>39</v>
      </c>
      <c r="H112" t="s">
        <v>775</v>
      </c>
      <c r="I112" s="112" t="s">
        <v>59</v>
      </c>
      <c r="J112" t="s">
        <v>37</v>
      </c>
      <c r="K112" t="s">
        <v>211</v>
      </c>
      <c r="L112" t="s">
        <v>62</v>
      </c>
      <c r="M112" t="s">
        <v>51</v>
      </c>
      <c r="N112" t="s">
        <v>162</v>
      </c>
      <c r="O112" t="s">
        <v>776</v>
      </c>
      <c r="P112">
        <v>9542733328</v>
      </c>
      <c r="Q112" t="s">
        <v>54</v>
      </c>
      <c r="R112" t="s">
        <v>61</v>
      </c>
      <c r="S112" t="s">
        <v>43</v>
      </c>
      <c r="T112" t="s">
        <v>43</v>
      </c>
      <c r="U112" t="s">
        <v>44</v>
      </c>
      <c r="V112" t="s">
        <v>45</v>
      </c>
      <c r="W112" t="s">
        <v>5078</v>
      </c>
      <c r="X112" t="s">
        <v>45</v>
      </c>
      <c r="Y112" t="s">
        <v>46</v>
      </c>
      <c r="Z112" t="s">
        <v>47</v>
      </c>
      <c r="AA112" t="s">
        <v>48</v>
      </c>
      <c r="AB112" t="s">
        <v>49</v>
      </c>
      <c r="AC112" t="s">
        <v>49</v>
      </c>
      <c r="AD112" t="s">
        <v>481</v>
      </c>
      <c r="AE112" t="s">
        <v>189</v>
      </c>
      <c r="AF112" t="s">
        <v>1230</v>
      </c>
      <c r="AG112" t="s">
        <v>196</v>
      </c>
      <c r="AH112" s="93">
        <f>VLOOKUP(Table1[[#This Row],[Caste]],Factor!$H$1:$K$13,4,0)</f>
        <v>1.1461625511156397</v>
      </c>
      <c r="AI11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12">
        <f>Table1[[#This Row],[Factor_1]]*Table1[[#This Row],[2024 Factor]]</f>
        <v>0.77721139583220644</v>
      </c>
      <c r="AK112">
        <f>VLOOKUP(Table1[[#This Row],[Q18: Gender]],Factor!$A$33:$E$35,5,0)</f>
        <v>0.85034013605442171</v>
      </c>
      <c r="AL112">
        <f>VLOOKUP(Table1[[#This Row],[Taluka]],Factor!$A$42:$G$46,7,0)</f>
        <v>0.75433779645928134</v>
      </c>
      <c r="AM112">
        <f>VLOOKUP(Table1[[#This Row],[Caste]]&amp;Table1[[#This Row],[Q18: Gender]],Factor!$W$1:$X$23,2,0)</f>
        <v>0.71995135120329123</v>
      </c>
      <c r="AN112">
        <f>VLOOKUP(Table1[[#This Row],[Taluka]]&amp;Table1[[#This Row],[Caste]]&amp;Table1[[#This Row],[Q18: Gender]],Factor!$AK$4:$AL$93,2,0)</f>
        <v>0.55527787174877274</v>
      </c>
      <c r="AO112">
        <f t="shared" si="11"/>
        <v>-1</v>
      </c>
      <c r="AP112">
        <f t="shared" si="12"/>
        <v>-1</v>
      </c>
      <c r="AQ112">
        <f t="shared" si="13"/>
        <v>-1</v>
      </c>
      <c r="AR112">
        <f t="shared" si="14"/>
        <v>-1</v>
      </c>
      <c r="AS112">
        <f t="shared" si="15"/>
        <v>-1</v>
      </c>
      <c r="AT112">
        <f t="shared" si="16"/>
        <v>-1</v>
      </c>
      <c r="AU112">
        <f t="shared" si="17"/>
        <v>-5.5</v>
      </c>
      <c r="AV112">
        <f>SUM(Table1[[#This Row],[Satis]:[29]])</f>
        <v>-6</v>
      </c>
      <c r="AW112">
        <f t="shared" si="18"/>
        <v>-5</v>
      </c>
      <c r="AX112">
        <f t="shared" si="19"/>
        <v>-4</v>
      </c>
      <c r="AY112">
        <f t="shared" si="20"/>
        <v>-3</v>
      </c>
      <c r="AZ112" t="str">
        <f t="shared" si="21"/>
        <v>TDP HardCore</v>
      </c>
    </row>
    <row r="113" spans="1:52" x14ac:dyDescent="0.3">
      <c r="A113" t="s">
        <v>777</v>
      </c>
      <c r="B113" s="94">
        <v>46043</v>
      </c>
      <c r="C113" t="s">
        <v>778</v>
      </c>
      <c r="D113" t="s">
        <v>779</v>
      </c>
      <c r="E113" t="s">
        <v>780</v>
      </c>
      <c r="F113" t="s">
        <v>69</v>
      </c>
      <c r="G113" t="s">
        <v>39</v>
      </c>
      <c r="H113" t="s">
        <v>781</v>
      </c>
      <c r="I113" t="s">
        <v>70</v>
      </c>
      <c r="J113" t="s">
        <v>219</v>
      </c>
      <c r="K113" t="s">
        <v>220</v>
      </c>
      <c r="L113" t="s">
        <v>82</v>
      </c>
      <c r="M113" t="s">
        <v>443</v>
      </c>
      <c r="N113" t="s">
        <v>52</v>
      </c>
      <c r="O113" t="s">
        <v>782</v>
      </c>
      <c r="P113">
        <v>9398191661</v>
      </c>
      <c r="Q113" t="s">
        <v>54</v>
      </c>
      <c r="R113" t="s">
        <v>73</v>
      </c>
      <c r="S113" t="s">
        <v>43</v>
      </c>
      <c r="T113" t="s">
        <v>89</v>
      </c>
      <c r="U113" t="s">
        <v>90</v>
      </c>
      <c r="V113" t="s">
        <v>91</v>
      </c>
      <c r="W113" t="s">
        <v>5079</v>
      </c>
      <c r="X113" t="s">
        <v>91</v>
      </c>
      <c r="Y113" t="s">
        <v>46</v>
      </c>
      <c r="Z113" t="s">
        <v>92</v>
      </c>
      <c r="AA113" t="s">
        <v>92</v>
      </c>
      <c r="AB113" t="s">
        <v>147</v>
      </c>
      <c r="AC113" t="s">
        <v>94</v>
      </c>
      <c r="AD113" t="s">
        <v>481</v>
      </c>
      <c r="AE113" t="s">
        <v>185</v>
      </c>
      <c r="AF113">
        <v>0</v>
      </c>
      <c r="AG113" t="s">
        <v>196</v>
      </c>
      <c r="AH113" s="93">
        <f>VLOOKUP(Table1[[#This Row],[Caste]],Factor!$H$1:$K$13,4,0)</f>
        <v>1.3836274505214585</v>
      </c>
      <c r="AI113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113">
        <f>Table1[[#This Row],[Factor_1]]*Table1[[#This Row],[2024 Factor]]</f>
        <v>1.9482662206881376</v>
      </c>
      <c r="AK113">
        <f>VLOOKUP(Table1[[#This Row],[Q18: Gender]],Factor!$A$33:$E$35,5,0)</f>
        <v>0.85034013605442171</v>
      </c>
      <c r="AL113">
        <f>VLOOKUP(Table1[[#This Row],[Taluka]],Factor!$A$42:$G$46,7,0)</f>
        <v>1.147984664167413</v>
      </c>
      <c r="AM113">
        <f>VLOOKUP(Table1[[#This Row],[Caste]]&amp;Table1[[#This Row],[Q18: Gender]],Factor!$W$1:$X$23,2,0)</f>
        <v>1.0790228998469584</v>
      </c>
      <c r="AN113">
        <f>VLOOKUP(Table1[[#This Row],[Taluka]]&amp;Table1[[#This Row],[Caste]]&amp;Table1[[#This Row],[Q18: Gender]],Factor!$AK$4:$AL$93,2,0)</f>
        <v>1.1572915102003449</v>
      </c>
      <c r="AO113">
        <f t="shared" si="11"/>
        <v>1</v>
      </c>
      <c r="AP113">
        <f t="shared" si="12"/>
        <v>1</v>
      </c>
      <c r="AQ113">
        <f t="shared" si="13"/>
        <v>1</v>
      </c>
      <c r="AR113">
        <f t="shared" si="14"/>
        <v>1</v>
      </c>
      <c r="AS113">
        <f t="shared" si="15"/>
        <v>1</v>
      </c>
      <c r="AT113">
        <f t="shared" si="16"/>
        <v>1</v>
      </c>
      <c r="AU113">
        <f t="shared" si="17"/>
        <v>5.5</v>
      </c>
      <c r="AV113">
        <f>SUM(Table1[[#This Row],[Satis]:[29]])</f>
        <v>6</v>
      </c>
      <c r="AW113">
        <f t="shared" si="18"/>
        <v>5</v>
      </c>
      <c r="AX113">
        <f t="shared" si="19"/>
        <v>4</v>
      </c>
      <c r="AY113">
        <f t="shared" si="20"/>
        <v>3</v>
      </c>
      <c r="AZ113" t="str">
        <f t="shared" si="21"/>
        <v>YSRCP HardCore</v>
      </c>
    </row>
    <row r="114" spans="1:52" x14ac:dyDescent="0.3">
      <c r="A114" t="s">
        <v>783</v>
      </c>
      <c r="B114" s="94">
        <v>46043</v>
      </c>
      <c r="C114" t="s">
        <v>784</v>
      </c>
      <c r="D114" t="s">
        <v>785</v>
      </c>
      <c r="E114" t="s">
        <v>786</v>
      </c>
      <c r="F114" t="s">
        <v>240</v>
      </c>
      <c r="G114" t="s">
        <v>39</v>
      </c>
      <c r="H114" t="s">
        <v>787</v>
      </c>
      <c r="I114" t="s">
        <v>59</v>
      </c>
      <c r="J114" t="s">
        <v>37</v>
      </c>
      <c r="K114" t="s">
        <v>211</v>
      </c>
      <c r="L114" t="s">
        <v>50</v>
      </c>
      <c r="M114" t="s">
        <v>51</v>
      </c>
      <c r="N114" t="s">
        <v>107</v>
      </c>
      <c r="O114" t="s">
        <v>788</v>
      </c>
      <c r="P114">
        <v>9705687172</v>
      </c>
      <c r="Q114" t="s">
        <v>445</v>
      </c>
      <c r="R114" t="s">
        <v>61</v>
      </c>
      <c r="S114" t="s">
        <v>43</v>
      </c>
      <c r="T114" t="s">
        <v>89</v>
      </c>
      <c r="U114" t="s">
        <v>44</v>
      </c>
      <c r="V114" t="s">
        <v>45</v>
      </c>
      <c r="W114" t="s">
        <v>5054</v>
      </c>
      <c r="X114" t="s">
        <v>45</v>
      </c>
      <c r="Y114" t="s">
        <v>46</v>
      </c>
      <c r="Z114" t="s">
        <v>47</v>
      </c>
      <c r="AA114" t="s">
        <v>92</v>
      </c>
      <c r="AB114" t="s">
        <v>93</v>
      </c>
      <c r="AC114" t="s">
        <v>94</v>
      </c>
      <c r="AD114" t="s">
        <v>481</v>
      </c>
      <c r="AE114" t="s">
        <v>189</v>
      </c>
      <c r="AF114" t="s">
        <v>1231</v>
      </c>
      <c r="AG114" t="s">
        <v>196</v>
      </c>
      <c r="AH114" s="93">
        <f>VLOOKUP(Table1[[#This Row],[Caste]],Factor!$H$1:$K$13,4,0)</f>
        <v>1.1461625511156397</v>
      </c>
      <c r="AI114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114">
        <f>Table1[[#This Row],[Factor_1]]*Table1[[#This Row],[2024 Factor]]</f>
        <v>5.0722855010430106</v>
      </c>
      <c r="AK114">
        <f>VLOOKUP(Table1[[#This Row],[Q18: Gender]],Factor!$A$33:$E$35,5,0)</f>
        <v>2.1645021645021645</v>
      </c>
      <c r="AL114">
        <f>VLOOKUP(Table1[[#This Row],[Taluka]],Factor!$A$42:$G$46,7,0)</f>
        <v>0.75433779645928134</v>
      </c>
      <c r="AM114">
        <f>VLOOKUP(Table1[[#This Row],[Caste]]&amp;Table1[[#This Row],[Q18: Gender]],Factor!$W$1:$X$23,2,0)</f>
        <v>2.8092219390089208</v>
      </c>
      <c r="AN114">
        <f>VLOOKUP(Table1[[#This Row],[Taluka]]&amp;Table1[[#This Row],[Caste]]&amp;Table1[[#This Row],[Q18: Gender]],Factor!$AK$4:$AL$93,2,0)</f>
        <v>5.3676860935714705</v>
      </c>
      <c r="AO114">
        <f t="shared" si="11"/>
        <v>1</v>
      </c>
      <c r="AP114">
        <f t="shared" si="12"/>
        <v>-1</v>
      </c>
      <c r="AQ114">
        <f t="shared" si="13"/>
        <v>-1</v>
      </c>
      <c r="AR114">
        <f t="shared" si="14"/>
        <v>-1</v>
      </c>
      <c r="AS114">
        <f t="shared" si="15"/>
        <v>1</v>
      </c>
      <c r="AT114">
        <f t="shared" si="16"/>
        <v>-1</v>
      </c>
      <c r="AU114">
        <f t="shared" si="17"/>
        <v>-2.5</v>
      </c>
      <c r="AV114">
        <f>SUM(Table1[[#This Row],[Satis]:[29]])</f>
        <v>-2</v>
      </c>
      <c r="AW114">
        <f t="shared" si="18"/>
        <v>-1</v>
      </c>
      <c r="AX114">
        <f t="shared" si="19"/>
        <v>-2</v>
      </c>
      <c r="AY114" t="str">
        <f t="shared" si="20"/>
        <v>ND</v>
      </c>
      <c r="AZ114" t="str">
        <f t="shared" si="21"/>
        <v>ND</v>
      </c>
    </row>
    <row r="115" spans="1:52" x14ac:dyDescent="0.3">
      <c r="A115" t="s">
        <v>789</v>
      </c>
      <c r="B115" s="94">
        <v>46043</v>
      </c>
      <c r="C115" t="s">
        <v>790</v>
      </c>
      <c r="D115" t="s">
        <v>791</v>
      </c>
      <c r="E115" t="s">
        <v>792</v>
      </c>
      <c r="F115" t="s">
        <v>69</v>
      </c>
      <c r="G115" t="s">
        <v>39</v>
      </c>
      <c r="H115" t="s">
        <v>793</v>
      </c>
      <c r="I115" t="s">
        <v>228</v>
      </c>
      <c r="J115" t="s">
        <v>219</v>
      </c>
      <c r="K115" t="s">
        <v>220</v>
      </c>
      <c r="L115" t="s">
        <v>62</v>
      </c>
      <c r="M115" t="s">
        <v>443</v>
      </c>
      <c r="N115" t="s">
        <v>63</v>
      </c>
      <c r="O115" t="s">
        <v>794</v>
      </c>
      <c r="P115">
        <v>8639300128</v>
      </c>
      <c r="Q115" t="s">
        <v>54</v>
      </c>
      <c r="R115" t="s">
        <v>73</v>
      </c>
      <c r="S115" t="s">
        <v>43</v>
      </c>
      <c r="T115" t="s">
        <v>89</v>
      </c>
      <c r="U115" t="s">
        <v>90</v>
      </c>
      <c r="V115" t="s">
        <v>91</v>
      </c>
      <c r="W115" t="s">
        <v>5057</v>
      </c>
      <c r="X115" t="s">
        <v>91</v>
      </c>
      <c r="Y115" t="s">
        <v>638</v>
      </c>
      <c r="Z115" t="s">
        <v>92</v>
      </c>
      <c r="AA115" t="s">
        <v>48</v>
      </c>
      <c r="AB115" t="s">
        <v>49</v>
      </c>
      <c r="AC115" t="s">
        <v>49</v>
      </c>
      <c r="AD115" t="s">
        <v>481</v>
      </c>
      <c r="AE115" t="s">
        <v>185</v>
      </c>
      <c r="AF115">
        <v>0</v>
      </c>
      <c r="AG115" t="s">
        <v>196</v>
      </c>
      <c r="AH115" s="93">
        <f>VLOOKUP(Table1[[#This Row],[Caste]],Factor!$H$1:$K$13,4,0)</f>
        <v>0.80207032429970992</v>
      </c>
      <c r="AI11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15">
        <f>Table1[[#This Row],[Factor_1]]*Table1[[#This Row],[2024 Factor]]</f>
        <v>0.65595572330316032</v>
      </c>
      <c r="AK115">
        <f>VLOOKUP(Table1[[#This Row],[Q18: Gender]],Factor!$A$33:$E$35,5,0)</f>
        <v>0.85034013605442171</v>
      </c>
      <c r="AL115">
        <f>VLOOKUP(Table1[[#This Row],[Taluka]],Factor!$A$42:$G$46,7,0)</f>
        <v>1.147984664167413</v>
      </c>
      <c r="AM115">
        <f>VLOOKUP(Table1[[#This Row],[Caste]]&amp;Table1[[#This Row],[Q18: Gender]],Factor!$W$1:$X$23,2,0)</f>
        <v>0.60762903356038633</v>
      </c>
      <c r="AN115">
        <f>VLOOKUP(Table1[[#This Row],[Taluka]]&amp;Table1[[#This Row],[Caste]]&amp;Table1[[#This Row],[Q18: Gender]],Factor!$AK$4:$AL$93,2,0)</f>
        <v>1.1555593620092124</v>
      </c>
      <c r="AO115">
        <f t="shared" si="11"/>
        <v>1</v>
      </c>
      <c r="AP115">
        <f t="shared" si="12"/>
        <v>1</v>
      </c>
      <c r="AQ115">
        <f t="shared" si="13"/>
        <v>1</v>
      </c>
      <c r="AR115">
        <f t="shared" si="14"/>
        <v>1</v>
      </c>
      <c r="AS115">
        <f t="shared" si="15"/>
        <v>-1</v>
      </c>
      <c r="AT115">
        <f t="shared" si="16"/>
        <v>1</v>
      </c>
      <c r="AU115">
        <f t="shared" si="17"/>
        <v>4.5</v>
      </c>
      <c r="AV115">
        <f>SUM(Table1[[#This Row],[Satis]:[29]])</f>
        <v>4</v>
      </c>
      <c r="AW115">
        <f t="shared" si="18"/>
        <v>3</v>
      </c>
      <c r="AX115">
        <f t="shared" si="19"/>
        <v>2</v>
      </c>
      <c r="AY115">
        <f t="shared" si="20"/>
        <v>2</v>
      </c>
      <c r="AZ115" t="str">
        <f t="shared" si="21"/>
        <v>Neutral YSRCP</v>
      </c>
    </row>
    <row r="116" spans="1:52" x14ac:dyDescent="0.3">
      <c r="A116" t="s">
        <v>795</v>
      </c>
      <c r="B116" s="94">
        <v>46043</v>
      </c>
      <c r="C116" t="s">
        <v>796</v>
      </c>
      <c r="D116" t="s">
        <v>797</v>
      </c>
      <c r="E116" t="s">
        <v>798</v>
      </c>
      <c r="F116" t="s">
        <v>69</v>
      </c>
      <c r="G116" t="s">
        <v>39</v>
      </c>
      <c r="H116" t="s">
        <v>799</v>
      </c>
      <c r="I116" t="s">
        <v>70</v>
      </c>
      <c r="J116" t="s">
        <v>219</v>
      </c>
      <c r="K116" t="s">
        <v>220</v>
      </c>
      <c r="L116" t="s">
        <v>62</v>
      </c>
      <c r="M116" t="s">
        <v>443</v>
      </c>
      <c r="N116" t="s">
        <v>52</v>
      </c>
      <c r="O116" t="s">
        <v>800</v>
      </c>
      <c r="P116">
        <v>9912697916</v>
      </c>
      <c r="Q116" t="s">
        <v>54</v>
      </c>
      <c r="R116" t="s">
        <v>73</v>
      </c>
      <c r="S116" t="s">
        <v>43</v>
      </c>
      <c r="T116" t="s">
        <v>43</v>
      </c>
      <c r="U116" t="s">
        <v>90</v>
      </c>
      <c r="V116" t="s">
        <v>91</v>
      </c>
      <c r="W116" t="s">
        <v>5057</v>
      </c>
      <c r="X116" t="s">
        <v>45</v>
      </c>
      <c r="Y116" t="s">
        <v>46</v>
      </c>
      <c r="Z116" t="s">
        <v>92</v>
      </c>
      <c r="AA116" t="s">
        <v>92</v>
      </c>
      <c r="AB116" t="s">
        <v>93</v>
      </c>
      <c r="AC116" t="s">
        <v>94</v>
      </c>
      <c r="AD116" t="s">
        <v>481</v>
      </c>
      <c r="AE116" t="s">
        <v>185</v>
      </c>
      <c r="AF116">
        <v>0</v>
      </c>
      <c r="AG116" t="s">
        <v>196</v>
      </c>
      <c r="AH116" s="93">
        <f>VLOOKUP(Table1[[#This Row],[Caste]],Factor!$H$1:$K$13,4,0)</f>
        <v>1.3836274505214585</v>
      </c>
      <c r="AI116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116">
        <f>Table1[[#This Row],[Factor_1]]*Table1[[#This Row],[2024 Factor]]</f>
        <v>1.9482662206881376</v>
      </c>
      <c r="AK116">
        <f>VLOOKUP(Table1[[#This Row],[Q18: Gender]],Factor!$A$33:$E$35,5,0)</f>
        <v>0.85034013605442171</v>
      </c>
      <c r="AL116">
        <f>VLOOKUP(Table1[[#This Row],[Taluka]],Factor!$A$42:$G$46,7,0)</f>
        <v>1.147984664167413</v>
      </c>
      <c r="AM116">
        <f>VLOOKUP(Table1[[#This Row],[Caste]]&amp;Table1[[#This Row],[Q18: Gender]],Factor!$W$1:$X$23,2,0)</f>
        <v>1.0790228998469584</v>
      </c>
      <c r="AN116">
        <f>VLOOKUP(Table1[[#This Row],[Taluka]]&amp;Table1[[#This Row],[Caste]]&amp;Table1[[#This Row],[Q18: Gender]],Factor!$AK$4:$AL$93,2,0)</f>
        <v>1.1572915102003449</v>
      </c>
      <c r="AO116">
        <f t="shared" si="11"/>
        <v>-1</v>
      </c>
      <c r="AP116">
        <f t="shared" si="12"/>
        <v>1</v>
      </c>
      <c r="AQ116">
        <f t="shared" si="13"/>
        <v>1</v>
      </c>
      <c r="AR116">
        <f t="shared" si="14"/>
        <v>-1</v>
      </c>
      <c r="AS116">
        <f t="shared" si="15"/>
        <v>1</v>
      </c>
      <c r="AT116">
        <f t="shared" si="16"/>
        <v>1</v>
      </c>
      <c r="AU116">
        <f t="shared" si="17"/>
        <v>1.5</v>
      </c>
      <c r="AV116">
        <f>SUM(Table1[[#This Row],[Satis]:[29]])</f>
        <v>2</v>
      </c>
      <c r="AW116">
        <f t="shared" si="18"/>
        <v>1</v>
      </c>
      <c r="AX116">
        <f t="shared" si="19"/>
        <v>2</v>
      </c>
      <c r="AY116">
        <f t="shared" si="20"/>
        <v>2</v>
      </c>
      <c r="AZ116" t="str">
        <f t="shared" si="21"/>
        <v>Neutral YSRCP</v>
      </c>
    </row>
    <row r="117" spans="1:52" x14ac:dyDescent="0.3">
      <c r="A117" t="s">
        <v>801</v>
      </c>
      <c r="B117" s="94">
        <v>46043</v>
      </c>
      <c r="C117" t="s">
        <v>802</v>
      </c>
      <c r="D117" t="s">
        <v>803</v>
      </c>
      <c r="E117" t="s">
        <v>804</v>
      </c>
      <c r="F117" t="s">
        <v>69</v>
      </c>
      <c r="G117" t="s">
        <v>39</v>
      </c>
      <c r="H117" t="s">
        <v>805</v>
      </c>
      <c r="I117" t="s">
        <v>70</v>
      </c>
      <c r="J117" t="s">
        <v>219</v>
      </c>
      <c r="K117" t="s">
        <v>220</v>
      </c>
      <c r="L117" t="s">
        <v>75</v>
      </c>
      <c r="M117" t="s">
        <v>443</v>
      </c>
      <c r="N117" t="s">
        <v>52</v>
      </c>
      <c r="O117" t="s">
        <v>806</v>
      </c>
      <c r="P117">
        <v>8985134556</v>
      </c>
      <c r="Q117" t="s">
        <v>54</v>
      </c>
      <c r="R117" t="s">
        <v>61</v>
      </c>
      <c r="S117" t="s">
        <v>43</v>
      </c>
      <c r="T117" t="s">
        <v>43</v>
      </c>
      <c r="U117" t="s">
        <v>44</v>
      </c>
      <c r="V117" t="s">
        <v>91</v>
      </c>
      <c r="W117" t="s">
        <v>5080</v>
      </c>
      <c r="X117" t="s">
        <v>91</v>
      </c>
      <c r="Y117" t="s">
        <v>46</v>
      </c>
      <c r="Z117" t="s">
        <v>47</v>
      </c>
      <c r="AA117" t="s">
        <v>48</v>
      </c>
      <c r="AB117" t="s">
        <v>49</v>
      </c>
      <c r="AC117" t="s">
        <v>49</v>
      </c>
      <c r="AD117" t="s">
        <v>481</v>
      </c>
      <c r="AE117" t="s">
        <v>189</v>
      </c>
      <c r="AF117" t="s">
        <v>1232</v>
      </c>
      <c r="AG117" t="s">
        <v>196</v>
      </c>
      <c r="AH117" s="93">
        <f>VLOOKUP(Table1[[#This Row],[Caste]],Factor!$H$1:$K$13,4,0)</f>
        <v>1.3836274505214585</v>
      </c>
      <c r="AI11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17">
        <f>Table1[[#This Row],[Factor_1]]*Table1[[#This Row],[2024 Factor]]</f>
        <v>1.1648410586678206</v>
      </c>
      <c r="AK117">
        <f>VLOOKUP(Table1[[#This Row],[Q18: Gender]],Factor!$A$33:$E$35,5,0)</f>
        <v>0.85034013605442171</v>
      </c>
      <c r="AL117">
        <f>VLOOKUP(Table1[[#This Row],[Taluka]],Factor!$A$42:$G$46,7,0)</f>
        <v>1.147984664167413</v>
      </c>
      <c r="AM117">
        <f>VLOOKUP(Table1[[#This Row],[Caste]]&amp;Table1[[#This Row],[Q18: Gender]],Factor!$W$1:$X$23,2,0)</f>
        <v>1.0790228998469584</v>
      </c>
      <c r="AN117">
        <f>VLOOKUP(Table1[[#This Row],[Taluka]]&amp;Table1[[#This Row],[Caste]]&amp;Table1[[#This Row],[Q18: Gender]],Factor!$AK$4:$AL$93,2,0)</f>
        <v>1.1572915102003449</v>
      </c>
      <c r="AO117">
        <f t="shared" si="11"/>
        <v>-1</v>
      </c>
      <c r="AP117">
        <f t="shared" si="12"/>
        <v>-1</v>
      </c>
      <c r="AQ117">
        <f t="shared" si="13"/>
        <v>1</v>
      </c>
      <c r="AR117">
        <f t="shared" si="14"/>
        <v>1</v>
      </c>
      <c r="AS117">
        <f t="shared" si="15"/>
        <v>-1</v>
      </c>
      <c r="AT117">
        <f t="shared" si="16"/>
        <v>-1</v>
      </c>
      <c r="AU117">
        <f t="shared" si="17"/>
        <v>-1.5</v>
      </c>
      <c r="AV117">
        <f>SUM(Table1[[#This Row],[Satis]:[29]])</f>
        <v>-2</v>
      </c>
      <c r="AW117">
        <f t="shared" si="18"/>
        <v>-1</v>
      </c>
      <c r="AX117">
        <f t="shared" si="19"/>
        <v>0</v>
      </c>
      <c r="AY117">
        <f t="shared" si="20"/>
        <v>-3</v>
      </c>
      <c r="AZ117" t="str">
        <f t="shared" si="21"/>
        <v>Neutral TDP</v>
      </c>
    </row>
    <row r="118" spans="1:52" x14ac:dyDescent="0.3">
      <c r="A118" t="s">
        <v>807</v>
      </c>
      <c r="B118" s="94">
        <v>46043</v>
      </c>
      <c r="C118" t="s">
        <v>808</v>
      </c>
      <c r="D118" t="s">
        <v>809</v>
      </c>
      <c r="E118" t="s">
        <v>810</v>
      </c>
      <c r="F118" t="s">
        <v>240</v>
      </c>
      <c r="G118" t="s">
        <v>39</v>
      </c>
      <c r="H118" t="s">
        <v>811</v>
      </c>
      <c r="I118" t="s">
        <v>70</v>
      </c>
      <c r="J118" t="s">
        <v>37</v>
      </c>
      <c r="K118" t="s">
        <v>211</v>
      </c>
      <c r="L118" t="s">
        <v>62</v>
      </c>
      <c r="M118" t="s">
        <v>51</v>
      </c>
      <c r="N118" t="s">
        <v>107</v>
      </c>
      <c r="O118" t="s">
        <v>812</v>
      </c>
      <c r="P118">
        <v>9999999999</v>
      </c>
      <c r="Q118" t="s">
        <v>445</v>
      </c>
      <c r="R118" t="s">
        <v>139</v>
      </c>
      <c r="S118" t="s">
        <v>43</v>
      </c>
      <c r="T118" t="s">
        <v>43</v>
      </c>
      <c r="U118" t="s">
        <v>44</v>
      </c>
      <c r="V118" t="s">
        <v>45</v>
      </c>
      <c r="W118" t="s">
        <v>5081</v>
      </c>
      <c r="X118" t="s">
        <v>45</v>
      </c>
      <c r="Y118" t="s">
        <v>46</v>
      </c>
      <c r="Z118" t="s">
        <v>242</v>
      </c>
      <c r="AA118" t="s">
        <v>242</v>
      </c>
      <c r="AB118" t="s">
        <v>49</v>
      </c>
      <c r="AC118" t="s">
        <v>49</v>
      </c>
      <c r="AD118" t="s">
        <v>481</v>
      </c>
      <c r="AE118" t="s">
        <v>185</v>
      </c>
      <c r="AF118">
        <v>0</v>
      </c>
      <c r="AG118" t="s">
        <v>196</v>
      </c>
      <c r="AH118" s="93">
        <f>VLOOKUP(Table1[[#This Row],[Caste]],Factor!$H$1:$K$13,4,0)</f>
        <v>1.3836274505214585</v>
      </c>
      <c r="AI118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118">
        <f>Table1[[#This Row],[Factor_1]]*Table1[[#This Row],[2024 Factor]]</f>
        <v>1.2753497331114214</v>
      </c>
      <c r="AK118">
        <f>VLOOKUP(Table1[[#This Row],[Q18: Gender]],Factor!$A$33:$E$35,5,0)</f>
        <v>2.1645021645021645</v>
      </c>
      <c r="AL118">
        <f>VLOOKUP(Table1[[#This Row],[Taluka]],Factor!$A$42:$G$46,7,0)</f>
        <v>0.75433779645928134</v>
      </c>
      <c r="AM118">
        <f>VLOOKUP(Table1[[#This Row],[Caste]]&amp;Table1[[#This Row],[Q18: Gender]],Factor!$W$1:$X$23,2,0)</f>
        <v>1.9278542477265657</v>
      </c>
      <c r="AN118">
        <f>VLOOKUP(Table1[[#This Row],[Taluka]]&amp;Table1[[#This Row],[Caste]]&amp;Table1[[#This Row],[Q18: Gender]],Factor!$AK$4:$AL$93,2,0)</f>
        <v>0.95595770048639872</v>
      </c>
      <c r="AO118">
        <f t="shared" si="11"/>
        <v>-1</v>
      </c>
      <c r="AP118">
        <f t="shared" si="12"/>
        <v>-1</v>
      </c>
      <c r="AQ118">
        <f t="shared" si="13"/>
        <v>-1</v>
      </c>
      <c r="AR118">
        <f t="shared" si="14"/>
        <v>-1</v>
      </c>
      <c r="AS118">
        <f t="shared" si="15"/>
        <v>-1</v>
      </c>
      <c r="AT118">
        <f t="shared" si="16"/>
        <v>-1</v>
      </c>
      <c r="AU118">
        <f t="shared" si="17"/>
        <v>-5.5</v>
      </c>
      <c r="AV118">
        <f>SUM(Table1[[#This Row],[Satis]:[29]])</f>
        <v>-6</v>
      </c>
      <c r="AW118">
        <f t="shared" si="18"/>
        <v>-5</v>
      </c>
      <c r="AX118">
        <f t="shared" si="19"/>
        <v>-4</v>
      </c>
      <c r="AY118">
        <f t="shared" si="20"/>
        <v>-3</v>
      </c>
      <c r="AZ118" t="str">
        <f t="shared" si="21"/>
        <v>TDP HardCore</v>
      </c>
    </row>
    <row r="119" spans="1:52" x14ac:dyDescent="0.3">
      <c r="A119" t="s">
        <v>813</v>
      </c>
      <c r="B119" s="94">
        <v>46043</v>
      </c>
      <c r="C119" t="s">
        <v>814</v>
      </c>
      <c r="D119" t="s">
        <v>815</v>
      </c>
      <c r="E119" t="s">
        <v>816</v>
      </c>
      <c r="F119" t="s">
        <v>69</v>
      </c>
      <c r="G119" t="s">
        <v>39</v>
      </c>
      <c r="H119" t="s">
        <v>817</v>
      </c>
      <c r="I119" t="s">
        <v>70</v>
      </c>
      <c r="J119" t="s">
        <v>219</v>
      </c>
      <c r="K119" t="s">
        <v>220</v>
      </c>
      <c r="L119" t="s">
        <v>62</v>
      </c>
      <c r="M119" t="s">
        <v>443</v>
      </c>
      <c r="N119" t="s">
        <v>162</v>
      </c>
      <c r="O119" t="s">
        <v>818</v>
      </c>
      <c r="P119">
        <v>7569988751</v>
      </c>
      <c r="Q119" t="s">
        <v>445</v>
      </c>
      <c r="R119" t="s">
        <v>73</v>
      </c>
      <c r="S119" t="s">
        <v>43</v>
      </c>
      <c r="T119" t="s">
        <v>43</v>
      </c>
      <c r="U119" t="s">
        <v>90</v>
      </c>
      <c r="V119" t="s">
        <v>91</v>
      </c>
      <c r="W119" t="s">
        <v>5057</v>
      </c>
      <c r="X119" t="s">
        <v>45</v>
      </c>
      <c r="Y119" t="s">
        <v>46</v>
      </c>
      <c r="Z119" t="s">
        <v>92</v>
      </c>
      <c r="AA119" t="s">
        <v>92</v>
      </c>
      <c r="AB119" t="s">
        <v>93</v>
      </c>
      <c r="AC119" t="s">
        <v>94</v>
      </c>
      <c r="AD119" t="s">
        <v>481</v>
      </c>
      <c r="AE119" t="s">
        <v>185</v>
      </c>
      <c r="AF119">
        <v>0</v>
      </c>
      <c r="AG119" t="s">
        <v>196</v>
      </c>
      <c r="AH119" s="93">
        <f>VLOOKUP(Table1[[#This Row],[Caste]],Factor!$H$1:$K$13,4,0)</f>
        <v>1.3836274505214585</v>
      </c>
      <c r="AI119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119">
        <f>Table1[[#This Row],[Factor_1]]*Table1[[#This Row],[2024 Factor]]</f>
        <v>3.4809023142961388</v>
      </c>
      <c r="AK119">
        <f>VLOOKUP(Table1[[#This Row],[Q18: Gender]],Factor!$A$33:$E$35,5,0)</f>
        <v>2.1645021645021645</v>
      </c>
      <c r="AL119">
        <f>VLOOKUP(Table1[[#This Row],[Taluka]],Factor!$A$42:$G$46,7,0)</f>
        <v>1.147984664167413</v>
      </c>
      <c r="AM119">
        <f>VLOOKUP(Table1[[#This Row],[Caste]]&amp;Table1[[#This Row],[Q18: Gender]],Factor!$W$1:$X$23,2,0)</f>
        <v>1.9278542477265657</v>
      </c>
      <c r="AN119">
        <f>VLOOKUP(Table1[[#This Row],[Taluka]]&amp;Table1[[#This Row],[Caste]]&amp;Table1[[#This Row],[Q18: Gender]],Factor!$AK$4:$AL$93,2,0)</f>
        <v>3.2048072590163397</v>
      </c>
      <c r="AO119">
        <f t="shared" si="11"/>
        <v>-1</v>
      </c>
      <c r="AP119">
        <f t="shared" si="12"/>
        <v>1</v>
      </c>
      <c r="AQ119">
        <f t="shared" si="13"/>
        <v>1</v>
      </c>
      <c r="AR119">
        <f t="shared" si="14"/>
        <v>-1</v>
      </c>
      <c r="AS119">
        <f t="shared" si="15"/>
        <v>1</v>
      </c>
      <c r="AT119">
        <f t="shared" si="16"/>
        <v>1</v>
      </c>
      <c r="AU119">
        <f t="shared" si="17"/>
        <v>1.5</v>
      </c>
      <c r="AV119">
        <f>SUM(Table1[[#This Row],[Satis]:[29]])</f>
        <v>2</v>
      </c>
      <c r="AW119">
        <f t="shared" si="18"/>
        <v>1</v>
      </c>
      <c r="AX119">
        <f t="shared" si="19"/>
        <v>2</v>
      </c>
      <c r="AY119">
        <f t="shared" si="20"/>
        <v>2</v>
      </c>
      <c r="AZ119" t="str">
        <f t="shared" si="21"/>
        <v>Neutral YSRCP</v>
      </c>
    </row>
    <row r="120" spans="1:52" x14ac:dyDescent="0.3">
      <c r="A120" t="s">
        <v>819</v>
      </c>
      <c r="B120" s="94">
        <v>46043</v>
      </c>
      <c r="C120" t="s">
        <v>820</v>
      </c>
      <c r="D120" t="s">
        <v>821</v>
      </c>
      <c r="E120" t="s">
        <v>822</v>
      </c>
      <c r="F120" t="s">
        <v>69</v>
      </c>
      <c r="G120" t="s">
        <v>39</v>
      </c>
      <c r="H120" t="s">
        <v>823</v>
      </c>
      <c r="I120" t="s">
        <v>70</v>
      </c>
      <c r="J120" t="s">
        <v>219</v>
      </c>
      <c r="K120" t="s">
        <v>220</v>
      </c>
      <c r="L120" t="s">
        <v>75</v>
      </c>
      <c r="M120" t="s">
        <v>443</v>
      </c>
      <c r="N120" t="s">
        <v>63</v>
      </c>
      <c r="O120" t="s">
        <v>824</v>
      </c>
      <c r="P120">
        <v>9550235089</v>
      </c>
      <c r="Q120" t="s">
        <v>445</v>
      </c>
      <c r="R120" t="s">
        <v>61</v>
      </c>
      <c r="S120" t="s">
        <v>43</v>
      </c>
      <c r="T120" t="s">
        <v>89</v>
      </c>
      <c r="U120" t="s">
        <v>90</v>
      </c>
      <c r="V120" t="s">
        <v>91</v>
      </c>
      <c r="W120" t="s">
        <v>5059</v>
      </c>
      <c r="X120" t="s">
        <v>91</v>
      </c>
      <c r="Y120" t="s">
        <v>46</v>
      </c>
      <c r="Z120" t="s">
        <v>92</v>
      </c>
      <c r="AA120" t="s">
        <v>92</v>
      </c>
      <c r="AB120" t="s">
        <v>93</v>
      </c>
      <c r="AC120" t="s">
        <v>94</v>
      </c>
      <c r="AD120" t="s">
        <v>481</v>
      </c>
      <c r="AE120" t="s">
        <v>189</v>
      </c>
      <c r="AF120" t="s">
        <v>1212</v>
      </c>
      <c r="AG120" t="s">
        <v>196</v>
      </c>
      <c r="AH120" s="93">
        <f>VLOOKUP(Table1[[#This Row],[Caste]],Factor!$H$1:$K$13,4,0)</f>
        <v>1.3836274505214585</v>
      </c>
      <c r="AI120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120">
        <f>Table1[[#This Row],[Factor_1]]*Table1[[#This Row],[2024 Factor]]</f>
        <v>3.4809023142961388</v>
      </c>
      <c r="AK120">
        <f>VLOOKUP(Table1[[#This Row],[Q18: Gender]],Factor!$A$33:$E$35,5,0)</f>
        <v>2.1645021645021645</v>
      </c>
      <c r="AL120">
        <f>VLOOKUP(Table1[[#This Row],[Taluka]],Factor!$A$42:$G$46,7,0)</f>
        <v>1.147984664167413</v>
      </c>
      <c r="AM120">
        <f>VLOOKUP(Table1[[#This Row],[Caste]]&amp;Table1[[#This Row],[Q18: Gender]],Factor!$W$1:$X$23,2,0)</f>
        <v>1.9278542477265657</v>
      </c>
      <c r="AN120">
        <f>VLOOKUP(Table1[[#This Row],[Taluka]]&amp;Table1[[#This Row],[Caste]]&amp;Table1[[#This Row],[Q18: Gender]],Factor!$AK$4:$AL$93,2,0)</f>
        <v>3.2048072590163397</v>
      </c>
      <c r="AO120">
        <f t="shared" si="11"/>
        <v>1</v>
      </c>
      <c r="AP120">
        <f t="shared" si="12"/>
        <v>1</v>
      </c>
      <c r="AQ120">
        <f t="shared" si="13"/>
        <v>1</v>
      </c>
      <c r="AR120">
        <f t="shared" si="14"/>
        <v>1</v>
      </c>
      <c r="AS120">
        <f t="shared" si="15"/>
        <v>1</v>
      </c>
      <c r="AT120">
        <f t="shared" si="16"/>
        <v>1</v>
      </c>
      <c r="AU120">
        <f t="shared" si="17"/>
        <v>5.5</v>
      </c>
      <c r="AV120">
        <f>SUM(Table1[[#This Row],[Satis]:[29]])</f>
        <v>6</v>
      </c>
      <c r="AW120">
        <f t="shared" si="18"/>
        <v>5</v>
      </c>
      <c r="AX120">
        <f t="shared" si="19"/>
        <v>4</v>
      </c>
      <c r="AY120">
        <f t="shared" si="20"/>
        <v>3</v>
      </c>
      <c r="AZ120" t="str">
        <f t="shared" si="21"/>
        <v>YSRCP HardCore</v>
      </c>
    </row>
    <row r="121" spans="1:52" x14ac:dyDescent="0.3">
      <c r="A121" t="s">
        <v>825</v>
      </c>
      <c r="B121" s="94">
        <v>46043</v>
      </c>
      <c r="C121" t="s">
        <v>826</v>
      </c>
      <c r="D121" t="s">
        <v>827</v>
      </c>
      <c r="E121" t="s">
        <v>828</v>
      </c>
      <c r="F121" t="s">
        <v>240</v>
      </c>
      <c r="G121" t="s">
        <v>39</v>
      </c>
      <c r="H121" t="s">
        <v>829</v>
      </c>
      <c r="I121" t="s">
        <v>36</v>
      </c>
      <c r="J121" t="s">
        <v>37</v>
      </c>
      <c r="K121" t="s">
        <v>211</v>
      </c>
      <c r="L121" t="s">
        <v>50</v>
      </c>
      <c r="M121" t="s">
        <v>51</v>
      </c>
      <c r="N121" t="s">
        <v>107</v>
      </c>
      <c r="O121" t="s">
        <v>830</v>
      </c>
      <c r="P121">
        <v>95426853</v>
      </c>
      <c r="Q121" t="s">
        <v>54</v>
      </c>
      <c r="R121" t="s">
        <v>61</v>
      </c>
      <c r="S121" t="s">
        <v>88</v>
      </c>
      <c r="T121" t="s">
        <v>43</v>
      </c>
      <c r="U121" t="s">
        <v>90</v>
      </c>
      <c r="V121" t="s">
        <v>91</v>
      </c>
      <c r="W121" t="s">
        <v>5050</v>
      </c>
      <c r="X121" t="s">
        <v>91</v>
      </c>
      <c r="Y121" t="s">
        <v>46</v>
      </c>
      <c r="Z121" t="s">
        <v>92</v>
      </c>
      <c r="AA121" t="s">
        <v>48</v>
      </c>
      <c r="AB121" t="s">
        <v>49</v>
      </c>
      <c r="AC121" t="s">
        <v>49</v>
      </c>
      <c r="AD121" t="s">
        <v>481</v>
      </c>
      <c r="AE121" t="s">
        <v>189</v>
      </c>
      <c r="AF121" t="s">
        <v>1233</v>
      </c>
      <c r="AG121" t="s">
        <v>196</v>
      </c>
      <c r="AH121" s="93">
        <f>VLOOKUP(Table1[[#This Row],[Caste]],Factor!$H$1:$K$13,4,0)</f>
        <v>1.1705128247062893</v>
      </c>
      <c r="AI12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21">
        <f>Table1[[#This Row],[Factor_1]]*Table1[[#This Row],[2024 Factor]]</f>
        <v>0.86308903171383233</v>
      </c>
      <c r="AK121">
        <f>VLOOKUP(Table1[[#This Row],[Q18: Gender]],Factor!$A$33:$E$35,5,0)</f>
        <v>0.85034013605442171</v>
      </c>
      <c r="AL121">
        <f>VLOOKUP(Table1[[#This Row],[Taluka]],Factor!$A$42:$G$46,7,0)</f>
        <v>0.75433779645928134</v>
      </c>
      <c r="AM121">
        <f>VLOOKUP(Table1[[#This Row],[Caste]]&amp;Table1[[#This Row],[Q18: Gender]],Factor!$W$1:$X$23,2,0)</f>
        <v>0.79950206330384943</v>
      </c>
      <c r="AN121">
        <f>VLOOKUP(Table1[[#This Row],[Taluka]]&amp;Table1[[#This Row],[Caste]]&amp;Table1[[#This Row],[Q18: Gender]],Factor!$AK$4:$AL$93,2,0)</f>
        <v>0.40257772387792479</v>
      </c>
      <c r="AO121">
        <f t="shared" si="11"/>
        <v>-1</v>
      </c>
      <c r="AP121">
        <f t="shared" si="12"/>
        <v>1</v>
      </c>
      <c r="AQ121">
        <f t="shared" si="13"/>
        <v>1</v>
      </c>
      <c r="AR121">
        <f t="shared" si="14"/>
        <v>1</v>
      </c>
      <c r="AS121">
        <f t="shared" si="15"/>
        <v>-1</v>
      </c>
      <c r="AT121">
        <f t="shared" si="16"/>
        <v>1</v>
      </c>
      <c r="AU121">
        <f t="shared" si="17"/>
        <v>2.5</v>
      </c>
      <c r="AV121">
        <f>SUM(Table1[[#This Row],[Satis]:[29]])</f>
        <v>2</v>
      </c>
      <c r="AW121">
        <f t="shared" si="18"/>
        <v>1</v>
      </c>
      <c r="AX121">
        <f t="shared" si="19"/>
        <v>2</v>
      </c>
      <c r="AY121" t="str">
        <f t="shared" si="20"/>
        <v>ND</v>
      </c>
      <c r="AZ121" t="str">
        <f t="shared" si="21"/>
        <v>ND</v>
      </c>
    </row>
    <row r="122" spans="1:52" x14ac:dyDescent="0.3">
      <c r="A122" t="s">
        <v>831</v>
      </c>
      <c r="B122" s="94">
        <v>46043</v>
      </c>
      <c r="C122" t="s">
        <v>832</v>
      </c>
      <c r="D122" t="s">
        <v>833</v>
      </c>
      <c r="E122" t="s">
        <v>828</v>
      </c>
      <c r="F122" t="s">
        <v>240</v>
      </c>
      <c r="G122" t="s">
        <v>39</v>
      </c>
      <c r="H122" t="s">
        <v>834</v>
      </c>
      <c r="I122" t="s">
        <v>70</v>
      </c>
      <c r="J122" t="s">
        <v>37</v>
      </c>
      <c r="K122" t="s">
        <v>211</v>
      </c>
      <c r="L122" t="s">
        <v>451</v>
      </c>
      <c r="M122" t="s">
        <v>51</v>
      </c>
      <c r="N122" t="s">
        <v>63</v>
      </c>
      <c r="O122" t="s">
        <v>835</v>
      </c>
      <c r="P122">
        <v>9849623065</v>
      </c>
      <c r="Q122" t="s">
        <v>445</v>
      </c>
      <c r="R122" t="s">
        <v>61</v>
      </c>
      <c r="S122" t="s">
        <v>43</v>
      </c>
      <c r="T122" t="s">
        <v>89</v>
      </c>
      <c r="U122" t="s">
        <v>90</v>
      </c>
      <c r="V122" t="s">
        <v>91</v>
      </c>
      <c r="W122" t="s">
        <v>5073</v>
      </c>
      <c r="X122" t="s">
        <v>91</v>
      </c>
      <c r="Y122" t="s">
        <v>46</v>
      </c>
      <c r="Z122" t="s">
        <v>47</v>
      </c>
      <c r="AA122" t="s">
        <v>92</v>
      </c>
      <c r="AB122" t="s">
        <v>351</v>
      </c>
      <c r="AC122" t="s">
        <v>381</v>
      </c>
      <c r="AD122" t="s">
        <v>481</v>
      </c>
      <c r="AE122" t="s">
        <v>189</v>
      </c>
      <c r="AF122" t="s">
        <v>1234</v>
      </c>
      <c r="AG122" t="s">
        <v>196</v>
      </c>
      <c r="AH122" s="93">
        <f>VLOOKUP(Table1[[#This Row],[Caste]],Factor!$H$1:$K$13,4,0)</f>
        <v>1.3836274505214585</v>
      </c>
      <c r="AI122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122">
        <f>Table1[[#This Row],[Factor_1]]*Table1[[#This Row],[2024 Factor]]</f>
        <v>3.4809023142961388</v>
      </c>
      <c r="AK122">
        <f>VLOOKUP(Table1[[#This Row],[Q18: Gender]],Factor!$A$33:$E$35,5,0)</f>
        <v>2.1645021645021645</v>
      </c>
      <c r="AL122">
        <f>VLOOKUP(Table1[[#This Row],[Taluka]],Factor!$A$42:$G$46,7,0)</f>
        <v>0.75433779645928134</v>
      </c>
      <c r="AM122">
        <f>VLOOKUP(Table1[[#This Row],[Caste]]&amp;Table1[[#This Row],[Q18: Gender]],Factor!$W$1:$X$23,2,0)</f>
        <v>1.9278542477265657</v>
      </c>
      <c r="AN122">
        <f>VLOOKUP(Table1[[#This Row],[Taluka]]&amp;Table1[[#This Row],[Caste]]&amp;Table1[[#This Row],[Q18: Gender]],Factor!$AK$4:$AL$93,2,0)</f>
        <v>0.95595770048639872</v>
      </c>
      <c r="AO122">
        <f t="shared" si="11"/>
        <v>1</v>
      </c>
      <c r="AP122">
        <f t="shared" si="12"/>
        <v>1</v>
      </c>
      <c r="AQ122">
        <f t="shared" si="13"/>
        <v>1</v>
      </c>
      <c r="AR122">
        <f t="shared" si="14"/>
        <v>1</v>
      </c>
      <c r="AS122">
        <f t="shared" si="15"/>
        <v>1</v>
      </c>
      <c r="AT122">
        <f t="shared" si="16"/>
        <v>-1</v>
      </c>
      <c r="AU122">
        <f t="shared" si="17"/>
        <v>3.5</v>
      </c>
      <c r="AV122">
        <f>SUM(Table1[[#This Row],[Satis]:[29]])</f>
        <v>4</v>
      </c>
      <c r="AW122">
        <f t="shared" si="18"/>
        <v>3</v>
      </c>
      <c r="AX122">
        <f t="shared" si="19"/>
        <v>2</v>
      </c>
      <c r="AY122" t="str">
        <f t="shared" si="20"/>
        <v>ND</v>
      </c>
      <c r="AZ122" t="str">
        <f t="shared" si="21"/>
        <v>ND</v>
      </c>
    </row>
    <row r="123" spans="1:52" x14ac:dyDescent="0.3">
      <c r="A123" t="s">
        <v>836</v>
      </c>
      <c r="B123" s="94">
        <v>46043</v>
      </c>
      <c r="C123" t="s">
        <v>837</v>
      </c>
      <c r="D123" t="s">
        <v>838</v>
      </c>
      <c r="E123" t="s">
        <v>839</v>
      </c>
      <c r="F123" t="s">
        <v>69</v>
      </c>
      <c r="G123" t="s">
        <v>39</v>
      </c>
      <c r="H123" t="s">
        <v>840</v>
      </c>
      <c r="I123" t="s">
        <v>59</v>
      </c>
      <c r="J123" t="s">
        <v>219</v>
      </c>
      <c r="K123" t="s">
        <v>220</v>
      </c>
      <c r="L123" t="s">
        <v>75</v>
      </c>
      <c r="M123" t="s">
        <v>51</v>
      </c>
      <c r="N123" t="s">
        <v>107</v>
      </c>
      <c r="O123" t="s">
        <v>841</v>
      </c>
      <c r="P123">
        <v>9398403373</v>
      </c>
      <c r="Q123" t="s">
        <v>445</v>
      </c>
      <c r="R123" t="s">
        <v>132</v>
      </c>
      <c r="S123" t="s">
        <v>43</v>
      </c>
      <c r="T123" t="s">
        <v>43</v>
      </c>
      <c r="U123" t="s">
        <v>44</v>
      </c>
      <c r="V123" t="s">
        <v>45</v>
      </c>
      <c r="W123" t="s">
        <v>5082</v>
      </c>
      <c r="X123" t="s">
        <v>45</v>
      </c>
      <c r="Y123" t="s">
        <v>46</v>
      </c>
      <c r="Z123" t="s">
        <v>47</v>
      </c>
      <c r="AA123" t="s">
        <v>48</v>
      </c>
      <c r="AB123" t="s">
        <v>49</v>
      </c>
      <c r="AC123" t="s">
        <v>49</v>
      </c>
      <c r="AD123" t="s">
        <v>494</v>
      </c>
      <c r="AE123" t="s">
        <v>189</v>
      </c>
      <c r="AF123" t="s">
        <v>1235</v>
      </c>
      <c r="AG123" t="s">
        <v>196</v>
      </c>
      <c r="AH123" s="93">
        <f>VLOOKUP(Table1[[#This Row],[Caste]],Factor!$H$1:$K$13,4,0)</f>
        <v>1.1461625511156397</v>
      </c>
      <c r="AI12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23">
        <f>Table1[[#This Row],[Factor_1]]*Table1[[#This Row],[2024 Factor]]</f>
        <v>3.0326483876590018</v>
      </c>
      <c r="AK123">
        <f>VLOOKUP(Table1[[#This Row],[Q18: Gender]],Factor!$A$33:$E$35,5,0)</f>
        <v>2.1645021645021645</v>
      </c>
      <c r="AL123">
        <f>VLOOKUP(Table1[[#This Row],[Taluka]],Factor!$A$42:$G$46,7,0)</f>
        <v>1.147984664167413</v>
      </c>
      <c r="AM123">
        <f>VLOOKUP(Table1[[#This Row],[Caste]]&amp;Table1[[#This Row],[Q18: Gender]],Factor!$W$1:$X$23,2,0)</f>
        <v>2.8092219390089208</v>
      </c>
      <c r="AN123">
        <f>VLOOKUP(Table1[[#This Row],[Taluka]]&amp;Table1[[#This Row],[Caste]]&amp;Table1[[#This Row],[Q18: Gender]],Factor!$AK$4:$AL$93,2,0)</f>
        <v>2.2934724643212636</v>
      </c>
      <c r="AO123">
        <f t="shared" si="11"/>
        <v>-1</v>
      </c>
      <c r="AP123">
        <f t="shared" si="12"/>
        <v>-1</v>
      </c>
      <c r="AQ123">
        <f t="shared" si="13"/>
        <v>-1</v>
      </c>
      <c r="AR123">
        <f t="shared" si="14"/>
        <v>-1</v>
      </c>
      <c r="AS123">
        <f t="shared" si="15"/>
        <v>-1</v>
      </c>
      <c r="AT123">
        <f t="shared" si="16"/>
        <v>-1</v>
      </c>
      <c r="AU123">
        <f t="shared" si="17"/>
        <v>-5.5</v>
      </c>
      <c r="AV123">
        <f>SUM(Table1[[#This Row],[Satis]:[29]])</f>
        <v>-6</v>
      </c>
      <c r="AW123">
        <f t="shared" si="18"/>
        <v>-5</v>
      </c>
      <c r="AX123">
        <f t="shared" si="19"/>
        <v>-4</v>
      </c>
      <c r="AY123">
        <f t="shared" si="20"/>
        <v>-3</v>
      </c>
      <c r="AZ123" t="str">
        <f t="shared" si="21"/>
        <v>TDP HardCore</v>
      </c>
    </row>
    <row r="124" spans="1:52" x14ac:dyDescent="0.3">
      <c r="A124" t="s">
        <v>842</v>
      </c>
      <c r="B124" s="94">
        <v>46043</v>
      </c>
      <c r="C124" t="s">
        <v>843</v>
      </c>
      <c r="D124" t="s">
        <v>844</v>
      </c>
      <c r="E124" t="s">
        <v>572</v>
      </c>
      <c r="F124" t="s">
        <v>240</v>
      </c>
      <c r="G124" t="s">
        <v>39</v>
      </c>
      <c r="H124" t="s">
        <v>845</v>
      </c>
      <c r="I124" t="s">
        <v>70</v>
      </c>
      <c r="J124" t="s">
        <v>37</v>
      </c>
      <c r="K124" t="s">
        <v>211</v>
      </c>
      <c r="L124" t="s">
        <v>62</v>
      </c>
      <c r="M124" t="s">
        <v>51</v>
      </c>
      <c r="N124" t="s">
        <v>52</v>
      </c>
      <c r="O124" t="s">
        <v>846</v>
      </c>
      <c r="P124">
        <v>9010024866</v>
      </c>
      <c r="Q124" t="s">
        <v>54</v>
      </c>
      <c r="R124" t="s">
        <v>61</v>
      </c>
      <c r="S124" t="s">
        <v>43</v>
      </c>
      <c r="T124" t="s">
        <v>43</v>
      </c>
      <c r="U124" t="s">
        <v>44</v>
      </c>
      <c r="V124" t="s">
        <v>45</v>
      </c>
      <c r="W124" t="s">
        <v>5050</v>
      </c>
      <c r="X124" t="s">
        <v>45</v>
      </c>
      <c r="Y124" t="s">
        <v>46</v>
      </c>
      <c r="Z124" t="s">
        <v>47</v>
      </c>
      <c r="AA124" t="s">
        <v>48</v>
      </c>
      <c r="AB124" t="s">
        <v>49</v>
      </c>
      <c r="AC124" t="s">
        <v>49</v>
      </c>
      <c r="AD124" t="s">
        <v>494</v>
      </c>
      <c r="AE124" t="s">
        <v>185</v>
      </c>
      <c r="AF124">
        <v>0</v>
      </c>
      <c r="AG124" t="s">
        <v>196</v>
      </c>
      <c r="AH124" s="93">
        <f>VLOOKUP(Table1[[#This Row],[Caste]],Factor!$H$1:$K$13,4,0)</f>
        <v>1.3836274505214585</v>
      </c>
      <c r="AI12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24">
        <f>Table1[[#This Row],[Factor_1]]*Table1[[#This Row],[2024 Factor]]</f>
        <v>1.1648410586678206</v>
      </c>
      <c r="AK124">
        <f>VLOOKUP(Table1[[#This Row],[Q18: Gender]],Factor!$A$33:$E$35,5,0)</f>
        <v>0.85034013605442171</v>
      </c>
      <c r="AL124">
        <f>VLOOKUP(Table1[[#This Row],[Taluka]],Factor!$A$42:$G$46,7,0)</f>
        <v>0.75433779645928134</v>
      </c>
      <c r="AM124">
        <f>VLOOKUP(Table1[[#This Row],[Caste]]&amp;Table1[[#This Row],[Q18: Gender]],Factor!$W$1:$X$23,2,0)</f>
        <v>1.0790228998469584</v>
      </c>
      <c r="AN124">
        <f>VLOOKUP(Table1[[#This Row],[Taluka]]&amp;Table1[[#This Row],[Caste]]&amp;Table1[[#This Row],[Q18: Gender]],Factor!$AK$4:$AL$93,2,0)</f>
        <v>0.52423486800867025</v>
      </c>
      <c r="AO124">
        <f t="shared" si="11"/>
        <v>-1</v>
      </c>
      <c r="AP124">
        <f t="shared" si="12"/>
        <v>-1</v>
      </c>
      <c r="AQ124">
        <f t="shared" si="13"/>
        <v>-1</v>
      </c>
      <c r="AR124">
        <f t="shared" si="14"/>
        <v>-1</v>
      </c>
      <c r="AS124">
        <f t="shared" si="15"/>
        <v>-1</v>
      </c>
      <c r="AT124">
        <f t="shared" si="16"/>
        <v>-1</v>
      </c>
      <c r="AU124">
        <f t="shared" si="17"/>
        <v>-5.5</v>
      </c>
      <c r="AV124">
        <f>SUM(Table1[[#This Row],[Satis]:[29]])</f>
        <v>-6</v>
      </c>
      <c r="AW124">
        <f t="shared" si="18"/>
        <v>-5</v>
      </c>
      <c r="AX124">
        <f t="shared" si="19"/>
        <v>-4</v>
      </c>
      <c r="AY124">
        <f t="shared" si="20"/>
        <v>-3</v>
      </c>
      <c r="AZ124" t="str">
        <f t="shared" si="21"/>
        <v>TDP HardCore</v>
      </c>
    </row>
    <row r="125" spans="1:52" x14ac:dyDescent="0.3">
      <c r="A125" t="s">
        <v>847</v>
      </c>
      <c r="B125" s="94">
        <v>46043</v>
      </c>
      <c r="C125" t="s">
        <v>848</v>
      </c>
      <c r="D125" t="s">
        <v>849</v>
      </c>
      <c r="E125" t="s">
        <v>850</v>
      </c>
      <c r="F125" t="s">
        <v>240</v>
      </c>
      <c r="G125" t="s">
        <v>39</v>
      </c>
      <c r="H125" t="s">
        <v>851</v>
      </c>
      <c r="I125" t="s">
        <v>36</v>
      </c>
      <c r="J125" t="s">
        <v>37</v>
      </c>
      <c r="K125" t="s">
        <v>211</v>
      </c>
      <c r="L125" t="s">
        <v>62</v>
      </c>
      <c r="M125" t="s">
        <v>51</v>
      </c>
      <c r="N125" t="s">
        <v>107</v>
      </c>
      <c r="O125" t="s">
        <v>852</v>
      </c>
      <c r="P125">
        <v>9951782705</v>
      </c>
      <c r="Q125" t="s">
        <v>54</v>
      </c>
      <c r="R125" t="s">
        <v>61</v>
      </c>
      <c r="S125" t="s">
        <v>43</v>
      </c>
      <c r="T125" t="s">
        <v>43</v>
      </c>
      <c r="U125" t="s">
        <v>90</v>
      </c>
      <c r="V125" t="s">
        <v>91</v>
      </c>
      <c r="W125" t="s">
        <v>5041</v>
      </c>
      <c r="X125" t="s">
        <v>45</v>
      </c>
      <c r="Y125" t="s">
        <v>46</v>
      </c>
      <c r="Z125" t="s">
        <v>242</v>
      </c>
      <c r="AA125" t="s">
        <v>48</v>
      </c>
      <c r="AB125" t="s">
        <v>49</v>
      </c>
      <c r="AC125" t="s">
        <v>49</v>
      </c>
      <c r="AD125" t="s">
        <v>494</v>
      </c>
      <c r="AE125" t="s">
        <v>185</v>
      </c>
      <c r="AF125">
        <v>0</v>
      </c>
      <c r="AG125" t="s">
        <v>196</v>
      </c>
      <c r="AH125" s="93">
        <f>VLOOKUP(Table1[[#This Row],[Caste]],Factor!$H$1:$K$13,4,0)</f>
        <v>1.1705128247062893</v>
      </c>
      <c r="AI12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25">
        <f>Table1[[#This Row],[Factor_1]]*Table1[[#This Row],[2024 Factor]]</f>
        <v>0.86308903171383233</v>
      </c>
      <c r="AK125">
        <f>VLOOKUP(Table1[[#This Row],[Q18: Gender]],Factor!$A$33:$E$35,5,0)</f>
        <v>0.85034013605442171</v>
      </c>
      <c r="AL125">
        <f>VLOOKUP(Table1[[#This Row],[Taluka]],Factor!$A$42:$G$46,7,0)</f>
        <v>0.75433779645928134</v>
      </c>
      <c r="AM125">
        <f>VLOOKUP(Table1[[#This Row],[Caste]]&amp;Table1[[#This Row],[Q18: Gender]],Factor!$W$1:$X$23,2,0)</f>
        <v>0.79950206330384943</v>
      </c>
      <c r="AN125">
        <f>VLOOKUP(Table1[[#This Row],[Taluka]]&amp;Table1[[#This Row],[Caste]]&amp;Table1[[#This Row],[Q18: Gender]],Factor!$AK$4:$AL$93,2,0)</f>
        <v>0.40257772387792479</v>
      </c>
      <c r="AO125">
        <f t="shared" si="11"/>
        <v>-1</v>
      </c>
      <c r="AP125">
        <f t="shared" si="12"/>
        <v>1</v>
      </c>
      <c r="AQ125">
        <f t="shared" si="13"/>
        <v>1</v>
      </c>
      <c r="AR125">
        <f t="shared" si="14"/>
        <v>-1</v>
      </c>
      <c r="AS125">
        <f t="shared" si="15"/>
        <v>-1</v>
      </c>
      <c r="AT125">
        <f t="shared" si="16"/>
        <v>-1</v>
      </c>
      <c r="AU125">
        <f t="shared" si="17"/>
        <v>-1.5</v>
      </c>
      <c r="AV125">
        <f>SUM(Table1[[#This Row],[Satis]:[29]])</f>
        <v>-2</v>
      </c>
      <c r="AW125">
        <f t="shared" si="18"/>
        <v>-3</v>
      </c>
      <c r="AX125">
        <f t="shared" si="19"/>
        <v>-2</v>
      </c>
      <c r="AY125">
        <f t="shared" si="20"/>
        <v>-3</v>
      </c>
      <c r="AZ125" t="str">
        <f t="shared" si="21"/>
        <v>Neutral TDP</v>
      </c>
    </row>
    <row r="126" spans="1:52" x14ac:dyDescent="0.3">
      <c r="A126" t="s">
        <v>853</v>
      </c>
      <c r="B126" s="94">
        <v>46043</v>
      </c>
      <c r="C126" t="s">
        <v>854</v>
      </c>
      <c r="D126" t="s">
        <v>855</v>
      </c>
      <c r="E126" t="s">
        <v>856</v>
      </c>
      <c r="F126" t="s">
        <v>240</v>
      </c>
      <c r="G126" t="s">
        <v>39</v>
      </c>
      <c r="H126" t="s">
        <v>857</v>
      </c>
      <c r="I126" t="s">
        <v>36</v>
      </c>
      <c r="J126" t="s">
        <v>37</v>
      </c>
      <c r="K126" t="s">
        <v>211</v>
      </c>
      <c r="L126" t="s">
        <v>62</v>
      </c>
      <c r="M126" t="s">
        <v>51</v>
      </c>
      <c r="N126" t="s">
        <v>52</v>
      </c>
      <c r="O126" t="s">
        <v>858</v>
      </c>
      <c r="P126">
        <v>6360441562</v>
      </c>
      <c r="Q126" t="s">
        <v>445</v>
      </c>
      <c r="R126" t="s">
        <v>61</v>
      </c>
      <c r="S126" t="s">
        <v>43</v>
      </c>
      <c r="T126" t="s">
        <v>89</v>
      </c>
      <c r="U126" t="s">
        <v>90</v>
      </c>
      <c r="V126" t="s">
        <v>91</v>
      </c>
      <c r="W126" t="s">
        <v>5041</v>
      </c>
      <c r="X126" t="s">
        <v>91</v>
      </c>
      <c r="Y126" t="s">
        <v>46</v>
      </c>
      <c r="Z126" t="s">
        <v>242</v>
      </c>
      <c r="AA126" t="s">
        <v>48</v>
      </c>
      <c r="AB126" t="s">
        <v>49</v>
      </c>
      <c r="AC126" t="s">
        <v>49</v>
      </c>
      <c r="AD126" t="s">
        <v>494</v>
      </c>
      <c r="AE126" t="s">
        <v>185</v>
      </c>
      <c r="AF126">
        <v>0</v>
      </c>
      <c r="AG126" t="s">
        <v>196</v>
      </c>
      <c r="AH126" s="93">
        <f>VLOOKUP(Table1[[#This Row],[Caste]],Factor!$H$1:$K$13,4,0)</f>
        <v>1.1705128247062893</v>
      </c>
      <c r="AI12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26">
        <f>Table1[[#This Row],[Factor_1]]*Table1[[#This Row],[2024 Factor]]</f>
        <v>2.3577066232182737</v>
      </c>
      <c r="AK126">
        <f>VLOOKUP(Table1[[#This Row],[Q18: Gender]],Factor!$A$33:$E$35,5,0)</f>
        <v>2.1645021645021645</v>
      </c>
      <c r="AL126">
        <f>VLOOKUP(Table1[[#This Row],[Taluka]],Factor!$A$42:$G$46,7,0)</f>
        <v>0.75433779645928134</v>
      </c>
      <c r="AM126">
        <f>VLOOKUP(Table1[[#This Row],[Caste]]&amp;Table1[[#This Row],[Q18: Gender]],Factor!$W$1:$X$23,2,0)</f>
        <v>2.1840056363422229</v>
      </c>
      <c r="AN126">
        <f>VLOOKUP(Table1[[#This Row],[Taluka]]&amp;Table1[[#This Row],[Caste]]&amp;Table1[[#This Row],[Q18: Gender]],Factor!$AK$4:$AL$93,2,0)</f>
        <v>1.1182714552164577</v>
      </c>
      <c r="AO126">
        <f t="shared" si="11"/>
        <v>1</v>
      </c>
      <c r="AP126">
        <f t="shared" si="12"/>
        <v>1</v>
      </c>
      <c r="AQ126">
        <f t="shared" si="13"/>
        <v>1</v>
      </c>
      <c r="AR126">
        <f t="shared" si="14"/>
        <v>1</v>
      </c>
      <c r="AS126">
        <f t="shared" si="15"/>
        <v>-1</v>
      </c>
      <c r="AT126">
        <f t="shared" si="16"/>
        <v>-1</v>
      </c>
      <c r="AU126">
        <f t="shared" si="17"/>
        <v>2.5</v>
      </c>
      <c r="AV126">
        <f>SUM(Table1[[#This Row],[Satis]:[29]])</f>
        <v>2</v>
      </c>
      <c r="AW126">
        <f t="shared" si="18"/>
        <v>1</v>
      </c>
      <c r="AX126">
        <f t="shared" si="19"/>
        <v>0</v>
      </c>
      <c r="AY126">
        <f t="shared" si="20"/>
        <v>-2</v>
      </c>
      <c r="AZ126" t="str">
        <f t="shared" si="21"/>
        <v>Neutral TDP</v>
      </c>
    </row>
    <row r="127" spans="1:52" x14ac:dyDescent="0.3">
      <c r="A127" t="s">
        <v>859</v>
      </c>
      <c r="B127" s="94">
        <v>46043</v>
      </c>
      <c r="C127" t="s">
        <v>860</v>
      </c>
      <c r="D127" t="s">
        <v>855</v>
      </c>
      <c r="E127" t="s">
        <v>856</v>
      </c>
      <c r="F127" t="s">
        <v>240</v>
      </c>
      <c r="G127" t="s">
        <v>39</v>
      </c>
      <c r="H127" t="s">
        <v>861</v>
      </c>
      <c r="I127" t="s">
        <v>36</v>
      </c>
      <c r="J127" t="s">
        <v>37</v>
      </c>
      <c r="K127" t="s">
        <v>211</v>
      </c>
      <c r="L127" t="s">
        <v>62</v>
      </c>
      <c r="M127" t="s">
        <v>51</v>
      </c>
      <c r="N127" t="s">
        <v>52</v>
      </c>
      <c r="O127" t="s">
        <v>858</v>
      </c>
      <c r="P127">
        <v>6360441562</v>
      </c>
      <c r="Q127" t="s">
        <v>445</v>
      </c>
      <c r="R127" t="s">
        <v>61</v>
      </c>
      <c r="S127" t="s">
        <v>43</v>
      </c>
      <c r="T127" t="s">
        <v>89</v>
      </c>
      <c r="U127" t="s">
        <v>90</v>
      </c>
      <c r="V127" t="s">
        <v>91</v>
      </c>
      <c r="W127" t="s">
        <v>5041</v>
      </c>
      <c r="X127" t="s">
        <v>91</v>
      </c>
      <c r="Y127" t="s">
        <v>46</v>
      </c>
      <c r="Z127" t="s">
        <v>242</v>
      </c>
      <c r="AA127" t="s">
        <v>48</v>
      </c>
      <c r="AB127" t="s">
        <v>49</v>
      </c>
      <c r="AC127" t="s">
        <v>49</v>
      </c>
      <c r="AD127">
        <v>0</v>
      </c>
      <c r="AE127" t="s">
        <v>185</v>
      </c>
      <c r="AF127">
        <v>0</v>
      </c>
      <c r="AG127" t="s">
        <v>196</v>
      </c>
      <c r="AH127" s="93">
        <f>VLOOKUP(Table1[[#This Row],[Caste]],Factor!$H$1:$K$13,4,0)</f>
        <v>1.1705128247062893</v>
      </c>
      <c r="AI12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27">
        <f>Table1[[#This Row],[Factor_1]]*Table1[[#This Row],[2024 Factor]]</f>
        <v>2.3577066232182737</v>
      </c>
      <c r="AK127">
        <f>VLOOKUP(Table1[[#This Row],[Q18: Gender]],Factor!$A$33:$E$35,5,0)</f>
        <v>2.1645021645021645</v>
      </c>
      <c r="AL127">
        <f>VLOOKUP(Table1[[#This Row],[Taluka]],Factor!$A$42:$G$46,7,0)</f>
        <v>0.75433779645928134</v>
      </c>
      <c r="AM127">
        <f>VLOOKUP(Table1[[#This Row],[Caste]]&amp;Table1[[#This Row],[Q18: Gender]],Factor!$W$1:$X$23,2,0)</f>
        <v>2.1840056363422229</v>
      </c>
      <c r="AN127">
        <f>VLOOKUP(Table1[[#This Row],[Taluka]]&amp;Table1[[#This Row],[Caste]]&amp;Table1[[#This Row],[Q18: Gender]],Factor!$AK$4:$AL$93,2,0)</f>
        <v>1.1182714552164577</v>
      </c>
      <c r="AO127">
        <f t="shared" si="11"/>
        <v>1</v>
      </c>
      <c r="AP127">
        <f t="shared" si="12"/>
        <v>1</v>
      </c>
      <c r="AQ127">
        <f t="shared" si="13"/>
        <v>1</v>
      </c>
      <c r="AR127">
        <f t="shared" si="14"/>
        <v>1</v>
      </c>
      <c r="AS127">
        <f t="shared" si="15"/>
        <v>-1</v>
      </c>
      <c r="AT127">
        <f t="shared" si="16"/>
        <v>-1</v>
      </c>
      <c r="AU127">
        <f t="shared" si="17"/>
        <v>2.5</v>
      </c>
      <c r="AV127">
        <f>SUM(Table1[[#This Row],[Satis]:[29]])</f>
        <v>2</v>
      </c>
      <c r="AW127">
        <f t="shared" si="18"/>
        <v>1</v>
      </c>
      <c r="AX127">
        <f t="shared" si="19"/>
        <v>0</v>
      </c>
      <c r="AY127">
        <f t="shared" si="20"/>
        <v>-2</v>
      </c>
      <c r="AZ127" t="str">
        <f t="shared" si="21"/>
        <v>Neutral TDP</v>
      </c>
    </row>
    <row r="128" spans="1:52" x14ac:dyDescent="0.3">
      <c r="A128" t="s">
        <v>862</v>
      </c>
      <c r="B128" s="94">
        <v>46043</v>
      </c>
      <c r="C128" t="s">
        <v>863</v>
      </c>
      <c r="D128" t="s">
        <v>864</v>
      </c>
      <c r="E128" t="s">
        <v>865</v>
      </c>
      <c r="F128" t="s">
        <v>69</v>
      </c>
      <c r="G128" t="s">
        <v>39</v>
      </c>
      <c r="H128" t="s">
        <v>866</v>
      </c>
      <c r="I128" t="s">
        <v>70</v>
      </c>
      <c r="J128" t="s">
        <v>219</v>
      </c>
      <c r="K128" t="s">
        <v>220</v>
      </c>
      <c r="L128" t="s">
        <v>62</v>
      </c>
      <c r="M128" t="s">
        <v>443</v>
      </c>
      <c r="N128" t="s">
        <v>52</v>
      </c>
      <c r="O128" t="s">
        <v>867</v>
      </c>
      <c r="P128">
        <v>8522006558</v>
      </c>
      <c r="Q128" t="s">
        <v>445</v>
      </c>
      <c r="R128" t="s">
        <v>73</v>
      </c>
      <c r="S128" t="s">
        <v>43</v>
      </c>
      <c r="T128" t="s">
        <v>43</v>
      </c>
      <c r="U128" t="s">
        <v>44</v>
      </c>
      <c r="V128" t="s">
        <v>91</v>
      </c>
      <c r="W128" t="s">
        <v>5083</v>
      </c>
      <c r="X128" t="s">
        <v>91</v>
      </c>
      <c r="Y128" t="s">
        <v>638</v>
      </c>
      <c r="Z128" t="s">
        <v>92</v>
      </c>
      <c r="AA128" t="s">
        <v>92</v>
      </c>
      <c r="AB128" t="s">
        <v>93</v>
      </c>
      <c r="AC128" t="s">
        <v>94</v>
      </c>
      <c r="AD128" t="s">
        <v>494</v>
      </c>
      <c r="AE128" t="s">
        <v>189</v>
      </c>
      <c r="AF128" t="s">
        <v>1236</v>
      </c>
      <c r="AG128" t="s">
        <v>196</v>
      </c>
      <c r="AH128" s="93">
        <f>VLOOKUP(Table1[[#This Row],[Caste]],Factor!$H$1:$K$13,4,0)</f>
        <v>1.3836274505214585</v>
      </c>
      <c r="AI128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128">
        <f>Table1[[#This Row],[Factor_1]]*Table1[[#This Row],[2024 Factor]]</f>
        <v>3.4809023142961388</v>
      </c>
      <c r="AK128">
        <f>VLOOKUP(Table1[[#This Row],[Q18: Gender]],Factor!$A$33:$E$35,5,0)</f>
        <v>2.1645021645021645</v>
      </c>
      <c r="AL128">
        <f>VLOOKUP(Table1[[#This Row],[Taluka]],Factor!$A$42:$G$46,7,0)</f>
        <v>1.147984664167413</v>
      </c>
      <c r="AM128">
        <f>VLOOKUP(Table1[[#This Row],[Caste]]&amp;Table1[[#This Row],[Q18: Gender]],Factor!$W$1:$X$23,2,0)</f>
        <v>1.9278542477265657</v>
      </c>
      <c r="AN128">
        <f>VLOOKUP(Table1[[#This Row],[Taluka]]&amp;Table1[[#This Row],[Caste]]&amp;Table1[[#This Row],[Q18: Gender]],Factor!$AK$4:$AL$93,2,0)</f>
        <v>3.2048072590163397</v>
      </c>
      <c r="AO128">
        <f t="shared" si="11"/>
        <v>-1</v>
      </c>
      <c r="AP128">
        <f t="shared" si="12"/>
        <v>-1</v>
      </c>
      <c r="AQ128">
        <f t="shared" si="13"/>
        <v>1</v>
      </c>
      <c r="AR128">
        <f t="shared" si="14"/>
        <v>1</v>
      </c>
      <c r="AS128">
        <f t="shared" si="15"/>
        <v>1</v>
      </c>
      <c r="AT128">
        <f t="shared" si="16"/>
        <v>1</v>
      </c>
      <c r="AU128">
        <f t="shared" si="17"/>
        <v>1.5</v>
      </c>
      <c r="AV128">
        <f>SUM(Table1[[#This Row],[Satis]:[29]])</f>
        <v>2</v>
      </c>
      <c r="AW128">
        <f t="shared" si="18"/>
        <v>3</v>
      </c>
      <c r="AX128">
        <f t="shared" si="19"/>
        <v>4</v>
      </c>
      <c r="AY128">
        <f t="shared" si="20"/>
        <v>2</v>
      </c>
      <c r="AZ128" t="str">
        <f t="shared" si="21"/>
        <v>YSRCP Sympathiser</v>
      </c>
    </row>
    <row r="129" spans="1:52" x14ac:dyDescent="0.3">
      <c r="A129" t="s">
        <v>868</v>
      </c>
      <c r="B129" s="94">
        <v>46043</v>
      </c>
      <c r="C129" t="s">
        <v>869</v>
      </c>
      <c r="D129" t="s">
        <v>870</v>
      </c>
      <c r="E129" t="s">
        <v>839</v>
      </c>
      <c r="F129" t="s">
        <v>69</v>
      </c>
      <c r="G129" t="s">
        <v>39</v>
      </c>
      <c r="H129" t="s">
        <v>871</v>
      </c>
      <c r="I129" t="s">
        <v>70</v>
      </c>
      <c r="J129" t="s">
        <v>219</v>
      </c>
      <c r="K129" t="s">
        <v>220</v>
      </c>
      <c r="L129" t="s">
        <v>62</v>
      </c>
      <c r="M129" t="s">
        <v>443</v>
      </c>
      <c r="N129" t="s">
        <v>107</v>
      </c>
      <c r="O129" t="s">
        <v>872</v>
      </c>
      <c r="P129">
        <v>7893089515</v>
      </c>
      <c r="Q129" t="s">
        <v>445</v>
      </c>
      <c r="R129" t="s">
        <v>73</v>
      </c>
      <c r="S129" t="s">
        <v>43</v>
      </c>
      <c r="T129" t="s">
        <v>43</v>
      </c>
      <c r="U129" t="s">
        <v>90</v>
      </c>
      <c r="V129" t="s">
        <v>45</v>
      </c>
      <c r="W129" t="s">
        <v>5075</v>
      </c>
      <c r="X129" t="s">
        <v>45</v>
      </c>
      <c r="Y129" t="s">
        <v>46</v>
      </c>
      <c r="Z129" t="s">
        <v>47</v>
      </c>
      <c r="AA129" t="s">
        <v>48</v>
      </c>
      <c r="AB129" t="s">
        <v>49</v>
      </c>
      <c r="AC129" t="s">
        <v>49</v>
      </c>
      <c r="AD129" t="s">
        <v>494</v>
      </c>
      <c r="AE129" t="s">
        <v>189</v>
      </c>
      <c r="AF129" t="s">
        <v>1237</v>
      </c>
      <c r="AG129" t="s">
        <v>196</v>
      </c>
      <c r="AH129" s="93">
        <f>VLOOKUP(Table1[[#This Row],[Caste]],Factor!$H$1:$K$13,4,0)</f>
        <v>1.3836274505214585</v>
      </c>
      <c r="AI12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29">
        <f>Table1[[#This Row],[Factor_1]]*Table1[[#This Row],[2024 Factor]]</f>
        <v>2.0811826914865059</v>
      </c>
      <c r="AK129">
        <f>VLOOKUP(Table1[[#This Row],[Q18: Gender]],Factor!$A$33:$E$35,5,0)</f>
        <v>2.1645021645021645</v>
      </c>
      <c r="AL129">
        <f>VLOOKUP(Table1[[#This Row],[Taluka]],Factor!$A$42:$G$46,7,0)</f>
        <v>1.147984664167413</v>
      </c>
      <c r="AM129">
        <f>VLOOKUP(Table1[[#This Row],[Caste]]&amp;Table1[[#This Row],[Q18: Gender]],Factor!$W$1:$X$23,2,0)</f>
        <v>1.9278542477265657</v>
      </c>
      <c r="AN129">
        <f>VLOOKUP(Table1[[#This Row],[Taluka]]&amp;Table1[[#This Row],[Caste]]&amp;Table1[[#This Row],[Q18: Gender]],Factor!$AK$4:$AL$93,2,0)</f>
        <v>3.2048072590163397</v>
      </c>
      <c r="AO129">
        <f t="shared" si="11"/>
        <v>-1</v>
      </c>
      <c r="AP129">
        <f t="shared" si="12"/>
        <v>1</v>
      </c>
      <c r="AQ129">
        <f t="shared" si="13"/>
        <v>-1</v>
      </c>
      <c r="AR129">
        <f t="shared" si="14"/>
        <v>-1</v>
      </c>
      <c r="AS129">
        <f t="shared" si="15"/>
        <v>-1</v>
      </c>
      <c r="AT129">
        <f t="shared" si="16"/>
        <v>-1</v>
      </c>
      <c r="AU129">
        <f t="shared" si="17"/>
        <v>-3.5</v>
      </c>
      <c r="AV129">
        <f>SUM(Table1[[#This Row],[Satis]:[29]])</f>
        <v>-4</v>
      </c>
      <c r="AW129">
        <f t="shared" si="18"/>
        <v>-5</v>
      </c>
      <c r="AX129">
        <f t="shared" si="19"/>
        <v>-4</v>
      </c>
      <c r="AY129">
        <f t="shared" si="20"/>
        <v>-3</v>
      </c>
      <c r="AZ129" t="str">
        <f t="shared" si="21"/>
        <v>TDP Sympathiser</v>
      </c>
    </row>
    <row r="130" spans="1:52" x14ac:dyDescent="0.3">
      <c r="A130" t="s">
        <v>873</v>
      </c>
      <c r="B130" s="94">
        <v>46043</v>
      </c>
      <c r="C130" t="s">
        <v>874</v>
      </c>
      <c r="D130" t="s">
        <v>870</v>
      </c>
      <c r="E130" t="s">
        <v>839</v>
      </c>
      <c r="F130" t="s">
        <v>69</v>
      </c>
      <c r="G130" t="s">
        <v>39</v>
      </c>
      <c r="H130" t="s">
        <v>875</v>
      </c>
      <c r="I130" t="s">
        <v>70</v>
      </c>
      <c r="J130" t="s">
        <v>219</v>
      </c>
      <c r="K130" t="s">
        <v>220</v>
      </c>
      <c r="L130" t="s">
        <v>62</v>
      </c>
      <c r="M130" t="s">
        <v>443</v>
      </c>
      <c r="N130" t="s">
        <v>107</v>
      </c>
      <c r="O130" t="s">
        <v>872</v>
      </c>
      <c r="P130">
        <v>7893089515</v>
      </c>
      <c r="Q130" t="s">
        <v>445</v>
      </c>
      <c r="R130" t="s">
        <v>73</v>
      </c>
      <c r="S130" t="s">
        <v>43</v>
      </c>
      <c r="T130" t="s">
        <v>43</v>
      </c>
      <c r="U130" t="s">
        <v>90</v>
      </c>
      <c r="V130" t="s">
        <v>45</v>
      </c>
      <c r="W130" t="s">
        <v>5075</v>
      </c>
      <c r="X130" t="s">
        <v>45</v>
      </c>
      <c r="Y130" t="s">
        <v>46</v>
      </c>
      <c r="Z130" t="s">
        <v>47</v>
      </c>
      <c r="AA130" t="s">
        <v>48</v>
      </c>
      <c r="AB130" t="s">
        <v>49</v>
      </c>
      <c r="AC130" t="s">
        <v>49</v>
      </c>
      <c r="AD130">
        <v>0</v>
      </c>
      <c r="AE130" t="s">
        <v>185</v>
      </c>
      <c r="AF130">
        <v>0</v>
      </c>
      <c r="AG130" t="s">
        <v>196</v>
      </c>
      <c r="AH130" s="93">
        <f>VLOOKUP(Table1[[#This Row],[Caste]],Factor!$H$1:$K$13,4,0)</f>
        <v>1.3836274505214585</v>
      </c>
      <c r="AI13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30">
        <f>Table1[[#This Row],[Factor_1]]*Table1[[#This Row],[2024 Factor]]</f>
        <v>2.0811826914865059</v>
      </c>
      <c r="AK130">
        <f>VLOOKUP(Table1[[#This Row],[Q18: Gender]],Factor!$A$33:$E$35,5,0)</f>
        <v>2.1645021645021645</v>
      </c>
      <c r="AL130">
        <f>VLOOKUP(Table1[[#This Row],[Taluka]],Factor!$A$42:$G$46,7,0)</f>
        <v>1.147984664167413</v>
      </c>
      <c r="AM130">
        <f>VLOOKUP(Table1[[#This Row],[Caste]]&amp;Table1[[#This Row],[Q18: Gender]],Factor!$W$1:$X$23,2,0)</f>
        <v>1.9278542477265657</v>
      </c>
      <c r="AN130">
        <f>VLOOKUP(Table1[[#This Row],[Taluka]]&amp;Table1[[#This Row],[Caste]]&amp;Table1[[#This Row],[Q18: Gender]],Factor!$AK$4:$AL$93,2,0)</f>
        <v>3.2048072590163397</v>
      </c>
      <c r="AO130">
        <f t="shared" ref="AO130:AO193" si="22">IF(T130="బాగుంది",-1,1)</f>
        <v>-1</v>
      </c>
      <c r="AP130">
        <f t="shared" ref="AP130:AP193" si="23">IF(U130="అమలవడం లేదు",1,-1)</f>
        <v>1</v>
      </c>
      <c r="AQ130">
        <f t="shared" ref="AQ130:AQ193" si="24">IF(V130="జగన్ మోహన్ రెడ్డి గారు",1,-1)</f>
        <v>-1</v>
      </c>
      <c r="AR130">
        <f t="shared" ref="AR130:AR193" si="25">IF(X130="జగన్ మోహన్ రెడ్డి గారు",1,-1)</f>
        <v>-1</v>
      </c>
      <c r="AS130">
        <f t="shared" ref="AS130:AS193" si="26">IF(AA130="YSRCP (వైఎస్‌ఆర్‌సీపీ)",1,-1)</f>
        <v>-1</v>
      </c>
      <c r="AT130">
        <f t="shared" ref="AT130:AT193" si="27">IF(Z130="YSRCP (వైఎస్‌ఆర్‌సీపీ)",1,-1)</f>
        <v>-1</v>
      </c>
      <c r="AU130">
        <f t="shared" ref="AU130:AU193" si="28">AO130+AP130+AQ130+AR130+(0.5*AS130)+AT130</f>
        <v>-3.5</v>
      </c>
      <c r="AV130">
        <f>SUM(Table1[[#This Row],[Satis]:[29]])</f>
        <v>-4</v>
      </c>
      <c r="AW130">
        <f t="shared" ref="AW130:AW193" si="29">AO130+AQ130+AR130+AS130+AT130</f>
        <v>-5</v>
      </c>
      <c r="AX130">
        <f t="shared" ref="AX130:AX193" si="30">AQ130+AR130+AS130+AT130</f>
        <v>-4</v>
      </c>
      <c r="AY130">
        <f t="shared" ref="AY130:AY193" si="31">IF(AND(AO130=1,AS130=1,AT130=1),3,IF(AND(AO130=-1,AS130=-1,AT130=-1),-3,IF(AND(AO130=1,AS130=-1,AT130=1),2,IF(AND(AO130=-1,AS130=1,AT130=-1),-2,IF(AND(AS130=1,AT130=1),2,IF(AND(AS130=-1,AT130=-1),-2,"ND"))))))</f>
        <v>-3</v>
      </c>
      <c r="AZ130" t="str">
        <f t="shared" ref="AZ130:AZ193" si="32">IFERROR(IF(AV130=6,"YSRCP HardCore",IF(AV130=-6,"TDP HardCore",IF(AW130&gt;=4,"YSRCP Sympathiser",IF(AW130&lt;=-4,"TDP Sympathiser",IF(AX130&gt;=3,"YSRCP Sympathiser",IF(AX130&lt;=-3,"TDP Sympathiser",IF(AY130="ND","ND",IF(AY130&gt;=2,"Neutral YSRCP",IF(AY130&lt;=-2,"Neutral TDP",0))))))))),"ND")</f>
        <v>TDP Sympathiser</v>
      </c>
    </row>
    <row r="131" spans="1:52" x14ac:dyDescent="0.3">
      <c r="A131" t="s">
        <v>876</v>
      </c>
      <c r="B131" s="94">
        <v>46043</v>
      </c>
      <c r="C131" t="s">
        <v>877</v>
      </c>
      <c r="D131" t="s">
        <v>878</v>
      </c>
      <c r="E131" t="s">
        <v>422</v>
      </c>
      <c r="F131" t="s">
        <v>240</v>
      </c>
      <c r="G131" t="s">
        <v>39</v>
      </c>
      <c r="H131" t="s">
        <v>879</v>
      </c>
      <c r="I131" t="s">
        <v>36</v>
      </c>
      <c r="J131" t="s">
        <v>37</v>
      </c>
      <c r="K131" t="s">
        <v>211</v>
      </c>
      <c r="L131" t="s">
        <v>451</v>
      </c>
      <c r="M131" t="s">
        <v>51</v>
      </c>
      <c r="N131" t="s">
        <v>162</v>
      </c>
      <c r="O131" t="s">
        <v>880</v>
      </c>
      <c r="P131">
        <v>7731013789</v>
      </c>
      <c r="Q131" t="s">
        <v>445</v>
      </c>
      <c r="R131" t="s">
        <v>61</v>
      </c>
      <c r="S131" t="s">
        <v>43</v>
      </c>
      <c r="T131" t="s">
        <v>43</v>
      </c>
      <c r="U131" t="s">
        <v>44</v>
      </c>
      <c r="V131" t="s">
        <v>45</v>
      </c>
      <c r="W131" t="s">
        <v>5050</v>
      </c>
      <c r="X131" t="s">
        <v>45</v>
      </c>
      <c r="Y131" t="s">
        <v>46</v>
      </c>
      <c r="Z131" t="s">
        <v>242</v>
      </c>
      <c r="AA131" t="s">
        <v>242</v>
      </c>
      <c r="AB131" t="s">
        <v>49</v>
      </c>
      <c r="AC131" t="s">
        <v>49</v>
      </c>
      <c r="AD131" t="s">
        <v>494</v>
      </c>
      <c r="AE131" t="s">
        <v>185</v>
      </c>
      <c r="AF131">
        <v>0</v>
      </c>
      <c r="AG131" t="s">
        <v>196</v>
      </c>
      <c r="AH131" s="93">
        <f>VLOOKUP(Table1[[#This Row],[Caste]],Factor!$H$1:$K$13,4,0)</f>
        <v>1.1705128247062893</v>
      </c>
      <c r="AI131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131">
        <f>Table1[[#This Row],[Factor_1]]*Table1[[#This Row],[2024 Factor]]</f>
        <v>1.444803728657164</v>
      </c>
      <c r="AK131">
        <f>VLOOKUP(Table1[[#This Row],[Q18: Gender]],Factor!$A$33:$E$35,5,0)</f>
        <v>2.1645021645021645</v>
      </c>
      <c r="AL131">
        <f>VLOOKUP(Table1[[#This Row],[Taluka]],Factor!$A$42:$G$46,7,0)</f>
        <v>0.75433779645928134</v>
      </c>
      <c r="AM131">
        <f>VLOOKUP(Table1[[#This Row],[Caste]]&amp;Table1[[#This Row],[Q18: Gender]],Factor!$W$1:$X$23,2,0)</f>
        <v>2.1840056363422229</v>
      </c>
      <c r="AN131">
        <f>VLOOKUP(Table1[[#This Row],[Taluka]]&amp;Table1[[#This Row],[Caste]]&amp;Table1[[#This Row],[Q18: Gender]],Factor!$AK$4:$AL$93,2,0)</f>
        <v>1.1182714552164577</v>
      </c>
      <c r="AO131">
        <f t="shared" si="22"/>
        <v>-1</v>
      </c>
      <c r="AP131">
        <f t="shared" si="23"/>
        <v>-1</v>
      </c>
      <c r="AQ131">
        <f t="shared" si="24"/>
        <v>-1</v>
      </c>
      <c r="AR131">
        <f t="shared" si="25"/>
        <v>-1</v>
      </c>
      <c r="AS131">
        <f t="shared" si="26"/>
        <v>-1</v>
      </c>
      <c r="AT131">
        <f t="shared" si="27"/>
        <v>-1</v>
      </c>
      <c r="AU131">
        <f t="shared" si="28"/>
        <v>-5.5</v>
      </c>
      <c r="AV131">
        <f>SUM(Table1[[#This Row],[Satis]:[29]])</f>
        <v>-6</v>
      </c>
      <c r="AW131">
        <f t="shared" si="29"/>
        <v>-5</v>
      </c>
      <c r="AX131">
        <f t="shared" si="30"/>
        <v>-4</v>
      </c>
      <c r="AY131">
        <f t="shared" si="31"/>
        <v>-3</v>
      </c>
      <c r="AZ131" t="str">
        <f t="shared" si="32"/>
        <v>TDP HardCore</v>
      </c>
    </row>
    <row r="132" spans="1:52" x14ac:dyDescent="0.3">
      <c r="A132" t="s">
        <v>881</v>
      </c>
      <c r="B132" s="94">
        <v>46043</v>
      </c>
      <c r="C132" t="s">
        <v>882</v>
      </c>
      <c r="D132" t="s">
        <v>883</v>
      </c>
      <c r="E132" t="s">
        <v>798</v>
      </c>
      <c r="F132" t="s">
        <v>69</v>
      </c>
      <c r="G132" t="s">
        <v>39</v>
      </c>
      <c r="H132" t="s">
        <v>884</v>
      </c>
      <c r="I132" s="112" t="s">
        <v>36</v>
      </c>
      <c r="J132" t="s">
        <v>219</v>
      </c>
      <c r="K132" t="s">
        <v>220</v>
      </c>
      <c r="L132" t="s">
        <v>62</v>
      </c>
      <c r="M132" t="s">
        <v>51</v>
      </c>
      <c r="N132" t="s">
        <v>52</v>
      </c>
      <c r="O132" t="s">
        <v>885</v>
      </c>
      <c r="P132">
        <v>9949150603</v>
      </c>
      <c r="Q132" t="s">
        <v>54</v>
      </c>
      <c r="R132" t="s">
        <v>73</v>
      </c>
      <c r="S132" t="s">
        <v>43</v>
      </c>
      <c r="T132" t="s">
        <v>43</v>
      </c>
      <c r="U132" t="s">
        <v>44</v>
      </c>
      <c r="V132" t="s">
        <v>45</v>
      </c>
      <c r="W132" t="s">
        <v>5075</v>
      </c>
      <c r="X132" t="s">
        <v>45</v>
      </c>
      <c r="Y132" t="s">
        <v>46</v>
      </c>
      <c r="Z132" t="s">
        <v>47</v>
      </c>
      <c r="AA132" t="s">
        <v>48</v>
      </c>
      <c r="AB132" t="s">
        <v>49</v>
      </c>
      <c r="AC132" t="s">
        <v>49</v>
      </c>
      <c r="AD132" t="s">
        <v>494</v>
      </c>
      <c r="AE132" t="s">
        <v>185</v>
      </c>
      <c r="AF132" t="s">
        <v>1238</v>
      </c>
      <c r="AG132" t="s">
        <v>196</v>
      </c>
      <c r="AH132" s="93">
        <f>VLOOKUP(Table1[[#This Row],[Caste]],Factor!$H$1:$K$13,4,0)</f>
        <v>1.1705128247062893</v>
      </c>
      <c r="AI13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32">
        <f>Table1[[#This Row],[Factor_1]]*Table1[[#This Row],[2024 Factor]]</f>
        <v>0.86308903171383233</v>
      </c>
      <c r="AK132">
        <f>VLOOKUP(Table1[[#This Row],[Q18: Gender]],Factor!$A$33:$E$35,5,0)</f>
        <v>0.85034013605442171</v>
      </c>
      <c r="AL132">
        <f>VLOOKUP(Table1[[#This Row],[Taluka]],Factor!$A$42:$G$46,7,0)</f>
        <v>1.147984664167413</v>
      </c>
      <c r="AM132">
        <f>VLOOKUP(Table1[[#This Row],[Caste]]&amp;Table1[[#This Row],[Q18: Gender]],Factor!$W$1:$X$23,2,0)</f>
        <v>0.79950206330384943</v>
      </c>
      <c r="AN132">
        <f>VLOOKUP(Table1[[#This Row],[Taluka]]&amp;Table1[[#This Row],[Caste]]&amp;Table1[[#This Row],[Q18: Gender]],Factor!$AK$4:$AL$93,2,0)</f>
        <v>0.92148737207359532</v>
      </c>
      <c r="AO132">
        <f t="shared" si="22"/>
        <v>-1</v>
      </c>
      <c r="AP132">
        <f t="shared" si="23"/>
        <v>-1</v>
      </c>
      <c r="AQ132">
        <f t="shared" si="24"/>
        <v>-1</v>
      </c>
      <c r="AR132">
        <f t="shared" si="25"/>
        <v>-1</v>
      </c>
      <c r="AS132">
        <f t="shared" si="26"/>
        <v>-1</v>
      </c>
      <c r="AT132">
        <f t="shared" si="27"/>
        <v>-1</v>
      </c>
      <c r="AU132">
        <f t="shared" si="28"/>
        <v>-5.5</v>
      </c>
      <c r="AV132">
        <f>SUM(Table1[[#This Row],[Satis]:[29]])</f>
        <v>-6</v>
      </c>
      <c r="AW132">
        <f t="shared" si="29"/>
        <v>-5</v>
      </c>
      <c r="AX132">
        <f t="shared" si="30"/>
        <v>-4</v>
      </c>
      <c r="AY132">
        <f t="shared" si="31"/>
        <v>-3</v>
      </c>
      <c r="AZ132" t="str">
        <f t="shared" si="32"/>
        <v>TDP HardCore</v>
      </c>
    </row>
    <row r="133" spans="1:52" x14ac:dyDescent="0.3">
      <c r="A133" t="s">
        <v>886</v>
      </c>
      <c r="B133" s="94">
        <v>46043</v>
      </c>
      <c r="C133" t="s">
        <v>887</v>
      </c>
      <c r="D133" t="s">
        <v>888</v>
      </c>
      <c r="E133" t="s">
        <v>889</v>
      </c>
      <c r="F133" t="s">
        <v>69</v>
      </c>
      <c r="G133" t="s">
        <v>39</v>
      </c>
      <c r="H133" t="s">
        <v>890</v>
      </c>
      <c r="I133" t="s">
        <v>70</v>
      </c>
      <c r="J133" t="s">
        <v>219</v>
      </c>
      <c r="K133" t="s">
        <v>220</v>
      </c>
      <c r="L133" t="s">
        <v>62</v>
      </c>
      <c r="M133" t="s">
        <v>51</v>
      </c>
      <c r="N133" t="s">
        <v>162</v>
      </c>
      <c r="O133" t="s">
        <v>375</v>
      </c>
      <c r="P133">
        <v>9999999999</v>
      </c>
      <c r="Q133" t="s">
        <v>445</v>
      </c>
      <c r="R133" t="s">
        <v>73</v>
      </c>
      <c r="S133" t="s">
        <v>43</v>
      </c>
      <c r="T133" t="s">
        <v>43</v>
      </c>
      <c r="U133" t="s">
        <v>90</v>
      </c>
      <c r="V133" t="s">
        <v>91</v>
      </c>
      <c r="W133" t="s">
        <v>5075</v>
      </c>
      <c r="X133" t="s">
        <v>91</v>
      </c>
      <c r="Y133" t="s">
        <v>46</v>
      </c>
      <c r="Z133" t="s">
        <v>92</v>
      </c>
      <c r="AA133" t="s">
        <v>48</v>
      </c>
      <c r="AB133" t="s">
        <v>49</v>
      </c>
      <c r="AC133" t="s">
        <v>49</v>
      </c>
      <c r="AD133" t="s">
        <v>494</v>
      </c>
      <c r="AE133" t="s">
        <v>189</v>
      </c>
      <c r="AF133" t="s">
        <v>1239</v>
      </c>
      <c r="AG133" t="s">
        <v>196</v>
      </c>
      <c r="AH133" s="93">
        <f>VLOOKUP(Table1[[#This Row],[Caste]],Factor!$H$1:$K$13,4,0)</f>
        <v>1.3836274505214585</v>
      </c>
      <c r="AI13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33">
        <f>Table1[[#This Row],[Factor_1]]*Table1[[#This Row],[2024 Factor]]</f>
        <v>2.0811826914865059</v>
      </c>
      <c r="AK133">
        <f>VLOOKUP(Table1[[#This Row],[Q18: Gender]],Factor!$A$33:$E$35,5,0)</f>
        <v>2.1645021645021645</v>
      </c>
      <c r="AL133">
        <f>VLOOKUP(Table1[[#This Row],[Taluka]],Factor!$A$42:$G$46,7,0)</f>
        <v>1.147984664167413</v>
      </c>
      <c r="AM133">
        <f>VLOOKUP(Table1[[#This Row],[Caste]]&amp;Table1[[#This Row],[Q18: Gender]],Factor!$W$1:$X$23,2,0)</f>
        <v>1.9278542477265657</v>
      </c>
      <c r="AN133">
        <f>VLOOKUP(Table1[[#This Row],[Taluka]]&amp;Table1[[#This Row],[Caste]]&amp;Table1[[#This Row],[Q18: Gender]],Factor!$AK$4:$AL$93,2,0)</f>
        <v>3.2048072590163397</v>
      </c>
      <c r="AO133">
        <f t="shared" si="22"/>
        <v>-1</v>
      </c>
      <c r="AP133">
        <f t="shared" si="23"/>
        <v>1</v>
      </c>
      <c r="AQ133">
        <f t="shared" si="24"/>
        <v>1</v>
      </c>
      <c r="AR133">
        <f t="shared" si="25"/>
        <v>1</v>
      </c>
      <c r="AS133">
        <f t="shared" si="26"/>
        <v>-1</v>
      </c>
      <c r="AT133">
        <f t="shared" si="27"/>
        <v>1</v>
      </c>
      <c r="AU133">
        <f t="shared" si="28"/>
        <v>2.5</v>
      </c>
      <c r="AV133">
        <f>SUM(Table1[[#This Row],[Satis]:[29]])</f>
        <v>2</v>
      </c>
      <c r="AW133">
        <f t="shared" si="29"/>
        <v>1</v>
      </c>
      <c r="AX133">
        <f t="shared" si="30"/>
        <v>2</v>
      </c>
      <c r="AY133" t="str">
        <f t="shared" si="31"/>
        <v>ND</v>
      </c>
      <c r="AZ133" t="str">
        <f t="shared" si="32"/>
        <v>ND</v>
      </c>
    </row>
    <row r="134" spans="1:52" x14ac:dyDescent="0.3">
      <c r="A134" t="s">
        <v>891</v>
      </c>
      <c r="B134" s="94">
        <v>46043</v>
      </c>
      <c r="C134" t="s">
        <v>892</v>
      </c>
      <c r="D134" t="s">
        <v>893</v>
      </c>
      <c r="E134" t="s">
        <v>416</v>
      </c>
      <c r="F134" t="s">
        <v>240</v>
      </c>
      <c r="G134" t="s">
        <v>39</v>
      </c>
      <c r="H134" t="s">
        <v>894</v>
      </c>
      <c r="I134" t="s">
        <v>228</v>
      </c>
      <c r="J134" t="s">
        <v>37</v>
      </c>
      <c r="K134" t="s">
        <v>211</v>
      </c>
      <c r="L134" t="s">
        <v>62</v>
      </c>
      <c r="M134" t="s">
        <v>51</v>
      </c>
      <c r="N134" t="s">
        <v>107</v>
      </c>
      <c r="O134" t="s">
        <v>895</v>
      </c>
      <c r="P134">
        <v>8500532361</v>
      </c>
      <c r="Q134" t="s">
        <v>54</v>
      </c>
      <c r="R134" t="s">
        <v>61</v>
      </c>
      <c r="S134" t="s">
        <v>89</v>
      </c>
      <c r="T134" t="s">
        <v>89</v>
      </c>
      <c r="U134" t="s">
        <v>90</v>
      </c>
      <c r="V134" t="s">
        <v>91</v>
      </c>
      <c r="W134" t="s">
        <v>5050</v>
      </c>
      <c r="X134" t="s">
        <v>91</v>
      </c>
      <c r="Y134" t="s">
        <v>46</v>
      </c>
      <c r="Z134" t="s">
        <v>92</v>
      </c>
      <c r="AA134" t="s">
        <v>48</v>
      </c>
      <c r="AB134" t="s">
        <v>49</v>
      </c>
      <c r="AC134" t="s">
        <v>49</v>
      </c>
      <c r="AD134" t="s">
        <v>494</v>
      </c>
      <c r="AE134" t="s">
        <v>185</v>
      </c>
      <c r="AF134">
        <v>0</v>
      </c>
      <c r="AG134" t="s">
        <v>196</v>
      </c>
      <c r="AH134" s="93">
        <f>VLOOKUP(Table1[[#This Row],[Caste]],Factor!$H$1:$K$13,4,0)</f>
        <v>0.80207032429970992</v>
      </c>
      <c r="AI13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34">
        <f>Table1[[#This Row],[Factor_1]]*Table1[[#This Row],[2024 Factor]]</f>
        <v>0.65595572330316032</v>
      </c>
      <c r="AK134">
        <f>VLOOKUP(Table1[[#This Row],[Q18: Gender]],Factor!$A$33:$E$35,5,0)</f>
        <v>0.85034013605442171</v>
      </c>
      <c r="AL134">
        <f>VLOOKUP(Table1[[#This Row],[Taluka]],Factor!$A$42:$G$46,7,0)</f>
        <v>0.75433779645928134</v>
      </c>
      <c r="AM134">
        <f>VLOOKUP(Table1[[#This Row],[Caste]]&amp;Table1[[#This Row],[Q18: Gender]],Factor!$W$1:$X$23,2,0)</f>
        <v>0.60762903356038633</v>
      </c>
      <c r="AN134">
        <f>VLOOKUP(Table1[[#This Row],[Taluka]]&amp;Table1[[#This Row],[Caste]]&amp;Table1[[#This Row],[Q18: Gender]],Factor!$AK$4:$AL$93,2,0)</f>
        <v>0.22537440548651508</v>
      </c>
      <c r="AO134">
        <f t="shared" si="22"/>
        <v>1</v>
      </c>
      <c r="AP134">
        <f t="shared" si="23"/>
        <v>1</v>
      </c>
      <c r="AQ134">
        <f t="shared" si="24"/>
        <v>1</v>
      </c>
      <c r="AR134">
        <f t="shared" si="25"/>
        <v>1</v>
      </c>
      <c r="AS134">
        <f t="shared" si="26"/>
        <v>-1</v>
      </c>
      <c r="AT134">
        <f t="shared" si="27"/>
        <v>1</v>
      </c>
      <c r="AU134">
        <f t="shared" si="28"/>
        <v>4.5</v>
      </c>
      <c r="AV134">
        <f>SUM(Table1[[#This Row],[Satis]:[29]])</f>
        <v>4</v>
      </c>
      <c r="AW134">
        <f t="shared" si="29"/>
        <v>3</v>
      </c>
      <c r="AX134">
        <f t="shared" si="30"/>
        <v>2</v>
      </c>
      <c r="AY134">
        <f t="shared" si="31"/>
        <v>2</v>
      </c>
      <c r="AZ134" t="str">
        <f t="shared" si="32"/>
        <v>Neutral YSRCP</v>
      </c>
    </row>
    <row r="135" spans="1:52" x14ac:dyDescent="0.3">
      <c r="A135" t="s">
        <v>896</v>
      </c>
      <c r="B135" s="94">
        <v>46043</v>
      </c>
      <c r="C135" t="s">
        <v>897</v>
      </c>
      <c r="D135" t="s">
        <v>898</v>
      </c>
      <c r="E135" t="s">
        <v>899</v>
      </c>
      <c r="F135" t="s">
        <v>69</v>
      </c>
      <c r="G135" t="s">
        <v>39</v>
      </c>
      <c r="H135" t="s">
        <v>900</v>
      </c>
      <c r="I135" t="s">
        <v>227</v>
      </c>
      <c r="J135" t="s">
        <v>219</v>
      </c>
      <c r="K135" t="s">
        <v>220</v>
      </c>
      <c r="L135" t="s">
        <v>75</v>
      </c>
      <c r="M135" t="s">
        <v>51</v>
      </c>
      <c r="N135" t="s">
        <v>162</v>
      </c>
      <c r="O135" t="s">
        <v>901</v>
      </c>
      <c r="P135">
        <v>7386805766</v>
      </c>
      <c r="Q135" t="s">
        <v>445</v>
      </c>
      <c r="R135" t="s">
        <v>73</v>
      </c>
      <c r="S135" t="s">
        <v>89</v>
      </c>
      <c r="T135" t="s">
        <v>89</v>
      </c>
      <c r="U135" t="s">
        <v>90</v>
      </c>
      <c r="V135" t="s">
        <v>91</v>
      </c>
      <c r="W135" t="s">
        <v>5057</v>
      </c>
      <c r="X135" t="s">
        <v>91</v>
      </c>
      <c r="Y135" t="s">
        <v>46</v>
      </c>
      <c r="Z135" t="s">
        <v>92</v>
      </c>
      <c r="AA135" t="s">
        <v>92</v>
      </c>
      <c r="AB135" t="s">
        <v>93</v>
      </c>
      <c r="AC135" t="s">
        <v>94</v>
      </c>
      <c r="AD135" t="s">
        <v>494</v>
      </c>
      <c r="AE135" t="s">
        <v>185</v>
      </c>
      <c r="AF135" t="s">
        <v>1240</v>
      </c>
      <c r="AG135" t="s">
        <v>196</v>
      </c>
      <c r="AH135" s="93">
        <f>VLOOKUP(Table1[[#This Row],[Caste]],Factor!$H$1:$K$13,4,0)</f>
        <v>1.2612194085121222</v>
      </c>
      <c r="AI135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135">
        <f>Table1[[#This Row],[Factor_1]]*Table1[[#This Row],[2024 Factor]]</f>
        <v>4.3746926640885135</v>
      </c>
      <c r="AK135">
        <f>VLOOKUP(Table1[[#This Row],[Q18: Gender]],Factor!$A$33:$E$35,5,0)</f>
        <v>2.1645021645021645</v>
      </c>
      <c r="AL135">
        <f>VLOOKUP(Table1[[#This Row],[Taluka]],Factor!$A$42:$G$46,7,0)</f>
        <v>1.147984664167413</v>
      </c>
      <c r="AM135">
        <f>VLOOKUP(Table1[[#This Row],[Caste]]&amp;Table1[[#This Row],[Q18: Gender]],Factor!$W$1:$X$23,2,0)</f>
        <v>2.4228688637206557</v>
      </c>
      <c r="AN135">
        <f>VLOOKUP(Table1[[#This Row],[Taluka]]&amp;Table1[[#This Row],[Caste]]&amp;Table1[[#This Row],[Q18: Gender]],Factor!$AK$4:$AL$93,2,0)</f>
        <v>2.2107623881946901</v>
      </c>
      <c r="AO135">
        <f t="shared" si="22"/>
        <v>1</v>
      </c>
      <c r="AP135">
        <f t="shared" si="23"/>
        <v>1</v>
      </c>
      <c r="AQ135">
        <f t="shared" si="24"/>
        <v>1</v>
      </c>
      <c r="AR135">
        <f t="shared" si="25"/>
        <v>1</v>
      </c>
      <c r="AS135">
        <f t="shared" si="26"/>
        <v>1</v>
      </c>
      <c r="AT135">
        <f t="shared" si="27"/>
        <v>1</v>
      </c>
      <c r="AU135">
        <f t="shared" si="28"/>
        <v>5.5</v>
      </c>
      <c r="AV135">
        <f>SUM(Table1[[#This Row],[Satis]:[29]])</f>
        <v>6</v>
      </c>
      <c r="AW135">
        <f t="shared" si="29"/>
        <v>5</v>
      </c>
      <c r="AX135">
        <f t="shared" si="30"/>
        <v>4</v>
      </c>
      <c r="AY135">
        <f t="shared" si="31"/>
        <v>3</v>
      </c>
      <c r="AZ135" t="str">
        <f t="shared" si="32"/>
        <v>YSRCP HardCore</v>
      </c>
    </row>
    <row r="136" spans="1:52" x14ac:dyDescent="0.3">
      <c r="A136" t="s">
        <v>902</v>
      </c>
      <c r="B136" s="94">
        <v>46043</v>
      </c>
      <c r="C136" t="s">
        <v>903</v>
      </c>
      <c r="D136" t="s">
        <v>904</v>
      </c>
      <c r="E136" t="s">
        <v>905</v>
      </c>
      <c r="F136" t="s">
        <v>69</v>
      </c>
      <c r="G136" t="s">
        <v>39</v>
      </c>
      <c r="H136" t="s">
        <v>906</v>
      </c>
      <c r="I136" t="s">
        <v>229</v>
      </c>
      <c r="J136" t="s">
        <v>219</v>
      </c>
      <c r="K136" t="s">
        <v>220</v>
      </c>
      <c r="L136" t="s">
        <v>62</v>
      </c>
      <c r="M136" t="s">
        <v>51</v>
      </c>
      <c r="N136" t="s">
        <v>63</v>
      </c>
      <c r="O136" t="s">
        <v>907</v>
      </c>
      <c r="P136">
        <v>9959977918</v>
      </c>
      <c r="Q136" t="s">
        <v>445</v>
      </c>
      <c r="R136" t="s">
        <v>132</v>
      </c>
      <c r="S136" t="s">
        <v>43</v>
      </c>
      <c r="T136" t="s">
        <v>43</v>
      </c>
      <c r="U136" t="s">
        <v>90</v>
      </c>
      <c r="V136" t="s">
        <v>45</v>
      </c>
      <c r="W136" t="s">
        <v>5084</v>
      </c>
      <c r="X136" t="s">
        <v>45</v>
      </c>
      <c r="Y136" t="s">
        <v>46</v>
      </c>
      <c r="Z136" t="s">
        <v>47</v>
      </c>
      <c r="AA136" t="s">
        <v>48</v>
      </c>
      <c r="AB136" t="s">
        <v>49</v>
      </c>
      <c r="AC136" t="s">
        <v>49</v>
      </c>
      <c r="AD136" t="s">
        <v>494</v>
      </c>
      <c r="AE136" t="s">
        <v>185</v>
      </c>
      <c r="AF136" t="s">
        <v>1240</v>
      </c>
      <c r="AG136" t="s">
        <v>196</v>
      </c>
      <c r="AH136" s="93">
        <f>VLOOKUP(Table1[[#This Row],[Caste]],Factor!$H$1:$K$13,4,0)</f>
        <v>1.1209668980183516</v>
      </c>
      <c r="AI13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36">
        <f>Table1[[#This Row],[Factor_1]]*Table1[[#This Row],[2024 Factor]]</f>
        <v>1.4370186848956754</v>
      </c>
      <c r="AK136">
        <f>VLOOKUP(Table1[[#This Row],[Q18: Gender]],Factor!$A$33:$E$35,5,0)</f>
        <v>2.1645021645021645</v>
      </c>
      <c r="AL136">
        <f>VLOOKUP(Table1[[#This Row],[Taluka]],Factor!$A$42:$G$46,7,0)</f>
        <v>1.147984664167413</v>
      </c>
      <c r="AM136">
        <f>VLOOKUP(Table1[[#This Row],[Caste]]&amp;Table1[[#This Row],[Q18: Gender]],Factor!$W$1:$X$23,2,0)</f>
        <v>1.3311481913967924</v>
      </c>
      <c r="AN136">
        <f>VLOOKUP(Table1[[#This Row],[Taluka]]&amp;Table1[[#This Row],[Caste]]&amp;Table1[[#This Row],[Q18: Gender]],Factor!$AK$4:$AL$93,2,0)</f>
        <v>0.51141675343184545</v>
      </c>
      <c r="AO136">
        <f t="shared" si="22"/>
        <v>-1</v>
      </c>
      <c r="AP136">
        <f t="shared" si="23"/>
        <v>1</v>
      </c>
      <c r="AQ136">
        <f t="shared" si="24"/>
        <v>-1</v>
      </c>
      <c r="AR136">
        <f t="shared" si="25"/>
        <v>-1</v>
      </c>
      <c r="AS136">
        <f t="shared" si="26"/>
        <v>-1</v>
      </c>
      <c r="AT136">
        <f t="shared" si="27"/>
        <v>-1</v>
      </c>
      <c r="AU136">
        <f t="shared" si="28"/>
        <v>-3.5</v>
      </c>
      <c r="AV136">
        <f>SUM(Table1[[#This Row],[Satis]:[29]])</f>
        <v>-4</v>
      </c>
      <c r="AW136">
        <f t="shared" si="29"/>
        <v>-5</v>
      </c>
      <c r="AX136">
        <f t="shared" si="30"/>
        <v>-4</v>
      </c>
      <c r="AY136">
        <f t="shared" si="31"/>
        <v>-3</v>
      </c>
      <c r="AZ136" t="str">
        <f t="shared" si="32"/>
        <v>TDP Sympathiser</v>
      </c>
    </row>
    <row r="137" spans="1:52" x14ac:dyDescent="0.3">
      <c r="A137" t="s">
        <v>908</v>
      </c>
      <c r="B137" s="94">
        <v>46043</v>
      </c>
      <c r="C137" t="s">
        <v>903</v>
      </c>
      <c r="D137" t="s">
        <v>904</v>
      </c>
      <c r="E137" t="s">
        <v>905</v>
      </c>
      <c r="F137" t="s">
        <v>69</v>
      </c>
      <c r="G137" t="s">
        <v>39</v>
      </c>
      <c r="H137" t="s">
        <v>909</v>
      </c>
      <c r="I137" t="s">
        <v>229</v>
      </c>
      <c r="J137" t="s">
        <v>219</v>
      </c>
      <c r="K137" t="s">
        <v>220</v>
      </c>
      <c r="L137" t="s">
        <v>62</v>
      </c>
      <c r="M137" t="s">
        <v>51</v>
      </c>
      <c r="N137" t="s">
        <v>63</v>
      </c>
      <c r="O137" t="s">
        <v>907</v>
      </c>
      <c r="P137">
        <v>9959977918</v>
      </c>
      <c r="Q137" t="s">
        <v>445</v>
      </c>
      <c r="R137" t="s">
        <v>132</v>
      </c>
      <c r="S137" t="s">
        <v>43</v>
      </c>
      <c r="T137" t="s">
        <v>43</v>
      </c>
      <c r="U137" t="s">
        <v>90</v>
      </c>
      <c r="V137" t="s">
        <v>45</v>
      </c>
      <c r="W137" t="s">
        <v>5084</v>
      </c>
      <c r="X137" t="s">
        <v>45</v>
      </c>
      <c r="Y137" t="s">
        <v>46</v>
      </c>
      <c r="Z137" t="s">
        <v>47</v>
      </c>
      <c r="AA137" t="s">
        <v>48</v>
      </c>
      <c r="AB137" t="s">
        <v>49</v>
      </c>
      <c r="AC137" t="s">
        <v>49</v>
      </c>
      <c r="AD137">
        <v>0</v>
      </c>
      <c r="AE137" t="s">
        <v>185</v>
      </c>
      <c r="AF137">
        <v>0</v>
      </c>
      <c r="AG137" t="s">
        <v>196</v>
      </c>
      <c r="AH137" s="93">
        <f>VLOOKUP(Table1[[#This Row],[Caste]],Factor!$H$1:$K$13,4,0)</f>
        <v>1.1209668980183516</v>
      </c>
      <c r="AI13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37">
        <f>Table1[[#This Row],[Factor_1]]*Table1[[#This Row],[2024 Factor]]</f>
        <v>1.4370186848956754</v>
      </c>
      <c r="AK137">
        <f>VLOOKUP(Table1[[#This Row],[Q18: Gender]],Factor!$A$33:$E$35,5,0)</f>
        <v>2.1645021645021645</v>
      </c>
      <c r="AL137">
        <f>VLOOKUP(Table1[[#This Row],[Taluka]],Factor!$A$42:$G$46,7,0)</f>
        <v>1.147984664167413</v>
      </c>
      <c r="AM137">
        <f>VLOOKUP(Table1[[#This Row],[Caste]]&amp;Table1[[#This Row],[Q18: Gender]],Factor!$W$1:$X$23,2,0)</f>
        <v>1.3311481913967924</v>
      </c>
      <c r="AN137">
        <f>VLOOKUP(Table1[[#This Row],[Taluka]]&amp;Table1[[#This Row],[Caste]]&amp;Table1[[#This Row],[Q18: Gender]],Factor!$AK$4:$AL$93,2,0)</f>
        <v>0.51141675343184545</v>
      </c>
      <c r="AO137">
        <f t="shared" si="22"/>
        <v>-1</v>
      </c>
      <c r="AP137">
        <f t="shared" si="23"/>
        <v>1</v>
      </c>
      <c r="AQ137">
        <f t="shared" si="24"/>
        <v>-1</v>
      </c>
      <c r="AR137">
        <f t="shared" si="25"/>
        <v>-1</v>
      </c>
      <c r="AS137">
        <f t="shared" si="26"/>
        <v>-1</v>
      </c>
      <c r="AT137">
        <f t="shared" si="27"/>
        <v>-1</v>
      </c>
      <c r="AU137">
        <f t="shared" si="28"/>
        <v>-3.5</v>
      </c>
      <c r="AV137">
        <f>SUM(Table1[[#This Row],[Satis]:[29]])</f>
        <v>-4</v>
      </c>
      <c r="AW137">
        <f t="shared" si="29"/>
        <v>-5</v>
      </c>
      <c r="AX137">
        <f t="shared" si="30"/>
        <v>-4</v>
      </c>
      <c r="AY137">
        <f t="shared" si="31"/>
        <v>-3</v>
      </c>
      <c r="AZ137" t="str">
        <f t="shared" si="32"/>
        <v>TDP Sympathiser</v>
      </c>
    </row>
    <row r="138" spans="1:52" x14ac:dyDescent="0.3">
      <c r="A138" t="s">
        <v>910</v>
      </c>
      <c r="B138" s="94">
        <v>46043</v>
      </c>
      <c r="C138" t="s">
        <v>903</v>
      </c>
      <c r="D138" t="s">
        <v>904</v>
      </c>
      <c r="E138" t="s">
        <v>905</v>
      </c>
      <c r="F138" t="s">
        <v>69</v>
      </c>
      <c r="G138" t="s">
        <v>39</v>
      </c>
      <c r="H138" t="s">
        <v>911</v>
      </c>
      <c r="I138" t="s">
        <v>229</v>
      </c>
      <c r="J138" t="s">
        <v>219</v>
      </c>
      <c r="K138" t="s">
        <v>220</v>
      </c>
      <c r="L138" t="s">
        <v>62</v>
      </c>
      <c r="M138" t="s">
        <v>51</v>
      </c>
      <c r="N138" t="s">
        <v>63</v>
      </c>
      <c r="O138" t="s">
        <v>907</v>
      </c>
      <c r="P138">
        <v>9959977918</v>
      </c>
      <c r="Q138" t="s">
        <v>445</v>
      </c>
      <c r="R138" t="s">
        <v>132</v>
      </c>
      <c r="S138" t="s">
        <v>43</v>
      </c>
      <c r="T138" t="s">
        <v>43</v>
      </c>
      <c r="U138" t="s">
        <v>90</v>
      </c>
      <c r="V138" t="s">
        <v>45</v>
      </c>
      <c r="W138" t="s">
        <v>5084</v>
      </c>
      <c r="X138" t="s">
        <v>45</v>
      </c>
      <c r="Y138" t="s">
        <v>46</v>
      </c>
      <c r="Z138" t="s">
        <v>47</v>
      </c>
      <c r="AA138" t="s">
        <v>48</v>
      </c>
      <c r="AB138" t="s">
        <v>49</v>
      </c>
      <c r="AC138" t="s">
        <v>49</v>
      </c>
      <c r="AD138">
        <v>0</v>
      </c>
      <c r="AE138" t="s">
        <v>185</v>
      </c>
      <c r="AF138">
        <v>0</v>
      </c>
      <c r="AG138" t="s">
        <v>196</v>
      </c>
      <c r="AH138" s="93">
        <f>VLOOKUP(Table1[[#This Row],[Caste]],Factor!$H$1:$K$13,4,0)</f>
        <v>1.1209668980183516</v>
      </c>
      <c r="AI13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38">
        <f>Table1[[#This Row],[Factor_1]]*Table1[[#This Row],[2024 Factor]]</f>
        <v>1.4370186848956754</v>
      </c>
      <c r="AK138">
        <f>VLOOKUP(Table1[[#This Row],[Q18: Gender]],Factor!$A$33:$E$35,5,0)</f>
        <v>2.1645021645021645</v>
      </c>
      <c r="AL138">
        <f>VLOOKUP(Table1[[#This Row],[Taluka]],Factor!$A$42:$G$46,7,0)</f>
        <v>1.147984664167413</v>
      </c>
      <c r="AM138">
        <f>VLOOKUP(Table1[[#This Row],[Caste]]&amp;Table1[[#This Row],[Q18: Gender]],Factor!$W$1:$X$23,2,0)</f>
        <v>1.3311481913967924</v>
      </c>
      <c r="AN138">
        <f>VLOOKUP(Table1[[#This Row],[Taluka]]&amp;Table1[[#This Row],[Caste]]&amp;Table1[[#This Row],[Q18: Gender]],Factor!$AK$4:$AL$93,2,0)</f>
        <v>0.51141675343184545</v>
      </c>
      <c r="AO138">
        <f t="shared" si="22"/>
        <v>-1</v>
      </c>
      <c r="AP138">
        <f t="shared" si="23"/>
        <v>1</v>
      </c>
      <c r="AQ138">
        <f t="shared" si="24"/>
        <v>-1</v>
      </c>
      <c r="AR138">
        <f t="shared" si="25"/>
        <v>-1</v>
      </c>
      <c r="AS138">
        <f t="shared" si="26"/>
        <v>-1</v>
      </c>
      <c r="AT138">
        <f t="shared" si="27"/>
        <v>-1</v>
      </c>
      <c r="AU138">
        <f t="shared" si="28"/>
        <v>-3.5</v>
      </c>
      <c r="AV138">
        <f>SUM(Table1[[#This Row],[Satis]:[29]])</f>
        <v>-4</v>
      </c>
      <c r="AW138">
        <f t="shared" si="29"/>
        <v>-5</v>
      </c>
      <c r="AX138">
        <f t="shared" si="30"/>
        <v>-4</v>
      </c>
      <c r="AY138">
        <f t="shared" si="31"/>
        <v>-3</v>
      </c>
      <c r="AZ138" t="str">
        <f t="shared" si="32"/>
        <v>TDP Sympathiser</v>
      </c>
    </row>
    <row r="139" spans="1:52" x14ac:dyDescent="0.3">
      <c r="A139" t="s">
        <v>912</v>
      </c>
      <c r="B139" s="94">
        <v>46043</v>
      </c>
      <c r="C139" t="s">
        <v>913</v>
      </c>
      <c r="D139" t="s">
        <v>914</v>
      </c>
      <c r="E139" t="s">
        <v>889</v>
      </c>
      <c r="F139" t="s">
        <v>69</v>
      </c>
      <c r="G139" t="s">
        <v>39</v>
      </c>
      <c r="H139" t="s">
        <v>915</v>
      </c>
      <c r="I139" t="s">
        <v>59</v>
      </c>
      <c r="J139" t="s">
        <v>219</v>
      </c>
      <c r="K139" t="s">
        <v>220</v>
      </c>
      <c r="L139" t="s">
        <v>62</v>
      </c>
      <c r="M139" t="s">
        <v>51</v>
      </c>
      <c r="N139" t="s">
        <v>107</v>
      </c>
      <c r="O139" t="s">
        <v>916</v>
      </c>
      <c r="P139">
        <v>9640235812</v>
      </c>
      <c r="Q139" t="s">
        <v>445</v>
      </c>
      <c r="R139" t="s">
        <v>73</v>
      </c>
      <c r="S139" t="s">
        <v>89</v>
      </c>
      <c r="T139" t="s">
        <v>43</v>
      </c>
      <c r="U139" t="s">
        <v>44</v>
      </c>
      <c r="V139" t="s">
        <v>45</v>
      </c>
      <c r="W139" t="s">
        <v>5047</v>
      </c>
      <c r="X139" t="s">
        <v>45</v>
      </c>
      <c r="Y139" t="s">
        <v>46</v>
      </c>
      <c r="Z139" t="s">
        <v>47</v>
      </c>
      <c r="AA139" t="s">
        <v>48</v>
      </c>
      <c r="AB139" t="s">
        <v>49</v>
      </c>
      <c r="AC139" t="s">
        <v>49</v>
      </c>
      <c r="AD139" t="s">
        <v>494</v>
      </c>
      <c r="AE139" t="s">
        <v>185</v>
      </c>
      <c r="AF139" t="s">
        <v>1240</v>
      </c>
      <c r="AG139" t="s">
        <v>196</v>
      </c>
      <c r="AH139" s="93">
        <f>VLOOKUP(Table1[[#This Row],[Caste]],Factor!$H$1:$K$13,4,0)</f>
        <v>1.1461625511156397</v>
      </c>
      <c r="AI13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39">
        <f>Table1[[#This Row],[Factor_1]]*Table1[[#This Row],[2024 Factor]]</f>
        <v>3.0326483876590018</v>
      </c>
      <c r="AK139">
        <f>VLOOKUP(Table1[[#This Row],[Q18: Gender]],Factor!$A$33:$E$35,5,0)</f>
        <v>2.1645021645021645</v>
      </c>
      <c r="AL139">
        <f>VLOOKUP(Table1[[#This Row],[Taluka]],Factor!$A$42:$G$46,7,0)</f>
        <v>1.147984664167413</v>
      </c>
      <c r="AM139">
        <f>VLOOKUP(Table1[[#This Row],[Caste]]&amp;Table1[[#This Row],[Q18: Gender]],Factor!$W$1:$X$23,2,0)</f>
        <v>2.8092219390089208</v>
      </c>
      <c r="AN139">
        <f>VLOOKUP(Table1[[#This Row],[Taluka]]&amp;Table1[[#This Row],[Caste]]&amp;Table1[[#This Row],[Q18: Gender]],Factor!$AK$4:$AL$93,2,0)</f>
        <v>2.2934724643212636</v>
      </c>
      <c r="AO139">
        <f t="shared" si="22"/>
        <v>-1</v>
      </c>
      <c r="AP139">
        <f t="shared" si="23"/>
        <v>-1</v>
      </c>
      <c r="AQ139">
        <f t="shared" si="24"/>
        <v>-1</v>
      </c>
      <c r="AR139">
        <f t="shared" si="25"/>
        <v>-1</v>
      </c>
      <c r="AS139">
        <f t="shared" si="26"/>
        <v>-1</v>
      </c>
      <c r="AT139">
        <f t="shared" si="27"/>
        <v>-1</v>
      </c>
      <c r="AU139">
        <f t="shared" si="28"/>
        <v>-5.5</v>
      </c>
      <c r="AV139">
        <f>SUM(Table1[[#This Row],[Satis]:[29]])</f>
        <v>-6</v>
      </c>
      <c r="AW139">
        <f t="shared" si="29"/>
        <v>-5</v>
      </c>
      <c r="AX139">
        <f t="shared" si="30"/>
        <v>-4</v>
      </c>
      <c r="AY139">
        <f t="shared" si="31"/>
        <v>-3</v>
      </c>
      <c r="AZ139" t="str">
        <f t="shared" si="32"/>
        <v>TDP HardCore</v>
      </c>
    </row>
    <row r="140" spans="1:52" x14ac:dyDescent="0.3">
      <c r="A140" t="s">
        <v>917</v>
      </c>
      <c r="B140" s="94">
        <v>46043</v>
      </c>
      <c r="C140" t="s">
        <v>918</v>
      </c>
      <c r="D140" t="s">
        <v>919</v>
      </c>
      <c r="E140" t="s">
        <v>780</v>
      </c>
      <c r="F140" t="s">
        <v>69</v>
      </c>
      <c r="G140" t="s">
        <v>39</v>
      </c>
      <c r="H140" t="s">
        <v>920</v>
      </c>
      <c r="I140" t="s">
        <v>59</v>
      </c>
      <c r="J140" t="s">
        <v>219</v>
      </c>
      <c r="K140" t="s">
        <v>220</v>
      </c>
      <c r="L140" t="s">
        <v>82</v>
      </c>
      <c r="M140" t="s">
        <v>51</v>
      </c>
      <c r="N140" t="s">
        <v>107</v>
      </c>
      <c r="O140" t="s">
        <v>620</v>
      </c>
      <c r="P140">
        <v>7207165695</v>
      </c>
      <c r="Q140" t="s">
        <v>54</v>
      </c>
      <c r="R140" t="s">
        <v>73</v>
      </c>
      <c r="S140" t="s">
        <v>43</v>
      </c>
      <c r="T140" t="s">
        <v>43</v>
      </c>
      <c r="U140" t="s">
        <v>44</v>
      </c>
      <c r="V140" t="s">
        <v>45</v>
      </c>
      <c r="W140" t="s">
        <v>5085</v>
      </c>
      <c r="X140" t="s">
        <v>45</v>
      </c>
      <c r="Y140" t="s">
        <v>46</v>
      </c>
      <c r="Z140" t="s">
        <v>47</v>
      </c>
      <c r="AA140" t="s">
        <v>48</v>
      </c>
      <c r="AB140" t="s">
        <v>49</v>
      </c>
      <c r="AC140" t="s">
        <v>49</v>
      </c>
      <c r="AD140" t="s">
        <v>184</v>
      </c>
      <c r="AE140" t="s">
        <v>189</v>
      </c>
      <c r="AF140" t="s">
        <v>1241</v>
      </c>
      <c r="AG140" t="s">
        <v>196</v>
      </c>
      <c r="AH140" s="93">
        <f>VLOOKUP(Table1[[#This Row],[Caste]],Factor!$H$1:$K$13,4,0)</f>
        <v>1.1461625511156397</v>
      </c>
      <c r="AI14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40">
        <f>Table1[[#This Row],[Factor_1]]*Table1[[#This Row],[2024 Factor]]</f>
        <v>0.77721139583220644</v>
      </c>
      <c r="AK140">
        <f>VLOOKUP(Table1[[#This Row],[Q18: Gender]],Factor!$A$33:$E$35,5,0)</f>
        <v>0.85034013605442171</v>
      </c>
      <c r="AL140">
        <f>VLOOKUP(Table1[[#This Row],[Taluka]],Factor!$A$42:$G$46,7,0)</f>
        <v>1.147984664167413</v>
      </c>
      <c r="AM140">
        <f>VLOOKUP(Table1[[#This Row],[Caste]]&amp;Table1[[#This Row],[Q18: Gender]],Factor!$W$1:$X$23,2,0)</f>
        <v>0.71995135120329123</v>
      </c>
      <c r="AN140">
        <f>VLOOKUP(Table1[[#This Row],[Taluka]]&amp;Table1[[#This Row],[Caste]]&amp;Table1[[#This Row],[Q18: Gender]],Factor!$AK$4:$AL$93,2,0)</f>
        <v>0.54319084681293095</v>
      </c>
      <c r="AO140">
        <f t="shared" si="22"/>
        <v>-1</v>
      </c>
      <c r="AP140">
        <f t="shared" si="23"/>
        <v>-1</v>
      </c>
      <c r="AQ140">
        <f t="shared" si="24"/>
        <v>-1</v>
      </c>
      <c r="AR140">
        <f t="shared" si="25"/>
        <v>-1</v>
      </c>
      <c r="AS140">
        <f t="shared" si="26"/>
        <v>-1</v>
      </c>
      <c r="AT140">
        <f t="shared" si="27"/>
        <v>-1</v>
      </c>
      <c r="AU140">
        <f t="shared" si="28"/>
        <v>-5.5</v>
      </c>
      <c r="AV140">
        <f>SUM(Table1[[#This Row],[Satis]:[29]])</f>
        <v>-6</v>
      </c>
      <c r="AW140">
        <f t="shared" si="29"/>
        <v>-5</v>
      </c>
      <c r="AX140">
        <f t="shared" si="30"/>
        <v>-4</v>
      </c>
      <c r="AY140">
        <f t="shared" si="31"/>
        <v>-3</v>
      </c>
      <c r="AZ140" t="str">
        <f t="shared" si="32"/>
        <v>TDP HardCore</v>
      </c>
    </row>
    <row r="141" spans="1:52" x14ac:dyDescent="0.3">
      <c r="A141" t="s">
        <v>921</v>
      </c>
      <c r="B141" s="94">
        <v>46043</v>
      </c>
      <c r="C141" t="s">
        <v>922</v>
      </c>
      <c r="D141" t="s">
        <v>923</v>
      </c>
      <c r="E141" t="s">
        <v>721</v>
      </c>
      <c r="F141" t="s">
        <v>69</v>
      </c>
      <c r="G141" t="s">
        <v>39</v>
      </c>
      <c r="H141" t="s">
        <v>924</v>
      </c>
      <c r="I141" t="s">
        <v>231</v>
      </c>
      <c r="J141" t="s">
        <v>219</v>
      </c>
      <c r="K141" t="s">
        <v>220</v>
      </c>
      <c r="L141" t="s">
        <v>925</v>
      </c>
      <c r="M141" t="s">
        <v>51</v>
      </c>
      <c r="N141" t="s">
        <v>107</v>
      </c>
      <c r="O141" t="s">
        <v>926</v>
      </c>
      <c r="P141">
        <v>9848235246</v>
      </c>
      <c r="Q141" t="s">
        <v>54</v>
      </c>
      <c r="R141" t="s">
        <v>132</v>
      </c>
      <c r="S141" t="s">
        <v>89</v>
      </c>
      <c r="T141" t="s">
        <v>43</v>
      </c>
      <c r="U141" t="s">
        <v>90</v>
      </c>
      <c r="V141" t="s">
        <v>91</v>
      </c>
      <c r="W141" t="s">
        <v>5085</v>
      </c>
      <c r="X141" t="s">
        <v>45</v>
      </c>
      <c r="Y141" t="s">
        <v>638</v>
      </c>
      <c r="Z141" t="s">
        <v>92</v>
      </c>
      <c r="AA141" t="s">
        <v>92</v>
      </c>
      <c r="AB141" t="s">
        <v>147</v>
      </c>
      <c r="AC141" t="s">
        <v>148</v>
      </c>
      <c r="AD141" t="s">
        <v>184</v>
      </c>
      <c r="AE141" t="s">
        <v>189</v>
      </c>
      <c r="AF141" t="s">
        <v>1241</v>
      </c>
      <c r="AG141" t="s">
        <v>196</v>
      </c>
      <c r="AH141" s="93">
        <f>VLOOKUP(Table1[[#This Row],[Caste]],Factor!$H$1:$K$13,4,0)</f>
        <v>1.016226256869897</v>
      </c>
      <c r="AI141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141">
        <f>Table1[[#This Row],[Factor_1]]*Table1[[#This Row],[2024 Factor]]</f>
        <v>0.9174408110878739</v>
      </c>
      <c r="AK141">
        <f>VLOOKUP(Table1[[#This Row],[Q18: Gender]],Factor!$A$33:$E$35,5,0)</f>
        <v>0.85034013605442171</v>
      </c>
      <c r="AL141">
        <f>VLOOKUP(Table1[[#This Row],[Taluka]],Factor!$A$42:$G$46,7,0)</f>
        <v>1.147984664167413</v>
      </c>
      <c r="AM141">
        <f>VLOOKUP(Table1[[#This Row],[Caste]]&amp;Table1[[#This Row],[Q18: Gender]],Factor!$W$1:$X$23,2,0)</f>
        <v>0.50811312843494849</v>
      </c>
      <c r="AN141">
        <f>VLOOKUP(Table1[[#This Row],[Taluka]]&amp;Table1[[#This Row],[Caste]]&amp;Table1[[#This Row],[Q18: Gender]],Factor!$AK$4:$AL$93,2,0)</f>
        <v>0.18301228231933422</v>
      </c>
      <c r="AO141">
        <f t="shared" si="22"/>
        <v>-1</v>
      </c>
      <c r="AP141">
        <f t="shared" si="23"/>
        <v>1</v>
      </c>
      <c r="AQ141">
        <f t="shared" si="24"/>
        <v>1</v>
      </c>
      <c r="AR141">
        <f t="shared" si="25"/>
        <v>-1</v>
      </c>
      <c r="AS141">
        <f t="shared" si="26"/>
        <v>1</v>
      </c>
      <c r="AT141">
        <f t="shared" si="27"/>
        <v>1</v>
      </c>
      <c r="AU141">
        <f t="shared" si="28"/>
        <v>1.5</v>
      </c>
      <c r="AV141">
        <f>SUM(Table1[[#This Row],[Satis]:[29]])</f>
        <v>2</v>
      </c>
      <c r="AW141">
        <f t="shared" si="29"/>
        <v>1</v>
      </c>
      <c r="AX141">
        <f t="shared" si="30"/>
        <v>2</v>
      </c>
      <c r="AY141">
        <f t="shared" si="31"/>
        <v>2</v>
      </c>
      <c r="AZ141" t="str">
        <f t="shared" si="32"/>
        <v>Neutral YSRCP</v>
      </c>
    </row>
    <row r="142" spans="1:52" x14ac:dyDescent="0.3">
      <c r="A142" t="s">
        <v>927</v>
      </c>
      <c r="B142" s="94">
        <v>46043</v>
      </c>
      <c r="C142" t="s">
        <v>928</v>
      </c>
      <c r="D142" t="s">
        <v>929</v>
      </c>
      <c r="E142" t="s">
        <v>530</v>
      </c>
      <c r="F142" t="s">
        <v>69</v>
      </c>
      <c r="G142" t="s">
        <v>39</v>
      </c>
      <c r="H142" t="s">
        <v>930</v>
      </c>
      <c r="I142" t="s">
        <v>59</v>
      </c>
      <c r="J142" t="s">
        <v>219</v>
      </c>
      <c r="K142" t="s">
        <v>220</v>
      </c>
      <c r="L142" t="s">
        <v>75</v>
      </c>
      <c r="M142" t="s">
        <v>51</v>
      </c>
      <c r="N142" t="s">
        <v>63</v>
      </c>
      <c r="O142" t="s">
        <v>931</v>
      </c>
      <c r="P142">
        <v>7095495065</v>
      </c>
      <c r="Q142" t="s">
        <v>54</v>
      </c>
      <c r="R142" t="s">
        <v>132</v>
      </c>
      <c r="S142" t="s">
        <v>43</v>
      </c>
      <c r="T142" t="s">
        <v>43</v>
      </c>
      <c r="U142" t="s">
        <v>44</v>
      </c>
      <c r="V142" t="s">
        <v>45</v>
      </c>
      <c r="W142" t="s">
        <v>5085</v>
      </c>
      <c r="X142" t="s">
        <v>45</v>
      </c>
      <c r="Y142" t="s">
        <v>46</v>
      </c>
      <c r="Z142" t="s">
        <v>47</v>
      </c>
      <c r="AA142" t="s">
        <v>48</v>
      </c>
      <c r="AB142" t="s">
        <v>49</v>
      </c>
      <c r="AC142" t="s">
        <v>49</v>
      </c>
      <c r="AD142" t="s">
        <v>184</v>
      </c>
      <c r="AE142" t="s">
        <v>185</v>
      </c>
      <c r="AF142">
        <v>0</v>
      </c>
      <c r="AG142" t="s">
        <v>196</v>
      </c>
      <c r="AH142" s="93">
        <f>VLOOKUP(Table1[[#This Row],[Caste]],Factor!$H$1:$K$13,4,0)</f>
        <v>1.1461625511156397</v>
      </c>
      <c r="AI14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42">
        <f>Table1[[#This Row],[Factor_1]]*Table1[[#This Row],[2024 Factor]]</f>
        <v>0.77721139583220644</v>
      </c>
      <c r="AK142">
        <f>VLOOKUP(Table1[[#This Row],[Q18: Gender]],Factor!$A$33:$E$35,5,0)</f>
        <v>0.85034013605442171</v>
      </c>
      <c r="AL142">
        <f>VLOOKUP(Table1[[#This Row],[Taluka]],Factor!$A$42:$G$46,7,0)</f>
        <v>1.147984664167413</v>
      </c>
      <c r="AM142">
        <f>VLOOKUP(Table1[[#This Row],[Caste]]&amp;Table1[[#This Row],[Q18: Gender]],Factor!$W$1:$X$23,2,0)</f>
        <v>0.71995135120329123</v>
      </c>
      <c r="AN142">
        <f>VLOOKUP(Table1[[#This Row],[Taluka]]&amp;Table1[[#This Row],[Caste]]&amp;Table1[[#This Row],[Q18: Gender]],Factor!$AK$4:$AL$93,2,0)</f>
        <v>0.54319084681293095</v>
      </c>
      <c r="AO142">
        <f t="shared" si="22"/>
        <v>-1</v>
      </c>
      <c r="AP142">
        <f t="shared" si="23"/>
        <v>-1</v>
      </c>
      <c r="AQ142">
        <f t="shared" si="24"/>
        <v>-1</v>
      </c>
      <c r="AR142">
        <f t="shared" si="25"/>
        <v>-1</v>
      </c>
      <c r="AS142">
        <f t="shared" si="26"/>
        <v>-1</v>
      </c>
      <c r="AT142">
        <f t="shared" si="27"/>
        <v>-1</v>
      </c>
      <c r="AU142">
        <f t="shared" si="28"/>
        <v>-5.5</v>
      </c>
      <c r="AV142">
        <f>SUM(Table1[[#This Row],[Satis]:[29]])</f>
        <v>-6</v>
      </c>
      <c r="AW142">
        <f t="shared" si="29"/>
        <v>-5</v>
      </c>
      <c r="AX142">
        <f t="shared" si="30"/>
        <v>-4</v>
      </c>
      <c r="AY142">
        <f t="shared" si="31"/>
        <v>-3</v>
      </c>
      <c r="AZ142" t="str">
        <f t="shared" si="32"/>
        <v>TDP HardCore</v>
      </c>
    </row>
    <row r="143" spans="1:52" x14ac:dyDescent="0.3">
      <c r="A143" t="s">
        <v>932</v>
      </c>
      <c r="B143" s="94">
        <v>46043</v>
      </c>
      <c r="C143" t="s">
        <v>933</v>
      </c>
      <c r="D143" t="s">
        <v>934</v>
      </c>
      <c r="E143" t="s">
        <v>530</v>
      </c>
      <c r="F143" t="s">
        <v>935</v>
      </c>
      <c r="G143" t="s">
        <v>39</v>
      </c>
      <c r="H143" t="s">
        <v>936</v>
      </c>
      <c r="I143" t="s">
        <v>59</v>
      </c>
      <c r="J143" t="s">
        <v>219</v>
      </c>
      <c r="K143" t="s">
        <v>220</v>
      </c>
      <c r="L143" t="s">
        <v>62</v>
      </c>
      <c r="M143" t="s">
        <v>51</v>
      </c>
      <c r="N143" t="s">
        <v>63</v>
      </c>
      <c r="O143" t="s">
        <v>937</v>
      </c>
      <c r="P143">
        <v>0</v>
      </c>
      <c r="Q143" t="s">
        <v>54</v>
      </c>
      <c r="R143" t="s">
        <v>132</v>
      </c>
      <c r="S143" t="s">
        <v>89</v>
      </c>
      <c r="T143" t="s">
        <v>43</v>
      </c>
      <c r="U143" t="s">
        <v>44</v>
      </c>
      <c r="V143" t="s">
        <v>45</v>
      </c>
      <c r="W143" t="s">
        <v>296</v>
      </c>
      <c r="X143" t="s">
        <v>45</v>
      </c>
      <c r="Y143" t="s">
        <v>46</v>
      </c>
      <c r="Z143" t="s">
        <v>47</v>
      </c>
      <c r="AA143" t="s">
        <v>48</v>
      </c>
      <c r="AB143" t="s">
        <v>49</v>
      </c>
      <c r="AC143" t="s">
        <v>49</v>
      </c>
      <c r="AD143" t="s">
        <v>184</v>
      </c>
      <c r="AE143" t="s">
        <v>185</v>
      </c>
      <c r="AF143">
        <v>0</v>
      </c>
      <c r="AG143" t="s">
        <v>196</v>
      </c>
      <c r="AH143" s="93">
        <f>VLOOKUP(Table1[[#This Row],[Caste]],Factor!$H$1:$K$13,4,0)</f>
        <v>1.1461625511156397</v>
      </c>
      <c r="AI14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43">
        <f>Table1[[#This Row],[Factor_1]]*Table1[[#This Row],[2024 Factor]]</f>
        <v>0.77721139583220644</v>
      </c>
      <c r="AK143">
        <f>VLOOKUP(Table1[[#This Row],[Q18: Gender]],Factor!$A$33:$E$35,5,0)</f>
        <v>0.85034013605442171</v>
      </c>
      <c r="AL143">
        <f>VLOOKUP(Table1[[#This Row],[Taluka]],Factor!$A$42:$G$46,7,0)</f>
        <v>1.147984664167413</v>
      </c>
      <c r="AM143">
        <f>VLOOKUP(Table1[[#This Row],[Caste]]&amp;Table1[[#This Row],[Q18: Gender]],Factor!$W$1:$X$23,2,0)</f>
        <v>0.71995135120329123</v>
      </c>
      <c r="AN143">
        <f>VLOOKUP(Table1[[#This Row],[Taluka]]&amp;Table1[[#This Row],[Caste]]&amp;Table1[[#This Row],[Q18: Gender]],Factor!$AK$4:$AL$93,2,0)</f>
        <v>0.54319084681293095</v>
      </c>
      <c r="AO143">
        <f t="shared" si="22"/>
        <v>-1</v>
      </c>
      <c r="AP143">
        <f t="shared" si="23"/>
        <v>-1</v>
      </c>
      <c r="AQ143">
        <f t="shared" si="24"/>
        <v>-1</v>
      </c>
      <c r="AR143">
        <f t="shared" si="25"/>
        <v>-1</v>
      </c>
      <c r="AS143">
        <f t="shared" si="26"/>
        <v>-1</v>
      </c>
      <c r="AT143">
        <f t="shared" si="27"/>
        <v>-1</v>
      </c>
      <c r="AU143">
        <f t="shared" si="28"/>
        <v>-5.5</v>
      </c>
      <c r="AV143">
        <f>SUM(Table1[[#This Row],[Satis]:[29]])</f>
        <v>-6</v>
      </c>
      <c r="AW143">
        <f t="shared" si="29"/>
        <v>-5</v>
      </c>
      <c r="AX143">
        <f t="shared" si="30"/>
        <v>-4</v>
      </c>
      <c r="AY143">
        <f t="shared" si="31"/>
        <v>-3</v>
      </c>
      <c r="AZ143" t="str">
        <f t="shared" si="32"/>
        <v>TDP HardCore</v>
      </c>
    </row>
    <row r="144" spans="1:52" x14ac:dyDescent="0.3">
      <c r="A144" t="s">
        <v>938</v>
      </c>
      <c r="B144" s="94">
        <v>46043</v>
      </c>
      <c r="C144" t="s">
        <v>939</v>
      </c>
      <c r="D144" t="s">
        <v>940</v>
      </c>
      <c r="E144" t="s">
        <v>941</v>
      </c>
      <c r="F144" t="s">
        <v>69</v>
      </c>
      <c r="G144" t="s">
        <v>39</v>
      </c>
      <c r="H144" t="s">
        <v>942</v>
      </c>
      <c r="I144" t="s">
        <v>229</v>
      </c>
      <c r="J144" t="s">
        <v>219</v>
      </c>
      <c r="K144" t="s">
        <v>220</v>
      </c>
      <c r="L144" t="s">
        <v>75</v>
      </c>
      <c r="M144" t="s">
        <v>51</v>
      </c>
      <c r="N144" t="s">
        <v>63</v>
      </c>
      <c r="O144" t="s">
        <v>943</v>
      </c>
      <c r="P144">
        <v>9848494928</v>
      </c>
      <c r="Q144" t="s">
        <v>54</v>
      </c>
      <c r="R144" t="s">
        <v>132</v>
      </c>
      <c r="S144" t="s">
        <v>43</v>
      </c>
      <c r="T144" t="s">
        <v>43</v>
      </c>
      <c r="U144" t="s">
        <v>44</v>
      </c>
      <c r="V144" t="s">
        <v>91</v>
      </c>
      <c r="W144" t="s">
        <v>5047</v>
      </c>
      <c r="X144" t="s">
        <v>45</v>
      </c>
      <c r="Y144" t="s">
        <v>46</v>
      </c>
      <c r="Z144" t="s">
        <v>47</v>
      </c>
      <c r="AA144" t="s">
        <v>48</v>
      </c>
      <c r="AB144" t="s">
        <v>49</v>
      </c>
      <c r="AC144" t="s">
        <v>49</v>
      </c>
      <c r="AD144" t="s">
        <v>481</v>
      </c>
      <c r="AE144" t="s">
        <v>185</v>
      </c>
      <c r="AF144">
        <v>0</v>
      </c>
      <c r="AG144" t="s">
        <v>196</v>
      </c>
      <c r="AH144" s="93">
        <f>VLOOKUP(Table1[[#This Row],[Caste]],Factor!$H$1:$K$13,4,0)</f>
        <v>1.1209668980183516</v>
      </c>
      <c r="AI14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44">
        <f>Table1[[#This Row],[Factor_1]]*Table1[[#This Row],[2024 Factor]]</f>
        <v>1.0451044981059459</v>
      </c>
      <c r="AK144">
        <f>VLOOKUP(Table1[[#This Row],[Q18: Gender]],Factor!$A$33:$E$35,5,0)</f>
        <v>0.85034013605442171</v>
      </c>
      <c r="AL144">
        <f>VLOOKUP(Table1[[#This Row],[Taluka]],Factor!$A$42:$G$46,7,0)</f>
        <v>1.147984664167413</v>
      </c>
      <c r="AM144">
        <f>VLOOKUP(Table1[[#This Row],[Caste]]&amp;Table1[[#This Row],[Q18: Gender]],Factor!$W$1:$X$23,2,0)</f>
        <v>0.96810777556130356</v>
      </c>
      <c r="AN144">
        <f>VLOOKUP(Table1[[#This Row],[Taluka]]&amp;Table1[[#This Row],[Caste]]&amp;Table1[[#This Row],[Q18: Gender]],Factor!$AK$4:$AL$93,2,0)</f>
        <v>0.30685005205910726</v>
      </c>
      <c r="AO144">
        <f t="shared" si="22"/>
        <v>-1</v>
      </c>
      <c r="AP144">
        <f t="shared" si="23"/>
        <v>-1</v>
      </c>
      <c r="AQ144">
        <f t="shared" si="24"/>
        <v>1</v>
      </c>
      <c r="AR144">
        <f t="shared" si="25"/>
        <v>-1</v>
      </c>
      <c r="AS144">
        <f t="shared" si="26"/>
        <v>-1</v>
      </c>
      <c r="AT144">
        <f t="shared" si="27"/>
        <v>-1</v>
      </c>
      <c r="AU144">
        <f t="shared" si="28"/>
        <v>-3.5</v>
      </c>
      <c r="AV144">
        <f>SUM(Table1[[#This Row],[Satis]:[29]])</f>
        <v>-4</v>
      </c>
      <c r="AW144">
        <f t="shared" si="29"/>
        <v>-3</v>
      </c>
      <c r="AX144">
        <f t="shared" si="30"/>
        <v>-2</v>
      </c>
      <c r="AY144">
        <f t="shared" si="31"/>
        <v>-3</v>
      </c>
      <c r="AZ144" t="str">
        <f t="shared" si="32"/>
        <v>Neutral TDP</v>
      </c>
    </row>
    <row r="145" spans="1:52" x14ac:dyDescent="0.3">
      <c r="A145" t="s">
        <v>944</v>
      </c>
      <c r="B145" s="94">
        <v>46043</v>
      </c>
      <c r="C145" t="s">
        <v>945</v>
      </c>
      <c r="D145" t="s">
        <v>946</v>
      </c>
      <c r="E145" t="s">
        <v>265</v>
      </c>
      <c r="F145" t="s">
        <v>240</v>
      </c>
      <c r="G145" t="s">
        <v>39</v>
      </c>
      <c r="H145" t="s">
        <v>947</v>
      </c>
      <c r="I145" t="s">
        <v>70</v>
      </c>
      <c r="J145" t="s">
        <v>37</v>
      </c>
      <c r="K145" t="s">
        <v>212</v>
      </c>
      <c r="L145" t="s">
        <v>75</v>
      </c>
      <c r="M145" t="s">
        <v>51</v>
      </c>
      <c r="N145" t="s">
        <v>63</v>
      </c>
      <c r="O145" t="s">
        <v>948</v>
      </c>
      <c r="P145">
        <v>9100460509</v>
      </c>
      <c r="Q145" t="s">
        <v>54</v>
      </c>
      <c r="R145" t="s">
        <v>61</v>
      </c>
      <c r="S145" t="s">
        <v>43</v>
      </c>
      <c r="T145" t="s">
        <v>43</v>
      </c>
      <c r="U145" t="s">
        <v>44</v>
      </c>
      <c r="V145" t="s">
        <v>45</v>
      </c>
      <c r="W145" t="s">
        <v>5064</v>
      </c>
      <c r="X145" t="s">
        <v>45</v>
      </c>
      <c r="Y145" t="s">
        <v>46</v>
      </c>
      <c r="Z145" t="s">
        <v>47</v>
      </c>
      <c r="AA145" t="s">
        <v>48</v>
      </c>
      <c r="AB145" t="s">
        <v>49</v>
      </c>
      <c r="AC145" t="s">
        <v>49</v>
      </c>
      <c r="AD145" t="s">
        <v>481</v>
      </c>
      <c r="AE145" t="s">
        <v>185</v>
      </c>
      <c r="AF145">
        <v>0</v>
      </c>
      <c r="AG145" t="s">
        <v>196</v>
      </c>
      <c r="AH145" s="93">
        <f>VLOOKUP(Table1[[#This Row],[Caste]],Factor!$H$1:$K$13,4,0)</f>
        <v>1.3836274505214585</v>
      </c>
      <c r="AI14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45">
        <f>Table1[[#This Row],[Factor_1]]*Table1[[#This Row],[2024 Factor]]</f>
        <v>1.1648410586678206</v>
      </c>
      <c r="AK145">
        <f>VLOOKUP(Table1[[#This Row],[Q18: Gender]],Factor!$A$33:$E$35,5,0)</f>
        <v>0.85034013605442171</v>
      </c>
      <c r="AL145">
        <f>VLOOKUP(Table1[[#This Row],[Taluka]],Factor!$A$42:$G$46,7,0)</f>
        <v>0.75433779645928134</v>
      </c>
      <c r="AM145">
        <f>VLOOKUP(Table1[[#This Row],[Caste]]&amp;Table1[[#This Row],[Q18: Gender]],Factor!$W$1:$X$23,2,0)</f>
        <v>1.0790228998469584</v>
      </c>
      <c r="AN145">
        <f>VLOOKUP(Table1[[#This Row],[Taluka]]&amp;Table1[[#This Row],[Caste]]&amp;Table1[[#This Row],[Q18: Gender]],Factor!$AK$4:$AL$93,2,0)</f>
        <v>0.52423486800867025</v>
      </c>
      <c r="AO145">
        <f t="shared" si="22"/>
        <v>-1</v>
      </c>
      <c r="AP145">
        <f t="shared" si="23"/>
        <v>-1</v>
      </c>
      <c r="AQ145">
        <f t="shared" si="24"/>
        <v>-1</v>
      </c>
      <c r="AR145">
        <f t="shared" si="25"/>
        <v>-1</v>
      </c>
      <c r="AS145">
        <f t="shared" si="26"/>
        <v>-1</v>
      </c>
      <c r="AT145">
        <f t="shared" si="27"/>
        <v>-1</v>
      </c>
      <c r="AU145">
        <f t="shared" si="28"/>
        <v>-5.5</v>
      </c>
      <c r="AV145">
        <f>SUM(Table1[[#This Row],[Satis]:[29]])</f>
        <v>-6</v>
      </c>
      <c r="AW145">
        <f t="shared" si="29"/>
        <v>-5</v>
      </c>
      <c r="AX145">
        <f t="shared" si="30"/>
        <v>-4</v>
      </c>
      <c r="AY145">
        <f t="shared" si="31"/>
        <v>-3</v>
      </c>
      <c r="AZ145" t="str">
        <f t="shared" si="32"/>
        <v>TDP HardCore</v>
      </c>
    </row>
    <row r="146" spans="1:52" x14ac:dyDescent="0.3">
      <c r="A146" t="s">
        <v>949</v>
      </c>
      <c r="B146" s="94">
        <v>46043</v>
      </c>
      <c r="C146" t="s">
        <v>950</v>
      </c>
      <c r="D146" t="s">
        <v>951</v>
      </c>
      <c r="E146" t="s">
        <v>265</v>
      </c>
      <c r="F146" t="s">
        <v>240</v>
      </c>
      <c r="G146" t="s">
        <v>39</v>
      </c>
      <c r="H146" t="s">
        <v>952</v>
      </c>
      <c r="I146" t="s">
        <v>70</v>
      </c>
      <c r="J146" t="s">
        <v>37</v>
      </c>
      <c r="K146" t="s">
        <v>212</v>
      </c>
      <c r="L146" t="s">
        <v>170</v>
      </c>
      <c r="M146" t="s">
        <v>51</v>
      </c>
      <c r="N146" t="s">
        <v>162</v>
      </c>
      <c r="O146" t="s">
        <v>953</v>
      </c>
      <c r="P146">
        <v>9346424230</v>
      </c>
      <c r="Q146" t="s">
        <v>54</v>
      </c>
      <c r="R146" t="s">
        <v>61</v>
      </c>
      <c r="S146" t="s">
        <v>43</v>
      </c>
      <c r="T146" t="s">
        <v>43</v>
      </c>
      <c r="U146" t="s">
        <v>44</v>
      </c>
      <c r="V146" t="s">
        <v>91</v>
      </c>
      <c r="W146" t="s">
        <v>5086</v>
      </c>
      <c r="X146" t="s">
        <v>91</v>
      </c>
      <c r="Y146" t="s">
        <v>46</v>
      </c>
      <c r="Z146" t="s">
        <v>47</v>
      </c>
      <c r="AA146" t="s">
        <v>92</v>
      </c>
      <c r="AB146" t="s">
        <v>147</v>
      </c>
      <c r="AC146" t="s">
        <v>94</v>
      </c>
      <c r="AD146" t="s">
        <v>481</v>
      </c>
      <c r="AE146" t="s">
        <v>189</v>
      </c>
      <c r="AF146" t="s">
        <v>1212</v>
      </c>
      <c r="AG146" t="s">
        <v>196</v>
      </c>
      <c r="AH146" s="93">
        <f>VLOOKUP(Table1[[#This Row],[Caste]],Factor!$H$1:$K$13,4,0)</f>
        <v>1.3836274505214585</v>
      </c>
      <c r="AI146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146">
        <f>Table1[[#This Row],[Factor_1]]*Table1[[#This Row],[2024 Factor]]</f>
        <v>1.9482662206881376</v>
      </c>
      <c r="AK146">
        <f>VLOOKUP(Table1[[#This Row],[Q18: Gender]],Factor!$A$33:$E$35,5,0)</f>
        <v>0.85034013605442171</v>
      </c>
      <c r="AL146">
        <f>VLOOKUP(Table1[[#This Row],[Taluka]],Factor!$A$42:$G$46,7,0)</f>
        <v>0.75433779645928134</v>
      </c>
      <c r="AM146">
        <f>VLOOKUP(Table1[[#This Row],[Caste]]&amp;Table1[[#This Row],[Q18: Gender]],Factor!$W$1:$X$23,2,0)</f>
        <v>1.0790228998469584</v>
      </c>
      <c r="AN146">
        <f>VLOOKUP(Table1[[#This Row],[Taluka]]&amp;Table1[[#This Row],[Caste]]&amp;Table1[[#This Row],[Q18: Gender]],Factor!$AK$4:$AL$93,2,0)</f>
        <v>0.52423486800867025</v>
      </c>
      <c r="AO146">
        <f t="shared" si="22"/>
        <v>-1</v>
      </c>
      <c r="AP146">
        <f t="shared" si="23"/>
        <v>-1</v>
      </c>
      <c r="AQ146">
        <f t="shared" si="24"/>
        <v>1</v>
      </c>
      <c r="AR146">
        <f t="shared" si="25"/>
        <v>1</v>
      </c>
      <c r="AS146">
        <f t="shared" si="26"/>
        <v>1</v>
      </c>
      <c r="AT146">
        <f t="shared" si="27"/>
        <v>-1</v>
      </c>
      <c r="AU146">
        <f t="shared" si="28"/>
        <v>-0.5</v>
      </c>
      <c r="AV146">
        <f>SUM(Table1[[#This Row],[Satis]:[29]])</f>
        <v>0</v>
      </c>
      <c r="AW146">
        <f t="shared" si="29"/>
        <v>1</v>
      </c>
      <c r="AX146">
        <f t="shared" si="30"/>
        <v>2</v>
      </c>
      <c r="AY146">
        <f t="shared" si="31"/>
        <v>-2</v>
      </c>
      <c r="AZ146" t="str">
        <f t="shared" si="32"/>
        <v>Neutral TDP</v>
      </c>
    </row>
    <row r="147" spans="1:52" x14ac:dyDescent="0.3">
      <c r="A147" t="s">
        <v>954</v>
      </c>
      <c r="B147" s="94">
        <v>46043</v>
      </c>
      <c r="C147" t="s">
        <v>955</v>
      </c>
      <c r="D147" t="s">
        <v>956</v>
      </c>
      <c r="E147" t="s">
        <v>957</v>
      </c>
      <c r="F147" t="s">
        <v>69</v>
      </c>
      <c r="G147" t="s">
        <v>39</v>
      </c>
      <c r="H147" t="s">
        <v>958</v>
      </c>
      <c r="I147" t="s">
        <v>227</v>
      </c>
      <c r="J147" t="s">
        <v>219</v>
      </c>
      <c r="K147" t="s">
        <v>220</v>
      </c>
      <c r="L147" t="s">
        <v>62</v>
      </c>
      <c r="M147" t="s">
        <v>51</v>
      </c>
      <c r="N147" t="s">
        <v>52</v>
      </c>
      <c r="O147" t="s">
        <v>959</v>
      </c>
      <c r="P147">
        <v>9701220585</v>
      </c>
      <c r="Q147" t="s">
        <v>445</v>
      </c>
      <c r="R147" t="s">
        <v>61</v>
      </c>
      <c r="S147" t="s">
        <v>43</v>
      </c>
      <c r="T147" t="s">
        <v>43</v>
      </c>
      <c r="U147" t="s">
        <v>90</v>
      </c>
      <c r="V147" t="s">
        <v>45</v>
      </c>
      <c r="W147" t="s">
        <v>5080</v>
      </c>
      <c r="X147" t="s">
        <v>45</v>
      </c>
      <c r="Y147" t="s">
        <v>46</v>
      </c>
      <c r="Z147" t="s">
        <v>47</v>
      </c>
      <c r="AA147" t="s">
        <v>48</v>
      </c>
      <c r="AB147" t="s">
        <v>49</v>
      </c>
      <c r="AC147" t="s">
        <v>49</v>
      </c>
      <c r="AD147" t="s">
        <v>481</v>
      </c>
      <c r="AE147" t="s">
        <v>189</v>
      </c>
      <c r="AF147" t="s">
        <v>1242</v>
      </c>
      <c r="AG147" t="s">
        <v>196</v>
      </c>
      <c r="AH147" s="93">
        <f>VLOOKUP(Table1[[#This Row],[Caste]],Factor!$H$1:$K$13,4,0)</f>
        <v>1.2612194085121222</v>
      </c>
      <c r="AI14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47">
        <f>Table1[[#This Row],[Factor_1]]*Table1[[#This Row],[2024 Factor]]</f>
        <v>2.6155674106916162</v>
      </c>
      <c r="AK147">
        <f>VLOOKUP(Table1[[#This Row],[Q18: Gender]],Factor!$A$33:$E$35,5,0)</f>
        <v>2.1645021645021645</v>
      </c>
      <c r="AL147">
        <f>VLOOKUP(Table1[[#This Row],[Taluka]],Factor!$A$42:$G$46,7,0)</f>
        <v>1.147984664167413</v>
      </c>
      <c r="AM147">
        <f>VLOOKUP(Table1[[#This Row],[Caste]]&amp;Table1[[#This Row],[Q18: Gender]],Factor!$W$1:$X$23,2,0)</f>
        <v>2.4228688637206557</v>
      </c>
      <c r="AN147">
        <f>VLOOKUP(Table1[[#This Row],[Taluka]]&amp;Table1[[#This Row],[Caste]]&amp;Table1[[#This Row],[Q18: Gender]],Factor!$AK$4:$AL$93,2,0)</f>
        <v>2.2107623881946901</v>
      </c>
      <c r="AO147">
        <f t="shared" si="22"/>
        <v>-1</v>
      </c>
      <c r="AP147">
        <f t="shared" si="23"/>
        <v>1</v>
      </c>
      <c r="AQ147">
        <f t="shared" si="24"/>
        <v>-1</v>
      </c>
      <c r="AR147">
        <f t="shared" si="25"/>
        <v>-1</v>
      </c>
      <c r="AS147">
        <f t="shared" si="26"/>
        <v>-1</v>
      </c>
      <c r="AT147">
        <f t="shared" si="27"/>
        <v>-1</v>
      </c>
      <c r="AU147">
        <f t="shared" si="28"/>
        <v>-3.5</v>
      </c>
      <c r="AV147">
        <f>SUM(Table1[[#This Row],[Satis]:[29]])</f>
        <v>-4</v>
      </c>
      <c r="AW147">
        <f t="shared" si="29"/>
        <v>-5</v>
      </c>
      <c r="AX147">
        <f t="shared" si="30"/>
        <v>-4</v>
      </c>
      <c r="AY147">
        <f t="shared" si="31"/>
        <v>-3</v>
      </c>
      <c r="AZ147" t="str">
        <f t="shared" si="32"/>
        <v>TDP Sympathiser</v>
      </c>
    </row>
    <row r="148" spans="1:52" x14ac:dyDescent="0.3">
      <c r="A148" t="s">
        <v>960</v>
      </c>
      <c r="B148" s="94">
        <v>46043</v>
      </c>
      <c r="C148" t="s">
        <v>961</v>
      </c>
      <c r="D148" t="s">
        <v>962</v>
      </c>
      <c r="E148" t="s">
        <v>941</v>
      </c>
      <c r="F148" t="s">
        <v>69</v>
      </c>
      <c r="G148" t="s">
        <v>39</v>
      </c>
      <c r="H148" t="s">
        <v>963</v>
      </c>
      <c r="I148" t="s">
        <v>59</v>
      </c>
      <c r="J148" t="s">
        <v>219</v>
      </c>
      <c r="K148" t="s">
        <v>220</v>
      </c>
      <c r="L148" t="s">
        <v>82</v>
      </c>
      <c r="M148" t="s">
        <v>51</v>
      </c>
      <c r="N148" t="s">
        <v>107</v>
      </c>
      <c r="O148" t="s">
        <v>964</v>
      </c>
      <c r="P148">
        <v>9908433936</v>
      </c>
      <c r="Q148" t="s">
        <v>445</v>
      </c>
      <c r="R148" t="s">
        <v>139</v>
      </c>
      <c r="S148" t="s">
        <v>43</v>
      </c>
      <c r="T148" t="s">
        <v>43</v>
      </c>
      <c r="U148" t="s">
        <v>44</v>
      </c>
      <c r="V148" t="s">
        <v>45</v>
      </c>
      <c r="W148" t="s">
        <v>5087</v>
      </c>
      <c r="X148" t="s">
        <v>45</v>
      </c>
      <c r="Y148" t="s">
        <v>638</v>
      </c>
      <c r="Z148" t="s">
        <v>47</v>
      </c>
      <c r="AA148" t="s">
        <v>48</v>
      </c>
      <c r="AB148" t="s">
        <v>49</v>
      </c>
      <c r="AC148" t="s">
        <v>49</v>
      </c>
      <c r="AD148" t="s">
        <v>481</v>
      </c>
      <c r="AE148" t="s">
        <v>189</v>
      </c>
      <c r="AF148" t="s">
        <v>1243</v>
      </c>
      <c r="AG148" t="s">
        <v>196</v>
      </c>
      <c r="AH148" s="93">
        <f>VLOOKUP(Table1[[#This Row],[Caste]],Factor!$H$1:$K$13,4,0)</f>
        <v>1.1461625511156397</v>
      </c>
      <c r="AI14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48">
        <f>Table1[[#This Row],[Factor_1]]*Table1[[#This Row],[2024 Factor]]</f>
        <v>3.0326483876590018</v>
      </c>
      <c r="AK148">
        <f>VLOOKUP(Table1[[#This Row],[Q18: Gender]],Factor!$A$33:$E$35,5,0)</f>
        <v>2.1645021645021645</v>
      </c>
      <c r="AL148">
        <f>VLOOKUP(Table1[[#This Row],[Taluka]],Factor!$A$42:$G$46,7,0)</f>
        <v>1.147984664167413</v>
      </c>
      <c r="AM148">
        <f>VLOOKUP(Table1[[#This Row],[Caste]]&amp;Table1[[#This Row],[Q18: Gender]],Factor!$W$1:$X$23,2,0)</f>
        <v>2.8092219390089208</v>
      </c>
      <c r="AN148">
        <f>VLOOKUP(Table1[[#This Row],[Taluka]]&amp;Table1[[#This Row],[Caste]]&amp;Table1[[#This Row],[Q18: Gender]],Factor!$AK$4:$AL$93,2,0)</f>
        <v>2.2934724643212636</v>
      </c>
      <c r="AO148">
        <f t="shared" si="22"/>
        <v>-1</v>
      </c>
      <c r="AP148">
        <f t="shared" si="23"/>
        <v>-1</v>
      </c>
      <c r="AQ148">
        <f t="shared" si="24"/>
        <v>-1</v>
      </c>
      <c r="AR148">
        <f t="shared" si="25"/>
        <v>-1</v>
      </c>
      <c r="AS148">
        <f t="shared" si="26"/>
        <v>-1</v>
      </c>
      <c r="AT148">
        <f t="shared" si="27"/>
        <v>-1</v>
      </c>
      <c r="AU148">
        <f t="shared" si="28"/>
        <v>-5.5</v>
      </c>
      <c r="AV148">
        <f>SUM(Table1[[#This Row],[Satis]:[29]])</f>
        <v>-6</v>
      </c>
      <c r="AW148">
        <f t="shared" si="29"/>
        <v>-5</v>
      </c>
      <c r="AX148">
        <f t="shared" si="30"/>
        <v>-4</v>
      </c>
      <c r="AY148">
        <f t="shared" si="31"/>
        <v>-3</v>
      </c>
      <c r="AZ148" t="str">
        <f t="shared" si="32"/>
        <v>TDP HardCore</v>
      </c>
    </row>
    <row r="149" spans="1:52" x14ac:dyDescent="0.3">
      <c r="A149" t="s">
        <v>965</v>
      </c>
      <c r="B149" s="94">
        <v>46043</v>
      </c>
      <c r="C149" t="s">
        <v>966</v>
      </c>
      <c r="D149" t="s">
        <v>967</v>
      </c>
      <c r="E149" t="s">
        <v>968</v>
      </c>
      <c r="F149" t="s">
        <v>240</v>
      </c>
      <c r="G149" t="s">
        <v>39</v>
      </c>
      <c r="H149" t="s">
        <v>969</v>
      </c>
      <c r="I149" t="s">
        <v>59</v>
      </c>
      <c r="J149" t="s">
        <v>37</v>
      </c>
      <c r="K149" t="s">
        <v>212</v>
      </c>
      <c r="L149" t="s">
        <v>82</v>
      </c>
      <c r="M149" t="s">
        <v>51</v>
      </c>
      <c r="N149" t="s">
        <v>52</v>
      </c>
      <c r="O149" t="s">
        <v>970</v>
      </c>
      <c r="P149">
        <v>986608737</v>
      </c>
      <c r="Q149" t="s">
        <v>54</v>
      </c>
      <c r="R149" t="s">
        <v>73</v>
      </c>
      <c r="S149" t="s">
        <v>43</v>
      </c>
      <c r="T149" t="s">
        <v>43</v>
      </c>
      <c r="U149" t="s">
        <v>44</v>
      </c>
      <c r="V149" t="s">
        <v>45</v>
      </c>
      <c r="W149" t="s">
        <v>5088</v>
      </c>
      <c r="X149" t="s">
        <v>45</v>
      </c>
      <c r="Y149" t="s">
        <v>46</v>
      </c>
      <c r="Z149" t="s">
        <v>47</v>
      </c>
      <c r="AA149" t="s">
        <v>48</v>
      </c>
      <c r="AB149" t="s">
        <v>49</v>
      </c>
      <c r="AC149" t="s">
        <v>49</v>
      </c>
      <c r="AD149" t="s">
        <v>481</v>
      </c>
      <c r="AE149" t="s">
        <v>189</v>
      </c>
      <c r="AF149" t="s">
        <v>1212</v>
      </c>
      <c r="AG149" t="s">
        <v>196</v>
      </c>
      <c r="AH149" s="93">
        <f>VLOOKUP(Table1[[#This Row],[Caste]],Factor!$H$1:$K$13,4,0)</f>
        <v>1.1461625511156397</v>
      </c>
      <c r="AI14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49">
        <f>Table1[[#This Row],[Factor_1]]*Table1[[#This Row],[2024 Factor]]</f>
        <v>0.77721139583220644</v>
      </c>
      <c r="AK149">
        <f>VLOOKUP(Table1[[#This Row],[Q18: Gender]],Factor!$A$33:$E$35,5,0)</f>
        <v>0.85034013605442171</v>
      </c>
      <c r="AL149">
        <f>VLOOKUP(Table1[[#This Row],[Taluka]],Factor!$A$42:$G$46,7,0)</f>
        <v>0.75433779645928134</v>
      </c>
      <c r="AM149">
        <f>VLOOKUP(Table1[[#This Row],[Caste]]&amp;Table1[[#This Row],[Q18: Gender]],Factor!$W$1:$X$23,2,0)</f>
        <v>0.71995135120329123</v>
      </c>
      <c r="AN149">
        <f>VLOOKUP(Table1[[#This Row],[Taluka]]&amp;Table1[[#This Row],[Caste]]&amp;Table1[[#This Row],[Q18: Gender]],Factor!$AK$4:$AL$93,2,0)</f>
        <v>0.55527787174877274</v>
      </c>
      <c r="AO149">
        <f t="shared" si="22"/>
        <v>-1</v>
      </c>
      <c r="AP149">
        <f t="shared" si="23"/>
        <v>-1</v>
      </c>
      <c r="AQ149">
        <f t="shared" si="24"/>
        <v>-1</v>
      </c>
      <c r="AR149">
        <f t="shared" si="25"/>
        <v>-1</v>
      </c>
      <c r="AS149">
        <f t="shared" si="26"/>
        <v>-1</v>
      </c>
      <c r="AT149">
        <f t="shared" si="27"/>
        <v>-1</v>
      </c>
      <c r="AU149">
        <f t="shared" si="28"/>
        <v>-5.5</v>
      </c>
      <c r="AV149">
        <f>SUM(Table1[[#This Row],[Satis]:[29]])</f>
        <v>-6</v>
      </c>
      <c r="AW149">
        <f t="shared" si="29"/>
        <v>-5</v>
      </c>
      <c r="AX149">
        <f t="shared" si="30"/>
        <v>-4</v>
      </c>
      <c r="AY149">
        <f t="shared" si="31"/>
        <v>-3</v>
      </c>
      <c r="AZ149" t="str">
        <f t="shared" si="32"/>
        <v>TDP HardCore</v>
      </c>
    </row>
    <row r="150" spans="1:52" x14ac:dyDescent="0.3">
      <c r="A150" t="s">
        <v>971</v>
      </c>
      <c r="B150" s="94">
        <v>46043</v>
      </c>
      <c r="C150" t="s">
        <v>972</v>
      </c>
      <c r="D150" t="s">
        <v>973</v>
      </c>
      <c r="E150" t="s">
        <v>957</v>
      </c>
      <c r="F150" t="s">
        <v>69</v>
      </c>
      <c r="G150" t="s">
        <v>39</v>
      </c>
      <c r="H150" t="s">
        <v>974</v>
      </c>
      <c r="I150" t="s">
        <v>59</v>
      </c>
      <c r="J150" t="s">
        <v>219</v>
      </c>
      <c r="K150" t="s">
        <v>220</v>
      </c>
      <c r="L150" t="s">
        <v>62</v>
      </c>
      <c r="M150" t="s">
        <v>51</v>
      </c>
      <c r="N150" t="s">
        <v>63</v>
      </c>
      <c r="O150" t="s">
        <v>975</v>
      </c>
      <c r="P150">
        <v>8332886240</v>
      </c>
      <c r="Q150" t="s">
        <v>54</v>
      </c>
      <c r="R150" t="s">
        <v>73</v>
      </c>
      <c r="S150" t="s">
        <v>89</v>
      </c>
      <c r="T150" t="s">
        <v>89</v>
      </c>
      <c r="U150" t="s">
        <v>44</v>
      </c>
      <c r="V150" t="s">
        <v>45</v>
      </c>
      <c r="W150" t="s">
        <v>5085</v>
      </c>
      <c r="X150" t="s">
        <v>45</v>
      </c>
      <c r="Y150" t="s">
        <v>46</v>
      </c>
      <c r="Z150" t="s">
        <v>47</v>
      </c>
      <c r="AA150" t="s">
        <v>48</v>
      </c>
      <c r="AB150" t="s">
        <v>49</v>
      </c>
      <c r="AC150" t="s">
        <v>49</v>
      </c>
      <c r="AD150" t="s">
        <v>494</v>
      </c>
      <c r="AE150" t="s">
        <v>185</v>
      </c>
      <c r="AF150">
        <v>0</v>
      </c>
      <c r="AG150" t="s">
        <v>196</v>
      </c>
      <c r="AH150" s="93">
        <f>VLOOKUP(Table1[[#This Row],[Caste]],Factor!$H$1:$K$13,4,0)</f>
        <v>1.1461625511156397</v>
      </c>
      <c r="AI15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50">
        <f>Table1[[#This Row],[Factor_1]]*Table1[[#This Row],[2024 Factor]]</f>
        <v>0.77721139583220644</v>
      </c>
      <c r="AK150">
        <f>VLOOKUP(Table1[[#This Row],[Q18: Gender]],Factor!$A$33:$E$35,5,0)</f>
        <v>0.85034013605442171</v>
      </c>
      <c r="AL150">
        <f>VLOOKUP(Table1[[#This Row],[Taluka]],Factor!$A$42:$G$46,7,0)</f>
        <v>1.147984664167413</v>
      </c>
      <c r="AM150">
        <f>VLOOKUP(Table1[[#This Row],[Caste]]&amp;Table1[[#This Row],[Q18: Gender]],Factor!$W$1:$X$23,2,0)</f>
        <v>0.71995135120329123</v>
      </c>
      <c r="AN150">
        <f>VLOOKUP(Table1[[#This Row],[Taluka]]&amp;Table1[[#This Row],[Caste]]&amp;Table1[[#This Row],[Q18: Gender]],Factor!$AK$4:$AL$93,2,0)</f>
        <v>0.54319084681293095</v>
      </c>
      <c r="AO150">
        <f t="shared" si="22"/>
        <v>1</v>
      </c>
      <c r="AP150">
        <f t="shared" si="23"/>
        <v>-1</v>
      </c>
      <c r="AQ150">
        <f t="shared" si="24"/>
        <v>-1</v>
      </c>
      <c r="AR150">
        <f t="shared" si="25"/>
        <v>-1</v>
      </c>
      <c r="AS150">
        <f t="shared" si="26"/>
        <v>-1</v>
      </c>
      <c r="AT150">
        <f t="shared" si="27"/>
        <v>-1</v>
      </c>
      <c r="AU150">
        <f t="shared" si="28"/>
        <v>-3.5</v>
      </c>
      <c r="AV150">
        <f>SUM(Table1[[#This Row],[Satis]:[29]])</f>
        <v>-4</v>
      </c>
      <c r="AW150">
        <f t="shared" si="29"/>
        <v>-3</v>
      </c>
      <c r="AX150">
        <f t="shared" si="30"/>
        <v>-4</v>
      </c>
      <c r="AY150">
        <f t="shared" si="31"/>
        <v>-2</v>
      </c>
      <c r="AZ150" t="str">
        <f t="shared" si="32"/>
        <v>TDP Sympathiser</v>
      </c>
    </row>
    <row r="151" spans="1:52" x14ac:dyDescent="0.3">
      <c r="A151" t="s">
        <v>976</v>
      </c>
      <c r="B151" s="94">
        <v>46043</v>
      </c>
      <c r="C151" t="s">
        <v>977</v>
      </c>
      <c r="D151" t="s">
        <v>978</v>
      </c>
      <c r="E151" t="s">
        <v>979</v>
      </c>
      <c r="F151" t="s">
        <v>240</v>
      </c>
      <c r="G151" t="s">
        <v>39</v>
      </c>
      <c r="H151" t="s">
        <v>980</v>
      </c>
      <c r="I151" t="s">
        <v>59</v>
      </c>
      <c r="J151" s="112" t="s">
        <v>203</v>
      </c>
      <c r="K151" s="112" t="s">
        <v>204</v>
      </c>
      <c r="L151" t="s">
        <v>62</v>
      </c>
      <c r="M151" t="s">
        <v>443</v>
      </c>
      <c r="N151" t="s">
        <v>63</v>
      </c>
      <c r="O151" t="s">
        <v>406</v>
      </c>
      <c r="P151">
        <v>9999999999</v>
      </c>
      <c r="Q151" t="s">
        <v>54</v>
      </c>
      <c r="R151" t="s">
        <v>61</v>
      </c>
      <c r="S151" t="s">
        <v>43</v>
      </c>
      <c r="T151" t="s">
        <v>43</v>
      </c>
      <c r="U151" t="s">
        <v>44</v>
      </c>
      <c r="V151" t="s">
        <v>45</v>
      </c>
      <c r="W151" t="s">
        <v>5069</v>
      </c>
      <c r="X151" t="s">
        <v>45</v>
      </c>
      <c r="Y151" t="s">
        <v>46</v>
      </c>
      <c r="Z151" t="s">
        <v>242</v>
      </c>
      <c r="AA151" t="s">
        <v>242</v>
      </c>
      <c r="AB151" t="s">
        <v>49</v>
      </c>
      <c r="AC151" t="s">
        <v>49</v>
      </c>
      <c r="AD151" t="s">
        <v>494</v>
      </c>
      <c r="AE151" t="s">
        <v>185</v>
      </c>
      <c r="AF151" t="s">
        <v>1244</v>
      </c>
      <c r="AG151" t="s">
        <v>196</v>
      </c>
      <c r="AH151" s="93">
        <f>VLOOKUP(Table1[[#This Row],[Caste]],Factor!$H$1:$K$13,4,0)</f>
        <v>1.1461625511156397</v>
      </c>
      <c r="AI151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151">
        <f>Table1[[#This Row],[Factor_1]]*Table1[[#This Row],[2024 Factor]]</f>
        <v>0.47627550925756229</v>
      </c>
      <c r="AK151">
        <f>VLOOKUP(Table1[[#This Row],[Q18: Gender]],Factor!$A$33:$E$35,5,0)</f>
        <v>0.85034013605442171</v>
      </c>
      <c r="AL151">
        <f>VLOOKUP(Table1[[#This Row],[Taluka]],Factor!$A$42:$G$46,7,0)</f>
        <v>1.9264642089343564</v>
      </c>
      <c r="AM151">
        <f>VLOOKUP(Table1[[#This Row],[Caste]]&amp;Table1[[#This Row],[Q18: Gender]],Factor!$W$1:$X$23,2,0)</f>
        <v>0.71995135120329123</v>
      </c>
      <c r="AN151">
        <f>VLOOKUP(Table1[[#This Row],[Taluka]]&amp;Table1[[#This Row],[Caste]]&amp;Table1[[#This Row],[Q18: Gender]],Factor!$AK$4:$AL$93,2,0)</f>
        <v>0.70534647283248642</v>
      </c>
      <c r="AO151">
        <f t="shared" si="22"/>
        <v>-1</v>
      </c>
      <c r="AP151">
        <f t="shared" si="23"/>
        <v>-1</v>
      </c>
      <c r="AQ151">
        <f t="shared" si="24"/>
        <v>-1</v>
      </c>
      <c r="AR151">
        <f t="shared" si="25"/>
        <v>-1</v>
      </c>
      <c r="AS151">
        <f t="shared" si="26"/>
        <v>-1</v>
      </c>
      <c r="AT151">
        <f t="shared" si="27"/>
        <v>-1</v>
      </c>
      <c r="AU151">
        <f t="shared" si="28"/>
        <v>-5.5</v>
      </c>
      <c r="AV151">
        <f>SUM(Table1[[#This Row],[Satis]:[29]])</f>
        <v>-6</v>
      </c>
      <c r="AW151">
        <f t="shared" si="29"/>
        <v>-5</v>
      </c>
      <c r="AX151">
        <f t="shared" si="30"/>
        <v>-4</v>
      </c>
      <c r="AY151">
        <f t="shared" si="31"/>
        <v>-3</v>
      </c>
      <c r="AZ151" t="str">
        <f t="shared" si="32"/>
        <v>TDP HardCore</v>
      </c>
    </row>
    <row r="152" spans="1:52" x14ac:dyDescent="0.3">
      <c r="A152" t="s">
        <v>981</v>
      </c>
      <c r="B152" s="94">
        <v>46043</v>
      </c>
      <c r="C152" t="s">
        <v>982</v>
      </c>
      <c r="D152" t="s">
        <v>983</v>
      </c>
      <c r="E152" t="s">
        <v>555</v>
      </c>
      <c r="F152" t="s">
        <v>69</v>
      </c>
      <c r="G152" t="s">
        <v>39</v>
      </c>
      <c r="H152" t="s">
        <v>984</v>
      </c>
      <c r="I152" t="s">
        <v>227</v>
      </c>
      <c r="J152" t="s">
        <v>219</v>
      </c>
      <c r="K152" t="s">
        <v>220</v>
      </c>
      <c r="L152" t="s">
        <v>82</v>
      </c>
      <c r="M152" t="s">
        <v>51</v>
      </c>
      <c r="N152" t="s">
        <v>63</v>
      </c>
      <c r="O152" t="s">
        <v>824</v>
      </c>
      <c r="P152">
        <v>9989761854</v>
      </c>
      <c r="Q152" t="s">
        <v>445</v>
      </c>
      <c r="R152" t="s">
        <v>132</v>
      </c>
      <c r="S152" t="s">
        <v>89</v>
      </c>
      <c r="T152" t="s">
        <v>89</v>
      </c>
      <c r="U152" t="s">
        <v>90</v>
      </c>
      <c r="V152" t="s">
        <v>91</v>
      </c>
      <c r="W152" t="s">
        <v>5084</v>
      </c>
      <c r="X152" t="s">
        <v>91</v>
      </c>
      <c r="Y152" t="s">
        <v>46</v>
      </c>
      <c r="Z152" t="s">
        <v>92</v>
      </c>
      <c r="AA152" t="s">
        <v>92</v>
      </c>
      <c r="AB152" t="s">
        <v>93</v>
      </c>
      <c r="AC152" t="s">
        <v>94</v>
      </c>
      <c r="AD152" t="s">
        <v>494</v>
      </c>
      <c r="AE152" t="s">
        <v>189</v>
      </c>
      <c r="AF152" t="s">
        <v>1245</v>
      </c>
      <c r="AG152" t="s">
        <v>196</v>
      </c>
      <c r="AH152" s="93">
        <f>VLOOKUP(Table1[[#This Row],[Caste]],Factor!$H$1:$K$13,4,0)</f>
        <v>1.2612194085121222</v>
      </c>
      <c r="AI152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152">
        <f>Table1[[#This Row],[Factor_1]]*Table1[[#This Row],[2024 Factor]]</f>
        <v>4.3746926640885135</v>
      </c>
      <c r="AK152">
        <f>VLOOKUP(Table1[[#This Row],[Q18: Gender]],Factor!$A$33:$E$35,5,0)</f>
        <v>2.1645021645021645</v>
      </c>
      <c r="AL152">
        <f>VLOOKUP(Table1[[#This Row],[Taluka]],Factor!$A$42:$G$46,7,0)</f>
        <v>1.147984664167413</v>
      </c>
      <c r="AM152">
        <f>VLOOKUP(Table1[[#This Row],[Caste]]&amp;Table1[[#This Row],[Q18: Gender]],Factor!$W$1:$X$23,2,0)</f>
        <v>2.4228688637206557</v>
      </c>
      <c r="AN152">
        <f>VLOOKUP(Table1[[#This Row],[Taluka]]&amp;Table1[[#This Row],[Caste]]&amp;Table1[[#This Row],[Q18: Gender]],Factor!$AK$4:$AL$93,2,0)</f>
        <v>2.2107623881946901</v>
      </c>
      <c r="AO152">
        <f t="shared" si="22"/>
        <v>1</v>
      </c>
      <c r="AP152">
        <f t="shared" si="23"/>
        <v>1</v>
      </c>
      <c r="AQ152">
        <f t="shared" si="24"/>
        <v>1</v>
      </c>
      <c r="AR152">
        <f t="shared" si="25"/>
        <v>1</v>
      </c>
      <c r="AS152">
        <f t="shared" si="26"/>
        <v>1</v>
      </c>
      <c r="AT152">
        <f t="shared" si="27"/>
        <v>1</v>
      </c>
      <c r="AU152">
        <f t="shared" si="28"/>
        <v>5.5</v>
      </c>
      <c r="AV152">
        <f>SUM(Table1[[#This Row],[Satis]:[29]])</f>
        <v>6</v>
      </c>
      <c r="AW152">
        <f t="shared" si="29"/>
        <v>5</v>
      </c>
      <c r="AX152">
        <f t="shared" si="30"/>
        <v>4</v>
      </c>
      <c r="AY152">
        <f t="shared" si="31"/>
        <v>3</v>
      </c>
      <c r="AZ152" t="str">
        <f t="shared" si="32"/>
        <v>YSRCP HardCore</v>
      </c>
    </row>
    <row r="153" spans="1:52" x14ac:dyDescent="0.3">
      <c r="A153" t="s">
        <v>985</v>
      </c>
      <c r="B153" s="94">
        <v>46043</v>
      </c>
      <c r="C153" t="s">
        <v>986</v>
      </c>
      <c r="D153" t="s">
        <v>987</v>
      </c>
      <c r="E153" t="s">
        <v>988</v>
      </c>
      <c r="F153" t="s">
        <v>240</v>
      </c>
      <c r="G153" t="s">
        <v>39</v>
      </c>
      <c r="H153" t="s">
        <v>989</v>
      </c>
      <c r="I153" t="s">
        <v>70</v>
      </c>
      <c r="J153" t="s">
        <v>37</v>
      </c>
      <c r="K153" t="s">
        <v>212</v>
      </c>
      <c r="L153" t="s">
        <v>62</v>
      </c>
      <c r="M153" t="s">
        <v>51</v>
      </c>
      <c r="N153" t="s">
        <v>52</v>
      </c>
      <c r="O153" t="s">
        <v>990</v>
      </c>
      <c r="P153">
        <v>9999999999</v>
      </c>
      <c r="Q153" t="s">
        <v>445</v>
      </c>
      <c r="R153" t="s">
        <v>132</v>
      </c>
      <c r="S153" t="s">
        <v>43</v>
      </c>
      <c r="T153" t="s">
        <v>43</v>
      </c>
      <c r="U153" t="s">
        <v>44</v>
      </c>
      <c r="V153" t="s">
        <v>45</v>
      </c>
      <c r="W153" t="s">
        <v>5055</v>
      </c>
      <c r="X153" t="s">
        <v>45</v>
      </c>
      <c r="Y153" t="s">
        <v>46</v>
      </c>
      <c r="Z153" t="s">
        <v>242</v>
      </c>
      <c r="AA153" t="s">
        <v>242</v>
      </c>
      <c r="AB153" t="s">
        <v>49</v>
      </c>
      <c r="AC153" t="s">
        <v>49</v>
      </c>
      <c r="AD153" t="s">
        <v>494</v>
      </c>
      <c r="AE153" t="s">
        <v>185</v>
      </c>
      <c r="AF153">
        <v>0</v>
      </c>
      <c r="AG153" t="s">
        <v>196</v>
      </c>
      <c r="AH153" s="93">
        <f>VLOOKUP(Table1[[#This Row],[Caste]],Factor!$H$1:$K$13,4,0)</f>
        <v>1.3836274505214585</v>
      </c>
      <c r="AI153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153">
        <f>Table1[[#This Row],[Factor_1]]*Table1[[#This Row],[2024 Factor]]</f>
        <v>1.2753497331114214</v>
      </c>
      <c r="AK153">
        <f>VLOOKUP(Table1[[#This Row],[Q18: Gender]],Factor!$A$33:$E$35,5,0)</f>
        <v>2.1645021645021645</v>
      </c>
      <c r="AL153">
        <f>VLOOKUP(Table1[[#This Row],[Taluka]],Factor!$A$42:$G$46,7,0)</f>
        <v>0.75433779645928134</v>
      </c>
      <c r="AM153">
        <f>VLOOKUP(Table1[[#This Row],[Caste]]&amp;Table1[[#This Row],[Q18: Gender]],Factor!$W$1:$X$23,2,0)</f>
        <v>1.9278542477265657</v>
      </c>
      <c r="AN153">
        <f>VLOOKUP(Table1[[#This Row],[Taluka]]&amp;Table1[[#This Row],[Caste]]&amp;Table1[[#This Row],[Q18: Gender]],Factor!$AK$4:$AL$93,2,0)</f>
        <v>0.95595770048639872</v>
      </c>
      <c r="AO153">
        <f t="shared" si="22"/>
        <v>-1</v>
      </c>
      <c r="AP153">
        <f t="shared" si="23"/>
        <v>-1</v>
      </c>
      <c r="AQ153">
        <f t="shared" si="24"/>
        <v>-1</v>
      </c>
      <c r="AR153">
        <f t="shared" si="25"/>
        <v>-1</v>
      </c>
      <c r="AS153">
        <f t="shared" si="26"/>
        <v>-1</v>
      </c>
      <c r="AT153">
        <f t="shared" si="27"/>
        <v>-1</v>
      </c>
      <c r="AU153">
        <f t="shared" si="28"/>
        <v>-5.5</v>
      </c>
      <c r="AV153">
        <f>SUM(Table1[[#This Row],[Satis]:[29]])</f>
        <v>-6</v>
      </c>
      <c r="AW153">
        <f t="shared" si="29"/>
        <v>-5</v>
      </c>
      <c r="AX153">
        <f t="shared" si="30"/>
        <v>-4</v>
      </c>
      <c r="AY153">
        <f t="shared" si="31"/>
        <v>-3</v>
      </c>
      <c r="AZ153" t="str">
        <f t="shared" si="32"/>
        <v>TDP HardCore</v>
      </c>
    </row>
    <row r="154" spans="1:52" x14ac:dyDescent="0.3">
      <c r="A154" t="s">
        <v>991</v>
      </c>
      <c r="B154" s="94">
        <v>46043</v>
      </c>
      <c r="C154" t="s">
        <v>992</v>
      </c>
      <c r="D154" t="s">
        <v>993</v>
      </c>
      <c r="E154" t="s">
        <v>561</v>
      </c>
      <c r="F154" t="s">
        <v>69</v>
      </c>
      <c r="G154" t="s">
        <v>39</v>
      </c>
      <c r="H154" t="s">
        <v>994</v>
      </c>
      <c r="I154" s="112" t="s">
        <v>36</v>
      </c>
      <c r="J154" t="s">
        <v>219</v>
      </c>
      <c r="K154" t="s">
        <v>220</v>
      </c>
      <c r="L154" t="s">
        <v>82</v>
      </c>
      <c r="M154" t="s">
        <v>51</v>
      </c>
      <c r="N154" t="s">
        <v>107</v>
      </c>
      <c r="O154" t="s">
        <v>995</v>
      </c>
      <c r="P154">
        <v>9133221341</v>
      </c>
      <c r="Q154" t="s">
        <v>54</v>
      </c>
      <c r="R154" t="s">
        <v>73</v>
      </c>
      <c r="S154" t="s">
        <v>43</v>
      </c>
      <c r="T154" t="s">
        <v>43</v>
      </c>
      <c r="U154" t="s">
        <v>90</v>
      </c>
      <c r="V154" t="s">
        <v>91</v>
      </c>
      <c r="W154" t="s">
        <v>5084</v>
      </c>
      <c r="X154" t="s">
        <v>91</v>
      </c>
      <c r="Y154" t="s">
        <v>46</v>
      </c>
      <c r="Z154" t="s">
        <v>92</v>
      </c>
      <c r="AA154" t="s">
        <v>92</v>
      </c>
      <c r="AB154" t="s">
        <v>93</v>
      </c>
      <c r="AC154" t="s">
        <v>94</v>
      </c>
      <c r="AD154" t="s">
        <v>494</v>
      </c>
      <c r="AE154" t="s">
        <v>189</v>
      </c>
      <c r="AF154" t="s">
        <v>1246</v>
      </c>
      <c r="AG154" t="s">
        <v>196</v>
      </c>
      <c r="AH154" s="93">
        <f>VLOOKUP(Table1[[#This Row],[Caste]],Factor!$H$1:$K$13,4,0)</f>
        <v>1.1705128247062893</v>
      </c>
      <c r="AI154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154">
        <f>Table1[[#This Row],[Factor_1]]*Table1[[#This Row],[2024 Factor]]</f>
        <v>1.4435679386658844</v>
      </c>
      <c r="AK154">
        <f>VLOOKUP(Table1[[#This Row],[Q18: Gender]],Factor!$A$33:$E$35,5,0)</f>
        <v>0.85034013605442171</v>
      </c>
      <c r="AL154">
        <f>VLOOKUP(Table1[[#This Row],[Taluka]],Factor!$A$42:$G$46,7,0)</f>
        <v>1.147984664167413</v>
      </c>
      <c r="AM154">
        <f>VLOOKUP(Table1[[#This Row],[Caste]]&amp;Table1[[#This Row],[Q18: Gender]],Factor!$W$1:$X$23,2,0)</f>
        <v>0.79950206330384943</v>
      </c>
      <c r="AN154">
        <f>VLOOKUP(Table1[[#This Row],[Taluka]]&amp;Table1[[#This Row],[Caste]]&amp;Table1[[#This Row],[Q18: Gender]],Factor!$AK$4:$AL$93,2,0)</f>
        <v>0.92148737207359532</v>
      </c>
      <c r="AO154">
        <f t="shared" si="22"/>
        <v>-1</v>
      </c>
      <c r="AP154">
        <f t="shared" si="23"/>
        <v>1</v>
      </c>
      <c r="AQ154">
        <f t="shared" si="24"/>
        <v>1</v>
      </c>
      <c r="AR154">
        <f t="shared" si="25"/>
        <v>1</v>
      </c>
      <c r="AS154">
        <f t="shared" si="26"/>
        <v>1</v>
      </c>
      <c r="AT154">
        <f t="shared" si="27"/>
        <v>1</v>
      </c>
      <c r="AU154">
        <f t="shared" si="28"/>
        <v>3.5</v>
      </c>
      <c r="AV154">
        <f>SUM(Table1[[#This Row],[Satis]:[29]])</f>
        <v>4</v>
      </c>
      <c r="AW154">
        <f t="shared" si="29"/>
        <v>3</v>
      </c>
      <c r="AX154">
        <f t="shared" si="30"/>
        <v>4</v>
      </c>
      <c r="AY154">
        <f t="shared" si="31"/>
        <v>2</v>
      </c>
      <c r="AZ154" t="str">
        <f t="shared" si="32"/>
        <v>YSRCP Sympathiser</v>
      </c>
    </row>
    <row r="155" spans="1:52" x14ac:dyDescent="0.3">
      <c r="A155" t="s">
        <v>996</v>
      </c>
      <c r="B155" s="94">
        <v>46043</v>
      </c>
      <c r="C155" t="s">
        <v>997</v>
      </c>
      <c r="D155" t="s">
        <v>998</v>
      </c>
      <c r="E155" t="s">
        <v>999</v>
      </c>
      <c r="F155" t="s">
        <v>240</v>
      </c>
      <c r="G155" t="s">
        <v>39</v>
      </c>
      <c r="H155" t="s">
        <v>1000</v>
      </c>
      <c r="I155" t="s">
        <v>70</v>
      </c>
      <c r="J155" t="s">
        <v>37</v>
      </c>
      <c r="K155" t="s">
        <v>212</v>
      </c>
      <c r="L155" t="s">
        <v>161</v>
      </c>
      <c r="M155" t="s">
        <v>51</v>
      </c>
      <c r="N155" t="s">
        <v>63</v>
      </c>
      <c r="O155" t="s">
        <v>1001</v>
      </c>
      <c r="P155">
        <v>9963468491</v>
      </c>
      <c r="Q155" t="s">
        <v>54</v>
      </c>
      <c r="R155" t="s">
        <v>132</v>
      </c>
      <c r="S155" t="s">
        <v>43</v>
      </c>
      <c r="T155" t="s">
        <v>43</v>
      </c>
      <c r="U155" t="s">
        <v>44</v>
      </c>
      <c r="V155" t="s">
        <v>45</v>
      </c>
      <c r="W155" t="s">
        <v>5054</v>
      </c>
      <c r="X155" t="s">
        <v>45</v>
      </c>
      <c r="Y155" t="s">
        <v>46</v>
      </c>
      <c r="Z155" t="s">
        <v>47</v>
      </c>
      <c r="AA155" t="s">
        <v>48</v>
      </c>
      <c r="AB155" t="s">
        <v>49</v>
      </c>
      <c r="AC155" t="s">
        <v>49</v>
      </c>
      <c r="AD155" t="s">
        <v>494</v>
      </c>
      <c r="AE155" t="s">
        <v>185</v>
      </c>
      <c r="AF155">
        <v>0</v>
      </c>
      <c r="AG155" t="s">
        <v>196</v>
      </c>
      <c r="AH155" s="93">
        <f>VLOOKUP(Table1[[#This Row],[Caste]],Factor!$H$1:$K$13,4,0)</f>
        <v>1.3836274505214585</v>
      </c>
      <c r="AI15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55">
        <f>Table1[[#This Row],[Factor_1]]*Table1[[#This Row],[2024 Factor]]</f>
        <v>1.1648410586678206</v>
      </c>
      <c r="AK155">
        <f>VLOOKUP(Table1[[#This Row],[Q18: Gender]],Factor!$A$33:$E$35,5,0)</f>
        <v>0.85034013605442171</v>
      </c>
      <c r="AL155">
        <f>VLOOKUP(Table1[[#This Row],[Taluka]],Factor!$A$42:$G$46,7,0)</f>
        <v>0.75433779645928134</v>
      </c>
      <c r="AM155">
        <f>VLOOKUP(Table1[[#This Row],[Caste]]&amp;Table1[[#This Row],[Q18: Gender]],Factor!$W$1:$X$23,2,0)</f>
        <v>1.0790228998469584</v>
      </c>
      <c r="AN155">
        <f>VLOOKUP(Table1[[#This Row],[Taluka]]&amp;Table1[[#This Row],[Caste]]&amp;Table1[[#This Row],[Q18: Gender]],Factor!$AK$4:$AL$93,2,0)</f>
        <v>0.52423486800867025</v>
      </c>
      <c r="AO155">
        <f t="shared" si="22"/>
        <v>-1</v>
      </c>
      <c r="AP155">
        <f t="shared" si="23"/>
        <v>-1</v>
      </c>
      <c r="AQ155">
        <f t="shared" si="24"/>
        <v>-1</v>
      </c>
      <c r="AR155">
        <f t="shared" si="25"/>
        <v>-1</v>
      </c>
      <c r="AS155">
        <f t="shared" si="26"/>
        <v>-1</v>
      </c>
      <c r="AT155">
        <f t="shared" si="27"/>
        <v>-1</v>
      </c>
      <c r="AU155">
        <f t="shared" si="28"/>
        <v>-5.5</v>
      </c>
      <c r="AV155">
        <f>SUM(Table1[[#This Row],[Satis]:[29]])</f>
        <v>-6</v>
      </c>
      <c r="AW155">
        <f t="shared" si="29"/>
        <v>-5</v>
      </c>
      <c r="AX155">
        <f t="shared" si="30"/>
        <v>-4</v>
      </c>
      <c r="AY155">
        <f t="shared" si="31"/>
        <v>-3</v>
      </c>
      <c r="AZ155" t="str">
        <f t="shared" si="32"/>
        <v>TDP HardCore</v>
      </c>
    </row>
    <row r="156" spans="1:52" x14ac:dyDescent="0.3">
      <c r="A156" t="s">
        <v>1002</v>
      </c>
      <c r="B156" s="94">
        <v>46043</v>
      </c>
      <c r="C156" t="s">
        <v>1003</v>
      </c>
      <c r="D156" t="s">
        <v>1004</v>
      </c>
      <c r="E156" t="s">
        <v>1005</v>
      </c>
      <c r="F156" t="s">
        <v>935</v>
      </c>
      <c r="G156" t="s">
        <v>39</v>
      </c>
      <c r="H156" t="s">
        <v>1006</v>
      </c>
      <c r="I156" t="s">
        <v>70</v>
      </c>
      <c r="J156" t="s">
        <v>219</v>
      </c>
      <c r="K156" t="s">
        <v>225</v>
      </c>
      <c r="L156" t="s">
        <v>62</v>
      </c>
      <c r="M156" t="s">
        <v>51</v>
      </c>
      <c r="N156" t="s">
        <v>52</v>
      </c>
      <c r="O156" t="s">
        <v>1007</v>
      </c>
      <c r="P156">
        <v>9494167812</v>
      </c>
      <c r="Q156" t="s">
        <v>54</v>
      </c>
      <c r="R156" t="s">
        <v>61</v>
      </c>
      <c r="S156" t="s">
        <v>43</v>
      </c>
      <c r="T156" t="s">
        <v>89</v>
      </c>
      <c r="U156" t="s">
        <v>90</v>
      </c>
      <c r="V156" t="s">
        <v>91</v>
      </c>
      <c r="W156" t="s">
        <v>296</v>
      </c>
      <c r="X156" t="s">
        <v>91</v>
      </c>
      <c r="Y156" t="s">
        <v>46</v>
      </c>
      <c r="Z156" t="s">
        <v>92</v>
      </c>
      <c r="AA156" t="s">
        <v>92</v>
      </c>
      <c r="AB156" t="s">
        <v>93</v>
      </c>
      <c r="AC156" t="s">
        <v>94</v>
      </c>
      <c r="AD156" t="s">
        <v>494</v>
      </c>
      <c r="AE156" t="s">
        <v>185</v>
      </c>
      <c r="AF156" t="s">
        <v>1247</v>
      </c>
      <c r="AG156" t="s">
        <v>196</v>
      </c>
      <c r="AH156" s="93">
        <f>VLOOKUP(Table1[[#This Row],[Caste]],Factor!$H$1:$K$13,4,0)</f>
        <v>1.3836274505214585</v>
      </c>
      <c r="AI156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156">
        <f>Table1[[#This Row],[Factor_1]]*Table1[[#This Row],[2024 Factor]]</f>
        <v>1.9482662206881376</v>
      </c>
      <c r="AK156">
        <f>VLOOKUP(Table1[[#This Row],[Q18: Gender]],Factor!$A$33:$E$35,5,0)</f>
        <v>0.85034013605442171</v>
      </c>
      <c r="AL156">
        <f>VLOOKUP(Table1[[#This Row],[Taluka]],Factor!$A$42:$G$46,7,0)</f>
        <v>1.147984664167413</v>
      </c>
      <c r="AM156">
        <f>VLOOKUP(Table1[[#This Row],[Caste]]&amp;Table1[[#This Row],[Q18: Gender]],Factor!$W$1:$X$23,2,0)</f>
        <v>1.0790228998469584</v>
      </c>
      <c r="AN156">
        <f>VLOOKUP(Table1[[#This Row],[Taluka]]&amp;Table1[[#This Row],[Caste]]&amp;Table1[[#This Row],[Q18: Gender]],Factor!$AK$4:$AL$93,2,0)</f>
        <v>1.1572915102003449</v>
      </c>
      <c r="AO156">
        <f t="shared" si="22"/>
        <v>1</v>
      </c>
      <c r="AP156">
        <f t="shared" si="23"/>
        <v>1</v>
      </c>
      <c r="AQ156">
        <f t="shared" si="24"/>
        <v>1</v>
      </c>
      <c r="AR156">
        <f t="shared" si="25"/>
        <v>1</v>
      </c>
      <c r="AS156">
        <f t="shared" si="26"/>
        <v>1</v>
      </c>
      <c r="AT156">
        <f t="shared" si="27"/>
        <v>1</v>
      </c>
      <c r="AU156">
        <f t="shared" si="28"/>
        <v>5.5</v>
      </c>
      <c r="AV156">
        <f>SUM(Table1[[#This Row],[Satis]:[29]])</f>
        <v>6</v>
      </c>
      <c r="AW156">
        <f t="shared" si="29"/>
        <v>5</v>
      </c>
      <c r="AX156">
        <f t="shared" si="30"/>
        <v>4</v>
      </c>
      <c r="AY156">
        <f t="shared" si="31"/>
        <v>3</v>
      </c>
      <c r="AZ156" t="str">
        <f t="shared" si="32"/>
        <v>YSRCP HardCore</v>
      </c>
    </row>
    <row r="157" spans="1:52" x14ac:dyDescent="0.3">
      <c r="A157" t="s">
        <v>1008</v>
      </c>
      <c r="B157" s="94">
        <v>46043</v>
      </c>
      <c r="C157" t="s">
        <v>1009</v>
      </c>
      <c r="D157" t="s">
        <v>1010</v>
      </c>
      <c r="E157" t="s">
        <v>530</v>
      </c>
      <c r="F157" t="s">
        <v>69</v>
      </c>
      <c r="G157" t="s">
        <v>39</v>
      </c>
      <c r="H157" t="s">
        <v>1011</v>
      </c>
      <c r="I157" t="s">
        <v>59</v>
      </c>
      <c r="J157" t="s">
        <v>219</v>
      </c>
      <c r="K157" t="s">
        <v>220</v>
      </c>
      <c r="L157" t="s">
        <v>62</v>
      </c>
      <c r="M157" t="s">
        <v>51</v>
      </c>
      <c r="N157" t="s">
        <v>162</v>
      </c>
      <c r="O157" t="s">
        <v>1012</v>
      </c>
      <c r="P157">
        <v>9182866279</v>
      </c>
      <c r="Q157" t="s">
        <v>54</v>
      </c>
      <c r="R157" t="s">
        <v>73</v>
      </c>
      <c r="S157" t="s">
        <v>43</v>
      </c>
      <c r="T157" t="s">
        <v>43</v>
      </c>
      <c r="U157" t="s">
        <v>44</v>
      </c>
      <c r="V157" t="s">
        <v>45</v>
      </c>
      <c r="W157" t="s">
        <v>74</v>
      </c>
      <c r="X157" t="s">
        <v>45</v>
      </c>
      <c r="Y157" t="s">
        <v>46</v>
      </c>
      <c r="Z157" t="s">
        <v>47</v>
      </c>
      <c r="AA157" t="s">
        <v>48</v>
      </c>
      <c r="AB157" t="s">
        <v>49</v>
      </c>
      <c r="AC157" t="s">
        <v>49</v>
      </c>
      <c r="AD157" t="s">
        <v>494</v>
      </c>
      <c r="AE157" t="s">
        <v>185</v>
      </c>
      <c r="AF157">
        <v>0</v>
      </c>
      <c r="AG157" t="s">
        <v>196</v>
      </c>
      <c r="AH157" s="93">
        <f>VLOOKUP(Table1[[#This Row],[Caste]],Factor!$H$1:$K$13,4,0)</f>
        <v>1.1461625511156397</v>
      </c>
      <c r="AI15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57">
        <f>Table1[[#This Row],[Factor_1]]*Table1[[#This Row],[2024 Factor]]</f>
        <v>0.77721139583220644</v>
      </c>
      <c r="AK157">
        <f>VLOOKUP(Table1[[#This Row],[Q18: Gender]],Factor!$A$33:$E$35,5,0)</f>
        <v>0.85034013605442171</v>
      </c>
      <c r="AL157">
        <f>VLOOKUP(Table1[[#This Row],[Taluka]],Factor!$A$42:$G$46,7,0)</f>
        <v>1.147984664167413</v>
      </c>
      <c r="AM157">
        <f>VLOOKUP(Table1[[#This Row],[Caste]]&amp;Table1[[#This Row],[Q18: Gender]],Factor!$W$1:$X$23,2,0)</f>
        <v>0.71995135120329123</v>
      </c>
      <c r="AN157">
        <f>VLOOKUP(Table1[[#This Row],[Taluka]]&amp;Table1[[#This Row],[Caste]]&amp;Table1[[#This Row],[Q18: Gender]],Factor!$AK$4:$AL$93,2,0)</f>
        <v>0.54319084681293095</v>
      </c>
      <c r="AO157">
        <f t="shared" si="22"/>
        <v>-1</v>
      </c>
      <c r="AP157">
        <f t="shared" si="23"/>
        <v>-1</v>
      </c>
      <c r="AQ157">
        <f t="shared" si="24"/>
        <v>-1</v>
      </c>
      <c r="AR157">
        <f t="shared" si="25"/>
        <v>-1</v>
      </c>
      <c r="AS157">
        <f t="shared" si="26"/>
        <v>-1</v>
      </c>
      <c r="AT157">
        <f t="shared" si="27"/>
        <v>-1</v>
      </c>
      <c r="AU157">
        <f t="shared" si="28"/>
        <v>-5.5</v>
      </c>
      <c r="AV157">
        <f>SUM(Table1[[#This Row],[Satis]:[29]])</f>
        <v>-6</v>
      </c>
      <c r="AW157">
        <f t="shared" si="29"/>
        <v>-5</v>
      </c>
      <c r="AX157">
        <f t="shared" si="30"/>
        <v>-4</v>
      </c>
      <c r="AY157">
        <f t="shared" si="31"/>
        <v>-3</v>
      </c>
      <c r="AZ157" t="str">
        <f t="shared" si="32"/>
        <v>TDP HardCore</v>
      </c>
    </row>
    <row r="158" spans="1:52" x14ac:dyDescent="0.3">
      <c r="A158" t="s">
        <v>1013</v>
      </c>
      <c r="B158" s="94">
        <v>46043</v>
      </c>
      <c r="C158" t="s">
        <v>1009</v>
      </c>
      <c r="D158" t="s">
        <v>1010</v>
      </c>
      <c r="E158" t="s">
        <v>530</v>
      </c>
      <c r="F158" t="s">
        <v>69</v>
      </c>
      <c r="G158" t="s">
        <v>39</v>
      </c>
      <c r="H158" t="s">
        <v>1014</v>
      </c>
      <c r="I158" t="s">
        <v>59</v>
      </c>
      <c r="J158" t="s">
        <v>219</v>
      </c>
      <c r="K158" t="s">
        <v>220</v>
      </c>
      <c r="L158" t="s">
        <v>62</v>
      </c>
      <c r="M158" t="s">
        <v>51</v>
      </c>
      <c r="N158" t="s">
        <v>162</v>
      </c>
      <c r="O158" t="s">
        <v>1012</v>
      </c>
      <c r="P158">
        <v>9182866279</v>
      </c>
      <c r="Q158" t="s">
        <v>54</v>
      </c>
      <c r="R158" t="s">
        <v>73</v>
      </c>
      <c r="S158" t="s">
        <v>43</v>
      </c>
      <c r="T158" t="s">
        <v>43</v>
      </c>
      <c r="U158" t="s">
        <v>44</v>
      </c>
      <c r="V158" t="s">
        <v>45</v>
      </c>
      <c r="W158" t="s">
        <v>74</v>
      </c>
      <c r="X158" t="s">
        <v>45</v>
      </c>
      <c r="Y158" t="s">
        <v>46</v>
      </c>
      <c r="Z158" t="s">
        <v>47</v>
      </c>
      <c r="AA158" t="s">
        <v>48</v>
      </c>
      <c r="AB158" t="s">
        <v>49</v>
      </c>
      <c r="AC158" t="s">
        <v>49</v>
      </c>
      <c r="AD158">
        <v>0</v>
      </c>
      <c r="AE158" t="s">
        <v>185</v>
      </c>
      <c r="AF158">
        <v>0</v>
      </c>
      <c r="AG158" t="s">
        <v>196</v>
      </c>
      <c r="AH158" s="93">
        <f>VLOOKUP(Table1[[#This Row],[Caste]],Factor!$H$1:$K$13,4,0)</f>
        <v>1.1461625511156397</v>
      </c>
      <c r="AI15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58">
        <f>Table1[[#This Row],[Factor_1]]*Table1[[#This Row],[2024 Factor]]</f>
        <v>0.77721139583220644</v>
      </c>
      <c r="AK158">
        <f>VLOOKUP(Table1[[#This Row],[Q18: Gender]],Factor!$A$33:$E$35,5,0)</f>
        <v>0.85034013605442171</v>
      </c>
      <c r="AL158">
        <f>VLOOKUP(Table1[[#This Row],[Taluka]],Factor!$A$42:$G$46,7,0)</f>
        <v>1.147984664167413</v>
      </c>
      <c r="AM158">
        <f>VLOOKUP(Table1[[#This Row],[Caste]]&amp;Table1[[#This Row],[Q18: Gender]],Factor!$W$1:$X$23,2,0)</f>
        <v>0.71995135120329123</v>
      </c>
      <c r="AN158">
        <f>VLOOKUP(Table1[[#This Row],[Taluka]]&amp;Table1[[#This Row],[Caste]]&amp;Table1[[#This Row],[Q18: Gender]],Factor!$AK$4:$AL$93,2,0)</f>
        <v>0.54319084681293095</v>
      </c>
      <c r="AO158">
        <f t="shared" si="22"/>
        <v>-1</v>
      </c>
      <c r="AP158">
        <f t="shared" si="23"/>
        <v>-1</v>
      </c>
      <c r="AQ158">
        <f t="shared" si="24"/>
        <v>-1</v>
      </c>
      <c r="AR158">
        <f t="shared" si="25"/>
        <v>-1</v>
      </c>
      <c r="AS158">
        <f t="shared" si="26"/>
        <v>-1</v>
      </c>
      <c r="AT158">
        <f t="shared" si="27"/>
        <v>-1</v>
      </c>
      <c r="AU158">
        <f t="shared" si="28"/>
        <v>-5.5</v>
      </c>
      <c r="AV158">
        <f>SUM(Table1[[#This Row],[Satis]:[29]])</f>
        <v>-6</v>
      </c>
      <c r="AW158">
        <f t="shared" si="29"/>
        <v>-5</v>
      </c>
      <c r="AX158">
        <f t="shared" si="30"/>
        <v>-4</v>
      </c>
      <c r="AY158">
        <f t="shared" si="31"/>
        <v>-3</v>
      </c>
      <c r="AZ158" t="str">
        <f t="shared" si="32"/>
        <v>TDP HardCore</v>
      </c>
    </row>
    <row r="159" spans="1:52" x14ac:dyDescent="0.3">
      <c r="A159" t="s">
        <v>1015</v>
      </c>
      <c r="B159" s="94">
        <v>46043</v>
      </c>
      <c r="C159" t="s">
        <v>1016</v>
      </c>
      <c r="D159" t="s">
        <v>1010</v>
      </c>
      <c r="E159" t="s">
        <v>530</v>
      </c>
      <c r="F159" t="s">
        <v>69</v>
      </c>
      <c r="G159" t="s">
        <v>39</v>
      </c>
      <c r="H159" t="s">
        <v>1017</v>
      </c>
      <c r="I159" t="s">
        <v>59</v>
      </c>
      <c r="J159" t="s">
        <v>219</v>
      </c>
      <c r="K159" t="s">
        <v>220</v>
      </c>
      <c r="L159" t="s">
        <v>62</v>
      </c>
      <c r="M159" t="s">
        <v>51</v>
      </c>
      <c r="N159" t="s">
        <v>162</v>
      </c>
      <c r="O159" t="s">
        <v>1012</v>
      </c>
      <c r="P159">
        <v>9182866279</v>
      </c>
      <c r="Q159" t="s">
        <v>54</v>
      </c>
      <c r="R159" t="s">
        <v>73</v>
      </c>
      <c r="S159" t="s">
        <v>43</v>
      </c>
      <c r="T159" t="s">
        <v>43</v>
      </c>
      <c r="U159" t="s">
        <v>44</v>
      </c>
      <c r="V159" t="s">
        <v>45</v>
      </c>
      <c r="W159" t="s">
        <v>74</v>
      </c>
      <c r="X159" t="s">
        <v>45</v>
      </c>
      <c r="Y159" t="s">
        <v>46</v>
      </c>
      <c r="Z159" t="s">
        <v>47</v>
      </c>
      <c r="AA159" t="s">
        <v>48</v>
      </c>
      <c r="AB159" t="s">
        <v>49</v>
      </c>
      <c r="AC159" t="s">
        <v>49</v>
      </c>
      <c r="AD159">
        <v>0</v>
      </c>
      <c r="AE159" t="s">
        <v>185</v>
      </c>
      <c r="AF159">
        <v>0</v>
      </c>
      <c r="AG159" t="s">
        <v>196</v>
      </c>
      <c r="AH159" s="93">
        <f>VLOOKUP(Table1[[#This Row],[Caste]],Factor!$H$1:$K$13,4,0)</f>
        <v>1.1461625511156397</v>
      </c>
      <c r="AI15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59">
        <f>Table1[[#This Row],[Factor_1]]*Table1[[#This Row],[2024 Factor]]</f>
        <v>0.77721139583220644</v>
      </c>
      <c r="AK159">
        <f>VLOOKUP(Table1[[#This Row],[Q18: Gender]],Factor!$A$33:$E$35,5,0)</f>
        <v>0.85034013605442171</v>
      </c>
      <c r="AL159">
        <f>VLOOKUP(Table1[[#This Row],[Taluka]],Factor!$A$42:$G$46,7,0)</f>
        <v>1.147984664167413</v>
      </c>
      <c r="AM159">
        <f>VLOOKUP(Table1[[#This Row],[Caste]]&amp;Table1[[#This Row],[Q18: Gender]],Factor!$W$1:$X$23,2,0)</f>
        <v>0.71995135120329123</v>
      </c>
      <c r="AN159">
        <f>VLOOKUP(Table1[[#This Row],[Taluka]]&amp;Table1[[#This Row],[Caste]]&amp;Table1[[#This Row],[Q18: Gender]],Factor!$AK$4:$AL$93,2,0)</f>
        <v>0.54319084681293095</v>
      </c>
      <c r="AO159">
        <f t="shared" si="22"/>
        <v>-1</v>
      </c>
      <c r="AP159">
        <f t="shared" si="23"/>
        <v>-1</v>
      </c>
      <c r="AQ159">
        <f t="shared" si="24"/>
        <v>-1</v>
      </c>
      <c r="AR159">
        <f t="shared" si="25"/>
        <v>-1</v>
      </c>
      <c r="AS159">
        <f t="shared" si="26"/>
        <v>-1</v>
      </c>
      <c r="AT159">
        <f t="shared" si="27"/>
        <v>-1</v>
      </c>
      <c r="AU159">
        <f t="shared" si="28"/>
        <v>-5.5</v>
      </c>
      <c r="AV159">
        <f>SUM(Table1[[#This Row],[Satis]:[29]])</f>
        <v>-6</v>
      </c>
      <c r="AW159">
        <f t="shared" si="29"/>
        <v>-5</v>
      </c>
      <c r="AX159">
        <f t="shared" si="30"/>
        <v>-4</v>
      </c>
      <c r="AY159">
        <f t="shared" si="31"/>
        <v>-3</v>
      </c>
      <c r="AZ159" t="str">
        <f t="shared" si="32"/>
        <v>TDP HardCore</v>
      </c>
    </row>
    <row r="160" spans="1:52" x14ac:dyDescent="0.3">
      <c r="A160" t="s">
        <v>1018</v>
      </c>
      <c r="B160" s="94">
        <v>46043</v>
      </c>
      <c r="C160" t="s">
        <v>1019</v>
      </c>
      <c r="D160" t="s">
        <v>1020</v>
      </c>
      <c r="E160" t="s">
        <v>555</v>
      </c>
      <c r="F160" t="s">
        <v>69</v>
      </c>
      <c r="G160" t="s">
        <v>39</v>
      </c>
      <c r="H160" t="s">
        <v>1021</v>
      </c>
      <c r="I160" t="s">
        <v>59</v>
      </c>
      <c r="J160" t="s">
        <v>219</v>
      </c>
      <c r="K160" t="s">
        <v>220</v>
      </c>
      <c r="L160" t="s">
        <v>62</v>
      </c>
      <c r="M160" t="s">
        <v>51</v>
      </c>
      <c r="N160" t="s">
        <v>162</v>
      </c>
      <c r="O160" t="s">
        <v>309</v>
      </c>
      <c r="P160">
        <v>9502105876</v>
      </c>
      <c r="Q160" t="s">
        <v>54</v>
      </c>
      <c r="R160" t="s">
        <v>73</v>
      </c>
      <c r="S160" t="s">
        <v>43</v>
      </c>
      <c r="T160" t="s">
        <v>43</v>
      </c>
      <c r="U160" t="s">
        <v>44</v>
      </c>
      <c r="V160" t="s">
        <v>45</v>
      </c>
      <c r="W160" t="s">
        <v>5084</v>
      </c>
      <c r="X160" t="s">
        <v>45</v>
      </c>
      <c r="Y160" t="s">
        <v>46</v>
      </c>
      <c r="Z160" t="s">
        <v>92</v>
      </c>
      <c r="AA160" t="s">
        <v>92</v>
      </c>
      <c r="AB160" t="s">
        <v>93</v>
      </c>
      <c r="AC160" t="s">
        <v>94</v>
      </c>
      <c r="AD160" t="s">
        <v>481</v>
      </c>
      <c r="AE160" t="s">
        <v>189</v>
      </c>
      <c r="AF160" t="s">
        <v>1234</v>
      </c>
      <c r="AG160" t="s">
        <v>196</v>
      </c>
      <c r="AH160" s="93">
        <f>VLOOKUP(Table1[[#This Row],[Caste]],Factor!$H$1:$K$13,4,0)</f>
        <v>1.1461625511156397</v>
      </c>
      <c r="AI160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160">
        <f>Table1[[#This Row],[Factor_1]]*Table1[[#This Row],[2024 Factor]]</f>
        <v>1.2999324650914248</v>
      </c>
      <c r="AK160">
        <f>VLOOKUP(Table1[[#This Row],[Q18: Gender]],Factor!$A$33:$E$35,5,0)</f>
        <v>0.85034013605442171</v>
      </c>
      <c r="AL160">
        <f>VLOOKUP(Table1[[#This Row],[Taluka]],Factor!$A$42:$G$46,7,0)</f>
        <v>1.147984664167413</v>
      </c>
      <c r="AM160">
        <f>VLOOKUP(Table1[[#This Row],[Caste]]&amp;Table1[[#This Row],[Q18: Gender]],Factor!$W$1:$X$23,2,0)</f>
        <v>0.71995135120329123</v>
      </c>
      <c r="AN160">
        <f>VLOOKUP(Table1[[#This Row],[Taluka]]&amp;Table1[[#This Row],[Caste]]&amp;Table1[[#This Row],[Q18: Gender]],Factor!$AK$4:$AL$93,2,0)</f>
        <v>0.54319084681293095</v>
      </c>
      <c r="AO160">
        <f t="shared" si="22"/>
        <v>-1</v>
      </c>
      <c r="AP160">
        <f t="shared" si="23"/>
        <v>-1</v>
      </c>
      <c r="AQ160">
        <f t="shared" si="24"/>
        <v>-1</v>
      </c>
      <c r="AR160">
        <f t="shared" si="25"/>
        <v>-1</v>
      </c>
      <c r="AS160">
        <f t="shared" si="26"/>
        <v>1</v>
      </c>
      <c r="AT160">
        <f t="shared" si="27"/>
        <v>1</v>
      </c>
      <c r="AU160">
        <f t="shared" si="28"/>
        <v>-2.5</v>
      </c>
      <c r="AV160">
        <f>SUM(Table1[[#This Row],[Satis]:[29]])</f>
        <v>-2</v>
      </c>
      <c r="AW160">
        <f t="shared" si="29"/>
        <v>-1</v>
      </c>
      <c r="AX160">
        <f t="shared" si="30"/>
        <v>0</v>
      </c>
      <c r="AY160">
        <f t="shared" si="31"/>
        <v>2</v>
      </c>
      <c r="AZ160" t="str">
        <f t="shared" si="32"/>
        <v>Neutral YSRCP</v>
      </c>
    </row>
    <row r="161" spans="1:52" x14ac:dyDescent="0.3">
      <c r="A161" t="s">
        <v>1022</v>
      </c>
      <c r="B161" s="94">
        <v>46043</v>
      </c>
      <c r="C161" t="s">
        <v>1023</v>
      </c>
      <c r="D161" t="s">
        <v>1024</v>
      </c>
      <c r="E161" t="s">
        <v>1025</v>
      </c>
      <c r="F161" t="s">
        <v>240</v>
      </c>
      <c r="G161" t="s">
        <v>39</v>
      </c>
      <c r="H161" t="s">
        <v>1026</v>
      </c>
      <c r="I161" t="s">
        <v>70</v>
      </c>
      <c r="J161" t="s">
        <v>37</v>
      </c>
      <c r="K161" t="s">
        <v>212</v>
      </c>
      <c r="L161" t="s">
        <v>62</v>
      </c>
      <c r="M161" t="s">
        <v>443</v>
      </c>
      <c r="N161" t="s">
        <v>107</v>
      </c>
      <c r="O161" t="s">
        <v>1027</v>
      </c>
      <c r="P161">
        <v>9550781428</v>
      </c>
      <c r="Q161" t="s">
        <v>54</v>
      </c>
      <c r="R161" t="s">
        <v>61</v>
      </c>
      <c r="S161" t="s">
        <v>43</v>
      </c>
      <c r="T161" t="s">
        <v>43</v>
      </c>
      <c r="U161" t="s">
        <v>90</v>
      </c>
      <c r="V161" t="s">
        <v>45</v>
      </c>
      <c r="W161" t="s">
        <v>5088</v>
      </c>
      <c r="X161" t="s">
        <v>45</v>
      </c>
      <c r="Y161" t="s">
        <v>46</v>
      </c>
      <c r="Z161" t="s">
        <v>92</v>
      </c>
      <c r="AA161" t="s">
        <v>92</v>
      </c>
      <c r="AB161" t="s">
        <v>93</v>
      </c>
      <c r="AC161" t="s">
        <v>148</v>
      </c>
      <c r="AD161" t="s">
        <v>481</v>
      </c>
      <c r="AE161" t="s">
        <v>189</v>
      </c>
      <c r="AF161" t="s">
        <v>484</v>
      </c>
      <c r="AG161" t="s">
        <v>196</v>
      </c>
      <c r="AH161" s="93">
        <f>VLOOKUP(Table1[[#This Row],[Caste]],Factor!$H$1:$K$13,4,0)</f>
        <v>1.3836274505214585</v>
      </c>
      <c r="AI161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161">
        <f>Table1[[#This Row],[Factor_1]]*Table1[[#This Row],[2024 Factor]]</f>
        <v>1.9482662206881376</v>
      </c>
      <c r="AK161">
        <f>VLOOKUP(Table1[[#This Row],[Q18: Gender]],Factor!$A$33:$E$35,5,0)</f>
        <v>0.85034013605442171</v>
      </c>
      <c r="AL161">
        <f>VLOOKUP(Table1[[#This Row],[Taluka]],Factor!$A$42:$G$46,7,0)</f>
        <v>0.75433779645928134</v>
      </c>
      <c r="AM161">
        <f>VLOOKUP(Table1[[#This Row],[Caste]]&amp;Table1[[#This Row],[Q18: Gender]],Factor!$W$1:$X$23,2,0)</f>
        <v>1.0790228998469584</v>
      </c>
      <c r="AN161">
        <f>VLOOKUP(Table1[[#This Row],[Taluka]]&amp;Table1[[#This Row],[Caste]]&amp;Table1[[#This Row],[Q18: Gender]],Factor!$AK$4:$AL$93,2,0)</f>
        <v>0.52423486800867025</v>
      </c>
      <c r="AO161">
        <f t="shared" si="22"/>
        <v>-1</v>
      </c>
      <c r="AP161">
        <f t="shared" si="23"/>
        <v>1</v>
      </c>
      <c r="AQ161">
        <f t="shared" si="24"/>
        <v>-1</v>
      </c>
      <c r="AR161">
        <f t="shared" si="25"/>
        <v>-1</v>
      </c>
      <c r="AS161">
        <f t="shared" si="26"/>
        <v>1</v>
      </c>
      <c r="AT161">
        <f t="shared" si="27"/>
        <v>1</v>
      </c>
      <c r="AU161">
        <f t="shared" si="28"/>
        <v>-0.5</v>
      </c>
      <c r="AV161">
        <f>SUM(Table1[[#This Row],[Satis]:[29]])</f>
        <v>0</v>
      </c>
      <c r="AW161">
        <f t="shared" si="29"/>
        <v>-1</v>
      </c>
      <c r="AX161">
        <f t="shared" si="30"/>
        <v>0</v>
      </c>
      <c r="AY161">
        <f t="shared" si="31"/>
        <v>2</v>
      </c>
      <c r="AZ161" t="str">
        <f t="shared" si="32"/>
        <v>Neutral YSRCP</v>
      </c>
    </row>
    <row r="162" spans="1:52" x14ac:dyDescent="0.3">
      <c r="A162" t="s">
        <v>1028</v>
      </c>
      <c r="B162" s="94">
        <v>46043</v>
      </c>
      <c r="C162" t="s">
        <v>1029</v>
      </c>
      <c r="D162" t="s">
        <v>1030</v>
      </c>
      <c r="E162" t="s">
        <v>1031</v>
      </c>
      <c r="F162" t="s">
        <v>935</v>
      </c>
      <c r="G162" t="s">
        <v>39</v>
      </c>
      <c r="H162" t="s">
        <v>1032</v>
      </c>
      <c r="I162" t="s">
        <v>70</v>
      </c>
      <c r="J162" t="s">
        <v>219</v>
      </c>
      <c r="K162" t="s">
        <v>225</v>
      </c>
      <c r="L162" t="s">
        <v>62</v>
      </c>
      <c r="M162" t="s">
        <v>443</v>
      </c>
      <c r="N162" t="s">
        <v>52</v>
      </c>
      <c r="O162" t="s">
        <v>1033</v>
      </c>
      <c r="P162">
        <v>9490348570</v>
      </c>
      <c r="Q162" t="s">
        <v>54</v>
      </c>
      <c r="R162" t="s">
        <v>42</v>
      </c>
      <c r="S162" t="s">
        <v>43</v>
      </c>
      <c r="T162" t="s">
        <v>43</v>
      </c>
      <c r="U162" t="s">
        <v>90</v>
      </c>
      <c r="V162" t="s">
        <v>91</v>
      </c>
      <c r="W162" t="s">
        <v>5072</v>
      </c>
      <c r="X162" t="s">
        <v>91</v>
      </c>
      <c r="Y162" t="s">
        <v>46</v>
      </c>
      <c r="Z162" t="s">
        <v>92</v>
      </c>
      <c r="AA162" t="s">
        <v>48</v>
      </c>
      <c r="AB162" t="s">
        <v>49</v>
      </c>
      <c r="AC162" t="s">
        <v>49</v>
      </c>
      <c r="AD162" t="s">
        <v>481</v>
      </c>
      <c r="AE162" t="s">
        <v>185</v>
      </c>
      <c r="AF162">
        <v>0</v>
      </c>
      <c r="AG162" t="s">
        <v>196</v>
      </c>
      <c r="AH162" s="93">
        <f>VLOOKUP(Table1[[#This Row],[Caste]],Factor!$H$1:$K$13,4,0)</f>
        <v>1.3836274505214585</v>
      </c>
      <c r="AI16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62">
        <f>Table1[[#This Row],[Factor_1]]*Table1[[#This Row],[2024 Factor]]</f>
        <v>1.1648410586678206</v>
      </c>
      <c r="AK162">
        <f>VLOOKUP(Table1[[#This Row],[Q18: Gender]],Factor!$A$33:$E$35,5,0)</f>
        <v>0.85034013605442171</v>
      </c>
      <c r="AL162">
        <f>VLOOKUP(Table1[[#This Row],[Taluka]],Factor!$A$42:$G$46,7,0)</f>
        <v>1.147984664167413</v>
      </c>
      <c r="AM162">
        <f>VLOOKUP(Table1[[#This Row],[Caste]]&amp;Table1[[#This Row],[Q18: Gender]],Factor!$W$1:$X$23,2,0)</f>
        <v>1.0790228998469584</v>
      </c>
      <c r="AN162">
        <f>VLOOKUP(Table1[[#This Row],[Taluka]]&amp;Table1[[#This Row],[Caste]]&amp;Table1[[#This Row],[Q18: Gender]],Factor!$AK$4:$AL$93,2,0)</f>
        <v>1.1572915102003449</v>
      </c>
      <c r="AO162">
        <f t="shared" si="22"/>
        <v>-1</v>
      </c>
      <c r="AP162">
        <f t="shared" si="23"/>
        <v>1</v>
      </c>
      <c r="AQ162">
        <f t="shared" si="24"/>
        <v>1</v>
      </c>
      <c r="AR162">
        <f t="shared" si="25"/>
        <v>1</v>
      </c>
      <c r="AS162">
        <f t="shared" si="26"/>
        <v>-1</v>
      </c>
      <c r="AT162">
        <f t="shared" si="27"/>
        <v>1</v>
      </c>
      <c r="AU162">
        <f t="shared" si="28"/>
        <v>2.5</v>
      </c>
      <c r="AV162">
        <f>SUM(Table1[[#This Row],[Satis]:[29]])</f>
        <v>2</v>
      </c>
      <c r="AW162">
        <f t="shared" si="29"/>
        <v>1</v>
      </c>
      <c r="AX162">
        <f t="shared" si="30"/>
        <v>2</v>
      </c>
      <c r="AY162" t="str">
        <f t="shared" si="31"/>
        <v>ND</v>
      </c>
      <c r="AZ162" t="str">
        <f t="shared" si="32"/>
        <v>ND</v>
      </c>
    </row>
    <row r="163" spans="1:52" x14ac:dyDescent="0.3">
      <c r="A163" t="s">
        <v>1034</v>
      </c>
      <c r="B163" s="94">
        <v>46043</v>
      </c>
      <c r="C163" t="s">
        <v>1035</v>
      </c>
      <c r="D163" t="s">
        <v>1036</v>
      </c>
      <c r="E163" t="s">
        <v>1037</v>
      </c>
      <c r="F163" t="s">
        <v>69</v>
      </c>
      <c r="G163" t="s">
        <v>39</v>
      </c>
      <c r="H163" t="s">
        <v>1038</v>
      </c>
      <c r="I163" t="s">
        <v>59</v>
      </c>
      <c r="J163" t="s">
        <v>219</v>
      </c>
      <c r="K163" t="s">
        <v>220</v>
      </c>
      <c r="L163" t="s">
        <v>75</v>
      </c>
      <c r="M163" t="s">
        <v>51</v>
      </c>
      <c r="N163" t="s">
        <v>63</v>
      </c>
      <c r="O163" t="s">
        <v>1039</v>
      </c>
      <c r="P163">
        <v>9999999999</v>
      </c>
      <c r="Q163" t="s">
        <v>445</v>
      </c>
      <c r="R163" t="s">
        <v>73</v>
      </c>
      <c r="S163" t="s">
        <v>43</v>
      </c>
      <c r="T163" t="s">
        <v>43</v>
      </c>
      <c r="U163" t="s">
        <v>44</v>
      </c>
      <c r="V163" t="s">
        <v>45</v>
      </c>
      <c r="W163" t="s">
        <v>5084</v>
      </c>
      <c r="X163" t="s">
        <v>45</v>
      </c>
      <c r="Y163" t="s">
        <v>46</v>
      </c>
      <c r="Z163" t="s">
        <v>47</v>
      </c>
      <c r="AA163" t="s">
        <v>48</v>
      </c>
      <c r="AB163" t="s">
        <v>49</v>
      </c>
      <c r="AC163" t="s">
        <v>49</v>
      </c>
      <c r="AD163" t="s">
        <v>481</v>
      </c>
      <c r="AE163" t="s">
        <v>185</v>
      </c>
      <c r="AF163" t="s">
        <v>1248</v>
      </c>
      <c r="AG163" t="s">
        <v>196</v>
      </c>
      <c r="AH163" s="93">
        <f>VLOOKUP(Table1[[#This Row],[Caste]],Factor!$H$1:$K$13,4,0)</f>
        <v>1.1461625511156397</v>
      </c>
      <c r="AI16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63">
        <f>Table1[[#This Row],[Factor_1]]*Table1[[#This Row],[2024 Factor]]</f>
        <v>3.0326483876590018</v>
      </c>
      <c r="AK163">
        <f>VLOOKUP(Table1[[#This Row],[Q18: Gender]],Factor!$A$33:$E$35,5,0)</f>
        <v>2.1645021645021645</v>
      </c>
      <c r="AL163">
        <f>VLOOKUP(Table1[[#This Row],[Taluka]],Factor!$A$42:$G$46,7,0)</f>
        <v>1.147984664167413</v>
      </c>
      <c r="AM163">
        <f>VLOOKUP(Table1[[#This Row],[Caste]]&amp;Table1[[#This Row],[Q18: Gender]],Factor!$W$1:$X$23,2,0)</f>
        <v>2.8092219390089208</v>
      </c>
      <c r="AN163">
        <f>VLOOKUP(Table1[[#This Row],[Taluka]]&amp;Table1[[#This Row],[Caste]]&amp;Table1[[#This Row],[Q18: Gender]],Factor!$AK$4:$AL$93,2,0)</f>
        <v>2.2934724643212636</v>
      </c>
      <c r="AO163">
        <f t="shared" si="22"/>
        <v>-1</v>
      </c>
      <c r="AP163">
        <f t="shared" si="23"/>
        <v>-1</v>
      </c>
      <c r="AQ163">
        <f t="shared" si="24"/>
        <v>-1</v>
      </c>
      <c r="AR163">
        <f t="shared" si="25"/>
        <v>-1</v>
      </c>
      <c r="AS163">
        <f t="shared" si="26"/>
        <v>-1</v>
      </c>
      <c r="AT163">
        <f t="shared" si="27"/>
        <v>-1</v>
      </c>
      <c r="AU163">
        <f t="shared" si="28"/>
        <v>-5.5</v>
      </c>
      <c r="AV163">
        <f>SUM(Table1[[#This Row],[Satis]:[29]])</f>
        <v>-6</v>
      </c>
      <c r="AW163">
        <f t="shared" si="29"/>
        <v>-5</v>
      </c>
      <c r="AX163">
        <f t="shared" si="30"/>
        <v>-4</v>
      </c>
      <c r="AY163">
        <f t="shared" si="31"/>
        <v>-3</v>
      </c>
      <c r="AZ163" t="str">
        <f t="shared" si="32"/>
        <v>TDP HardCore</v>
      </c>
    </row>
    <row r="164" spans="1:52" x14ac:dyDescent="0.3">
      <c r="A164" t="s">
        <v>1040</v>
      </c>
      <c r="B164" s="94">
        <v>46043</v>
      </c>
      <c r="C164" t="s">
        <v>1041</v>
      </c>
      <c r="D164" t="s">
        <v>1042</v>
      </c>
      <c r="E164" t="s">
        <v>1043</v>
      </c>
      <c r="F164" t="s">
        <v>935</v>
      </c>
      <c r="G164" t="s">
        <v>39</v>
      </c>
      <c r="H164" t="s">
        <v>1044</v>
      </c>
      <c r="I164" t="s">
        <v>70</v>
      </c>
      <c r="J164" t="s">
        <v>219</v>
      </c>
      <c r="K164" t="s">
        <v>225</v>
      </c>
      <c r="L164" t="s">
        <v>62</v>
      </c>
      <c r="M164" t="s">
        <v>51</v>
      </c>
      <c r="N164" t="s">
        <v>63</v>
      </c>
      <c r="O164" t="s">
        <v>1045</v>
      </c>
      <c r="P164">
        <v>9908513250</v>
      </c>
      <c r="Q164" t="s">
        <v>54</v>
      </c>
      <c r="R164" t="s">
        <v>42</v>
      </c>
      <c r="S164" t="s">
        <v>43</v>
      </c>
      <c r="T164" t="s">
        <v>43</v>
      </c>
      <c r="U164" t="s">
        <v>44</v>
      </c>
      <c r="V164" t="s">
        <v>45</v>
      </c>
      <c r="W164" t="s">
        <v>5089</v>
      </c>
      <c r="X164" t="s">
        <v>45</v>
      </c>
      <c r="Y164" t="s">
        <v>46</v>
      </c>
      <c r="Z164" t="s">
        <v>47</v>
      </c>
      <c r="AA164" t="s">
        <v>48</v>
      </c>
      <c r="AB164" t="s">
        <v>49</v>
      </c>
      <c r="AC164" t="s">
        <v>49</v>
      </c>
      <c r="AD164" t="s">
        <v>481</v>
      </c>
      <c r="AE164" t="s">
        <v>191</v>
      </c>
      <c r="AF164" t="s">
        <v>1249</v>
      </c>
      <c r="AG164" t="s">
        <v>498</v>
      </c>
      <c r="AH164" s="93">
        <f>VLOOKUP(Table1[[#This Row],[Caste]],Factor!$H$1:$K$13,4,0)</f>
        <v>1.3836274505214585</v>
      </c>
      <c r="AI16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64">
        <f>Table1[[#This Row],[Factor_1]]*Table1[[#This Row],[2024 Factor]]</f>
        <v>1.1648410586678206</v>
      </c>
      <c r="AK164">
        <f>VLOOKUP(Table1[[#This Row],[Q18: Gender]],Factor!$A$33:$E$35,5,0)</f>
        <v>0.85034013605442171</v>
      </c>
      <c r="AL164">
        <f>VLOOKUP(Table1[[#This Row],[Taluka]],Factor!$A$42:$G$46,7,0)</f>
        <v>1.147984664167413</v>
      </c>
      <c r="AM164">
        <f>VLOOKUP(Table1[[#This Row],[Caste]]&amp;Table1[[#This Row],[Q18: Gender]],Factor!$W$1:$X$23,2,0)</f>
        <v>1.0790228998469584</v>
      </c>
      <c r="AN164">
        <f>VLOOKUP(Table1[[#This Row],[Taluka]]&amp;Table1[[#This Row],[Caste]]&amp;Table1[[#This Row],[Q18: Gender]],Factor!$AK$4:$AL$93,2,0)</f>
        <v>1.1572915102003449</v>
      </c>
      <c r="AO164">
        <f t="shared" si="22"/>
        <v>-1</v>
      </c>
      <c r="AP164">
        <f t="shared" si="23"/>
        <v>-1</v>
      </c>
      <c r="AQ164">
        <f t="shared" si="24"/>
        <v>-1</v>
      </c>
      <c r="AR164">
        <f t="shared" si="25"/>
        <v>-1</v>
      </c>
      <c r="AS164">
        <f t="shared" si="26"/>
        <v>-1</v>
      </c>
      <c r="AT164">
        <f t="shared" si="27"/>
        <v>-1</v>
      </c>
      <c r="AU164">
        <f t="shared" si="28"/>
        <v>-5.5</v>
      </c>
      <c r="AV164">
        <f>SUM(Table1[[#This Row],[Satis]:[29]])</f>
        <v>-6</v>
      </c>
      <c r="AW164">
        <f t="shared" si="29"/>
        <v>-5</v>
      </c>
      <c r="AX164">
        <f t="shared" si="30"/>
        <v>-4</v>
      </c>
      <c r="AY164">
        <f t="shared" si="31"/>
        <v>-3</v>
      </c>
      <c r="AZ164" t="str">
        <f t="shared" si="32"/>
        <v>TDP HardCore</v>
      </c>
    </row>
    <row r="165" spans="1:52" x14ac:dyDescent="0.3">
      <c r="A165" t="s">
        <v>1046</v>
      </c>
      <c r="B165" s="94">
        <v>46043</v>
      </c>
      <c r="C165" t="s">
        <v>1047</v>
      </c>
      <c r="D165" t="s">
        <v>1048</v>
      </c>
      <c r="E165" t="s">
        <v>1049</v>
      </c>
      <c r="F165" t="s">
        <v>240</v>
      </c>
      <c r="G165" t="s">
        <v>39</v>
      </c>
      <c r="H165" t="s">
        <v>1050</v>
      </c>
      <c r="I165" t="s">
        <v>70</v>
      </c>
      <c r="J165" t="s">
        <v>37</v>
      </c>
      <c r="K165" t="s">
        <v>212</v>
      </c>
      <c r="L165" t="s">
        <v>170</v>
      </c>
      <c r="M165" t="s">
        <v>51</v>
      </c>
      <c r="N165" t="s">
        <v>162</v>
      </c>
      <c r="O165" t="s">
        <v>1051</v>
      </c>
      <c r="P165">
        <v>703209136</v>
      </c>
      <c r="Q165" t="s">
        <v>445</v>
      </c>
      <c r="R165" t="s">
        <v>139</v>
      </c>
      <c r="S165" t="s">
        <v>43</v>
      </c>
      <c r="T165" t="s">
        <v>43</v>
      </c>
      <c r="U165" t="s">
        <v>44</v>
      </c>
      <c r="V165" t="s">
        <v>45</v>
      </c>
      <c r="W165" t="s">
        <v>5090</v>
      </c>
      <c r="X165" t="s">
        <v>45</v>
      </c>
      <c r="Y165" t="s">
        <v>46</v>
      </c>
      <c r="Z165" t="s">
        <v>47</v>
      </c>
      <c r="AA165" t="s">
        <v>48</v>
      </c>
      <c r="AB165" t="s">
        <v>49</v>
      </c>
      <c r="AC165" t="s">
        <v>49</v>
      </c>
      <c r="AD165" t="s">
        <v>481</v>
      </c>
      <c r="AE165" t="s">
        <v>189</v>
      </c>
      <c r="AF165" t="s">
        <v>1212</v>
      </c>
      <c r="AG165" t="s">
        <v>196</v>
      </c>
      <c r="AH165" s="93">
        <f>VLOOKUP(Table1[[#This Row],[Caste]],Factor!$H$1:$K$13,4,0)</f>
        <v>1.3836274505214585</v>
      </c>
      <c r="AI16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65">
        <f>Table1[[#This Row],[Factor_1]]*Table1[[#This Row],[2024 Factor]]</f>
        <v>2.0811826914865059</v>
      </c>
      <c r="AK165">
        <f>VLOOKUP(Table1[[#This Row],[Q18: Gender]],Factor!$A$33:$E$35,5,0)</f>
        <v>2.1645021645021645</v>
      </c>
      <c r="AL165">
        <f>VLOOKUP(Table1[[#This Row],[Taluka]],Factor!$A$42:$G$46,7,0)</f>
        <v>0.75433779645928134</v>
      </c>
      <c r="AM165">
        <f>VLOOKUP(Table1[[#This Row],[Caste]]&amp;Table1[[#This Row],[Q18: Gender]],Factor!$W$1:$X$23,2,0)</f>
        <v>1.9278542477265657</v>
      </c>
      <c r="AN165">
        <f>VLOOKUP(Table1[[#This Row],[Taluka]]&amp;Table1[[#This Row],[Caste]]&amp;Table1[[#This Row],[Q18: Gender]],Factor!$AK$4:$AL$93,2,0)</f>
        <v>0.95595770048639872</v>
      </c>
      <c r="AO165">
        <f t="shared" si="22"/>
        <v>-1</v>
      </c>
      <c r="AP165">
        <f t="shared" si="23"/>
        <v>-1</v>
      </c>
      <c r="AQ165">
        <f t="shared" si="24"/>
        <v>-1</v>
      </c>
      <c r="AR165">
        <f t="shared" si="25"/>
        <v>-1</v>
      </c>
      <c r="AS165">
        <f t="shared" si="26"/>
        <v>-1</v>
      </c>
      <c r="AT165">
        <f t="shared" si="27"/>
        <v>-1</v>
      </c>
      <c r="AU165">
        <f t="shared" si="28"/>
        <v>-5.5</v>
      </c>
      <c r="AV165">
        <f>SUM(Table1[[#This Row],[Satis]:[29]])</f>
        <v>-6</v>
      </c>
      <c r="AW165">
        <f t="shared" si="29"/>
        <v>-5</v>
      </c>
      <c r="AX165">
        <f t="shared" si="30"/>
        <v>-4</v>
      </c>
      <c r="AY165">
        <f t="shared" si="31"/>
        <v>-3</v>
      </c>
      <c r="AZ165" t="str">
        <f t="shared" si="32"/>
        <v>TDP HardCore</v>
      </c>
    </row>
    <row r="166" spans="1:52" x14ac:dyDescent="0.3">
      <c r="A166" t="s">
        <v>1052</v>
      </c>
      <c r="B166" s="94">
        <v>46043</v>
      </c>
      <c r="C166" t="s">
        <v>1053</v>
      </c>
      <c r="D166" t="s">
        <v>1054</v>
      </c>
      <c r="E166" t="s">
        <v>1055</v>
      </c>
      <c r="F166" t="s">
        <v>935</v>
      </c>
      <c r="G166" t="s">
        <v>39</v>
      </c>
      <c r="H166" t="s">
        <v>1056</v>
      </c>
      <c r="I166" t="s">
        <v>145</v>
      </c>
      <c r="J166" t="s">
        <v>219</v>
      </c>
      <c r="K166" t="s">
        <v>225</v>
      </c>
      <c r="L166" t="s">
        <v>451</v>
      </c>
      <c r="M166" t="s">
        <v>51</v>
      </c>
      <c r="N166" t="s">
        <v>63</v>
      </c>
      <c r="O166" t="s">
        <v>1057</v>
      </c>
      <c r="P166">
        <v>8096153142</v>
      </c>
      <c r="Q166" t="s">
        <v>445</v>
      </c>
      <c r="R166" t="s">
        <v>139</v>
      </c>
      <c r="S166" t="s">
        <v>43</v>
      </c>
      <c r="T166" t="s">
        <v>43</v>
      </c>
      <c r="U166" t="s">
        <v>90</v>
      </c>
      <c r="V166" t="s">
        <v>91</v>
      </c>
      <c r="W166" t="s">
        <v>5052</v>
      </c>
      <c r="X166" t="s">
        <v>45</v>
      </c>
      <c r="Y166" t="s">
        <v>46</v>
      </c>
      <c r="Z166" t="s">
        <v>92</v>
      </c>
      <c r="AA166" t="s">
        <v>48</v>
      </c>
      <c r="AB166" t="s">
        <v>49</v>
      </c>
      <c r="AC166" t="s">
        <v>49</v>
      </c>
      <c r="AD166" t="s">
        <v>481</v>
      </c>
      <c r="AE166" t="s">
        <v>1250</v>
      </c>
      <c r="AF166" t="s">
        <v>1251</v>
      </c>
      <c r="AG166" t="s">
        <v>498</v>
      </c>
      <c r="AH166" s="93">
        <f>VLOOKUP(Table1[[#This Row],[Caste]],Factor!$H$1:$K$13,4,0)</f>
        <v>1.8452248965186235</v>
      </c>
      <c r="AI16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66">
        <f>Table1[[#This Row],[Factor_1]]*Table1[[#This Row],[2024 Factor]]</f>
        <v>2.738974648348997</v>
      </c>
      <c r="AK166">
        <f>VLOOKUP(Table1[[#This Row],[Q18: Gender]],Factor!$A$33:$E$35,5,0)</f>
        <v>2.1645021645021645</v>
      </c>
      <c r="AL166">
        <f>VLOOKUP(Table1[[#This Row],[Taluka]],Factor!$A$42:$G$46,7,0)</f>
        <v>1.147984664167413</v>
      </c>
      <c r="AM166">
        <f>VLOOKUP(Table1[[#This Row],[Caste]]&amp;Table1[[#This Row],[Q18: Gender]],Factor!$W$1:$X$23,2,0)</f>
        <v>2.5371842327131073</v>
      </c>
      <c r="AN166">
        <f>VLOOKUP(Table1[[#This Row],[Taluka]]&amp;Table1[[#This Row],[Caste]]&amp;Table1[[#This Row],[Q18: Gender]],Factor!$AK$4:$AL$93,2,0)</f>
        <v>2.9242991836792998</v>
      </c>
      <c r="AO166">
        <f t="shared" si="22"/>
        <v>-1</v>
      </c>
      <c r="AP166">
        <f t="shared" si="23"/>
        <v>1</v>
      </c>
      <c r="AQ166">
        <f t="shared" si="24"/>
        <v>1</v>
      </c>
      <c r="AR166">
        <f t="shared" si="25"/>
        <v>-1</v>
      </c>
      <c r="AS166">
        <f t="shared" si="26"/>
        <v>-1</v>
      </c>
      <c r="AT166">
        <f t="shared" si="27"/>
        <v>1</v>
      </c>
      <c r="AU166">
        <f t="shared" si="28"/>
        <v>0.5</v>
      </c>
      <c r="AV166">
        <f>SUM(Table1[[#This Row],[Satis]:[29]])</f>
        <v>0</v>
      </c>
      <c r="AW166">
        <f t="shared" si="29"/>
        <v>-1</v>
      </c>
      <c r="AX166">
        <f t="shared" si="30"/>
        <v>0</v>
      </c>
      <c r="AY166" t="str">
        <f t="shared" si="31"/>
        <v>ND</v>
      </c>
      <c r="AZ166" t="str">
        <f t="shared" si="32"/>
        <v>ND</v>
      </c>
    </row>
    <row r="167" spans="1:52" x14ac:dyDescent="0.3">
      <c r="A167" t="s">
        <v>1058</v>
      </c>
      <c r="B167" s="94">
        <v>46043</v>
      </c>
      <c r="C167" t="s">
        <v>1059</v>
      </c>
      <c r="D167" t="s">
        <v>1060</v>
      </c>
      <c r="E167" t="s">
        <v>999</v>
      </c>
      <c r="F167" t="s">
        <v>240</v>
      </c>
      <c r="G167" t="s">
        <v>39</v>
      </c>
      <c r="H167" t="s">
        <v>1061</v>
      </c>
      <c r="I167" t="s">
        <v>70</v>
      </c>
      <c r="J167" t="s">
        <v>37</v>
      </c>
      <c r="K167" t="s">
        <v>212</v>
      </c>
      <c r="L167" t="s">
        <v>925</v>
      </c>
      <c r="M167" t="s">
        <v>51</v>
      </c>
      <c r="N167" t="s">
        <v>107</v>
      </c>
      <c r="O167" t="s">
        <v>1062</v>
      </c>
      <c r="P167">
        <v>8008045302</v>
      </c>
      <c r="Q167" t="s">
        <v>54</v>
      </c>
      <c r="R167" t="s">
        <v>61</v>
      </c>
      <c r="S167" t="s">
        <v>89</v>
      </c>
      <c r="T167" t="s">
        <v>89</v>
      </c>
      <c r="U167" t="s">
        <v>90</v>
      </c>
      <c r="V167" t="s">
        <v>91</v>
      </c>
      <c r="W167" t="s">
        <v>5069</v>
      </c>
      <c r="X167" t="s">
        <v>91</v>
      </c>
      <c r="Y167" t="s">
        <v>46</v>
      </c>
      <c r="Z167" t="s">
        <v>92</v>
      </c>
      <c r="AA167" t="s">
        <v>92</v>
      </c>
      <c r="AB167" t="s">
        <v>351</v>
      </c>
      <c r="AC167" t="s">
        <v>148</v>
      </c>
      <c r="AD167" t="s">
        <v>481</v>
      </c>
      <c r="AE167" t="s">
        <v>185</v>
      </c>
      <c r="AF167">
        <v>0</v>
      </c>
      <c r="AG167" t="s">
        <v>196</v>
      </c>
      <c r="AH167" s="93">
        <f>VLOOKUP(Table1[[#This Row],[Caste]],Factor!$H$1:$K$13,4,0)</f>
        <v>1.3836274505214585</v>
      </c>
      <c r="AI167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167">
        <f>Table1[[#This Row],[Factor_1]]*Table1[[#This Row],[2024 Factor]]</f>
        <v>1.9482662206881376</v>
      </c>
      <c r="AK167">
        <f>VLOOKUP(Table1[[#This Row],[Q18: Gender]],Factor!$A$33:$E$35,5,0)</f>
        <v>0.85034013605442171</v>
      </c>
      <c r="AL167">
        <f>VLOOKUP(Table1[[#This Row],[Taluka]],Factor!$A$42:$G$46,7,0)</f>
        <v>0.75433779645928134</v>
      </c>
      <c r="AM167">
        <f>VLOOKUP(Table1[[#This Row],[Caste]]&amp;Table1[[#This Row],[Q18: Gender]],Factor!$W$1:$X$23,2,0)</f>
        <v>1.0790228998469584</v>
      </c>
      <c r="AN167">
        <f>VLOOKUP(Table1[[#This Row],[Taluka]]&amp;Table1[[#This Row],[Caste]]&amp;Table1[[#This Row],[Q18: Gender]],Factor!$AK$4:$AL$93,2,0)</f>
        <v>0.52423486800867025</v>
      </c>
      <c r="AO167">
        <f t="shared" si="22"/>
        <v>1</v>
      </c>
      <c r="AP167">
        <f t="shared" si="23"/>
        <v>1</v>
      </c>
      <c r="AQ167">
        <f t="shared" si="24"/>
        <v>1</v>
      </c>
      <c r="AR167">
        <f t="shared" si="25"/>
        <v>1</v>
      </c>
      <c r="AS167">
        <f t="shared" si="26"/>
        <v>1</v>
      </c>
      <c r="AT167">
        <f t="shared" si="27"/>
        <v>1</v>
      </c>
      <c r="AU167">
        <f t="shared" si="28"/>
        <v>5.5</v>
      </c>
      <c r="AV167">
        <f>SUM(Table1[[#This Row],[Satis]:[29]])</f>
        <v>6</v>
      </c>
      <c r="AW167">
        <f t="shared" si="29"/>
        <v>5</v>
      </c>
      <c r="AX167">
        <f t="shared" si="30"/>
        <v>4</v>
      </c>
      <c r="AY167">
        <f t="shared" si="31"/>
        <v>3</v>
      </c>
      <c r="AZ167" t="str">
        <f t="shared" si="32"/>
        <v>YSRCP HardCore</v>
      </c>
    </row>
    <row r="168" spans="1:52" x14ac:dyDescent="0.3">
      <c r="A168" t="s">
        <v>1063</v>
      </c>
      <c r="B168" s="94">
        <v>46043</v>
      </c>
      <c r="C168" t="s">
        <v>1064</v>
      </c>
      <c r="D168" t="s">
        <v>1060</v>
      </c>
      <c r="E168" t="s">
        <v>999</v>
      </c>
      <c r="F168" t="s">
        <v>240</v>
      </c>
      <c r="G168" t="s">
        <v>39</v>
      </c>
      <c r="H168" t="s">
        <v>1065</v>
      </c>
      <c r="I168" t="s">
        <v>70</v>
      </c>
      <c r="J168" t="s">
        <v>37</v>
      </c>
      <c r="K168" t="s">
        <v>212</v>
      </c>
      <c r="L168" t="s">
        <v>925</v>
      </c>
      <c r="M168" t="s">
        <v>51</v>
      </c>
      <c r="N168" t="s">
        <v>107</v>
      </c>
      <c r="O168" t="s">
        <v>1062</v>
      </c>
      <c r="P168">
        <v>8008045302</v>
      </c>
      <c r="Q168" t="s">
        <v>54</v>
      </c>
      <c r="R168" t="s">
        <v>61</v>
      </c>
      <c r="S168" t="s">
        <v>89</v>
      </c>
      <c r="T168" t="s">
        <v>89</v>
      </c>
      <c r="U168" t="s">
        <v>90</v>
      </c>
      <c r="V168" t="s">
        <v>91</v>
      </c>
      <c r="W168" t="s">
        <v>5069</v>
      </c>
      <c r="X168" t="s">
        <v>91</v>
      </c>
      <c r="Y168" t="s">
        <v>46</v>
      </c>
      <c r="Z168" t="s">
        <v>92</v>
      </c>
      <c r="AA168" t="s">
        <v>92</v>
      </c>
      <c r="AB168" t="s">
        <v>351</v>
      </c>
      <c r="AC168" t="s">
        <v>148</v>
      </c>
      <c r="AD168">
        <v>0</v>
      </c>
      <c r="AE168" t="s">
        <v>185</v>
      </c>
      <c r="AF168">
        <v>0</v>
      </c>
      <c r="AG168" t="s">
        <v>196</v>
      </c>
      <c r="AH168" s="93">
        <f>VLOOKUP(Table1[[#This Row],[Caste]],Factor!$H$1:$K$13,4,0)</f>
        <v>1.3836274505214585</v>
      </c>
      <c r="AI168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168">
        <f>Table1[[#This Row],[Factor_1]]*Table1[[#This Row],[2024 Factor]]</f>
        <v>1.9482662206881376</v>
      </c>
      <c r="AK168">
        <f>VLOOKUP(Table1[[#This Row],[Q18: Gender]],Factor!$A$33:$E$35,5,0)</f>
        <v>0.85034013605442171</v>
      </c>
      <c r="AL168">
        <f>VLOOKUP(Table1[[#This Row],[Taluka]],Factor!$A$42:$G$46,7,0)</f>
        <v>0.75433779645928134</v>
      </c>
      <c r="AM168">
        <f>VLOOKUP(Table1[[#This Row],[Caste]]&amp;Table1[[#This Row],[Q18: Gender]],Factor!$W$1:$X$23,2,0)</f>
        <v>1.0790228998469584</v>
      </c>
      <c r="AN168">
        <f>VLOOKUP(Table1[[#This Row],[Taluka]]&amp;Table1[[#This Row],[Caste]]&amp;Table1[[#This Row],[Q18: Gender]],Factor!$AK$4:$AL$93,2,0)</f>
        <v>0.52423486800867025</v>
      </c>
      <c r="AO168">
        <f t="shared" si="22"/>
        <v>1</v>
      </c>
      <c r="AP168">
        <f t="shared" si="23"/>
        <v>1</v>
      </c>
      <c r="AQ168">
        <f t="shared" si="24"/>
        <v>1</v>
      </c>
      <c r="AR168">
        <f t="shared" si="25"/>
        <v>1</v>
      </c>
      <c r="AS168">
        <f t="shared" si="26"/>
        <v>1</v>
      </c>
      <c r="AT168">
        <f t="shared" si="27"/>
        <v>1</v>
      </c>
      <c r="AU168">
        <f t="shared" si="28"/>
        <v>5.5</v>
      </c>
      <c r="AV168">
        <f>SUM(Table1[[#This Row],[Satis]:[29]])</f>
        <v>6</v>
      </c>
      <c r="AW168">
        <f t="shared" si="29"/>
        <v>5</v>
      </c>
      <c r="AX168">
        <f t="shared" si="30"/>
        <v>4</v>
      </c>
      <c r="AY168">
        <f t="shared" si="31"/>
        <v>3</v>
      </c>
      <c r="AZ168" t="str">
        <f t="shared" si="32"/>
        <v>YSRCP HardCore</v>
      </c>
    </row>
    <row r="169" spans="1:52" x14ac:dyDescent="0.3">
      <c r="A169" t="s">
        <v>1066</v>
      </c>
      <c r="B169" s="94">
        <v>46043</v>
      </c>
      <c r="C169" t="s">
        <v>1067</v>
      </c>
      <c r="D169" t="s">
        <v>1068</v>
      </c>
      <c r="E169" t="s">
        <v>1049</v>
      </c>
      <c r="F169" t="s">
        <v>240</v>
      </c>
      <c r="G169" t="s">
        <v>39</v>
      </c>
      <c r="H169" t="s">
        <v>1069</v>
      </c>
      <c r="I169" t="s">
        <v>70</v>
      </c>
      <c r="J169" t="s">
        <v>37</v>
      </c>
      <c r="K169" t="s">
        <v>212</v>
      </c>
      <c r="L169" t="s">
        <v>925</v>
      </c>
      <c r="M169" t="s">
        <v>51</v>
      </c>
      <c r="N169" t="s">
        <v>107</v>
      </c>
      <c r="O169" t="s">
        <v>1070</v>
      </c>
      <c r="P169">
        <v>7815833266</v>
      </c>
      <c r="Q169" t="s">
        <v>54</v>
      </c>
      <c r="R169" t="s">
        <v>61</v>
      </c>
      <c r="S169" t="s">
        <v>88</v>
      </c>
      <c r="T169" t="s">
        <v>89</v>
      </c>
      <c r="U169" t="s">
        <v>90</v>
      </c>
      <c r="V169" t="s">
        <v>91</v>
      </c>
      <c r="W169" t="s">
        <v>5069</v>
      </c>
      <c r="X169" t="s">
        <v>45</v>
      </c>
      <c r="Y169" t="s">
        <v>46</v>
      </c>
      <c r="Z169" t="s">
        <v>92</v>
      </c>
      <c r="AA169" t="s">
        <v>48</v>
      </c>
      <c r="AB169" t="s">
        <v>49</v>
      </c>
      <c r="AC169" t="s">
        <v>49</v>
      </c>
      <c r="AD169" t="s">
        <v>481</v>
      </c>
      <c r="AE169" t="s">
        <v>185</v>
      </c>
      <c r="AF169">
        <v>0</v>
      </c>
      <c r="AG169" t="s">
        <v>196</v>
      </c>
      <c r="AH169" s="93">
        <f>VLOOKUP(Table1[[#This Row],[Caste]],Factor!$H$1:$K$13,4,0)</f>
        <v>1.3836274505214585</v>
      </c>
      <c r="AI16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69">
        <f>Table1[[#This Row],[Factor_1]]*Table1[[#This Row],[2024 Factor]]</f>
        <v>1.1648410586678206</v>
      </c>
      <c r="AK169">
        <f>VLOOKUP(Table1[[#This Row],[Q18: Gender]],Factor!$A$33:$E$35,5,0)</f>
        <v>0.85034013605442171</v>
      </c>
      <c r="AL169">
        <f>VLOOKUP(Table1[[#This Row],[Taluka]],Factor!$A$42:$G$46,7,0)</f>
        <v>0.75433779645928134</v>
      </c>
      <c r="AM169">
        <f>VLOOKUP(Table1[[#This Row],[Caste]]&amp;Table1[[#This Row],[Q18: Gender]],Factor!$W$1:$X$23,2,0)</f>
        <v>1.0790228998469584</v>
      </c>
      <c r="AN169">
        <f>VLOOKUP(Table1[[#This Row],[Taluka]]&amp;Table1[[#This Row],[Caste]]&amp;Table1[[#This Row],[Q18: Gender]],Factor!$AK$4:$AL$93,2,0)</f>
        <v>0.52423486800867025</v>
      </c>
      <c r="AO169">
        <f t="shared" si="22"/>
        <v>1</v>
      </c>
      <c r="AP169">
        <f t="shared" si="23"/>
        <v>1</v>
      </c>
      <c r="AQ169">
        <f t="shared" si="24"/>
        <v>1</v>
      </c>
      <c r="AR169">
        <f t="shared" si="25"/>
        <v>-1</v>
      </c>
      <c r="AS169">
        <f t="shared" si="26"/>
        <v>-1</v>
      </c>
      <c r="AT169">
        <f t="shared" si="27"/>
        <v>1</v>
      </c>
      <c r="AU169">
        <f t="shared" si="28"/>
        <v>2.5</v>
      </c>
      <c r="AV169">
        <f>SUM(Table1[[#This Row],[Satis]:[29]])</f>
        <v>2</v>
      </c>
      <c r="AW169">
        <f t="shared" si="29"/>
        <v>1</v>
      </c>
      <c r="AX169">
        <f t="shared" si="30"/>
        <v>0</v>
      </c>
      <c r="AY169">
        <f t="shared" si="31"/>
        <v>2</v>
      </c>
      <c r="AZ169" t="str">
        <f t="shared" si="32"/>
        <v>Neutral YSRCP</v>
      </c>
    </row>
    <row r="170" spans="1:52" x14ac:dyDescent="0.3">
      <c r="A170" t="s">
        <v>1071</v>
      </c>
      <c r="B170" s="94">
        <v>46043</v>
      </c>
      <c r="C170" t="s">
        <v>1072</v>
      </c>
      <c r="D170" t="s">
        <v>1073</v>
      </c>
      <c r="E170" t="s">
        <v>1074</v>
      </c>
      <c r="F170" t="s">
        <v>935</v>
      </c>
      <c r="G170" t="s">
        <v>39</v>
      </c>
      <c r="H170" t="s">
        <v>1075</v>
      </c>
      <c r="I170" t="s">
        <v>70</v>
      </c>
      <c r="J170" t="s">
        <v>219</v>
      </c>
      <c r="K170" t="s">
        <v>225</v>
      </c>
      <c r="L170" t="s">
        <v>62</v>
      </c>
      <c r="M170" t="s">
        <v>443</v>
      </c>
      <c r="N170" t="s">
        <v>107</v>
      </c>
      <c r="O170" t="s">
        <v>1076</v>
      </c>
      <c r="P170">
        <v>9849653470</v>
      </c>
      <c r="Q170" t="s">
        <v>54</v>
      </c>
      <c r="R170" t="s">
        <v>139</v>
      </c>
      <c r="S170" t="s">
        <v>89</v>
      </c>
      <c r="T170" t="s">
        <v>89</v>
      </c>
      <c r="U170" t="s">
        <v>90</v>
      </c>
      <c r="V170" t="s">
        <v>91</v>
      </c>
      <c r="W170" t="s">
        <v>5064</v>
      </c>
      <c r="X170" t="s">
        <v>91</v>
      </c>
      <c r="Y170" t="s">
        <v>46</v>
      </c>
      <c r="Z170" t="s">
        <v>92</v>
      </c>
      <c r="AA170" t="s">
        <v>48</v>
      </c>
      <c r="AB170" t="s">
        <v>49</v>
      </c>
      <c r="AC170" t="s">
        <v>49</v>
      </c>
      <c r="AD170" t="s">
        <v>481</v>
      </c>
      <c r="AE170" t="s">
        <v>191</v>
      </c>
      <c r="AF170" t="s">
        <v>1252</v>
      </c>
      <c r="AG170" t="s">
        <v>498</v>
      </c>
      <c r="AH170" s="93">
        <f>VLOOKUP(Table1[[#This Row],[Caste]],Factor!$H$1:$K$13,4,0)</f>
        <v>1.3836274505214585</v>
      </c>
      <c r="AI17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70">
        <f>Table1[[#This Row],[Factor_1]]*Table1[[#This Row],[2024 Factor]]</f>
        <v>1.1648410586678206</v>
      </c>
      <c r="AK170">
        <f>VLOOKUP(Table1[[#This Row],[Q18: Gender]],Factor!$A$33:$E$35,5,0)</f>
        <v>0.85034013605442171</v>
      </c>
      <c r="AL170">
        <f>VLOOKUP(Table1[[#This Row],[Taluka]],Factor!$A$42:$G$46,7,0)</f>
        <v>1.147984664167413</v>
      </c>
      <c r="AM170">
        <f>VLOOKUP(Table1[[#This Row],[Caste]]&amp;Table1[[#This Row],[Q18: Gender]],Factor!$W$1:$X$23,2,0)</f>
        <v>1.0790228998469584</v>
      </c>
      <c r="AN170">
        <f>VLOOKUP(Table1[[#This Row],[Taluka]]&amp;Table1[[#This Row],[Caste]]&amp;Table1[[#This Row],[Q18: Gender]],Factor!$AK$4:$AL$93,2,0)</f>
        <v>1.1572915102003449</v>
      </c>
      <c r="AO170">
        <f t="shared" si="22"/>
        <v>1</v>
      </c>
      <c r="AP170">
        <f t="shared" si="23"/>
        <v>1</v>
      </c>
      <c r="AQ170">
        <f t="shared" si="24"/>
        <v>1</v>
      </c>
      <c r="AR170">
        <f t="shared" si="25"/>
        <v>1</v>
      </c>
      <c r="AS170">
        <f t="shared" si="26"/>
        <v>-1</v>
      </c>
      <c r="AT170">
        <f t="shared" si="27"/>
        <v>1</v>
      </c>
      <c r="AU170">
        <f t="shared" si="28"/>
        <v>4.5</v>
      </c>
      <c r="AV170">
        <f>SUM(Table1[[#This Row],[Satis]:[29]])</f>
        <v>4</v>
      </c>
      <c r="AW170">
        <f t="shared" si="29"/>
        <v>3</v>
      </c>
      <c r="AX170">
        <f t="shared" si="30"/>
        <v>2</v>
      </c>
      <c r="AY170">
        <f t="shared" si="31"/>
        <v>2</v>
      </c>
      <c r="AZ170" t="str">
        <f t="shared" si="32"/>
        <v>Neutral YSRCP</v>
      </c>
    </row>
    <row r="171" spans="1:52" x14ac:dyDescent="0.3">
      <c r="A171" t="s">
        <v>1077</v>
      </c>
      <c r="B171" s="94">
        <v>46043</v>
      </c>
      <c r="C171" t="s">
        <v>1078</v>
      </c>
      <c r="D171" t="s">
        <v>1073</v>
      </c>
      <c r="E171" t="s">
        <v>1074</v>
      </c>
      <c r="F171" t="s">
        <v>935</v>
      </c>
      <c r="G171" t="s">
        <v>39</v>
      </c>
      <c r="H171" t="s">
        <v>1079</v>
      </c>
      <c r="I171" t="s">
        <v>70</v>
      </c>
      <c r="J171" t="s">
        <v>219</v>
      </c>
      <c r="K171" t="s">
        <v>225</v>
      </c>
      <c r="L171" t="s">
        <v>62</v>
      </c>
      <c r="M171" t="s">
        <v>443</v>
      </c>
      <c r="N171" t="s">
        <v>107</v>
      </c>
      <c r="O171" t="s">
        <v>1076</v>
      </c>
      <c r="P171">
        <v>9849653470</v>
      </c>
      <c r="Q171" t="s">
        <v>54</v>
      </c>
      <c r="R171" t="s">
        <v>139</v>
      </c>
      <c r="S171" t="s">
        <v>89</v>
      </c>
      <c r="T171" t="s">
        <v>89</v>
      </c>
      <c r="U171" t="s">
        <v>90</v>
      </c>
      <c r="V171" t="s">
        <v>91</v>
      </c>
      <c r="W171" t="s">
        <v>5064</v>
      </c>
      <c r="X171" t="s">
        <v>91</v>
      </c>
      <c r="Y171" t="s">
        <v>46</v>
      </c>
      <c r="Z171" t="s">
        <v>92</v>
      </c>
      <c r="AA171" t="s">
        <v>48</v>
      </c>
      <c r="AB171" t="s">
        <v>49</v>
      </c>
      <c r="AC171" t="s">
        <v>49</v>
      </c>
      <c r="AD171">
        <v>0</v>
      </c>
      <c r="AE171" t="s">
        <v>185</v>
      </c>
      <c r="AF171">
        <v>0</v>
      </c>
      <c r="AG171" t="s">
        <v>196</v>
      </c>
      <c r="AH171" s="93">
        <f>VLOOKUP(Table1[[#This Row],[Caste]],Factor!$H$1:$K$13,4,0)</f>
        <v>1.3836274505214585</v>
      </c>
      <c r="AI17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71">
        <f>Table1[[#This Row],[Factor_1]]*Table1[[#This Row],[2024 Factor]]</f>
        <v>1.1648410586678206</v>
      </c>
      <c r="AK171">
        <f>VLOOKUP(Table1[[#This Row],[Q18: Gender]],Factor!$A$33:$E$35,5,0)</f>
        <v>0.85034013605442171</v>
      </c>
      <c r="AL171">
        <f>VLOOKUP(Table1[[#This Row],[Taluka]],Factor!$A$42:$G$46,7,0)</f>
        <v>1.147984664167413</v>
      </c>
      <c r="AM171">
        <f>VLOOKUP(Table1[[#This Row],[Caste]]&amp;Table1[[#This Row],[Q18: Gender]],Factor!$W$1:$X$23,2,0)</f>
        <v>1.0790228998469584</v>
      </c>
      <c r="AN171">
        <f>VLOOKUP(Table1[[#This Row],[Taluka]]&amp;Table1[[#This Row],[Caste]]&amp;Table1[[#This Row],[Q18: Gender]],Factor!$AK$4:$AL$93,2,0)</f>
        <v>1.1572915102003449</v>
      </c>
      <c r="AO171">
        <f t="shared" si="22"/>
        <v>1</v>
      </c>
      <c r="AP171">
        <f t="shared" si="23"/>
        <v>1</v>
      </c>
      <c r="AQ171">
        <f t="shared" si="24"/>
        <v>1</v>
      </c>
      <c r="AR171">
        <f t="shared" si="25"/>
        <v>1</v>
      </c>
      <c r="AS171">
        <f t="shared" si="26"/>
        <v>-1</v>
      </c>
      <c r="AT171">
        <f t="shared" si="27"/>
        <v>1</v>
      </c>
      <c r="AU171">
        <f t="shared" si="28"/>
        <v>4.5</v>
      </c>
      <c r="AV171">
        <f>SUM(Table1[[#This Row],[Satis]:[29]])</f>
        <v>4</v>
      </c>
      <c r="AW171">
        <f t="shared" si="29"/>
        <v>3</v>
      </c>
      <c r="AX171">
        <f t="shared" si="30"/>
        <v>2</v>
      </c>
      <c r="AY171">
        <f t="shared" si="31"/>
        <v>2</v>
      </c>
      <c r="AZ171" t="str">
        <f t="shared" si="32"/>
        <v>Neutral YSRCP</v>
      </c>
    </row>
    <row r="172" spans="1:52" x14ac:dyDescent="0.3">
      <c r="A172" t="s">
        <v>1080</v>
      </c>
      <c r="B172" s="94">
        <v>46043</v>
      </c>
      <c r="C172" t="s">
        <v>1081</v>
      </c>
      <c r="D172" t="s">
        <v>1073</v>
      </c>
      <c r="E172" t="s">
        <v>1074</v>
      </c>
      <c r="F172" t="s">
        <v>935</v>
      </c>
      <c r="G172" t="s">
        <v>39</v>
      </c>
      <c r="H172" t="s">
        <v>1082</v>
      </c>
      <c r="I172" t="s">
        <v>70</v>
      </c>
      <c r="J172" t="s">
        <v>219</v>
      </c>
      <c r="K172" t="s">
        <v>225</v>
      </c>
      <c r="L172" t="s">
        <v>62</v>
      </c>
      <c r="M172" t="s">
        <v>443</v>
      </c>
      <c r="N172" t="s">
        <v>107</v>
      </c>
      <c r="O172" t="s">
        <v>1076</v>
      </c>
      <c r="P172">
        <v>9849653470</v>
      </c>
      <c r="Q172" t="s">
        <v>54</v>
      </c>
      <c r="R172" t="s">
        <v>139</v>
      </c>
      <c r="S172" t="s">
        <v>89</v>
      </c>
      <c r="T172" t="s">
        <v>89</v>
      </c>
      <c r="U172" t="s">
        <v>90</v>
      </c>
      <c r="V172" t="s">
        <v>91</v>
      </c>
      <c r="W172" t="s">
        <v>5064</v>
      </c>
      <c r="X172" t="s">
        <v>91</v>
      </c>
      <c r="Y172" t="s">
        <v>46</v>
      </c>
      <c r="Z172" t="s">
        <v>92</v>
      </c>
      <c r="AA172" t="s">
        <v>48</v>
      </c>
      <c r="AB172" t="s">
        <v>49</v>
      </c>
      <c r="AC172" t="s">
        <v>49</v>
      </c>
      <c r="AD172">
        <v>0</v>
      </c>
      <c r="AE172" t="s">
        <v>185</v>
      </c>
      <c r="AF172">
        <v>0</v>
      </c>
      <c r="AG172" t="s">
        <v>196</v>
      </c>
      <c r="AH172" s="93">
        <f>VLOOKUP(Table1[[#This Row],[Caste]],Factor!$H$1:$K$13,4,0)</f>
        <v>1.3836274505214585</v>
      </c>
      <c r="AI17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72">
        <f>Table1[[#This Row],[Factor_1]]*Table1[[#This Row],[2024 Factor]]</f>
        <v>1.1648410586678206</v>
      </c>
      <c r="AK172">
        <f>VLOOKUP(Table1[[#This Row],[Q18: Gender]],Factor!$A$33:$E$35,5,0)</f>
        <v>0.85034013605442171</v>
      </c>
      <c r="AL172">
        <f>VLOOKUP(Table1[[#This Row],[Taluka]],Factor!$A$42:$G$46,7,0)</f>
        <v>1.147984664167413</v>
      </c>
      <c r="AM172">
        <f>VLOOKUP(Table1[[#This Row],[Caste]]&amp;Table1[[#This Row],[Q18: Gender]],Factor!$W$1:$X$23,2,0)</f>
        <v>1.0790228998469584</v>
      </c>
      <c r="AN172">
        <f>VLOOKUP(Table1[[#This Row],[Taluka]]&amp;Table1[[#This Row],[Caste]]&amp;Table1[[#This Row],[Q18: Gender]],Factor!$AK$4:$AL$93,2,0)</f>
        <v>1.1572915102003449</v>
      </c>
      <c r="AO172">
        <f t="shared" si="22"/>
        <v>1</v>
      </c>
      <c r="AP172">
        <f t="shared" si="23"/>
        <v>1</v>
      </c>
      <c r="AQ172">
        <f t="shared" si="24"/>
        <v>1</v>
      </c>
      <c r="AR172">
        <f t="shared" si="25"/>
        <v>1</v>
      </c>
      <c r="AS172">
        <f t="shared" si="26"/>
        <v>-1</v>
      </c>
      <c r="AT172">
        <f t="shared" si="27"/>
        <v>1</v>
      </c>
      <c r="AU172">
        <f t="shared" si="28"/>
        <v>4.5</v>
      </c>
      <c r="AV172">
        <f>SUM(Table1[[#This Row],[Satis]:[29]])</f>
        <v>4</v>
      </c>
      <c r="AW172">
        <f t="shared" si="29"/>
        <v>3</v>
      </c>
      <c r="AX172">
        <f t="shared" si="30"/>
        <v>2</v>
      </c>
      <c r="AY172">
        <f t="shared" si="31"/>
        <v>2</v>
      </c>
      <c r="AZ172" t="str">
        <f t="shared" si="32"/>
        <v>Neutral YSRCP</v>
      </c>
    </row>
    <row r="173" spans="1:52" x14ac:dyDescent="0.3">
      <c r="A173" t="s">
        <v>1083</v>
      </c>
      <c r="B173" s="94">
        <v>46043</v>
      </c>
      <c r="C173" t="s">
        <v>1084</v>
      </c>
      <c r="D173" t="s">
        <v>1085</v>
      </c>
      <c r="E173" t="s">
        <v>1055</v>
      </c>
      <c r="F173" t="s">
        <v>935</v>
      </c>
      <c r="G173" t="s">
        <v>39</v>
      </c>
      <c r="H173" t="s">
        <v>1086</v>
      </c>
      <c r="I173" t="s">
        <v>70</v>
      </c>
      <c r="J173" t="s">
        <v>219</v>
      </c>
      <c r="K173" t="s">
        <v>225</v>
      </c>
      <c r="L173" t="s">
        <v>62</v>
      </c>
      <c r="M173" t="s">
        <v>443</v>
      </c>
      <c r="N173" t="s">
        <v>52</v>
      </c>
      <c r="O173" t="s">
        <v>1087</v>
      </c>
      <c r="P173">
        <v>900000000</v>
      </c>
      <c r="Q173" t="s">
        <v>54</v>
      </c>
      <c r="R173" t="s">
        <v>139</v>
      </c>
      <c r="S173" t="s">
        <v>89</v>
      </c>
      <c r="T173" t="s">
        <v>89</v>
      </c>
      <c r="U173" t="s">
        <v>44</v>
      </c>
      <c r="V173" t="s">
        <v>91</v>
      </c>
      <c r="W173" t="s">
        <v>5064</v>
      </c>
      <c r="X173" t="s">
        <v>91</v>
      </c>
      <c r="Y173" t="s">
        <v>46</v>
      </c>
      <c r="Z173" t="s">
        <v>92</v>
      </c>
      <c r="AA173" t="s">
        <v>92</v>
      </c>
      <c r="AB173" t="s">
        <v>93</v>
      </c>
      <c r="AC173" t="s">
        <v>94</v>
      </c>
      <c r="AD173" t="s">
        <v>481</v>
      </c>
      <c r="AE173" t="s">
        <v>189</v>
      </c>
      <c r="AF173" t="s">
        <v>1253</v>
      </c>
      <c r="AG173" t="s">
        <v>196</v>
      </c>
      <c r="AH173" s="93">
        <f>VLOOKUP(Table1[[#This Row],[Caste]],Factor!$H$1:$K$13,4,0)</f>
        <v>1.3836274505214585</v>
      </c>
      <c r="AI173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173">
        <f>Table1[[#This Row],[Factor_1]]*Table1[[#This Row],[2024 Factor]]</f>
        <v>1.9482662206881376</v>
      </c>
      <c r="AK173">
        <f>VLOOKUP(Table1[[#This Row],[Q18: Gender]],Factor!$A$33:$E$35,5,0)</f>
        <v>0.85034013605442171</v>
      </c>
      <c r="AL173">
        <f>VLOOKUP(Table1[[#This Row],[Taluka]],Factor!$A$42:$G$46,7,0)</f>
        <v>1.147984664167413</v>
      </c>
      <c r="AM173">
        <f>VLOOKUP(Table1[[#This Row],[Caste]]&amp;Table1[[#This Row],[Q18: Gender]],Factor!$W$1:$X$23,2,0)</f>
        <v>1.0790228998469584</v>
      </c>
      <c r="AN173">
        <f>VLOOKUP(Table1[[#This Row],[Taluka]]&amp;Table1[[#This Row],[Caste]]&amp;Table1[[#This Row],[Q18: Gender]],Factor!$AK$4:$AL$93,2,0)</f>
        <v>1.1572915102003449</v>
      </c>
      <c r="AO173">
        <f t="shared" si="22"/>
        <v>1</v>
      </c>
      <c r="AP173">
        <f t="shared" si="23"/>
        <v>-1</v>
      </c>
      <c r="AQ173">
        <f t="shared" si="24"/>
        <v>1</v>
      </c>
      <c r="AR173">
        <f t="shared" si="25"/>
        <v>1</v>
      </c>
      <c r="AS173">
        <f t="shared" si="26"/>
        <v>1</v>
      </c>
      <c r="AT173">
        <f t="shared" si="27"/>
        <v>1</v>
      </c>
      <c r="AU173">
        <f t="shared" si="28"/>
        <v>3.5</v>
      </c>
      <c r="AV173">
        <f>SUM(Table1[[#This Row],[Satis]:[29]])</f>
        <v>4</v>
      </c>
      <c r="AW173">
        <f t="shared" si="29"/>
        <v>5</v>
      </c>
      <c r="AX173">
        <f t="shared" si="30"/>
        <v>4</v>
      </c>
      <c r="AY173">
        <f t="shared" si="31"/>
        <v>3</v>
      </c>
      <c r="AZ173" t="str">
        <f t="shared" si="32"/>
        <v>YSRCP Sympathiser</v>
      </c>
    </row>
    <row r="174" spans="1:52" x14ac:dyDescent="0.3">
      <c r="A174" t="s">
        <v>1088</v>
      </c>
      <c r="B174" s="94">
        <v>46043</v>
      </c>
      <c r="C174" t="s">
        <v>1089</v>
      </c>
      <c r="D174" t="s">
        <v>1085</v>
      </c>
      <c r="E174" t="s">
        <v>1055</v>
      </c>
      <c r="F174" t="s">
        <v>935</v>
      </c>
      <c r="G174" t="s">
        <v>39</v>
      </c>
      <c r="H174" t="s">
        <v>1090</v>
      </c>
      <c r="I174" t="s">
        <v>70</v>
      </c>
      <c r="J174" t="s">
        <v>219</v>
      </c>
      <c r="K174" t="s">
        <v>225</v>
      </c>
      <c r="L174" t="s">
        <v>62</v>
      </c>
      <c r="M174" t="s">
        <v>443</v>
      </c>
      <c r="N174" t="s">
        <v>52</v>
      </c>
      <c r="O174" t="s">
        <v>1087</v>
      </c>
      <c r="P174">
        <v>900000000</v>
      </c>
      <c r="Q174" t="s">
        <v>54</v>
      </c>
      <c r="R174" t="s">
        <v>139</v>
      </c>
      <c r="S174" t="s">
        <v>89</v>
      </c>
      <c r="T174" t="s">
        <v>89</v>
      </c>
      <c r="U174" t="s">
        <v>44</v>
      </c>
      <c r="V174" t="s">
        <v>91</v>
      </c>
      <c r="W174" t="s">
        <v>5064</v>
      </c>
      <c r="X174" t="s">
        <v>91</v>
      </c>
      <c r="Y174" t="s">
        <v>46</v>
      </c>
      <c r="Z174" t="s">
        <v>92</v>
      </c>
      <c r="AA174" t="s">
        <v>92</v>
      </c>
      <c r="AB174" t="s">
        <v>93</v>
      </c>
      <c r="AC174" t="s">
        <v>94</v>
      </c>
      <c r="AD174">
        <v>0</v>
      </c>
      <c r="AE174" t="s">
        <v>185</v>
      </c>
      <c r="AF174">
        <v>0</v>
      </c>
      <c r="AG174" t="s">
        <v>196</v>
      </c>
      <c r="AH174" s="93">
        <f>VLOOKUP(Table1[[#This Row],[Caste]],Factor!$H$1:$K$13,4,0)</f>
        <v>1.3836274505214585</v>
      </c>
      <c r="AI174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174">
        <f>Table1[[#This Row],[Factor_1]]*Table1[[#This Row],[2024 Factor]]</f>
        <v>1.9482662206881376</v>
      </c>
      <c r="AK174">
        <f>VLOOKUP(Table1[[#This Row],[Q18: Gender]],Factor!$A$33:$E$35,5,0)</f>
        <v>0.85034013605442171</v>
      </c>
      <c r="AL174">
        <f>VLOOKUP(Table1[[#This Row],[Taluka]],Factor!$A$42:$G$46,7,0)</f>
        <v>1.147984664167413</v>
      </c>
      <c r="AM174">
        <f>VLOOKUP(Table1[[#This Row],[Caste]]&amp;Table1[[#This Row],[Q18: Gender]],Factor!$W$1:$X$23,2,0)</f>
        <v>1.0790228998469584</v>
      </c>
      <c r="AN174">
        <f>VLOOKUP(Table1[[#This Row],[Taluka]]&amp;Table1[[#This Row],[Caste]]&amp;Table1[[#This Row],[Q18: Gender]],Factor!$AK$4:$AL$93,2,0)</f>
        <v>1.1572915102003449</v>
      </c>
      <c r="AO174">
        <f t="shared" si="22"/>
        <v>1</v>
      </c>
      <c r="AP174">
        <f t="shared" si="23"/>
        <v>-1</v>
      </c>
      <c r="AQ174">
        <f t="shared" si="24"/>
        <v>1</v>
      </c>
      <c r="AR174">
        <f t="shared" si="25"/>
        <v>1</v>
      </c>
      <c r="AS174">
        <f t="shared" si="26"/>
        <v>1</v>
      </c>
      <c r="AT174">
        <f t="shared" si="27"/>
        <v>1</v>
      </c>
      <c r="AU174">
        <f t="shared" si="28"/>
        <v>3.5</v>
      </c>
      <c r="AV174">
        <f>SUM(Table1[[#This Row],[Satis]:[29]])</f>
        <v>4</v>
      </c>
      <c r="AW174">
        <f t="shared" si="29"/>
        <v>5</v>
      </c>
      <c r="AX174">
        <f t="shared" si="30"/>
        <v>4</v>
      </c>
      <c r="AY174">
        <f t="shared" si="31"/>
        <v>3</v>
      </c>
      <c r="AZ174" t="str">
        <f t="shared" si="32"/>
        <v>YSRCP Sympathiser</v>
      </c>
    </row>
    <row r="175" spans="1:52" x14ac:dyDescent="0.3">
      <c r="A175" t="s">
        <v>1091</v>
      </c>
      <c r="B175" s="94">
        <v>46043</v>
      </c>
      <c r="C175" t="s">
        <v>1092</v>
      </c>
      <c r="D175" t="s">
        <v>1085</v>
      </c>
      <c r="E175" t="s">
        <v>1055</v>
      </c>
      <c r="F175" t="s">
        <v>935</v>
      </c>
      <c r="G175" t="s">
        <v>39</v>
      </c>
      <c r="H175" t="s">
        <v>1093</v>
      </c>
      <c r="I175" t="s">
        <v>70</v>
      </c>
      <c r="J175" t="s">
        <v>219</v>
      </c>
      <c r="K175" t="s">
        <v>225</v>
      </c>
      <c r="L175" t="s">
        <v>62</v>
      </c>
      <c r="M175" t="s">
        <v>443</v>
      </c>
      <c r="N175" t="s">
        <v>52</v>
      </c>
      <c r="O175" t="s">
        <v>1087</v>
      </c>
      <c r="P175">
        <v>900000000</v>
      </c>
      <c r="Q175" t="s">
        <v>54</v>
      </c>
      <c r="R175" t="s">
        <v>139</v>
      </c>
      <c r="S175" t="s">
        <v>89</v>
      </c>
      <c r="T175" t="s">
        <v>89</v>
      </c>
      <c r="U175" t="s">
        <v>44</v>
      </c>
      <c r="V175" t="s">
        <v>91</v>
      </c>
      <c r="W175" t="s">
        <v>5064</v>
      </c>
      <c r="X175" t="s">
        <v>91</v>
      </c>
      <c r="Y175" t="s">
        <v>46</v>
      </c>
      <c r="Z175" t="s">
        <v>92</v>
      </c>
      <c r="AA175" t="s">
        <v>92</v>
      </c>
      <c r="AB175" t="s">
        <v>93</v>
      </c>
      <c r="AC175" t="s">
        <v>94</v>
      </c>
      <c r="AD175">
        <v>0</v>
      </c>
      <c r="AE175" t="s">
        <v>185</v>
      </c>
      <c r="AF175">
        <v>0</v>
      </c>
      <c r="AG175" t="s">
        <v>196</v>
      </c>
      <c r="AH175" s="93">
        <f>VLOOKUP(Table1[[#This Row],[Caste]],Factor!$H$1:$K$13,4,0)</f>
        <v>1.3836274505214585</v>
      </c>
      <c r="AI175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175">
        <f>Table1[[#This Row],[Factor_1]]*Table1[[#This Row],[2024 Factor]]</f>
        <v>1.9482662206881376</v>
      </c>
      <c r="AK175">
        <f>VLOOKUP(Table1[[#This Row],[Q18: Gender]],Factor!$A$33:$E$35,5,0)</f>
        <v>0.85034013605442171</v>
      </c>
      <c r="AL175">
        <f>VLOOKUP(Table1[[#This Row],[Taluka]],Factor!$A$42:$G$46,7,0)</f>
        <v>1.147984664167413</v>
      </c>
      <c r="AM175">
        <f>VLOOKUP(Table1[[#This Row],[Caste]]&amp;Table1[[#This Row],[Q18: Gender]],Factor!$W$1:$X$23,2,0)</f>
        <v>1.0790228998469584</v>
      </c>
      <c r="AN175">
        <f>VLOOKUP(Table1[[#This Row],[Taluka]]&amp;Table1[[#This Row],[Caste]]&amp;Table1[[#This Row],[Q18: Gender]],Factor!$AK$4:$AL$93,2,0)</f>
        <v>1.1572915102003449</v>
      </c>
      <c r="AO175">
        <f t="shared" si="22"/>
        <v>1</v>
      </c>
      <c r="AP175">
        <f t="shared" si="23"/>
        <v>-1</v>
      </c>
      <c r="AQ175">
        <f t="shared" si="24"/>
        <v>1</v>
      </c>
      <c r="AR175">
        <f t="shared" si="25"/>
        <v>1</v>
      </c>
      <c r="AS175">
        <f t="shared" si="26"/>
        <v>1</v>
      </c>
      <c r="AT175">
        <f t="shared" si="27"/>
        <v>1</v>
      </c>
      <c r="AU175">
        <f t="shared" si="28"/>
        <v>3.5</v>
      </c>
      <c r="AV175">
        <f>SUM(Table1[[#This Row],[Satis]:[29]])</f>
        <v>4</v>
      </c>
      <c r="AW175">
        <f t="shared" si="29"/>
        <v>5</v>
      </c>
      <c r="AX175">
        <f t="shared" si="30"/>
        <v>4</v>
      </c>
      <c r="AY175">
        <f t="shared" si="31"/>
        <v>3</v>
      </c>
      <c r="AZ175" t="str">
        <f t="shared" si="32"/>
        <v>YSRCP Sympathiser</v>
      </c>
    </row>
    <row r="176" spans="1:52" x14ac:dyDescent="0.3">
      <c r="A176" t="s">
        <v>1094</v>
      </c>
      <c r="B176" s="94">
        <v>46043</v>
      </c>
      <c r="C176" t="s">
        <v>1095</v>
      </c>
      <c r="D176" t="s">
        <v>1096</v>
      </c>
      <c r="E176" t="s">
        <v>1037</v>
      </c>
      <c r="F176" t="s">
        <v>69</v>
      </c>
      <c r="G176" t="s">
        <v>39</v>
      </c>
      <c r="H176" t="s">
        <v>1097</v>
      </c>
      <c r="I176" t="s">
        <v>70</v>
      </c>
      <c r="J176" t="s">
        <v>219</v>
      </c>
      <c r="K176" t="s">
        <v>220</v>
      </c>
      <c r="L176" t="s">
        <v>62</v>
      </c>
      <c r="M176" t="s">
        <v>443</v>
      </c>
      <c r="N176" t="s">
        <v>52</v>
      </c>
      <c r="O176" t="s">
        <v>83</v>
      </c>
      <c r="P176">
        <v>9999999999</v>
      </c>
      <c r="Q176" t="s">
        <v>54</v>
      </c>
      <c r="R176" t="s">
        <v>61</v>
      </c>
      <c r="S176" t="s">
        <v>43</v>
      </c>
      <c r="T176" t="s">
        <v>43</v>
      </c>
      <c r="U176" t="s">
        <v>44</v>
      </c>
      <c r="V176" t="s">
        <v>45</v>
      </c>
      <c r="W176" t="s">
        <v>74</v>
      </c>
      <c r="X176" t="s">
        <v>45</v>
      </c>
      <c r="Y176" t="s">
        <v>46</v>
      </c>
      <c r="Z176" t="s">
        <v>47</v>
      </c>
      <c r="AA176" t="s">
        <v>48</v>
      </c>
      <c r="AB176" t="s">
        <v>49</v>
      </c>
      <c r="AC176" t="s">
        <v>49</v>
      </c>
      <c r="AD176" t="s">
        <v>481</v>
      </c>
      <c r="AE176" t="s">
        <v>1250</v>
      </c>
      <c r="AF176" t="s">
        <v>1254</v>
      </c>
      <c r="AG176" t="s">
        <v>498</v>
      </c>
      <c r="AH176" s="93">
        <f>VLOOKUP(Table1[[#This Row],[Caste]],Factor!$H$1:$K$13,4,0)</f>
        <v>1.3836274505214585</v>
      </c>
      <c r="AI17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76">
        <f>Table1[[#This Row],[Factor_1]]*Table1[[#This Row],[2024 Factor]]</f>
        <v>1.1648410586678206</v>
      </c>
      <c r="AK176">
        <f>VLOOKUP(Table1[[#This Row],[Q18: Gender]],Factor!$A$33:$E$35,5,0)</f>
        <v>0.85034013605442171</v>
      </c>
      <c r="AL176">
        <f>VLOOKUP(Table1[[#This Row],[Taluka]],Factor!$A$42:$G$46,7,0)</f>
        <v>1.147984664167413</v>
      </c>
      <c r="AM176">
        <f>VLOOKUP(Table1[[#This Row],[Caste]]&amp;Table1[[#This Row],[Q18: Gender]],Factor!$W$1:$X$23,2,0)</f>
        <v>1.0790228998469584</v>
      </c>
      <c r="AN176">
        <f>VLOOKUP(Table1[[#This Row],[Taluka]]&amp;Table1[[#This Row],[Caste]]&amp;Table1[[#This Row],[Q18: Gender]],Factor!$AK$4:$AL$93,2,0)</f>
        <v>1.1572915102003449</v>
      </c>
      <c r="AO176">
        <f t="shared" si="22"/>
        <v>-1</v>
      </c>
      <c r="AP176">
        <f t="shared" si="23"/>
        <v>-1</v>
      </c>
      <c r="AQ176">
        <f t="shared" si="24"/>
        <v>-1</v>
      </c>
      <c r="AR176">
        <f t="shared" si="25"/>
        <v>-1</v>
      </c>
      <c r="AS176">
        <f t="shared" si="26"/>
        <v>-1</v>
      </c>
      <c r="AT176">
        <f t="shared" si="27"/>
        <v>-1</v>
      </c>
      <c r="AU176">
        <f t="shared" si="28"/>
        <v>-5.5</v>
      </c>
      <c r="AV176">
        <f>SUM(Table1[[#This Row],[Satis]:[29]])</f>
        <v>-6</v>
      </c>
      <c r="AW176">
        <f t="shared" si="29"/>
        <v>-5</v>
      </c>
      <c r="AX176">
        <f t="shared" si="30"/>
        <v>-4</v>
      </c>
      <c r="AY176">
        <f t="shared" si="31"/>
        <v>-3</v>
      </c>
      <c r="AZ176" t="str">
        <f t="shared" si="32"/>
        <v>TDP HardCore</v>
      </c>
    </row>
    <row r="177" spans="1:52" x14ac:dyDescent="0.3">
      <c r="A177" t="s">
        <v>1098</v>
      </c>
      <c r="B177" s="94">
        <v>46043</v>
      </c>
      <c r="C177" t="s">
        <v>1099</v>
      </c>
      <c r="D177" t="s">
        <v>1100</v>
      </c>
      <c r="E177" t="s">
        <v>1101</v>
      </c>
      <c r="F177" t="s">
        <v>240</v>
      </c>
      <c r="G177" t="s">
        <v>39</v>
      </c>
      <c r="H177" t="s">
        <v>1102</v>
      </c>
      <c r="I177" t="s">
        <v>70</v>
      </c>
      <c r="J177" t="s">
        <v>37</v>
      </c>
      <c r="K177" t="s">
        <v>212</v>
      </c>
      <c r="L177" t="s">
        <v>451</v>
      </c>
      <c r="M177" t="s">
        <v>51</v>
      </c>
      <c r="N177" t="s">
        <v>162</v>
      </c>
      <c r="O177" t="s">
        <v>1103</v>
      </c>
      <c r="P177">
        <v>9010462740</v>
      </c>
      <c r="Q177" t="s">
        <v>445</v>
      </c>
      <c r="R177" t="s">
        <v>61</v>
      </c>
      <c r="S177" t="s">
        <v>43</v>
      </c>
      <c r="T177" t="s">
        <v>43</v>
      </c>
      <c r="U177" t="s">
        <v>90</v>
      </c>
      <c r="V177" t="s">
        <v>91</v>
      </c>
      <c r="W177" t="s">
        <v>5091</v>
      </c>
      <c r="X177" t="s">
        <v>91</v>
      </c>
      <c r="Y177" t="s">
        <v>46</v>
      </c>
      <c r="Z177" t="s">
        <v>92</v>
      </c>
      <c r="AA177" t="s">
        <v>92</v>
      </c>
      <c r="AB177" t="s">
        <v>351</v>
      </c>
      <c r="AC177" t="s">
        <v>470</v>
      </c>
      <c r="AD177" t="s">
        <v>481</v>
      </c>
      <c r="AE177" t="s">
        <v>185</v>
      </c>
      <c r="AF177">
        <v>0</v>
      </c>
      <c r="AG177" t="s">
        <v>196</v>
      </c>
      <c r="AH177" s="93">
        <f>VLOOKUP(Table1[[#This Row],[Caste]],Factor!$H$1:$K$13,4,0)</f>
        <v>1.3836274505214585</v>
      </c>
      <c r="AI177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177">
        <f>Table1[[#This Row],[Factor_1]]*Table1[[#This Row],[2024 Factor]]</f>
        <v>3.4809023142961388</v>
      </c>
      <c r="AK177">
        <f>VLOOKUP(Table1[[#This Row],[Q18: Gender]],Factor!$A$33:$E$35,5,0)</f>
        <v>2.1645021645021645</v>
      </c>
      <c r="AL177">
        <f>VLOOKUP(Table1[[#This Row],[Taluka]],Factor!$A$42:$G$46,7,0)</f>
        <v>0.75433779645928134</v>
      </c>
      <c r="AM177">
        <f>VLOOKUP(Table1[[#This Row],[Caste]]&amp;Table1[[#This Row],[Q18: Gender]],Factor!$W$1:$X$23,2,0)</f>
        <v>1.9278542477265657</v>
      </c>
      <c r="AN177">
        <f>VLOOKUP(Table1[[#This Row],[Taluka]]&amp;Table1[[#This Row],[Caste]]&amp;Table1[[#This Row],[Q18: Gender]],Factor!$AK$4:$AL$93,2,0)</f>
        <v>0.95595770048639872</v>
      </c>
      <c r="AO177">
        <f t="shared" si="22"/>
        <v>-1</v>
      </c>
      <c r="AP177">
        <f t="shared" si="23"/>
        <v>1</v>
      </c>
      <c r="AQ177">
        <f t="shared" si="24"/>
        <v>1</v>
      </c>
      <c r="AR177">
        <f t="shared" si="25"/>
        <v>1</v>
      </c>
      <c r="AS177">
        <f t="shared" si="26"/>
        <v>1</v>
      </c>
      <c r="AT177">
        <f t="shared" si="27"/>
        <v>1</v>
      </c>
      <c r="AU177">
        <f t="shared" si="28"/>
        <v>3.5</v>
      </c>
      <c r="AV177">
        <f>SUM(Table1[[#This Row],[Satis]:[29]])</f>
        <v>4</v>
      </c>
      <c r="AW177">
        <f t="shared" si="29"/>
        <v>3</v>
      </c>
      <c r="AX177">
        <f t="shared" si="30"/>
        <v>4</v>
      </c>
      <c r="AY177">
        <f t="shared" si="31"/>
        <v>2</v>
      </c>
      <c r="AZ177" t="str">
        <f t="shared" si="32"/>
        <v>YSRCP Sympathiser</v>
      </c>
    </row>
    <row r="178" spans="1:52" x14ac:dyDescent="0.3">
      <c r="A178" t="s">
        <v>1104</v>
      </c>
      <c r="B178" s="94">
        <v>46043</v>
      </c>
      <c r="C178" t="s">
        <v>1105</v>
      </c>
      <c r="D178" t="s">
        <v>1106</v>
      </c>
      <c r="E178" t="s">
        <v>1101</v>
      </c>
      <c r="F178" t="s">
        <v>240</v>
      </c>
      <c r="G178" t="s">
        <v>39</v>
      </c>
      <c r="H178" t="s">
        <v>1107</v>
      </c>
      <c r="I178" t="s">
        <v>70</v>
      </c>
      <c r="J178" t="s">
        <v>37</v>
      </c>
      <c r="K178" t="s">
        <v>212</v>
      </c>
      <c r="L178" t="s">
        <v>451</v>
      </c>
      <c r="M178" t="s">
        <v>51</v>
      </c>
      <c r="N178" t="s">
        <v>63</v>
      </c>
      <c r="O178" t="s">
        <v>1108</v>
      </c>
      <c r="P178">
        <v>7032377303</v>
      </c>
      <c r="Q178" t="s">
        <v>445</v>
      </c>
      <c r="R178" t="s">
        <v>61</v>
      </c>
      <c r="S178" t="s">
        <v>43</v>
      </c>
      <c r="T178" t="s">
        <v>89</v>
      </c>
      <c r="U178" t="s">
        <v>90</v>
      </c>
      <c r="V178" t="s">
        <v>91</v>
      </c>
      <c r="W178" t="s">
        <v>5069</v>
      </c>
      <c r="X178" t="s">
        <v>91</v>
      </c>
      <c r="Y178" t="s">
        <v>46</v>
      </c>
      <c r="Z178" t="s">
        <v>92</v>
      </c>
      <c r="AA178" t="s">
        <v>92</v>
      </c>
      <c r="AB178" t="s">
        <v>93</v>
      </c>
      <c r="AC178" t="s">
        <v>148</v>
      </c>
      <c r="AD178" t="s">
        <v>481</v>
      </c>
      <c r="AE178" t="s">
        <v>185</v>
      </c>
      <c r="AF178">
        <v>0</v>
      </c>
      <c r="AG178" t="s">
        <v>196</v>
      </c>
      <c r="AH178" s="93">
        <f>VLOOKUP(Table1[[#This Row],[Caste]],Factor!$H$1:$K$13,4,0)</f>
        <v>1.3836274505214585</v>
      </c>
      <c r="AI178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178">
        <f>Table1[[#This Row],[Factor_1]]*Table1[[#This Row],[2024 Factor]]</f>
        <v>3.4809023142961388</v>
      </c>
      <c r="AK178">
        <f>VLOOKUP(Table1[[#This Row],[Q18: Gender]],Factor!$A$33:$E$35,5,0)</f>
        <v>2.1645021645021645</v>
      </c>
      <c r="AL178">
        <f>VLOOKUP(Table1[[#This Row],[Taluka]],Factor!$A$42:$G$46,7,0)</f>
        <v>0.75433779645928134</v>
      </c>
      <c r="AM178">
        <f>VLOOKUP(Table1[[#This Row],[Caste]]&amp;Table1[[#This Row],[Q18: Gender]],Factor!$W$1:$X$23,2,0)</f>
        <v>1.9278542477265657</v>
      </c>
      <c r="AN178">
        <f>VLOOKUP(Table1[[#This Row],[Taluka]]&amp;Table1[[#This Row],[Caste]]&amp;Table1[[#This Row],[Q18: Gender]],Factor!$AK$4:$AL$93,2,0)</f>
        <v>0.95595770048639872</v>
      </c>
      <c r="AO178">
        <f t="shared" si="22"/>
        <v>1</v>
      </c>
      <c r="AP178">
        <f t="shared" si="23"/>
        <v>1</v>
      </c>
      <c r="AQ178">
        <f t="shared" si="24"/>
        <v>1</v>
      </c>
      <c r="AR178">
        <f t="shared" si="25"/>
        <v>1</v>
      </c>
      <c r="AS178">
        <f t="shared" si="26"/>
        <v>1</v>
      </c>
      <c r="AT178">
        <f t="shared" si="27"/>
        <v>1</v>
      </c>
      <c r="AU178">
        <f t="shared" si="28"/>
        <v>5.5</v>
      </c>
      <c r="AV178">
        <f>SUM(Table1[[#This Row],[Satis]:[29]])</f>
        <v>6</v>
      </c>
      <c r="AW178">
        <f t="shared" si="29"/>
        <v>5</v>
      </c>
      <c r="AX178">
        <f t="shared" si="30"/>
        <v>4</v>
      </c>
      <c r="AY178">
        <f t="shared" si="31"/>
        <v>3</v>
      </c>
      <c r="AZ178" t="str">
        <f t="shared" si="32"/>
        <v>YSRCP HardCore</v>
      </c>
    </row>
    <row r="179" spans="1:52" x14ac:dyDescent="0.3">
      <c r="A179" t="s">
        <v>1109</v>
      </c>
      <c r="B179" s="94">
        <v>46043</v>
      </c>
      <c r="C179" t="s">
        <v>1110</v>
      </c>
      <c r="D179" t="s">
        <v>1106</v>
      </c>
      <c r="E179" t="s">
        <v>1101</v>
      </c>
      <c r="F179" t="s">
        <v>240</v>
      </c>
      <c r="G179" t="s">
        <v>39</v>
      </c>
      <c r="H179" t="s">
        <v>1111</v>
      </c>
      <c r="I179" t="s">
        <v>70</v>
      </c>
      <c r="J179" t="s">
        <v>37</v>
      </c>
      <c r="K179" t="s">
        <v>212</v>
      </c>
      <c r="L179" t="s">
        <v>451</v>
      </c>
      <c r="M179" t="s">
        <v>51</v>
      </c>
      <c r="N179" t="s">
        <v>63</v>
      </c>
      <c r="O179" t="s">
        <v>1108</v>
      </c>
      <c r="P179">
        <v>7032377303</v>
      </c>
      <c r="Q179" t="s">
        <v>445</v>
      </c>
      <c r="R179" t="s">
        <v>61</v>
      </c>
      <c r="S179" t="s">
        <v>43</v>
      </c>
      <c r="T179" t="s">
        <v>89</v>
      </c>
      <c r="U179" t="s">
        <v>90</v>
      </c>
      <c r="V179" t="s">
        <v>91</v>
      </c>
      <c r="W179" t="s">
        <v>5069</v>
      </c>
      <c r="X179" t="s">
        <v>91</v>
      </c>
      <c r="Y179" t="s">
        <v>46</v>
      </c>
      <c r="Z179" t="s">
        <v>92</v>
      </c>
      <c r="AA179" t="s">
        <v>92</v>
      </c>
      <c r="AB179" t="s">
        <v>93</v>
      </c>
      <c r="AC179" t="s">
        <v>148</v>
      </c>
      <c r="AD179">
        <v>0</v>
      </c>
      <c r="AE179" t="s">
        <v>185</v>
      </c>
      <c r="AF179">
        <v>0</v>
      </c>
      <c r="AG179" t="s">
        <v>196</v>
      </c>
      <c r="AH179" s="93">
        <f>VLOOKUP(Table1[[#This Row],[Caste]],Factor!$H$1:$K$13,4,0)</f>
        <v>1.3836274505214585</v>
      </c>
      <c r="AI179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179">
        <f>Table1[[#This Row],[Factor_1]]*Table1[[#This Row],[2024 Factor]]</f>
        <v>3.4809023142961388</v>
      </c>
      <c r="AK179">
        <f>VLOOKUP(Table1[[#This Row],[Q18: Gender]],Factor!$A$33:$E$35,5,0)</f>
        <v>2.1645021645021645</v>
      </c>
      <c r="AL179">
        <f>VLOOKUP(Table1[[#This Row],[Taluka]],Factor!$A$42:$G$46,7,0)</f>
        <v>0.75433779645928134</v>
      </c>
      <c r="AM179">
        <f>VLOOKUP(Table1[[#This Row],[Caste]]&amp;Table1[[#This Row],[Q18: Gender]],Factor!$W$1:$X$23,2,0)</f>
        <v>1.9278542477265657</v>
      </c>
      <c r="AN179">
        <f>VLOOKUP(Table1[[#This Row],[Taluka]]&amp;Table1[[#This Row],[Caste]]&amp;Table1[[#This Row],[Q18: Gender]],Factor!$AK$4:$AL$93,2,0)</f>
        <v>0.95595770048639872</v>
      </c>
      <c r="AO179">
        <f t="shared" si="22"/>
        <v>1</v>
      </c>
      <c r="AP179">
        <f t="shared" si="23"/>
        <v>1</v>
      </c>
      <c r="AQ179">
        <f t="shared" si="24"/>
        <v>1</v>
      </c>
      <c r="AR179">
        <f t="shared" si="25"/>
        <v>1</v>
      </c>
      <c r="AS179">
        <f t="shared" si="26"/>
        <v>1</v>
      </c>
      <c r="AT179">
        <f t="shared" si="27"/>
        <v>1</v>
      </c>
      <c r="AU179">
        <f t="shared" si="28"/>
        <v>5.5</v>
      </c>
      <c r="AV179">
        <f>SUM(Table1[[#This Row],[Satis]:[29]])</f>
        <v>6</v>
      </c>
      <c r="AW179">
        <f t="shared" si="29"/>
        <v>5</v>
      </c>
      <c r="AX179">
        <f t="shared" si="30"/>
        <v>4</v>
      </c>
      <c r="AY179">
        <f t="shared" si="31"/>
        <v>3</v>
      </c>
      <c r="AZ179" t="str">
        <f t="shared" si="32"/>
        <v>YSRCP HardCore</v>
      </c>
    </row>
    <row r="180" spans="1:52" x14ac:dyDescent="0.3">
      <c r="A180" t="s">
        <v>1112</v>
      </c>
      <c r="B180" s="94">
        <v>46043</v>
      </c>
      <c r="C180" t="s">
        <v>1113</v>
      </c>
      <c r="D180" t="s">
        <v>1106</v>
      </c>
      <c r="E180" t="s">
        <v>1101</v>
      </c>
      <c r="F180" t="s">
        <v>240</v>
      </c>
      <c r="G180" t="s">
        <v>39</v>
      </c>
      <c r="H180" t="s">
        <v>1114</v>
      </c>
      <c r="I180" t="s">
        <v>70</v>
      </c>
      <c r="J180" t="s">
        <v>37</v>
      </c>
      <c r="K180" t="s">
        <v>212</v>
      </c>
      <c r="L180" t="s">
        <v>451</v>
      </c>
      <c r="M180" t="s">
        <v>51</v>
      </c>
      <c r="N180" t="s">
        <v>63</v>
      </c>
      <c r="O180" t="s">
        <v>1108</v>
      </c>
      <c r="P180">
        <v>7032377303</v>
      </c>
      <c r="Q180" t="s">
        <v>445</v>
      </c>
      <c r="R180" t="s">
        <v>61</v>
      </c>
      <c r="S180" t="s">
        <v>43</v>
      </c>
      <c r="T180" t="s">
        <v>89</v>
      </c>
      <c r="U180" t="s">
        <v>90</v>
      </c>
      <c r="V180" t="s">
        <v>91</v>
      </c>
      <c r="W180" t="s">
        <v>5069</v>
      </c>
      <c r="X180" t="s">
        <v>91</v>
      </c>
      <c r="Y180" t="s">
        <v>46</v>
      </c>
      <c r="Z180" t="s">
        <v>92</v>
      </c>
      <c r="AA180" t="s">
        <v>92</v>
      </c>
      <c r="AB180" t="s">
        <v>93</v>
      </c>
      <c r="AC180" t="s">
        <v>148</v>
      </c>
      <c r="AD180">
        <v>0</v>
      </c>
      <c r="AE180" t="s">
        <v>185</v>
      </c>
      <c r="AF180">
        <v>0</v>
      </c>
      <c r="AG180" t="s">
        <v>196</v>
      </c>
      <c r="AH180" s="93">
        <f>VLOOKUP(Table1[[#This Row],[Caste]],Factor!$H$1:$K$13,4,0)</f>
        <v>1.3836274505214585</v>
      </c>
      <c r="AI180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180">
        <f>Table1[[#This Row],[Factor_1]]*Table1[[#This Row],[2024 Factor]]</f>
        <v>3.4809023142961388</v>
      </c>
      <c r="AK180">
        <f>VLOOKUP(Table1[[#This Row],[Q18: Gender]],Factor!$A$33:$E$35,5,0)</f>
        <v>2.1645021645021645</v>
      </c>
      <c r="AL180">
        <f>VLOOKUP(Table1[[#This Row],[Taluka]],Factor!$A$42:$G$46,7,0)</f>
        <v>0.75433779645928134</v>
      </c>
      <c r="AM180">
        <f>VLOOKUP(Table1[[#This Row],[Caste]]&amp;Table1[[#This Row],[Q18: Gender]],Factor!$W$1:$X$23,2,0)</f>
        <v>1.9278542477265657</v>
      </c>
      <c r="AN180">
        <f>VLOOKUP(Table1[[#This Row],[Taluka]]&amp;Table1[[#This Row],[Caste]]&amp;Table1[[#This Row],[Q18: Gender]],Factor!$AK$4:$AL$93,2,0)</f>
        <v>0.95595770048639872</v>
      </c>
      <c r="AO180">
        <f t="shared" si="22"/>
        <v>1</v>
      </c>
      <c r="AP180">
        <f t="shared" si="23"/>
        <v>1</v>
      </c>
      <c r="AQ180">
        <f t="shared" si="24"/>
        <v>1</v>
      </c>
      <c r="AR180">
        <f t="shared" si="25"/>
        <v>1</v>
      </c>
      <c r="AS180">
        <f t="shared" si="26"/>
        <v>1</v>
      </c>
      <c r="AT180">
        <f t="shared" si="27"/>
        <v>1</v>
      </c>
      <c r="AU180">
        <f t="shared" si="28"/>
        <v>5.5</v>
      </c>
      <c r="AV180">
        <f>SUM(Table1[[#This Row],[Satis]:[29]])</f>
        <v>6</v>
      </c>
      <c r="AW180">
        <f t="shared" si="29"/>
        <v>5</v>
      </c>
      <c r="AX180">
        <f t="shared" si="30"/>
        <v>4</v>
      </c>
      <c r="AY180">
        <f t="shared" si="31"/>
        <v>3</v>
      </c>
      <c r="AZ180" t="str">
        <f t="shared" si="32"/>
        <v>YSRCP HardCore</v>
      </c>
    </row>
    <row r="181" spans="1:52" x14ac:dyDescent="0.3">
      <c r="A181" t="s">
        <v>1115</v>
      </c>
      <c r="B181" s="94">
        <v>46043</v>
      </c>
      <c r="C181" t="s">
        <v>1116</v>
      </c>
      <c r="D181" t="s">
        <v>1117</v>
      </c>
      <c r="E181" t="s">
        <v>1031</v>
      </c>
      <c r="F181" t="s">
        <v>935</v>
      </c>
      <c r="G181" t="s">
        <v>39</v>
      </c>
      <c r="H181" t="s">
        <v>1118</v>
      </c>
      <c r="I181" t="s">
        <v>59</v>
      </c>
      <c r="J181" t="s">
        <v>219</v>
      </c>
      <c r="K181" t="s">
        <v>225</v>
      </c>
      <c r="L181" t="s">
        <v>451</v>
      </c>
      <c r="M181" t="s">
        <v>51</v>
      </c>
      <c r="N181" t="s">
        <v>63</v>
      </c>
      <c r="O181" t="s">
        <v>1119</v>
      </c>
      <c r="P181">
        <v>900000000</v>
      </c>
      <c r="Q181" t="s">
        <v>445</v>
      </c>
      <c r="R181" t="s">
        <v>139</v>
      </c>
      <c r="S181" t="s">
        <v>43</v>
      </c>
      <c r="T181" t="s">
        <v>43</v>
      </c>
      <c r="U181" t="s">
        <v>44</v>
      </c>
      <c r="V181" t="s">
        <v>45</v>
      </c>
      <c r="W181" t="s">
        <v>5092</v>
      </c>
      <c r="X181" t="s">
        <v>45</v>
      </c>
      <c r="Y181" t="s">
        <v>46</v>
      </c>
      <c r="Z181" t="s">
        <v>47</v>
      </c>
      <c r="AA181" t="s">
        <v>48</v>
      </c>
      <c r="AB181" t="s">
        <v>49</v>
      </c>
      <c r="AC181" t="s">
        <v>49</v>
      </c>
      <c r="AD181" t="s">
        <v>184</v>
      </c>
      <c r="AE181" t="s">
        <v>189</v>
      </c>
      <c r="AF181" t="s">
        <v>1255</v>
      </c>
      <c r="AG181" t="s">
        <v>196</v>
      </c>
      <c r="AH181" s="93">
        <f>VLOOKUP(Table1[[#This Row],[Caste]],Factor!$H$1:$K$13,4,0)</f>
        <v>1.1461625511156397</v>
      </c>
      <c r="AI18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81">
        <f>Table1[[#This Row],[Factor_1]]*Table1[[#This Row],[2024 Factor]]</f>
        <v>3.0326483876590018</v>
      </c>
      <c r="AK181">
        <f>VLOOKUP(Table1[[#This Row],[Q18: Gender]],Factor!$A$33:$E$35,5,0)</f>
        <v>2.1645021645021645</v>
      </c>
      <c r="AL181">
        <f>VLOOKUP(Table1[[#This Row],[Taluka]],Factor!$A$42:$G$46,7,0)</f>
        <v>1.147984664167413</v>
      </c>
      <c r="AM181">
        <f>VLOOKUP(Table1[[#This Row],[Caste]]&amp;Table1[[#This Row],[Q18: Gender]],Factor!$W$1:$X$23,2,0)</f>
        <v>2.8092219390089208</v>
      </c>
      <c r="AN181">
        <f>VLOOKUP(Table1[[#This Row],[Taluka]]&amp;Table1[[#This Row],[Caste]]&amp;Table1[[#This Row],[Q18: Gender]],Factor!$AK$4:$AL$93,2,0)</f>
        <v>2.2934724643212636</v>
      </c>
      <c r="AO181">
        <f t="shared" si="22"/>
        <v>-1</v>
      </c>
      <c r="AP181">
        <f t="shared" si="23"/>
        <v>-1</v>
      </c>
      <c r="AQ181">
        <f t="shared" si="24"/>
        <v>-1</v>
      </c>
      <c r="AR181">
        <f t="shared" si="25"/>
        <v>-1</v>
      </c>
      <c r="AS181">
        <f t="shared" si="26"/>
        <v>-1</v>
      </c>
      <c r="AT181">
        <f t="shared" si="27"/>
        <v>-1</v>
      </c>
      <c r="AU181">
        <f t="shared" si="28"/>
        <v>-5.5</v>
      </c>
      <c r="AV181">
        <f>SUM(Table1[[#This Row],[Satis]:[29]])</f>
        <v>-6</v>
      </c>
      <c r="AW181">
        <f t="shared" si="29"/>
        <v>-5</v>
      </c>
      <c r="AX181">
        <f t="shared" si="30"/>
        <v>-4</v>
      </c>
      <c r="AY181">
        <f t="shared" si="31"/>
        <v>-3</v>
      </c>
      <c r="AZ181" t="str">
        <f t="shared" si="32"/>
        <v>TDP HardCore</v>
      </c>
    </row>
    <row r="182" spans="1:52" x14ac:dyDescent="0.3">
      <c r="A182" t="s">
        <v>1120</v>
      </c>
      <c r="B182" s="94">
        <v>46043</v>
      </c>
      <c r="C182" t="s">
        <v>1121</v>
      </c>
      <c r="D182" t="s">
        <v>1122</v>
      </c>
      <c r="E182" t="s">
        <v>1101</v>
      </c>
      <c r="F182" t="s">
        <v>240</v>
      </c>
      <c r="G182" t="s">
        <v>39</v>
      </c>
      <c r="H182" t="s">
        <v>1123</v>
      </c>
      <c r="I182" t="s">
        <v>70</v>
      </c>
      <c r="J182" t="s">
        <v>37</v>
      </c>
      <c r="K182" t="s">
        <v>212</v>
      </c>
      <c r="L182" t="s">
        <v>170</v>
      </c>
      <c r="M182" t="s">
        <v>51</v>
      </c>
      <c r="N182" t="s">
        <v>63</v>
      </c>
      <c r="O182" t="s">
        <v>1124</v>
      </c>
      <c r="P182">
        <v>9121896234</v>
      </c>
      <c r="Q182" t="s">
        <v>54</v>
      </c>
      <c r="R182" t="s">
        <v>132</v>
      </c>
      <c r="S182" t="s">
        <v>43</v>
      </c>
      <c r="T182" t="s">
        <v>43</v>
      </c>
      <c r="U182" t="s">
        <v>90</v>
      </c>
      <c r="V182" t="s">
        <v>45</v>
      </c>
      <c r="W182" t="s">
        <v>5051</v>
      </c>
      <c r="X182" t="s">
        <v>45</v>
      </c>
      <c r="Y182" t="s">
        <v>46</v>
      </c>
      <c r="Z182" t="s">
        <v>47</v>
      </c>
      <c r="AA182" t="s">
        <v>242</v>
      </c>
      <c r="AB182" t="s">
        <v>49</v>
      </c>
      <c r="AC182" t="s">
        <v>49</v>
      </c>
      <c r="AD182" t="s">
        <v>184</v>
      </c>
      <c r="AE182" t="s">
        <v>185</v>
      </c>
      <c r="AF182">
        <v>0</v>
      </c>
      <c r="AG182" t="s">
        <v>196</v>
      </c>
      <c r="AH182" s="93">
        <f>VLOOKUP(Table1[[#This Row],[Caste]],Factor!$H$1:$K$13,4,0)</f>
        <v>1.3836274505214585</v>
      </c>
      <c r="AI182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182">
        <f>Table1[[#This Row],[Factor_1]]*Table1[[#This Row],[2024 Factor]]</f>
        <v>0.71381514912952693</v>
      </c>
      <c r="AK182">
        <f>VLOOKUP(Table1[[#This Row],[Q18: Gender]],Factor!$A$33:$E$35,5,0)</f>
        <v>0.85034013605442171</v>
      </c>
      <c r="AL182">
        <f>VLOOKUP(Table1[[#This Row],[Taluka]],Factor!$A$42:$G$46,7,0)</f>
        <v>0.75433779645928134</v>
      </c>
      <c r="AM182">
        <f>VLOOKUP(Table1[[#This Row],[Caste]]&amp;Table1[[#This Row],[Q18: Gender]],Factor!$W$1:$X$23,2,0)</f>
        <v>1.0790228998469584</v>
      </c>
      <c r="AN182">
        <f>VLOOKUP(Table1[[#This Row],[Taluka]]&amp;Table1[[#This Row],[Caste]]&amp;Table1[[#This Row],[Q18: Gender]],Factor!$AK$4:$AL$93,2,0)</f>
        <v>0.52423486800867025</v>
      </c>
      <c r="AO182">
        <f t="shared" si="22"/>
        <v>-1</v>
      </c>
      <c r="AP182">
        <f t="shared" si="23"/>
        <v>1</v>
      </c>
      <c r="AQ182">
        <f t="shared" si="24"/>
        <v>-1</v>
      </c>
      <c r="AR182">
        <f t="shared" si="25"/>
        <v>-1</v>
      </c>
      <c r="AS182">
        <f t="shared" si="26"/>
        <v>-1</v>
      </c>
      <c r="AT182">
        <f t="shared" si="27"/>
        <v>-1</v>
      </c>
      <c r="AU182">
        <f t="shared" si="28"/>
        <v>-3.5</v>
      </c>
      <c r="AV182">
        <f>SUM(Table1[[#This Row],[Satis]:[29]])</f>
        <v>-4</v>
      </c>
      <c r="AW182">
        <f t="shared" si="29"/>
        <v>-5</v>
      </c>
      <c r="AX182">
        <f t="shared" si="30"/>
        <v>-4</v>
      </c>
      <c r="AY182">
        <f t="shared" si="31"/>
        <v>-3</v>
      </c>
      <c r="AZ182" t="str">
        <f t="shared" si="32"/>
        <v>TDP Sympathiser</v>
      </c>
    </row>
    <row r="183" spans="1:52" x14ac:dyDescent="0.3">
      <c r="A183" t="s">
        <v>1125</v>
      </c>
      <c r="B183" s="94">
        <v>46043</v>
      </c>
      <c r="C183" t="s">
        <v>1126</v>
      </c>
      <c r="D183" t="s">
        <v>1127</v>
      </c>
      <c r="E183" t="s">
        <v>1128</v>
      </c>
      <c r="F183" t="s">
        <v>69</v>
      </c>
      <c r="G183" t="s">
        <v>39</v>
      </c>
      <c r="H183" t="s">
        <v>1129</v>
      </c>
      <c r="I183" t="s">
        <v>229</v>
      </c>
      <c r="J183" t="s">
        <v>219</v>
      </c>
      <c r="K183" t="s">
        <v>220</v>
      </c>
      <c r="L183" t="s">
        <v>161</v>
      </c>
      <c r="M183" t="s">
        <v>51</v>
      </c>
      <c r="N183" t="s">
        <v>63</v>
      </c>
      <c r="O183" t="s">
        <v>284</v>
      </c>
      <c r="P183">
        <v>7337541617</v>
      </c>
      <c r="Q183" t="s">
        <v>445</v>
      </c>
      <c r="R183" t="s">
        <v>61</v>
      </c>
      <c r="S183" t="s">
        <v>43</v>
      </c>
      <c r="T183" t="s">
        <v>43</v>
      </c>
      <c r="U183" t="s">
        <v>44</v>
      </c>
      <c r="V183" t="s">
        <v>45</v>
      </c>
      <c r="W183" t="s">
        <v>5056</v>
      </c>
      <c r="X183" t="s">
        <v>45</v>
      </c>
      <c r="Y183" t="s">
        <v>46</v>
      </c>
      <c r="Z183" t="s">
        <v>47</v>
      </c>
      <c r="AA183" t="s">
        <v>48</v>
      </c>
      <c r="AB183" t="s">
        <v>49</v>
      </c>
      <c r="AC183" t="s">
        <v>49</v>
      </c>
      <c r="AD183" t="s">
        <v>184</v>
      </c>
      <c r="AE183" t="s">
        <v>1250</v>
      </c>
      <c r="AF183">
        <v>0</v>
      </c>
      <c r="AG183" t="s">
        <v>498</v>
      </c>
      <c r="AH183" s="93">
        <f>VLOOKUP(Table1[[#This Row],[Caste]],Factor!$H$1:$K$13,4,0)</f>
        <v>1.1209668980183516</v>
      </c>
      <c r="AI18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83">
        <f>Table1[[#This Row],[Factor_1]]*Table1[[#This Row],[2024 Factor]]</f>
        <v>1.4370186848956754</v>
      </c>
      <c r="AK183">
        <f>VLOOKUP(Table1[[#This Row],[Q18: Gender]],Factor!$A$33:$E$35,5,0)</f>
        <v>2.1645021645021645</v>
      </c>
      <c r="AL183">
        <f>VLOOKUP(Table1[[#This Row],[Taluka]],Factor!$A$42:$G$46,7,0)</f>
        <v>1.147984664167413</v>
      </c>
      <c r="AM183">
        <f>VLOOKUP(Table1[[#This Row],[Caste]]&amp;Table1[[#This Row],[Q18: Gender]],Factor!$W$1:$X$23,2,0)</f>
        <v>1.3311481913967924</v>
      </c>
      <c r="AN183">
        <f>VLOOKUP(Table1[[#This Row],[Taluka]]&amp;Table1[[#This Row],[Caste]]&amp;Table1[[#This Row],[Q18: Gender]],Factor!$AK$4:$AL$93,2,0)</f>
        <v>0.51141675343184545</v>
      </c>
      <c r="AO183">
        <f t="shared" si="22"/>
        <v>-1</v>
      </c>
      <c r="AP183">
        <f t="shared" si="23"/>
        <v>-1</v>
      </c>
      <c r="AQ183">
        <f t="shared" si="24"/>
        <v>-1</v>
      </c>
      <c r="AR183">
        <f t="shared" si="25"/>
        <v>-1</v>
      </c>
      <c r="AS183">
        <f t="shared" si="26"/>
        <v>-1</v>
      </c>
      <c r="AT183">
        <f t="shared" si="27"/>
        <v>-1</v>
      </c>
      <c r="AU183">
        <f t="shared" si="28"/>
        <v>-5.5</v>
      </c>
      <c r="AV183">
        <f>SUM(Table1[[#This Row],[Satis]:[29]])</f>
        <v>-6</v>
      </c>
      <c r="AW183">
        <f t="shared" si="29"/>
        <v>-5</v>
      </c>
      <c r="AX183">
        <f t="shared" si="30"/>
        <v>-4</v>
      </c>
      <c r="AY183">
        <f t="shared" si="31"/>
        <v>-3</v>
      </c>
      <c r="AZ183" t="str">
        <f t="shared" si="32"/>
        <v>TDP HardCore</v>
      </c>
    </row>
    <row r="184" spans="1:52" x14ac:dyDescent="0.3">
      <c r="A184" t="s">
        <v>1130</v>
      </c>
      <c r="B184" s="94">
        <v>46043</v>
      </c>
      <c r="C184" t="s">
        <v>1131</v>
      </c>
      <c r="D184" t="s">
        <v>1132</v>
      </c>
      <c r="E184" t="s">
        <v>1055</v>
      </c>
      <c r="F184" t="s">
        <v>935</v>
      </c>
      <c r="G184" t="s">
        <v>39</v>
      </c>
      <c r="H184" t="s">
        <v>1133</v>
      </c>
      <c r="I184" t="s">
        <v>227</v>
      </c>
      <c r="J184" t="s">
        <v>219</v>
      </c>
      <c r="K184" t="s">
        <v>225</v>
      </c>
      <c r="L184" t="s">
        <v>75</v>
      </c>
      <c r="M184" t="s">
        <v>51</v>
      </c>
      <c r="N184" t="s">
        <v>107</v>
      </c>
      <c r="O184" t="s">
        <v>1134</v>
      </c>
      <c r="P184">
        <v>9949558605</v>
      </c>
      <c r="Q184" t="s">
        <v>54</v>
      </c>
      <c r="R184" t="s">
        <v>139</v>
      </c>
      <c r="S184" t="s">
        <v>43</v>
      </c>
      <c r="T184" t="s">
        <v>43</v>
      </c>
      <c r="U184" t="s">
        <v>44</v>
      </c>
      <c r="V184" t="s">
        <v>45</v>
      </c>
      <c r="W184" t="s">
        <v>5064</v>
      </c>
      <c r="X184" t="s">
        <v>45</v>
      </c>
      <c r="Y184" t="s">
        <v>46</v>
      </c>
      <c r="Z184" t="s">
        <v>47</v>
      </c>
      <c r="AA184" t="s">
        <v>48</v>
      </c>
      <c r="AB184" t="s">
        <v>49</v>
      </c>
      <c r="AC184" t="s">
        <v>49</v>
      </c>
      <c r="AD184" t="s">
        <v>184</v>
      </c>
      <c r="AE184" t="s">
        <v>189</v>
      </c>
      <c r="AF184" t="s">
        <v>1256</v>
      </c>
      <c r="AG184" t="s">
        <v>196</v>
      </c>
      <c r="AH184" s="93">
        <f>VLOOKUP(Table1[[#This Row],[Caste]],Factor!$H$1:$K$13,4,0)</f>
        <v>1.2612194085121222</v>
      </c>
      <c r="AI18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84">
        <f>Table1[[#This Row],[Factor_1]]*Table1[[#This Row],[2024 Factor]]</f>
        <v>0.92029223709519836</v>
      </c>
      <c r="AK184">
        <f>VLOOKUP(Table1[[#This Row],[Q18: Gender]],Factor!$A$33:$E$35,5,0)</f>
        <v>0.85034013605442171</v>
      </c>
      <c r="AL184">
        <f>VLOOKUP(Table1[[#This Row],[Taluka]],Factor!$A$42:$G$46,7,0)</f>
        <v>1.147984664167413</v>
      </c>
      <c r="AM184">
        <f>VLOOKUP(Table1[[#This Row],[Caste]]&amp;Table1[[#This Row],[Q18: Gender]],Factor!$W$1:$X$23,2,0)</f>
        <v>0.85249089649430487</v>
      </c>
      <c r="AN184">
        <f>VLOOKUP(Table1[[#This Row],[Taluka]]&amp;Table1[[#This Row],[Caste]]&amp;Table1[[#This Row],[Q18: Gender]],Factor!$AK$4:$AL$93,2,0)</f>
        <v>0.41451794778650441</v>
      </c>
      <c r="AO184">
        <f t="shared" si="22"/>
        <v>-1</v>
      </c>
      <c r="AP184">
        <f t="shared" si="23"/>
        <v>-1</v>
      </c>
      <c r="AQ184">
        <f t="shared" si="24"/>
        <v>-1</v>
      </c>
      <c r="AR184">
        <f t="shared" si="25"/>
        <v>-1</v>
      </c>
      <c r="AS184">
        <f t="shared" si="26"/>
        <v>-1</v>
      </c>
      <c r="AT184">
        <f t="shared" si="27"/>
        <v>-1</v>
      </c>
      <c r="AU184">
        <f t="shared" si="28"/>
        <v>-5.5</v>
      </c>
      <c r="AV184">
        <f>SUM(Table1[[#This Row],[Satis]:[29]])</f>
        <v>-6</v>
      </c>
      <c r="AW184">
        <f t="shared" si="29"/>
        <v>-5</v>
      </c>
      <c r="AX184">
        <f t="shared" si="30"/>
        <v>-4</v>
      </c>
      <c r="AY184">
        <f t="shared" si="31"/>
        <v>-3</v>
      </c>
      <c r="AZ184" t="str">
        <f t="shared" si="32"/>
        <v>TDP HardCore</v>
      </c>
    </row>
    <row r="185" spans="1:52" x14ac:dyDescent="0.3">
      <c r="A185" t="s">
        <v>1135</v>
      </c>
      <c r="B185" s="94">
        <v>46043</v>
      </c>
      <c r="C185" t="s">
        <v>1136</v>
      </c>
      <c r="D185" t="s">
        <v>1137</v>
      </c>
      <c r="E185" t="s">
        <v>1101</v>
      </c>
      <c r="F185" t="s">
        <v>240</v>
      </c>
      <c r="G185" t="s">
        <v>39</v>
      </c>
      <c r="H185" t="s">
        <v>1138</v>
      </c>
      <c r="I185" t="s">
        <v>70</v>
      </c>
      <c r="J185" t="s">
        <v>37</v>
      </c>
      <c r="K185" t="s">
        <v>212</v>
      </c>
      <c r="L185" t="s">
        <v>451</v>
      </c>
      <c r="M185" t="s">
        <v>51</v>
      </c>
      <c r="N185" t="s">
        <v>63</v>
      </c>
      <c r="O185" t="s">
        <v>1139</v>
      </c>
      <c r="P185">
        <v>9949708357</v>
      </c>
      <c r="Q185" t="s">
        <v>445</v>
      </c>
      <c r="R185" t="s">
        <v>132</v>
      </c>
      <c r="S185" t="s">
        <v>43</v>
      </c>
      <c r="T185" t="s">
        <v>43</v>
      </c>
      <c r="U185" t="s">
        <v>44</v>
      </c>
      <c r="V185" t="s">
        <v>45</v>
      </c>
      <c r="W185" t="s">
        <v>5049</v>
      </c>
      <c r="X185" t="s">
        <v>45</v>
      </c>
      <c r="Y185" t="s">
        <v>46</v>
      </c>
      <c r="Z185" t="s">
        <v>242</v>
      </c>
      <c r="AA185" t="s">
        <v>242</v>
      </c>
      <c r="AB185" t="s">
        <v>49</v>
      </c>
      <c r="AC185" t="s">
        <v>49</v>
      </c>
      <c r="AD185" t="s">
        <v>184</v>
      </c>
      <c r="AE185" t="s">
        <v>189</v>
      </c>
      <c r="AF185" t="s">
        <v>1257</v>
      </c>
      <c r="AG185" t="s">
        <v>196</v>
      </c>
      <c r="AH185" s="93">
        <f>VLOOKUP(Table1[[#This Row],[Caste]],Factor!$H$1:$K$13,4,0)</f>
        <v>1.3836274505214585</v>
      </c>
      <c r="AI185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185">
        <f>Table1[[#This Row],[Factor_1]]*Table1[[#This Row],[2024 Factor]]</f>
        <v>1.2753497331114214</v>
      </c>
      <c r="AK185">
        <f>VLOOKUP(Table1[[#This Row],[Q18: Gender]],Factor!$A$33:$E$35,5,0)</f>
        <v>2.1645021645021645</v>
      </c>
      <c r="AL185">
        <f>VLOOKUP(Table1[[#This Row],[Taluka]],Factor!$A$42:$G$46,7,0)</f>
        <v>0.75433779645928134</v>
      </c>
      <c r="AM185">
        <f>VLOOKUP(Table1[[#This Row],[Caste]]&amp;Table1[[#This Row],[Q18: Gender]],Factor!$W$1:$X$23,2,0)</f>
        <v>1.9278542477265657</v>
      </c>
      <c r="AN185">
        <f>VLOOKUP(Table1[[#This Row],[Taluka]]&amp;Table1[[#This Row],[Caste]]&amp;Table1[[#This Row],[Q18: Gender]],Factor!$AK$4:$AL$93,2,0)</f>
        <v>0.95595770048639872</v>
      </c>
      <c r="AO185">
        <f t="shared" si="22"/>
        <v>-1</v>
      </c>
      <c r="AP185">
        <f t="shared" si="23"/>
        <v>-1</v>
      </c>
      <c r="AQ185">
        <f t="shared" si="24"/>
        <v>-1</v>
      </c>
      <c r="AR185">
        <f t="shared" si="25"/>
        <v>-1</v>
      </c>
      <c r="AS185">
        <f t="shared" si="26"/>
        <v>-1</v>
      </c>
      <c r="AT185">
        <f t="shared" si="27"/>
        <v>-1</v>
      </c>
      <c r="AU185">
        <f t="shared" si="28"/>
        <v>-5.5</v>
      </c>
      <c r="AV185">
        <f>SUM(Table1[[#This Row],[Satis]:[29]])</f>
        <v>-6</v>
      </c>
      <c r="AW185">
        <f t="shared" si="29"/>
        <v>-5</v>
      </c>
      <c r="AX185">
        <f t="shared" si="30"/>
        <v>-4</v>
      </c>
      <c r="AY185">
        <f t="shared" si="31"/>
        <v>-3</v>
      </c>
      <c r="AZ185" t="str">
        <f t="shared" si="32"/>
        <v>TDP HardCore</v>
      </c>
    </row>
    <row r="186" spans="1:52" x14ac:dyDescent="0.3">
      <c r="A186" t="s">
        <v>1140</v>
      </c>
      <c r="B186" s="94">
        <v>46043</v>
      </c>
      <c r="C186" t="s">
        <v>1141</v>
      </c>
      <c r="D186" t="s">
        <v>1142</v>
      </c>
      <c r="E186" t="s">
        <v>1101</v>
      </c>
      <c r="F186" t="s">
        <v>240</v>
      </c>
      <c r="G186" t="s">
        <v>39</v>
      </c>
      <c r="H186" t="s">
        <v>1143</v>
      </c>
      <c r="I186" t="s">
        <v>70</v>
      </c>
      <c r="J186" t="s">
        <v>37</v>
      </c>
      <c r="K186" t="s">
        <v>212</v>
      </c>
      <c r="L186" t="s">
        <v>170</v>
      </c>
      <c r="M186" t="s">
        <v>51</v>
      </c>
      <c r="N186" t="s">
        <v>162</v>
      </c>
      <c r="O186" t="s">
        <v>1144</v>
      </c>
      <c r="P186">
        <v>7893216315</v>
      </c>
      <c r="Q186" t="s">
        <v>445</v>
      </c>
      <c r="R186" t="s">
        <v>73</v>
      </c>
      <c r="S186" t="s">
        <v>43</v>
      </c>
      <c r="T186" t="s">
        <v>89</v>
      </c>
      <c r="U186" t="s">
        <v>90</v>
      </c>
      <c r="V186" t="s">
        <v>91</v>
      </c>
      <c r="W186" t="s">
        <v>5089</v>
      </c>
      <c r="X186" t="s">
        <v>91</v>
      </c>
      <c r="Y186" t="s">
        <v>46</v>
      </c>
      <c r="Z186" t="s">
        <v>92</v>
      </c>
      <c r="AA186" t="s">
        <v>92</v>
      </c>
      <c r="AB186" t="s">
        <v>147</v>
      </c>
      <c r="AC186" t="s">
        <v>94</v>
      </c>
      <c r="AD186" t="s">
        <v>184</v>
      </c>
      <c r="AE186" t="s">
        <v>185</v>
      </c>
      <c r="AF186">
        <v>0</v>
      </c>
      <c r="AG186" t="s">
        <v>196</v>
      </c>
      <c r="AH186" s="93">
        <f>VLOOKUP(Table1[[#This Row],[Caste]],Factor!$H$1:$K$13,4,0)</f>
        <v>1.3836274505214585</v>
      </c>
      <c r="AI186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186">
        <f>Table1[[#This Row],[Factor_1]]*Table1[[#This Row],[2024 Factor]]</f>
        <v>3.4809023142961388</v>
      </c>
      <c r="AK186">
        <f>VLOOKUP(Table1[[#This Row],[Q18: Gender]],Factor!$A$33:$E$35,5,0)</f>
        <v>2.1645021645021645</v>
      </c>
      <c r="AL186">
        <f>VLOOKUP(Table1[[#This Row],[Taluka]],Factor!$A$42:$G$46,7,0)</f>
        <v>0.75433779645928134</v>
      </c>
      <c r="AM186">
        <f>VLOOKUP(Table1[[#This Row],[Caste]]&amp;Table1[[#This Row],[Q18: Gender]],Factor!$W$1:$X$23,2,0)</f>
        <v>1.9278542477265657</v>
      </c>
      <c r="AN186">
        <f>VLOOKUP(Table1[[#This Row],[Taluka]]&amp;Table1[[#This Row],[Caste]]&amp;Table1[[#This Row],[Q18: Gender]],Factor!$AK$4:$AL$93,2,0)</f>
        <v>0.95595770048639872</v>
      </c>
      <c r="AO186">
        <f t="shared" si="22"/>
        <v>1</v>
      </c>
      <c r="AP186">
        <f t="shared" si="23"/>
        <v>1</v>
      </c>
      <c r="AQ186">
        <f t="shared" si="24"/>
        <v>1</v>
      </c>
      <c r="AR186">
        <f t="shared" si="25"/>
        <v>1</v>
      </c>
      <c r="AS186">
        <f t="shared" si="26"/>
        <v>1</v>
      </c>
      <c r="AT186">
        <f t="shared" si="27"/>
        <v>1</v>
      </c>
      <c r="AU186">
        <f t="shared" si="28"/>
        <v>5.5</v>
      </c>
      <c r="AV186">
        <f>SUM(Table1[[#This Row],[Satis]:[29]])</f>
        <v>6</v>
      </c>
      <c r="AW186">
        <f t="shared" si="29"/>
        <v>5</v>
      </c>
      <c r="AX186">
        <f t="shared" si="30"/>
        <v>4</v>
      </c>
      <c r="AY186">
        <f t="shared" si="31"/>
        <v>3</v>
      </c>
      <c r="AZ186" t="str">
        <f t="shared" si="32"/>
        <v>YSRCP HardCore</v>
      </c>
    </row>
    <row r="187" spans="1:52" x14ac:dyDescent="0.3">
      <c r="A187" t="s">
        <v>1145</v>
      </c>
      <c r="B187" s="94">
        <v>46043</v>
      </c>
      <c r="C187" t="s">
        <v>1146</v>
      </c>
      <c r="D187" t="s">
        <v>1147</v>
      </c>
      <c r="E187" t="s">
        <v>1043</v>
      </c>
      <c r="F187" t="s">
        <v>935</v>
      </c>
      <c r="G187" t="s">
        <v>39</v>
      </c>
      <c r="H187" t="s">
        <v>1148</v>
      </c>
      <c r="I187" t="s">
        <v>70</v>
      </c>
      <c r="J187" t="s">
        <v>219</v>
      </c>
      <c r="K187" t="s">
        <v>225</v>
      </c>
      <c r="L187" t="s">
        <v>62</v>
      </c>
      <c r="M187" t="s">
        <v>443</v>
      </c>
      <c r="N187" t="s">
        <v>63</v>
      </c>
      <c r="O187" t="s">
        <v>1149</v>
      </c>
      <c r="P187">
        <v>9989456590</v>
      </c>
      <c r="Q187" t="s">
        <v>54</v>
      </c>
      <c r="R187" t="s">
        <v>139</v>
      </c>
      <c r="S187" t="s">
        <v>43</v>
      </c>
      <c r="T187" t="s">
        <v>89</v>
      </c>
      <c r="U187" t="s">
        <v>90</v>
      </c>
      <c r="V187" t="s">
        <v>91</v>
      </c>
      <c r="W187" t="s">
        <v>5064</v>
      </c>
      <c r="X187" t="s">
        <v>91</v>
      </c>
      <c r="Y187" t="s">
        <v>46</v>
      </c>
      <c r="Z187" t="s">
        <v>92</v>
      </c>
      <c r="AA187" t="s">
        <v>92</v>
      </c>
      <c r="AB187" t="s">
        <v>93</v>
      </c>
      <c r="AC187" t="s">
        <v>94</v>
      </c>
      <c r="AD187" t="s">
        <v>184</v>
      </c>
      <c r="AE187" t="s">
        <v>189</v>
      </c>
      <c r="AF187" t="s">
        <v>1258</v>
      </c>
      <c r="AG187" t="s">
        <v>196</v>
      </c>
      <c r="AH187" s="93">
        <f>VLOOKUP(Table1[[#This Row],[Caste]],Factor!$H$1:$K$13,4,0)</f>
        <v>1.3836274505214585</v>
      </c>
      <c r="AI187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187">
        <f>Table1[[#This Row],[Factor_1]]*Table1[[#This Row],[2024 Factor]]</f>
        <v>1.9482662206881376</v>
      </c>
      <c r="AK187">
        <f>VLOOKUP(Table1[[#This Row],[Q18: Gender]],Factor!$A$33:$E$35,5,0)</f>
        <v>0.85034013605442171</v>
      </c>
      <c r="AL187">
        <f>VLOOKUP(Table1[[#This Row],[Taluka]],Factor!$A$42:$G$46,7,0)</f>
        <v>1.147984664167413</v>
      </c>
      <c r="AM187">
        <f>VLOOKUP(Table1[[#This Row],[Caste]]&amp;Table1[[#This Row],[Q18: Gender]],Factor!$W$1:$X$23,2,0)</f>
        <v>1.0790228998469584</v>
      </c>
      <c r="AN187">
        <f>VLOOKUP(Table1[[#This Row],[Taluka]]&amp;Table1[[#This Row],[Caste]]&amp;Table1[[#This Row],[Q18: Gender]],Factor!$AK$4:$AL$93,2,0)</f>
        <v>1.1572915102003449</v>
      </c>
      <c r="AO187">
        <f t="shared" si="22"/>
        <v>1</v>
      </c>
      <c r="AP187">
        <f t="shared" si="23"/>
        <v>1</v>
      </c>
      <c r="AQ187">
        <f t="shared" si="24"/>
        <v>1</v>
      </c>
      <c r="AR187">
        <f t="shared" si="25"/>
        <v>1</v>
      </c>
      <c r="AS187">
        <f t="shared" si="26"/>
        <v>1</v>
      </c>
      <c r="AT187">
        <f t="shared" si="27"/>
        <v>1</v>
      </c>
      <c r="AU187">
        <f t="shared" si="28"/>
        <v>5.5</v>
      </c>
      <c r="AV187">
        <f>SUM(Table1[[#This Row],[Satis]:[29]])</f>
        <v>6</v>
      </c>
      <c r="AW187">
        <f t="shared" si="29"/>
        <v>5</v>
      </c>
      <c r="AX187">
        <f t="shared" si="30"/>
        <v>4</v>
      </c>
      <c r="AY187">
        <f t="shared" si="31"/>
        <v>3</v>
      </c>
      <c r="AZ187" t="str">
        <f t="shared" si="32"/>
        <v>YSRCP HardCore</v>
      </c>
    </row>
    <row r="188" spans="1:52" x14ac:dyDescent="0.3">
      <c r="A188" t="s">
        <v>1150</v>
      </c>
      <c r="B188" s="94">
        <v>46043</v>
      </c>
      <c r="C188" t="s">
        <v>1151</v>
      </c>
      <c r="D188" t="s">
        <v>1152</v>
      </c>
      <c r="E188" t="s">
        <v>1055</v>
      </c>
      <c r="F188" t="s">
        <v>935</v>
      </c>
      <c r="G188" t="s">
        <v>39</v>
      </c>
      <c r="H188" t="s">
        <v>1153</v>
      </c>
      <c r="I188" t="s">
        <v>70</v>
      </c>
      <c r="J188" t="s">
        <v>219</v>
      </c>
      <c r="K188" t="s">
        <v>225</v>
      </c>
      <c r="L188" t="s">
        <v>451</v>
      </c>
      <c r="M188" t="s">
        <v>51</v>
      </c>
      <c r="N188" t="s">
        <v>63</v>
      </c>
      <c r="O188" t="s">
        <v>1154</v>
      </c>
      <c r="P188">
        <v>8074132643</v>
      </c>
      <c r="Q188" t="s">
        <v>445</v>
      </c>
      <c r="R188" t="s">
        <v>139</v>
      </c>
      <c r="S188" t="s">
        <v>43</v>
      </c>
      <c r="T188" t="s">
        <v>43</v>
      </c>
      <c r="U188" t="s">
        <v>44</v>
      </c>
      <c r="V188" t="s">
        <v>45</v>
      </c>
      <c r="W188" t="s">
        <v>5062</v>
      </c>
      <c r="X188" t="s">
        <v>45</v>
      </c>
      <c r="Y188" t="s">
        <v>46</v>
      </c>
      <c r="Z188" t="s">
        <v>47</v>
      </c>
      <c r="AA188" t="s">
        <v>48</v>
      </c>
      <c r="AB188" t="s">
        <v>49</v>
      </c>
      <c r="AC188" t="s">
        <v>49</v>
      </c>
      <c r="AD188" t="s">
        <v>184</v>
      </c>
      <c r="AE188" t="s">
        <v>1250</v>
      </c>
      <c r="AF188">
        <v>0</v>
      </c>
      <c r="AG188" t="s">
        <v>498</v>
      </c>
      <c r="AH188" s="93">
        <f>VLOOKUP(Table1[[#This Row],[Caste]],Factor!$H$1:$K$13,4,0)</f>
        <v>1.3836274505214585</v>
      </c>
      <c r="AI18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88">
        <f>Table1[[#This Row],[Factor_1]]*Table1[[#This Row],[2024 Factor]]</f>
        <v>2.0811826914865059</v>
      </c>
      <c r="AK188">
        <f>VLOOKUP(Table1[[#This Row],[Q18: Gender]],Factor!$A$33:$E$35,5,0)</f>
        <v>2.1645021645021645</v>
      </c>
      <c r="AL188">
        <f>VLOOKUP(Table1[[#This Row],[Taluka]],Factor!$A$42:$G$46,7,0)</f>
        <v>1.147984664167413</v>
      </c>
      <c r="AM188">
        <f>VLOOKUP(Table1[[#This Row],[Caste]]&amp;Table1[[#This Row],[Q18: Gender]],Factor!$W$1:$X$23,2,0)</f>
        <v>1.9278542477265657</v>
      </c>
      <c r="AN188">
        <f>VLOOKUP(Table1[[#This Row],[Taluka]]&amp;Table1[[#This Row],[Caste]]&amp;Table1[[#This Row],[Q18: Gender]],Factor!$AK$4:$AL$93,2,0)</f>
        <v>3.2048072590163397</v>
      </c>
      <c r="AO188">
        <f t="shared" si="22"/>
        <v>-1</v>
      </c>
      <c r="AP188">
        <f t="shared" si="23"/>
        <v>-1</v>
      </c>
      <c r="AQ188">
        <f t="shared" si="24"/>
        <v>-1</v>
      </c>
      <c r="AR188">
        <f t="shared" si="25"/>
        <v>-1</v>
      </c>
      <c r="AS188">
        <f t="shared" si="26"/>
        <v>-1</v>
      </c>
      <c r="AT188">
        <f t="shared" si="27"/>
        <v>-1</v>
      </c>
      <c r="AU188">
        <f t="shared" si="28"/>
        <v>-5.5</v>
      </c>
      <c r="AV188">
        <f>SUM(Table1[[#This Row],[Satis]:[29]])</f>
        <v>-6</v>
      </c>
      <c r="AW188">
        <f t="shared" si="29"/>
        <v>-5</v>
      </c>
      <c r="AX188">
        <f t="shared" si="30"/>
        <v>-4</v>
      </c>
      <c r="AY188">
        <f t="shared" si="31"/>
        <v>-3</v>
      </c>
      <c r="AZ188" t="str">
        <f t="shared" si="32"/>
        <v>TDP HardCore</v>
      </c>
    </row>
    <row r="189" spans="1:52" x14ac:dyDescent="0.3">
      <c r="A189" t="s">
        <v>1155</v>
      </c>
      <c r="B189" s="94">
        <v>46043</v>
      </c>
      <c r="C189" t="s">
        <v>1156</v>
      </c>
      <c r="D189" t="s">
        <v>1157</v>
      </c>
      <c r="E189" t="s">
        <v>1158</v>
      </c>
      <c r="F189" t="s">
        <v>240</v>
      </c>
      <c r="G189" t="s">
        <v>39</v>
      </c>
      <c r="H189" t="s">
        <v>1159</v>
      </c>
      <c r="I189" t="s">
        <v>228</v>
      </c>
      <c r="J189" t="s">
        <v>37</v>
      </c>
      <c r="K189" t="s">
        <v>212</v>
      </c>
      <c r="L189" t="s">
        <v>82</v>
      </c>
      <c r="M189" t="s">
        <v>443</v>
      </c>
      <c r="N189" t="s">
        <v>52</v>
      </c>
      <c r="O189" t="s">
        <v>382</v>
      </c>
      <c r="P189">
        <v>8374363263</v>
      </c>
      <c r="Q189" t="s">
        <v>54</v>
      </c>
      <c r="R189" t="s">
        <v>139</v>
      </c>
      <c r="S189" t="s">
        <v>43</v>
      </c>
      <c r="T189" t="s">
        <v>43</v>
      </c>
      <c r="U189" t="s">
        <v>44</v>
      </c>
      <c r="V189" t="s">
        <v>45</v>
      </c>
      <c r="W189" t="s">
        <v>5042</v>
      </c>
      <c r="X189" t="s">
        <v>45</v>
      </c>
      <c r="Y189" t="s">
        <v>46</v>
      </c>
      <c r="Z189" t="s">
        <v>47</v>
      </c>
      <c r="AA189" t="s">
        <v>48</v>
      </c>
      <c r="AB189" t="s">
        <v>49</v>
      </c>
      <c r="AC189" t="s">
        <v>49</v>
      </c>
      <c r="AD189" t="s">
        <v>184</v>
      </c>
      <c r="AE189" t="s">
        <v>185</v>
      </c>
      <c r="AF189">
        <v>0</v>
      </c>
      <c r="AG189" t="s">
        <v>196</v>
      </c>
      <c r="AH189" s="93">
        <f>VLOOKUP(Table1[[#This Row],[Caste]],Factor!$H$1:$K$13,4,0)</f>
        <v>0.80207032429970992</v>
      </c>
      <c r="AI18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89">
        <f>Table1[[#This Row],[Factor_1]]*Table1[[#This Row],[2024 Factor]]</f>
        <v>0.65595572330316032</v>
      </c>
      <c r="AK189">
        <f>VLOOKUP(Table1[[#This Row],[Q18: Gender]],Factor!$A$33:$E$35,5,0)</f>
        <v>0.85034013605442171</v>
      </c>
      <c r="AL189">
        <f>VLOOKUP(Table1[[#This Row],[Taluka]],Factor!$A$42:$G$46,7,0)</f>
        <v>0.75433779645928134</v>
      </c>
      <c r="AM189">
        <f>VLOOKUP(Table1[[#This Row],[Caste]]&amp;Table1[[#This Row],[Q18: Gender]],Factor!$W$1:$X$23,2,0)</f>
        <v>0.60762903356038633</v>
      </c>
      <c r="AN189">
        <f>VLOOKUP(Table1[[#This Row],[Taluka]]&amp;Table1[[#This Row],[Caste]]&amp;Table1[[#This Row],[Q18: Gender]],Factor!$AK$4:$AL$93,2,0)</f>
        <v>0.22537440548651508</v>
      </c>
      <c r="AO189">
        <f t="shared" si="22"/>
        <v>-1</v>
      </c>
      <c r="AP189">
        <f t="shared" si="23"/>
        <v>-1</v>
      </c>
      <c r="AQ189">
        <f t="shared" si="24"/>
        <v>-1</v>
      </c>
      <c r="AR189">
        <f t="shared" si="25"/>
        <v>-1</v>
      </c>
      <c r="AS189">
        <f t="shared" si="26"/>
        <v>-1</v>
      </c>
      <c r="AT189">
        <f t="shared" si="27"/>
        <v>-1</v>
      </c>
      <c r="AU189">
        <f t="shared" si="28"/>
        <v>-5.5</v>
      </c>
      <c r="AV189">
        <f>SUM(Table1[[#This Row],[Satis]:[29]])</f>
        <v>-6</v>
      </c>
      <c r="AW189">
        <f t="shared" si="29"/>
        <v>-5</v>
      </c>
      <c r="AX189">
        <f t="shared" si="30"/>
        <v>-4</v>
      </c>
      <c r="AY189">
        <f t="shared" si="31"/>
        <v>-3</v>
      </c>
      <c r="AZ189" t="str">
        <f t="shared" si="32"/>
        <v>TDP HardCore</v>
      </c>
    </row>
    <row r="190" spans="1:52" x14ac:dyDescent="0.3">
      <c r="A190" t="s">
        <v>1160</v>
      </c>
      <c r="B190" s="94">
        <v>46043</v>
      </c>
      <c r="C190" t="s">
        <v>1161</v>
      </c>
      <c r="D190" t="s">
        <v>1157</v>
      </c>
      <c r="E190" t="s">
        <v>1158</v>
      </c>
      <c r="F190" t="s">
        <v>240</v>
      </c>
      <c r="G190" t="s">
        <v>39</v>
      </c>
      <c r="H190" t="s">
        <v>1162</v>
      </c>
      <c r="I190" t="s">
        <v>228</v>
      </c>
      <c r="J190" t="s">
        <v>37</v>
      </c>
      <c r="K190" t="s">
        <v>212</v>
      </c>
      <c r="L190" t="s">
        <v>82</v>
      </c>
      <c r="M190" t="s">
        <v>443</v>
      </c>
      <c r="N190" t="s">
        <v>52</v>
      </c>
      <c r="O190" t="s">
        <v>382</v>
      </c>
      <c r="P190">
        <v>8374363263</v>
      </c>
      <c r="Q190" t="s">
        <v>54</v>
      </c>
      <c r="R190" t="s">
        <v>139</v>
      </c>
      <c r="S190" t="s">
        <v>43</v>
      </c>
      <c r="T190" t="s">
        <v>43</v>
      </c>
      <c r="U190" t="s">
        <v>44</v>
      </c>
      <c r="V190" t="s">
        <v>45</v>
      </c>
      <c r="W190" t="s">
        <v>5042</v>
      </c>
      <c r="X190" t="s">
        <v>45</v>
      </c>
      <c r="Y190" t="s">
        <v>46</v>
      </c>
      <c r="Z190" t="s">
        <v>47</v>
      </c>
      <c r="AA190" t="s">
        <v>48</v>
      </c>
      <c r="AB190" t="s">
        <v>49</v>
      </c>
      <c r="AC190" t="s">
        <v>49</v>
      </c>
      <c r="AD190">
        <v>0</v>
      </c>
      <c r="AE190" t="s">
        <v>185</v>
      </c>
      <c r="AF190">
        <v>0</v>
      </c>
      <c r="AG190" t="s">
        <v>196</v>
      </c>
      <c r="AH190" s="93">
        <f>VLOOKUP(Table1[[#This Row],[Caste]],Factor!$H$1:$K$13,4,0)</f>
        <v>0.80207032429970992</v>
      </c>
      <c r="AI19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90">
        <f>Table1[[#This Row],[Factor_1]]*Table1[[#This Row],[2024 Factor]]</f>
        <v>0.65595572330316032</v>
      </c>
      <c r="AK190">
        <f>VLOOKUP(Table1[[#This Row],[Q18: Gender]],Factor!$A$33:$E$35,5,0)</f>
        <v>0.85034013605442171</v>
      </c>
      <c r="AL190">
        <f>VLOOKUP(Table1[[#This Row],[Taluka]],Factor!$A$42:$G$46,7,0)</f>
        <v>0.75433779645928134</v>
      </c>
      <c r="AM190">
        <f>VLOOKUP(Table1[[#This Row],[Caste]]&amp;Table1[[#This Row],[Q18: Gender]],Factor!$W$1:$X$23,2,0)</f>
        <v>0.60762903356038633</v>
      </c>
      <c r="AN190">
        <f>VLOOKUP(Table1[[#This Row],[Taluka]]&amp;Table1[[#This Row],[Caste]]&amp;Table1[[#This Row],[Q18: Gender]],Factor!$AK$4:$AL$93,2,0)</f>
        <v>0.22537440548651508</v>
      </c>
      <c r="AO190">
        <f t="shared" si="22"/>
        <v>-1</v>
      </c>
      <c r="AP190">
        <f t="shared" si="23"/>
        <v>-1</v>
      </c>
      <c r="AQ190">
        <f t="shared" si="24"/>
        <v>-1</v>
      </c>
      <c r="AR190">
        <f t="shared" si="25"/>
        <v>-1</v>
      </c>
      <c r="AS190">
        <f t="shared" si="26"/>
        <v>-1</v>
      </c>
      <c r="AT190">
        <f t="shared" si="27"/>
        <v>-1</v>
      </c>
      <c r="AU190">
        <f t="shared" si="28"/>
        <v>-5.5</v>
      </c>
      <c r="AV190">
        <f>SUM(Table1[[#This Row],[Satis]:[29]])</f>
        <v>-6</v>
      </c>
      <c r="AW190">
        <f t="shared" si="29"/>
        <v>-5</v>
      </c>
      <c r="AX190">
        <f t="shared" si="30"/>
        <v>-4</v>
      </c>
      <c r="AY190">
        <f t="shared" si="31"/>
        <v>-3</v>
      </c>
      <c r="AZ190" t="str">
        <f t="shared" si="32"/>
        <v>TDP HardCore</v>
      </c>
    </row>
    <row r="191" spans="1:52" x14ac:dyDescent="0.3">
      <c r="A191" t="s">
        <v>1163</v>
      </c>
      <c r="B191" s="94">
        <v>46043</v>
      </c>
      <c r="C191" t="s">
        <v>1161</v>
      </c>
      <c r="D191" t="s">
        <v>1157</v>
      </c>
      <c r="E191" t="s">
        <v>1158</v>
      </c>
      <c r="F191" t="s">
        <v>240</v>
      </c>
      <c r="G191" t="s">
        <v>39</v>
      </c>
      <c r="H191" t="s">
        <v>1164</v>
      </c>
      <c r="I191" t="s">
        <v>228</v>
      </c>
      <c r="J191" t="s">
        <v>37</v>
      </c>
      <c r="K191" t="s">
        <v>212</v>
      </c>
      <c r="L191" t="s">
        <v>82</v>
      </c>
      <c r="M191" t="s">
        <v>443</v>
      </c>
      <c r="N191" t="s">
        <v>52</v>
      </c>
      <c r="O191" t="s">
        <v>382</v>
      </c>
      <c r="P191">
        <v>8374363263</v>
      </c>
      <c r="Q191" t="s">
        <v>54</v>
      </c>
      <c r="R191" t="s">
        <v>139</v>
      </c>
      <c r="S191" t="s">
        <v>43</v>
      </c>
      <c r="T191" t="s">
        <v>43</v>
      </c>
      <c r="U191" t="s">
        <v>44</v>
      </c>
      <c r="V191" t="s">
        <v>45</v>
      </c>
      <c r="W191" t="s">
        <v>5042</v>
      </c>
      <c r="X191" t="s">
        <v>45</v>
      </c>
      <c r="Y191" t="s">
        <v>46</v>
      </c>
      <c r="Z191" t="s">
        <v>47</v>
      </c>
      <c r="AA191" t="s">
        <v>48</v>
      </c>
      <c r="AB191" t="s">
        <v>49</v>
      </c>
      <c r="AC191" t="s">
        <v>49</v>
      </c>
      <c r="AD191">
        <v>0</v>
      </c>
      <c r="AE191" t="s">
        <v>185</v>
      </c>
      <c r="AF191">
        <v>0</v>
      </c>
      <c r="AG191" t="s">
        <v>196</v>
      </c>
      <c r="AH191" s="93">
        <f>VLOOKUP(Table1[[#This Row],[Caste]],Factor!$H$1:$K$13,4,0)</f>
        <v>0.80207032429970992</v>
      </c>
      <c r="AI19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91">
        <f>Table1[[#This Row],[Factor_1]]*Table1[[#This Row],[2024 Factor]]</f>
        <v>0.65595572330316032</v>
      </c>
      <c r="AK191">
        <f>VLOOKUP(Table1[[#This Row],[Q18: Gender]],Factor!$A$33:$E$35,5,0)</f>
        <v>0.85034013605442171</v>
      </c>
      <c r="AL191">
        <f>VLOOKUP(Table1[[#This Row],[Taluka]],Factor!$A$42:$G$46,7,0)</f>
        <v>0.75433779645928134</v>
      </c>
      <c r="AM191">
        <f>VLOOKUP(Table1[[#This Row],[Caste]]&amp;Table1[[#This Row],[Q18: Gender]],Factor!$W$1:$X$23,2,0)</f>
        <v>0.60762903356038633</v>
      </c>
      <c r="AN191">
        <f>VLOOKUP(Table1[[#This Row],[Taluka]]&amp;Table1[[#This Row],[Caste]]&amp;Table1[[#This Row],[Q18: Gender]],Factor!$AK$4:$AL$93,2,0)</f>
        <v>0.22537440548651508</v>
      </c>
      <c r="AO191">
        <f t="shared" si="22"/>
        <v>-1</v>
      </c>
      <c r="AP191">
        <f t="shared" si="23"/>
        <v>-1</v>
      </c>
      <c r="AQ191">
        <f t="shared" si="24"/>
        <v>-1</v>
      </c>
      <c r="AR191">
        <f t="shared" si="25"/>
        <v>-1</v>
      </c>
      <c r="AS191">
        <f t="shared" si="26"/>
        <v>-1</v>
      </c>
      <c r="AT191">
        <f t="shared" si="27"/>
        <v>-1</v>
      </c>
      <c r="AU191">
        <f t="shared" si="28"/>
        <v>-5.5</v>
      </c>
      <c r="AV191">
        <f>SUM(Table1[[#This Row],[Satis]:[29]])</f>
        <v>-6</v>
      </c>
      <c r="AW191">
        <f t="shared" si="29"/>
        <v>-5</v>
      </c>
      <c r="AX191">
        <f t="shared" si="30"/>
        <v>-4</v>
      </c>
      <c r="AY191">
        <f t="shared" si="31"/>
        <v>-3</v>
      </c>
      <c r="AZ191" t="str">
        <f t="shared" si="32"/>
        <v>TDP HardCore</v>
      </c>
    </row>
    <row r="192" spans="1:52" x14ac:dyDescent="0.3">
      <c r="A192" t="s">
        <v>1165</v>
      </c>
      <c r="B192" s="94">
        <v>46043</v>
      </c>
      <c r="C192" t="s">
        <v>1166</v>
      </c>
      <c r="D192" t="s">
        <v>1167</v>
      </c>
      <c r="E192" t="s">
        <v>1043</v>
      </c>
      <c r="F192" t="s">
        <v>935</v>
      </c>
      <c r="G192" t="s">
        <v>39</v>
      </c>
      <c r="H192" t="s">
        <v>1168</v>
      </c>
      <c r="I192" t="s">
        <v>70</v>
      </c>
      <c r="J192" t="s">
        <v>219</v>
      </c>
      <c r="K192" t="s">
        <v>225</v>
      </c>
      <c r="L192" t="s">
        <v>50</v>
      </c>
      <c r="M192" t="s">
        <v>49</v>
      </c>
      <c r="N192" t="s">
        <v>49</v>
      </c>
      <c r="O192" t="s">
        <v>49</v>
      </c>
      <c r="P192" t="s">
        <v>49</v>
      </c>
      <c r="Q192" t="s">
        <v>49</v>
      </c>
      <c r="R192" t="s">
        <v>132</v>
      </c>
      <c r="S192" t="s">
        <v>88</v>
      </c>
      <c r="T192" t="s">
        <v>43</v>
      </c>
      <c r="U192" t="s">
        <v>44</v>
      </c>
      <c r="V192" t="s">
        <v>91</v>
      </c>
      <c r="W192" t="s">
        <v>5049</v>
      </c>
      <c r="X192" t="s">
        <v>91</v>
      </c>
      <c r="Y192" t="s">
        <v>46</v>
      </c>
      <c r="Z192" t="s">
        <v>92</v>
      </c>
      <c r="AA192" t="s">
        <v>48</v>
      </c>
      <c r="AB192" t="s">
        <v>49</v>
      </c>
      <c r="AC192" t="s">
        <v>49</v>
      </c>
      <c r="AD192" t="s">
        <v>184</v>
      </c>
      <c r="AE192" t="s">
        <v>1250</v>
      </c>
      <c r="AF192">
        <v>0</v>
      </c>
      <c r="AG192" t="s">
        <v>498</v>
      </c>
      <c r="AH192" s="93">
        <f>VLOOKUP(Table1[[#This Row],[Caste]],Factor!$H$1:$K$13,4,0)</f>
        <v>1.3836274505214585</v>
      </c>
      <c r="AI19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92" t="e">
        <f>Table1[[#This Row],[Factor_1]]*Table1[[#This Row],[2024 Factor]]</f>
        <v>#N/A</v>
      </c>
      <c r="AK192" t="e">
        <f>VLOOKUP(Table1[[#This Row],[Q18: Gender]],Factor!$A$33:$E$35,5,0)</f>
        <v>#N/A</v>
      </c>
      <c r="AL192">
        <f>VLOOKUP(Table1[[#This Row],[Taluka]],Factor!$A$42:$G$46,7,0)</f>
        <v>1.147984664167413</v>
      </c>
      <c r="AM192" t="e">
        <f>VLOOKUP(Table1[[#This Row],[Caste]]&amp;Table1[[#This Row],[Q18: Gender]],Factor!$W$1:$X$23,2,0)</f>
        <v>#N/A</v>
      </c>
      <c r="AN192" t="e">
        <f>VLOOKUP(Table1[[#This Row],[Taluka]]&amp;Table1[[#This Row],[Caste]]&amp;Table1[[#This Row],[Q18: Gender]],Factor!$AK$4:$AL$93,2,0)</f>
        <v>#N/A</v>
      </c>
      <c r="AO192">
        <f t="shared" si="22"/>
        <v>-1</v>
      </c>
      <c r="AP192">
        <f t="shared" si="23"/>
        <v>-1</v>
      </c>
      <c r="AQ192">
        <f t="shared" si="24"/>
        <v>1</v>
      </c>
      <c r="AR192">
        <f t="shared" si="25"/>
        <v>1</v>
      </c>
      <c r="AS192">
        <f t="shared" si="26"/>
        <v>-1</v>
      </c>
      <c r="AT192">
        <f t="shared" si="27"/>
        <v>1</v>
      </c>
      <c r="AU192">
        <f t="shared" si="28"/>
        <v>0.5</v>
      </c>
      <c r="AV192">
        <f>SUM(Table1[[#This Row],[Satis]:[29]])</f>
        <v>0</v>
      </c>
      <c r="AW192">
        <f t="shared" si="29"/>
        <v>1</v>
      </c>
      <c r="AX192">
        <f t="shared" si="30"/>
        <v>2</v>
      </c>
      <c r="AY192" t="str">
        <f t="shared" si="31"/>
        <v>ND</v>
      </c>
      <c r="AZ192" t="str">
        <f t="shared" si="32"/>
        <v>ND</v>
      </c>
    </row>
    <row r="193" spans="1:52" x14ac:dyDescent="0.3">
      <c r="A193" t="s">
        <v>1169</v>
      </c>
      <c r="B193" s="94">
        <v>46043</v>
      </c>
      <c r="C193" t="s">
        <v>1170</v>
      </c>
      <c r="D193" t="s">
        <v>1171</v>
      </c>
      <c r="E193" t="s">
        <v>1172</v>
      </c>
      <c r="F193" t="s">
        <v>935</v>
      </c>
      <c r="G193" t="s">
        <v>39</v>
      </c>
      <c r="H193" t="s">
        <v>1173</v>
      </c>
      <c r="I193" t="s">
        <v>70</v>
      </c>
      <c r="J193" t="s">
        <v>219</v>
      </c>
      <c r="K193" t="s">
        <v>225</v>
      </c>
      <c r="L193" t="s">
        <v>62</v>
      </c>
      <c r="M193" t="s">
        <v>51</v>
      </c>
      <c r="N193" t="s">
        <v>52</v>
      </c>
      <c r="O193" t="s">
        <v>1174</v>
      </c>
      <c r="P193">
        <v>9603317017</v>
      </c>
      <c r="Q193" t="s">
        <v>54</v>
      </c>
      <c r="R193" t="s">
        <v>139</v>
      </c>
      <c r="S193" t="s">
        <v>43</v>
      </c>
      <c r="T193" t="s">
        <v>43</v>
      </c>
      <c r="U193" t="s">
        <v>90</v>
      </c>
      <c r="V193" t="s">
        <v>91</v>
      </c>
      <c r="W193" t="s">
        <v>5057</v>
      </c>
      <c r="X193" t="s">
        <v>91</v>
      </c>
      <c r="Y193" t="s">
        <v>46</v>
      </c>
      <c r="Z193" t="s">
        <v>92</v>
      </c>
      <c r="AA193" t="s">
        <v>92</v>
      </c>
      <c r="AB193" t="s">
        <v>351</v>
      </c>
      <c r="AC193" t="s">
        <v>94</v>
      </c>
      <c r="AD193" t="s">
        <v>184</v>
      </c>
      <c r="AE193" t="s">
        <v>191</v>
      </c>
      <c r="AF193" t="s">
        <v>1259</v>
      </c>
      <c r="AG193" t="s">
        <v>498</v>
      </c>
      <c r="AH193" s="93">
        <f>VLOOKUP(Table1[[#This Row],[Caste]],Factor!$H$1:$K$13,4,0)</f>
        <v>1.3836274505214585</v>
      </c>
      <c r="AI193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193">
        <f>Table1[[#This Row],[Factor_1]]*Table1[[#This Row],[2024 Factor]]</f>
        <v>1.9482662206881376</v>
      </c>
      <c r="AK193">
        <f>VLOOKUP(Table1[[#This Row],[Q18: Gender]],Factor!$A$33:$E$35,5,0)</f>
        <v>0.85034013605442171</v>
      </c>
      <c r="AL193">
        <f>VLOOKUP(Table1[[#This Row],[Taluka]],Factor!$A$42:$G$46,7,0)</f>
        <v>1.147984664167413</v>
      </c>
      <c r="AM193">
        <f>VLOOKUP(Table1[[#This Row],[Caste]]&amp;Table1[[#This Row],[Q18: Gender]],Factor!$W$1:$X$23,2,0)</f>
        <v>1.0790228998469584</v>
      </c>
      <c r="AN193">
        <f>VLOOKUP(Table1[[#This Row],[Taluka]]&amp;Table1[[#This Row],[Caste]]&amp;Table1[[#This Row],[Q18: Gender]],Factor!$AK$4:$AL$93,2,0)</f>
        <v>1.1572915102003449</v>
      </c>
      <c r="AO193">
        <f t="shared" si="22"/>
        <v>-1</v>
      </c>
      <c r="AP193">
        <f t="shared" si="23"/>
        <v>1</v>
      </c>
      <c r="AQ193">
        <f t="shared" si="24"/>
        <v>1</v>
      </c>
      <c r="AR193">
        <f t="shared" si="25"/>
        <v>1</v>
      </c>
      <c r="AS193">
        <f t="shared" si="26"/>
        <v>1</v>
      </c>
      <c r="AT193">
        <f t="shared" si="27"/>
        <v>1</v>
      </c>
      <c r="AU193">
        <f t="shared" si="28"/>
        <v>3.5</v>
      </c>
      <c r="AV193">
        <f>SUM(Table1[[#This Row],[Satis]:[29]])</f>
        <v>4</v>
      </c>
      <c r="AW193">
        <f t="shared" si="29"/>
        <v>3</v>
      </c>
      <c r="AX193">
        <f t="shared" si="30"/>
        <v>4</v>
      </c>
      <c r="AY193">
        <f t="shared" si="31"/>
        <v>2</v>
      </c>
      <c r="AZ193" t="str">
        <f t="shared" si="32"/>
        <v>YSRCP Sympathiser</v>
      </c>
    </row>
    <row r="194" spans="1:52" x14ac:dyDescent="0.3">
      <c r="A194" t="s">
        <v>1175</v>
      </c>
      <c r="B194" s="94">
        <v>46043</v>
      </c>
      <c r="C194" t="s">
        <v>1176</v>
      </c>
      <c r="D194" t="s">
        <v>1177</v>
      </c>
      <c r="E194" t="s">
        <v>1128</v>
      </c>
      <c r="F194" t="s">
        <v>69</v>
      </c>
      <c r="G194" t="s">
        <v>39</v>
      </c>
      <c r="H194" t="s">
        <v>1178</v>
      </c>
      <c r="I194" t="s">
        <v>59</v>
      </c>
      <c r="J194" t="s">
        <v>219</v>
      </c>
      <c r="K194" t="s">
        <v>220</v>
      </c>
      <c r="L194" t="s">
        <v>451</v>
      </c>
      <c r="M194" t="s">
        <v>51</v>
      </c>
      <c r="N194" t="s">
        <v>63</v>
      </c>
      <c r="O194" t="s">
        <v>1179</v>
      </c>
      <c r="P194">
        <v>9059382016</v>
      </c>
      <c r="Q194" t="s">
        <v>445</v>
      </c>
      <c r="R194" t="s">
        <v>61</v>
      </c>
      <c r="S194" t="s">
        <v>43</v>
      </c>
      <c r="T194" t="s">
        <v>89</v>
      </c>
      <c r="U194" t="s">
        <v>90</v>
      </c>
      <c r="V194" t="s">
        <v>91</v>
      </c>
      <c r="W194" t="s">
        <v>5047</v>
      </c>
      <c r="X194" t="s">
        <v>91</v>
      </c>
      <c r="Y194" t="s">
        <v>46</v>
      </c>
      <c r="Z194" t="s">
        <v>92</v>
      </c>
      <c r="AA194" t="s">
        <v>92</v>
      </c>
      <c r="AB194" t="s">
        <v>93</v>
      </c>
      <c r="AC194" t="s">
        <v>94</v>
      </c>
      <c r="AD194" t="s">
        <v>184</v>
      </c>
      <c r="AE194" t="s">
        <v>189</v>
      </c>
      <c r="AF194" t="s">
        <v>1260</v>
      </c>
      <c r="AG194" t="s">
        <v>196</v>
      </c>
      <c r="AH194" s="93">
        <f>VLOOKUP(Table1[[#This Row],[Caste]],Factor!$H$1:$K$13,4,0)</f>
        <v>1.1461625511156397</v>
      </c>
      <c r="AI194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194">
        <f>Table1[[#This Row],[Factor_1]]*Table1[[#This Row],[2024 Factor]]</f>
        <v>5.0722855010430106</v>
      </c>
      <c r="AK194">
        <f>VLOOKUP(Table1[[#This Row],[Q18: Gender]],Factor!$A$33:$E$35,5,0)</f>
        <v>2.1645021645021645</v>
      </c>
      <c r="AL194">
        <f>VLOOKUP(Table1[[#This Row],[Taluka]],Factor!$A$42:$G$46,7,0)</f>
        <v>1.147984664167413</v>
      </c>
      <c r="AM194">
        <f>VLOOKUP(Table1[[#This Row],[Caste]]&amp;Table1[[#This Row],[Q18: Gender]],Factor!$W$1:$X$23,2,0)</f>
        <v>2.8092219390089208</v>
      </c>
      <c r="AN194">
        <f>VLOOKUP(Table1[[#This Row],[Taluka]]&amp;Table1[[#This Row],[Caste]]&amp;Table1[[#This Row],[Q18: Gender]],Factor!$AK$4:$AL$93,2,0)</f>
        <v>2.2934724643212636</v>
      </c>
      <c r="AO194">
        <f t="shared" ref="AO194:AO257" si="33">IF(T194="బాగుంది",-1,1)</f>
        <v>1</v>
      </c>
      <c r="AP194">
        <f t="shared" ref="AP194:AP257" si="34">IF(U194="అమలవడం లేదు",1,-1)</f>
        <v>1</v>
      </c>
      <c r="AQ194">
        <f t="shared" ref="AQ194:AQ257" si="35">IF(V194="జగన్ మోహన్ రెడ్డి గారు",1,-1)</f>
        <v>1</v>
      </c>
      <c r="AR194">
        <f t="shared" ref="AR194:AR257" si="36">IF(X194="జగన్ మోహన్ రెడ్డి గారు",1,-1)</f>
        <v>1</v>
      </c>
      <c r="AS194">
        <f t="shared" ref="AS194:AS257" si="37">IF(AA194="YSRCP (వైఎస్‌ఆర్‌సీపీ)",1,-1)</f>
        <v>1</v>
      </c>
      <c r="AT194">
        <f t="shared" ref="AT194:AT257" si="38">IF(Z194="YSRCP (వైఎస్‌ఆర్‌సీపీ)",1,-1)</f>
        <v>1</v>
      </c>
      <c r="AU194">
        <f t="shared" ref="AU194:AU257" si="39">AO194+AP194+AQ194+AR194+(0.5*AS194)+AT194</f>
        <v>5.5</v>
      </c>
      <c r="AV194">
        <f>SUM(Table1[[#This Row],[Satis]:[29]])</f>
        <v>6</v>
      </c>
      <c r="AW194">
        <f t="shared" ref="AW194:AW257" si="40">AO194+AQ194+AR194+AS194+AT194</f>
        <v>5</v>
      </c>
      <c r="AX194">
        <f t="shared" ref="AX194:AX257" si="41">AQ194+AR194+AS194+AT194</f>
        <v>4</v>
      </c>
      <c r="AY194">
        <f t="shared" ref="AY194:AY257" si="42">IF(AND(AO194=1,AS194=1,AT194=1),3,IF(AND(AO194=-1,AS194=-1,AT194=-1),-3,IF(AND(AO194=1,AS194=-1,AT194=1),2,IF(AND(AO194=-1,AS194=1,AT194=-1),-2,IF(AND(AS194=1,AT194=1),2,IF(AND(AS194=-1,AT194=-1),-2,"ND"))))))</f>
        <v>3</v>
      </c>
      <c r="AZ194" t="str">
        <f t="shared" ref="AZ194:AZ257" si="43">IFERROR(IF(AV194=6,"YSRCP HardCore",IF(AV194=-6,"TDP HardCore",IF(AW194&gt;=4,"YSRCP Sympathiser",IF(AW194&lt;=-4,"TDP Sympathiser",IF(AX194&gt;=3,"YSRCP Sympathiser",IF(AX194&lt;=-3,"TDP Sympathiser",IF(AY194="ND","ND",IF(AY194&gt;=2,"Neutral YSRCP",IF(AY194&lt;=-2,"Neutral TDP",0))))))))),"ND")</f>
        <v>YSRCP HardCore</v>
      </c>
    </row>
    <row r="195" spans="1:52" x14ac:dyDescent="0.3">
      <c r="A195" t="s">
        <v>1180</v>
      </c>
      <c r="B195" s="94">
        <v>46043</v>
      </c>
      <c r="C195" t="s">
        <v>1181</v>
      </c>
      <c r="D195" t="s">
        <v>1182</v>
      </c>
      <c r="E195" t="s">
        <v>1183</v>
      </c>
      <c r="F195" t="s">
        <v>935</v>
      </c>
      <c r="G195" t="s">
        <v>39</v>
      </c>
      <c r="H195" t="s">
        <v>1184</v>
      </c>
      <c r="I195" t="s">
        <v>228</v>
      </c>
      <c r="J195" t="s">
        <v>219</v>
      </c>
      <c r="K195" t="s">
        <v>225</v>
      </c>
      <c r="L195" t="s">
        <v>62</v>
      </c>
      <c r="M195" t="s">
        <v>51</v>
      </c>
      <c r="N195" t="s">
        <v>63</v>
      </c>
      <c r="O195" t="s">
        <v>1185</v>
      </c>
      <c r="P195">
        <v>9989990114</v>
      </c>
      <c r="Q195" t="s">
        <v>445</v>
      </c>
      <c r="R195" t="s">
        <v>139</v>
      </c>
      <c r="S195" t="s">
        <v>43</v>
      </c>
      <c r="T195" t="s">
        <v>43</v>
      </c>
      <c r="U195" t="s">
        <v>44</v>
      </c>
      <c r="V195" t="s">
        <v>45</v>
      </c>
      <c r="W195" t="s">
        <v>5055</v>
      </c>
      <c r="X195" t="s">
        <v>45</v>
      </c>
      <c r="Y195" t="s">
        <v>46</v>
      </c>
      <c r="Z195" t="s">
        <v>47</v>
      </c>
      <c r="AA195" t="s">
        <v>48</v>
      </c>
      <c r="AB195" t="s">
        <v>49</v>
      </c>
      <c r="AC195" t="s">
        <v>49</v>
      </c>
      <c r="AD195" t="s">
        <v>184</v>
      </c>
      <c r="AE195" t="s">
        <v>1250</v>
      </c>
      <c r="AF195" t="s">
        <v>1261</v>
      </c>
      <c r="AG195" t="s">
        <v>498</v>
      </c>
      <c r="AH195" s="93">
        <f>VLOOKUP(Table1[[#This Row],[Caste]],Factor!$H$1:$K$13,4,0)</f>
        <v>0.80207032429970992</v>
      </c>
      <c r="AI19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95">
        <f>Table1[[#This Row],[Factor_1]]*Table1[[#This Row],[2024 Factor]]</f>
        <v>1.2733258158237817</v>
      </c>
      <c r="AK195">
        <f>VLOOKUP(Table1[[#This Row],[Q18: Gender]],Factor!$A$33:$E$35,5,0)</f>
        <v>2.1645021645021645</v>
      </c>
      <c r="AL195">
        <f>VLOOKUP(Table1[[#This Row],[Taluka]],Factor!$A$42:$G$46,7,0)</f>
        <v>1.147984664167413</v>
      </c>
      <c r="AM195">
        <f>VLOOKUP(Table1[[#This Row],[Caste]]&amp;Table1[[#This Row],[Q18: Gender]],Factor!$W$1:$X$23,2,0)</f>
        <v>1.1795151827936912</v>
      </c>
      <c r="AN195">
        <f>VLOOKUP(Table1[[#This Row],[Taluka]]&amp;Table1[[#This Row],[Caste]]&amp;Table1[[#This Row],[Q18: Gender]],Factor!$AK$4:$AL$93,2,0)</f>
        <v>1.9259322700153538</v>
      </c>
      <c r="AO195">
        <f t="shared" si="33"/>
        <v>-1</v>
      </c>
      <c r="AP195">
        <f t="shared" si="34"/>
        <v>-1</v>
      </c>
      <c r="AQ195">
        <f t="shared" si="35"/>
        <v>-1</v>
      </c>
      <c r="AR195">
        <f t="shared" si="36"/>
        <v>-1</v>
      </c>
      <c r="AS195">
        <f t="shared" si="37"/>
        <v>-1</v>
      </c>
      <c r="AT195">
        <f t="shared" si="38"/>
        <v>-1</v>
      </c>
      <c r="AU195">
        <f t="shared" si="39"/>
        <v>-5.5</v>
      </c>
      <c r="AV195">
        <f>SUM(Table1[[#This Row],[Satis]:[29]])</f>
        <v>-6</v>
      </c>
      <c r="AW195">
        <f t="shared" si="40"/>
        <v>-5</v>
      </c>
      <c r="AX195">
        <f t="shared" si="41"/>
        <v>-4</v>
      </c>
      <c r="AY195">
        <f t="shared" si="42"/>
        <v>-3</v>
      </c>
      <c r="AZ195" t="str">
        <f t="shared" si="43"/>
        <v>TDP HardCore</v>
      </c>
    </row>
    <row r="196" spans="1:52" x14ac:dyDescent="0.3">
      <c r="A196" t="s">
        <v>1186</v>
      </c>
      <c r="B196" s="94">
        <v>46043</v>
      </c>
      <c r="C196" t="s">
        <v>1187</v>
      </c>
      <c r="D196" t="s">
        <v>1182</v>
      </c>
      <c r="E196" t="s">
        <v>1183</v>
      </c>
      <c r="F196" t="s">
        <v>935</v>
      </c>
      <c r="G196" t="s">
        <v>39</v>
      </c>
      <c r="H196" t="s">
        <v>1188</v>
      </c>
      <c r="I196" t="s">
        <v>228</v>
      </c>
      <c r="J196" t="s">
        <v>219</v>
      </c>
      <c r="K196" t="s">
        <v>225</v>
      </c>
      <c r="L196" t="s">
        <v>62</v>
      </c>
      <c r="M196" t="s">
        <v>51</v>
      </c>
      <c r="N196" t="s">
        <v>63</v>
      </c>
      <c r="O196" t="s">
        <v>1185</v>
      </c>
      <c r="P196">
        <v>9989990114</v>
      </c>
      <c r="Q196" t="s">
        <v>445</v>
      </c>
      <c r="R196" t="s">
        <v>139</v>
      </c>
      <c r="S196" t="s">
        <v>43</v>
      </c>
      <c r="T196" t="s">
        <v>43</v>
      </c>
      <c r="U196" t="s">
        <v>44</v>
      </c>
      <c r="V196" t="s">
        <v>45</v>
      </c>
      <c r="W196" t="s">
        <v>5055</v>
      </c>
      <c r="X196" t="s">
        <v>45</v>
      </c>
      <c r="Y196" t="s">
        <v>46</v>
      </c>
      <c r="Z196" t="s">
        <v>47</v>
      </c>
      <c r="AA196" t="s">
        <v>48</v>
      </c>
      <c r="AB196" t="s">
        <v>49</v>
      </c>
      <c r="AC196" t="s">
        <v>49</v>
      </c>
      <c r="AD196">
        <v>0</v>
      </c>
      <c r="AE196" t="s">
        <v>185</v>
      </c>
      <c r="AF196">
        <v>0</v>
      </c>
      <c r="AG196" t="s">
        <v>196</v>
      </c>
      <c r="AH196" s="93">
        <f>VLOOKUP(Table1[[#This Row],[Caste]],Factor!$H$1:$K$13,4,0)</f>
        <v>0.80207032429970992</v>
      </c>
      <c r="AI19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96">
        <f>Table1[[#This Row],[Factor_1]]*Table1[[#This Row],[2024 Factor]]</f>
        <v>1.2733258158237817</v>
      </c>
      <c r="AK196">
        <f>VLOOKUP(Table1[[#This Row],[Q18: Gender]],Factor!$A$33:$E$35,5,0)</f>
        <v>2.1645021645021645</v>
      </c>
      <c r="AL196">
        <f>VLOOKUP(Table1[[#This Row],[Taluka]],Factor!$A$42:$G$46,7,0)</f>
        <v>1.147984664167413</v>
      </c>
      <c r="AM196">
        <f>VLOOKUP(Table1[[#This Row],[Caste]]&amp;Table1[[#This Row],[Q18: Gender]],Factor!$W$1:$X$23,2,0)</f>
        <v>1.1795151827936912</v>
      </c>
      <c r="AN196">
        <f>VLOOKUP(Table1[[#This Row],[Taluka]]&amp;Table1[[#This Row],[Caste]]&amp;Table1[[#This Row],[Q18: Gender]],Factor!$AK$4:$AL$93,2,0)</f>
        <v>1.9259322700153538</v>
      </c>
      <c r="AO196">
        <f t="shared" si="33"/>
        <v>-1</v>
      </c>
      <c r="AP196">
        <f t="shared" si="34"/>
        <v>-1</v>
      </c>
      <c r="AQ196">
        <f t="shared" si="35"/>
        <v>-1</v>
      </c>
      <c r="AR196">
        <f t="shared" si="36"/>
        <v>-1</v>
      </c>
      <c r="AS196">
        <f t="shared" si="37"/>
        <v>-1</v>
      </c>
      <c r="AT196">
        <f t="shared" si="38"/>
        <v>-1</v>
      </c>
      <c r="AU196">
        <f t="shared" si="39"/>
        <v>-5.5</v>
      </c>
      <c r="AV196">
        <f>SUM(Table1[[#This Row],[Satis]:[29]])</f>
        <v>-6</v>
      </c>
      <c r="AW196">
        <f t="shared" si="40"/>
        <v>-5</v>
      </c>
      <c r="AX196">
        <f t="shared" si="41"/>
        <v>-4</v>
      </c>
      <c r="AY196">
        <f t="shared" si="42"/>
        <v>-3</v>
      </c>
      <c r="AZ196" t="str">
        <f t="shared" si="43"/>
        <v>TDP HardCore</v>
      </c>
    </row>
    <row r="197" spans="1:52" x14ac:dyDescent="0.3">
      <c r="A197" t="s">
        <v>1189</v>
      </c>
      <c r="B197" s="94">
        <v>46043</v>
      </c>
      <c r="C197" t="s">
        <v>1190</v>
      </c>
      <c r="D197" t="s">
        <v>1191</v>
      </c>
      <c r="E197" t="s">
        <v>1037</v>
      </c>
      <c r="F197" t="s">
        <v>69</v>
      </c>
      <c r="G197" t="s">
        <v>39</v>
      </c>
      <c r="H197" t="s">
        <v>1192</v>
      </c>
      <c r="I197" t="s">
        <v>70</v>
      </c>
      <c r="J197" t="s">
        <v>219</v>
      </c>
      <c r="K197" t="s">
        <v>220</v>
      </c>
      <c r="L197" t="s">
        <v>75</v>
      </c>
      <c r="M197" t="s">
        <v>443</v>
      </c>
      <c r="N197" t="s">
        <v>63</v>
      </c>
      <c r="O197" t="s">
        <v>1193</v>
      </c>
      <c r="P197">
        <v>7207990117</v>
      </c>
      <c r="Q197" t="s">
        <v>54</v>
      </c>
      <c r="R197" t="s">
        <v>61</v>
      </c>
      <c r="S197" t="s">
        <v>43</v>
      </c>
      <c r="T197" t="s">
        <v>43</v>
      </c>
      <c r="U197" t="s">
        <v>44</v>
      </c>
      <c r="V197" t="s">
        <v>45</v>
      </c>
      <c r="W197" t="s">
        <v>5061</v>
      </c>
      <c r="X197" t="s">
        <v>45</v>
      </c>
      <c r="Y197" t="s">
        <v>46</v>
      </c>
      <c r="Z197" t="s">
        <v>47</v>
      </c>
      <c r="AA197" t="s">
        <v>48</v>
      </c>
      <c r="AB197" t="s">
        <v>49</v>
      </c>
      <c r="AC197" t="s">
        <v>49</v>
      </c>
      <c r="AD197" t="s">
        <v>184</v>
      </c>
      <c r="AE197" t="s">
        <v>1250</v>
      </c>
      <c r="AF197" t="s">
        <v>1261</v>
      </c>
      <c r="AG197" t="s">
        <v>498</v>
      </c>
      <c r="AH197" s="93">
        <f>VLOOKUP(Table1[[#This Row],[Caste]],Factor!$H$1:$K$13,4,0)</f>
        <v>1.3836274505214585</v>
      </c>
      <c r="AI19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97">
        <f>Table1[[#This Row],[Factor_1]]*Table1[[#This Row],[2024 Factor]]</f>
        <v>1.1648410586678206</v>
      </c>
      <c r="AK197">
        <f>VLOOKUP(Table1[[#This Row],[Q18: Gender]],Factor!$A$33:$E$35,5,0)</f>
        <v>0.85034013605442171</v>
      </c>
      <c r="AL197">
        <f>VLOOKUP(Table1[[#This Row],[Taluka]],Factor!$A$42:$G$46,7,0)</f>
        <v>1.147984664167413</v>
      </c>
      <c r="AM197">
        <f>VLOOKUP(Table1[[#This Row],[Caste]]&amp;Table1[[#This Row],[Q18: Gender]],Factor!$W$1:$X$23,2,0)</f>
        <v>1.0790228998469584</v>
      </c>
      <c r="AN197">
        <f>VLOOKUP(Table1[[#This Row],[Taluka]]&amp;Table1[[#This Row],[Caste]]&amp;Table1[[#This Row],[Q18: Gender]],Factor!$AK$4:$AL$93,2,0)</f>
        <v>1.1572915102003449</v>
      </c>
      <c r="AO197">
        <f t="shared" si="33"/>
        <v>-1</v>
      </c>
      <c r="AP197">
        <f t="shared" si="34"/>
        <v>-1</v>
      </c>
      <c r="AQ197">
        <f t="shared" si="35"/>
        <v>-1</v>
      </c>
      <c r="AR197">
        <f t="shared" si="36"/>
        <v>-1</v>
      </c>
      <c r="AS197">
        <f t="shared" si="37"/>
        <v>-1</v>
      </c>
      <c r="AT197">
        <f t="shared" si="38"/>
        <v>-1</v>
      </c>
      <c r="AU197">
        <f t="shared" si="39"/>
        <v>-5.5</v>
      </c>
      <c r="AV197">
        <f>SUM(Table1[[#This Row],[Satis]:[29]])</f>
        <v>-6</v>
      </c>
      <c r="AW197">
        <f t="shared" si="40"/>
        <v>-5</v>
      </c>
      <c r="AX197">
        <f t="shared" si="41"/>
        <v>-4</v>
      </c>
      <c r="AY197">
        <f t="shared" si="42"/>
        <v>-3</v>
      </c>
      <c r="AZ197" t="str">
        <f t="shared" si="43"/>
        <v>TDP HardCore</v>
      </c>
    </row>
    <row r="198" spans="1:52" x14ac:dyDescent="0.3">
      <c r="A198" t="s">
        <v>1194</v>
      </c>
      <c r="B198" s="94">
        <v>46043</v>
      </c>
      <c r="C198" t="s">
        <v>1195</v>
      </c>
      <c r="D198" t="s">
        <v>1196</v>
      </c>
      <c r="E198" t="s">
        <v>1197</v>
      </c>
      <c r="F198" t="s">
        <v>240</v>
      </c>
      <c r="G198" t="s">
        <v>39</v>
      </c>
      <c r="H198" t="s">
        <v>1198</v>
      </c>
      <c r="I198" t="s">
        <v>228</v>
      </c>
      <c r="J198" t="s">
        <v>37</v>
      </c>
      <c r="K198" t="s">
        <v>212</v>
      </c>
      <c r="L198" t="s">
        <v>451</v>
      </c>
      <c r="M198" t="s">
        <v>51</v>
      </c>
      <c r="N198" t="s">
        <v>63</v>
      </c>
      <c r="O198" t="s">
        <v>1199</v>
      </c>
      <c r="P198">
        <v>9049540772</v>
      </c>
      <c r="Q198" t="s">
        <v>445</v>
      </c>
      <c r="R198" t="s">
        <v>139</v>
      </c>
      <c r="S198" t="s">
        <v>43</v>
      </c>
      <c r="T198" t="s">
        <v>43</v>
      </c>
      <c r="U198" t="s">
        <v>90</v>
      </c>
      <c r="V198" t="s">
        <v>45</v>
      </c>
      <c r="W198" t="s">
        <v>5058</v>
      </c>
      <c r="X198" t="s">
        <v>45</v>
      </c>
      <c r="Y198" t="s">
        <v>46</v>
      </c>
      <c r="Z198" t="s">
        <v>242</v>
      </c>
      <c r="AA198" t="s">
        <v>242</v>
      </c>
      <c r="AB198" t="s">
        <v>49</v>
      </c>
      <c r="AC198" t="s">
        <v>49</v>
      </c>
      <c r="AD198" t="s">
        <v>184</v>
      </c>
      <c r="AE198" t="s">
        <v>185</v>
      </c>
      <c r="AF198">
        <v>0</v>
      </c>
      <c r="AG198" t="s">
        <v>196</v>
      </c>
      <c r="AH198" s="93">
        <f>VLOOKUP(Table1[[#This Row],[Caste]],Factor!$H$1:$K$13,4,0)</f>
        <v>0.80207032429970992</v>
      </c>
      <c r="AI198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198">
        <f>Table1[[#This Row],[Factor_1]]*Table1[[#This Row],[2024 Factor]]</f>
        <v>0.78029465938659637</v>
      </c>
      <c r="AK198">
        <f>VLOOKUP(Table1[[#This Row],[Q18: Gender]],Factor!$A$33:$E$35,5,0)</f>
        <v>2.1645021645021645</v>
      </c>
      <c r="AL198">
        <f>VLOOKUP(Table1[[#This Row],[Taluka]],Factor!$A$42:$G$46,7,0)</f>
        <v>0.75433779645928134</v>
      </c>
      <c r="AM198">
        <f>VLOOKUP(Table1[[#This Row],[Caste]]&amp;Table1[[#This Row],[Q18: Gender]],Factor!$W$1:$X$23,2,0)</f>
        <v>1.1795151827936912</v>
      </c>
      <c r="AN198">
        <f>VLOOKUP(Table1[[#This Row],[Taluka]]&amp;Table1[[#This Row],[Caste]]&amp;Table1[[#This Row],[Q18: Gender]],Factor!$AK$4:$AL$93,2,0)</f>
        <v>0.37562400914419181</v>
      </c>
      <c r="AO198">
        <f t="shared" si="33"/>
        <v>-1</v>
      </c>
      <c r="AP198">
        <f t="shared" si="34"/>
        <v>1</v>
      </c>
      <c r="AQ198">
        <f t="shared" si="35"/>
        <v>-1</v>
      </c>
      <c r="AR198">
        <f t="shared" si="36"/>
        <v>-1</v>
      </c>
      <c r="AS198">
        <f t="shared" si="37"/>
        <v>-1</v>
      </c>
      <c r="AT198">
        <f t="shared" si="38"/>
        <v>-1</v>
      </c>
      <c r="AU198">
        <f t="shared" si="39"/>
        <v>-3.5</v>
      </c>
      <c r="AV198">
        <f>SUM(Table1[[#This Row],[Satis]:[29]])</f>
        <v>-4</v>
      </c>
      <c r="AW198">
        <f t="shared" si="40"/>
        <v>-5</v>
      </c>
      <c r="AX198">
        <f t="shared" si="41"/>
        <v>-4</v>
      </c>
      <c r="AY198">
        <f t="shared" si="42"/>
        <v>-3</v>
      </c>
      <c r="AZ198" t="str">
        <f t="shared" si="43"/>
        <v>TDP Sympathiser</v>
      </c>
    </row>
    <row r="199" spans="1:52" x14ac:dyDescent="0.3">
      <c r="A199" t="s">
        <v>1200</v>
      </c>
      <c r="B199" s="94">
        <v>46043</v>
      </c>
      <c r="C199" t="s">
        <v>1201</v>
      </c>
      <c r="D199" t="s">
        <v>1202</v>
      </c>
      <c r="E199" t="s">
        <v>1203</v>
      </c>
      <c r="F199" t="s">
        <v>935</v>
      </c>
      <c r="G199" t="s">
        <v>39</v>
      </c>
      <c r="H199" t="s">
        <v>1204</v>
      </c>
      <c r="I199" t="s">
        <v>70</v>
      </c>
      <c r="J199" t="s">
        <v>219</v>
      </c>
      <c r="K199" t="s">
        <v>225</v>
      </c>
      <c r="L199" t="s">
        <v>62</v>
      </c>
      <c r="M199" t="s">
        <v>51</v>
      </c>
      <c r="N199" t="s">
        <v>63</v>
      </c>
      <c r="O199" t="s">
        <v>1205</v>
      </c>
      <c r="P199">
        <v>8014354393</v>
      </c>
      <c r="Q199" t="s">
        <v>54</v>
      </c>
      <c r="R199" t="s">
        <v>132</v>
      </c>
      <c r="S199" t="s">
        <v>43</v>
      </c>
      <c r="T199" t="s">
        <v>43</v>
      </c>
      <c r="U199" t="s">
        <v>44</v>
      </c>
      <c r="V199" t="s">
        <v>45</v>
      </c>
      <c r="W199" t="s">
        <v>5055</v>
      </c>
      <c r="X199" t="s">
        <v>45</v>
      </c>
      <c r="Y199" t="s">
        <v>46</v>
      </c>
      <c r="Z199" t="s">
        <v>47</v>
      </c>
      <c r="AA199" t="s">
        <v>48</v>
      </c>
      <c r="AB199" t="s">
        <v>49</v>
      </c>
      <c r="AC199" t="s">
        <v>49</v>
      </c>
      <c r="AD199" t="s">
        <v>184</v>
      </c>
      <c r="AE199" t="s">
        <v>1250</v>
      </c>
      <c r="AF199" t="s">
        <v>1261</v>
      </c>
      <c r="AG199" t="s">
        <v>498</v>
      </c>
      <c r="AH199" s="93">
        <f>VLOOKUP(Table1[[#This Row],[Caste]],Factor!$H$1:$K$13,4,0)</f>
        <v>1.3836274505214585</v>
      </c>
      <c r="AI19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199">
        <f>Table1[[#This Row],[Factor_1]]*Table1[[#This Row],[2024 Factor]]</f>
        <v>1.1648410586678206</v>
      </c>
      <c r="AK199">
        <f>VLOOKUP(Table1[[#This Row],[Q18: Gender]],Factor!$A$33:$E$35,5,0)</f>
        <v>0.85034013605442171</v>
      </c>
      <c r="AL199">
        <f>VLOOKUP(Table1[[#This Row],[Taluka]],Factor!$A$42:$G$46,7,0)</f>
        <v>1.147984664167413</v>
      </c>
      <c r="AM199">
        <f>VLOOKUP(Table1[[#This Row],[Caste]]&amp;Table1[[#This Row],[Q18: Gender]],Factor!$W$1:$X$23,2,0)</f>
        <v>1.0790228998469584</v>
      </c>
      <c r="AN199">
        <f>VLOOKUP(Table1[[#This Row],[Taluka]]&amp;Table1[[#This Row],[Caste]]&amp;Table1[[#This Row],[Q18: Gender]],Factor!$AK$4:$AL$93,2,0)</f>
        <v>1.1572915102003449</v>
      </c>
      <c r="AO199">
        <f t="shared" si="33"/>
        <v>-1</v>
      </c>
      <c r="AP199">
        <f t="shared" si="34"/>
        <v>-1</v>
      </c>
      <c r="AQ199">
        <f t="shared" si="35"/>
        <v>-1</v>
      </c>
      <c r="AR199">
        <f t="shared" si="36"/>
        <v>-1</v>
      </c>
      <c r="AS199">
        <f t="shared" si="37"/>
        <v>-1</v>
      </c>
      <c r="AT199">
        <f t="shared" si="38"/>
        <v>-1</v>
      </c>
      <c r="AU199">
        <f t="shared" si="39"/>
        <v>-5.5</v>
      </c>
      <c r="AV199">
        <f>SUM(Table1[[#This Row],[Satis]:[29]])</f>
        <v>-6</v>
      </c>
      <c r="AW199">
        <f t="shared" si="40"/>
        <v>-5</v>
      </c>
      <c r="AX199">
        <f t="shared" si="41"/>
        <v>-4</v>
      </c>
      <c r="AY199">
        <f t="shared" si="42"/>
        <v>-3</v>
      </c>
      <c r="AZ199" t="str">
        <f t="shared" si="43"/>
        <v>TDP HardCore</v>
      </c>
    </row>
    <row r="200" spans="1:52" x14ac:dyDescent="0.3">
      <c r="A200" t="s">
        <v>1206</v>
      </c>
      <c r="B200" s="94">
        <v>46043</v>
      </c>
      <c r="C200" t="s">
        <v>1207</v>
      </c>
      <c r="D200" t="s">
        <v>1208</v>
      </c>
      <c r="E200" t="s">
        <v>1197</v>
      </c>
      <c r="F200" t="s">
        <v>240</v>
      </c>
      <c r="G200" t="s">
        <v>39</v>
      </c>
      <c r="H200" t="s">
        <v>1209</v>
      </c>
      <c r="I200" t="s">
        <v>228</v>
      </c>
      <c r="J200" t="s">
        <v>37</v>
      </c>
      <c r="K200" t="s">
        <v>212</v>
      </c>
      <c r="L200" t="s">
        <v>62</v>
      </c>
      <c r="M200" t="s">
        <v>51</v>
      </c>
      <c r="N200" t="s">
        <v>63</v>
      </c>
      <c r="O200" t="s">
        <v>1210</v>
      </c>
      <c r="P200">
        <v>9704351583</v>
      </c>
      <c r="Q200" t="s">
        <v>54</v>
      </c>
      <c r="R200" t="s">
        <v>73</v>
      </c>
      <c r="S200" t="s">
        <v>43</v>
      </c>
      <c r="T200" t="s">
        <v>89</v>
      </c>
      <c r="U200" t="s">
        <v>90</v>
      </c>
      <c r="V200" t="s">
        <v>91</v>
      </c>
      <c r="W200" t="s">
        <v>5069</v>
      </c>
      <c r="X200" t="s">
        <v>91</v>
      </c>
      <c r="Y200" t="s">
        <v>46</v>
      </c>
      <c r="Z200" t="s">
        <v>92</v>
      </c>
      <c r="AA200" t="s">
        <v>92</v>
      </c>
      <c r="AB200" t="s">
        <v>147</v>
      </c>
      <c r="AC200" t="s">
        <v>381</v>
      </c>
      <c r="AD200" t="s">
        <v>184</v>
      </c>
      <c r="AE200" t="s">
        <v>189</v>
      </c>
      <c r="AF200" t="s">
        <v>1262</v>
      </c>
      <c r="AG200" t="s">
        <v>196</v>
      </c>
      <c r="AH200" s="93">
        <f>VLOOKUP(Table1[[#This Row],[Caste]],Factor!$H$1:$K$13,4,0)</f>
        <v>0.80207032429970992</v>
      </c>
      <c r="AI200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200">
        <f>Table1[[#This Row],[Factor_1]]*Table1[[#This Row],[2024 Factor]]</f>
        <v>1.0971251128803523</v>
      </c>
      <c r="AK200">
        <f>VLOOKUP(Table1[[#This Row],[Q18: Gender]],Factor!$A$33:$E$35,5,0)</f>
        <v>0.85034013605442171</v>
      </c>
      <c r="AL200">
        <f>VLOOKUP(Table1[[#This Row],[Taluka]],Factor!$A$42:$G$46,7,0)</f>
        <v>0.75433779645928134</v>
      </c>
      <c r="AM200">
        <f>VLOOKUP(Table1[[#This Row],[Caste]]&amp;Table1[[#This Row],[Q18: Gender]],Factor!$W$1:$X$23,2,0)</f>
        <v>0.60762903356038633</v>
      </c>
      <c r="AN200">
        <f>VLOOKUP(Table1[[#This Row],[Taluka]]&amp;Table1[[#This Row],[Caste]]&amp;Table1[[#This Row],[Q18: Gender]],Factor!$AK$4:$AL$93,2,0)</f>
        <v>0.22537440548651508</v>
      </c>
      <c r="AO200">
        <f t="shared" si="33"/>
        <v>1</v>
      </c>
      <c r="AP200">
        <f t="shared" si="34"/>
        <v>1</v>
      </c>
      <c r="AQ200">
        <f t="shared" si="35"/>
        <v>1</v>
      </c>
      <c r="AR200">
        <f t="shared" si="36"/>
        <v>1</v>
      </c>
      <c r="AS200">
        <f t="shared" si="37"/>
        <v>1</v>
      </c>
      <c r="AT200">
        <f t="shared" si="38"/>
        <v>1</v>
      </c>
      <c r="AU200">
        <f t="shared" si="39"/>
        <v>5.5</v>
      </c>
      <c r="AV200">
        <f>SUM(Table1[[#This Row],[Satis]:[29]])</f>
        <v>6</v>
      </c>
      <c r="AW200">
        <f t="shared" si="40"/>
        <v>5</v>
      </c>
      <c r="AX200">
        <f t="shared" si="41"/>
        <v>4</v>
      </c>
      <c r="AY200">
        <f t="shared" si="42"/>
        <v>3</v>
      </c>
      <c r="AZ200" t="str">
        <f t="shared" si="43"/>
        <v>YSRCP HardCore</v>
      </c>
    </row>
    <row r="201" spans="1:52" x14ac:dyDescent="0.3">
      <c r="A201" t="s">
        <v>1264</v>
      </c>
      <c r="B201" s="94">
        <v>46044</v>
      </c>
      <c r="C201" t="s">
        <v>1265</v>
      </c>
      <c r="D201" t="s">
        <v>1266</v>
      </c>
      <c r="E201" t="s">
        <v>1267</v>
      </c>
      <c r="F201" t="s">
        <v>69</v>
      </c>
      <c r="G201" t="s">
        <v>39</v>
      </c>
      <c r="H201" t="s">
        <v>1268</v>
      </c>
      <c r="I201" t="s">
        <v>59</v>
      </c>
      <c r="J201" t="s">
        <v>219</v>
      </c>
      <c r="K201" t="s">
        <v>223</v>
      </c>
      <c r="L201" t="s">
        <v>82</v>
      </c>
      <c r="M201" t="s">
        <v>51</v>
      </c>
      <c r="N201" t="s">
        <v>52</v>
      </c>
      <c r="O201" t="s">
        <v>1269</v>
      </c>
      <c r="P201">
        <v>9999999999</v>
      </c>
      <c r="Q201" t="s">
        <v>445</v>
      </c>
      <c r="R201" t="s">
        <v>61</v>
      </c>
      <c r="S201" t="s">
        <v>89</v>
      </c>
      <c r="T201" t="s">
        <v>43</v>
      </c>
      <c r="U201" t="s">
        <v>90</v>
      </c>
      <c r="V201" t="s">
        <v>91</v>
      </c>
      <c r="W201" t="s">
        <v>5047</v>
      </c>
      <c r="X201" t="s">
        <v>45</v>
      </c>
      <c r="Y201" t="s">
        <v>46</v>
      </c>
      <c r="Z201" t="s">
        <v>47</v>
      </c>
      <c r="AA201" t="s">
        <v>48</v>
      </c>
      <c r="AB201" t="s">
        <v>49</v>
      </c>
      <c r="AC201" t="s">
        <v>49</v>
      </c>
      <c r="AD201" t="s">
        <v>1270</v>
      </c>
      <c r="AE201" t="s">
        <v>1271</v>
      </c>
      <c r="AF201" t="s">
        <v>1272</v>
      </c>
      <c r="AG201" t="s">
        <v>196</v>
      </c>
      <c r="AH201" s="93">
        <f>VLOOKUP(Table1[[#This Row],[Caste]],Factor!$H$1:$K$13,4,0)</f>
        <v>1.1461625511156397</v>
      </c>
      <c r="AI20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01">
        <f>Table1[[#This Row],[Factor_1]]*Table1[[#This Row],[2024 Factor]]</f>
        <v>3.0326483876590018</v>
      </c>
      <c r="AK201">
        <f>VLOOKUP(Table1[[#This Row],[Q18: Gender]],Factor!$A$33:$E$35,5,0)</f>
        <v>2.1645021645021645</v>
      </c>
      <c r="AL201">
        <f>VLOOKUP(Table1[[#This Row],[Taluka]],Factor!$A$42:$G$46,7,0)</f>
        <v>1.147984664167413</v>
      </c>
      <c r="AM201">
        <f>VLOOKUP(Table1[[#This Row],[Caste]]&amp;Table1[[#This Row],[Q18: Gender]],Factor!$W$1:$X$23,2,0)</f>
        <v>2.8092219390089208</v>
      </c>
      <c r="AN201">
        <f>VLOOKUP(Table1[[#This Row],[Taluka]]&amp;Table1[[#This Row],[Caste]]&amp;Table1[[#This Row],[Q18: Gender]],Factor!$AK$4:$AL$93,2,0)</f>
        <v>2.2934724643212636</v>
      </c>
      <c r="AO201">
        <f t="shared" si="33"/>
        <v>-1</v>
      </c>
      <c r="AP201">
        <f t="shared" si="34"/>
        <v>1</v>
      </c>
      <c r="AQ201">
        <f t="shared" si="35"/>
        <v>1</v>
      </c>
      <c r="AR201">
        <f t="shared" si="36"/>
        <v>-1</v>
      </c>
      <c r="AS201">
        <f t="shared" si="37"/>
        <v>-1</v>
      </c>
      <c r="AT201">
        <f t="shared" si="38"/>
        <v>-1</v>
      </c>
      <c r="AU201">
        <f t="shared" si="39"/>
        <v>-1.5</v>
      </c>
      <c r="AV201">
        <f>SUM(Table1[[#This Row],[Satis]:[29]])</f>
        <v>-2</v>
      </c>
      <c r="AW201">
        <f t="shared" si="40"/>
        <v>-3</v>
      </c>
      <c r="AX201">
        <f t="shared" si="41"/>
        <v>-2</v>
      </c>
      <c r="AY201">
        <f t="shared" si="42"/>
        <v>-3</v>
      </c>
      <c r="AZ201" t="str">
        <f t="shared" si="43"/>
        <v>Neutral TDP</v>
      </c>
    </row>
    <row r="202" spans="1:52" x14ac:dyDescent="0.3">
      <c r="A202" t="s">
        <v>1639</v>
      </c>
      <c r="B202" s="94">
        <v>46044</v>
      </c>
      <c r="C202" t="s">
        <v>1640</v>
      </c>
      <c r="D202" t="s">
        <v>1641</v>
      </c>
      <c r="E202" t="s">
        <v>1642</v>
      </c>
      <c r="F202" t="s">
        <v>69</v>
      </c>
      <c r="G202" t="s">
        <v>39</v>
      </c>
      <c r="H202" t="s">
        <v>1643</v>
      </c>
      <c r="I202" t="s">
        <v>59</v>
      </c>
      <c r="J202" t="s">
        <v>219</v>
      </c>
      <c r="K202" t="s">
        <v>223</v>
      </c>
      <c r="L202" t="s">
        <v>50</v>
      </c>
      <c r="M202" t="s">
        <v>51</v>
      </c>
      <c r="N202" t="s">
        <v>107</v>
      </c>
      <c r="O202" t="s">
        <v>406</v>
      </c>
      <c r="P202">
        <v>9849415538</v>
      </c>
      <c r="Q202" t="s">
        <v>54</v>
      </c>
      <c r="R202" t="s">
        <v>73</v>
      </c>
      <c r="S202" t="s">
        <v>43</v>
      </c>
      <c r="T202" t="s">
        <v>43</v>
      </c>
      <c r="U202" t="s">
        <v>44</v>
      </c>
      <c r="V202" t="s">
        <v>45</v>
      </c>
      <c r="W202" t="s">
        <v>5050</v>
      </c>
      <c r="X202" t="s">
        <v>45</v>
      </c>
      <c r="Y202" t="s">
        <v>46</v>
      </c>
      <c r="Z202" t="s">
        <v>47</v>
      </c>
      <c r="AA202" t="s">
        <v>48</v>
      </c>
      <c r="AB202" t="s">
        <v>49</v>
      </c>
      <c r="AC202" t="s">
        <v>49</v>
      </c>
      <c r="AD202" t="s">
        <v>1270</v>
      </c>
      <c r="AE202" t="s">
        <v>185</v>
      </c>
      <c r="AF202" t="s">
        <v>185</v>
      </c>
      <c r="AG202" t="s">
        <v>196</v>
      </c>
      <c r="AH202" s="93">
        <f>VLOOKUP(Table1[[#This Row],[Caste]],Factor!$H$1:$K$13,4,0)</f>
        <v>1.1461625511156397</v>
      </c>
      <c r="AI20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02">
        <f>Table1[[#This Row],[Factor_1]]*Table1[[#This Row],[2024 Factor]]</f>
        <v>0.77721139583220644</v>
      </c>
      <c r="AK202">
        <f>VLOOKUP(Table1[[#This Row],[Q18: Gender]],Factor!$A$33:$E$35,5,0)</f>
        <v>0.85034013605442171</v>
      </c>
      <c r="AL202">
        <f>VLOOKUP(Table1[[#This Row],[Taluka]],Factor!$A$42:$G$46,7,0)</f>
        <v>1.147984664167413</v>
      </c>
      <c r="AM202">
        <f>VLOOKUP(Table1[[#This Row],[Caste]]&amp;Table1[[#This Row],[Q18: Gender]],Factor!$W$1:$X$23,2,0)</f>
        <v>0.71995135120329123</v>
      </c>
      <c r="AN202">
        <f>VLOOKUP(Table1[[#This Row],[Taluka]]&amp;Table1[[#This Row],[Caste]]&amp;Table1[[#This Row],[Q18: Gender]],Factor!$AK$4:$AL$93,2,0)</f>
        <v>0.54319084681293095</v>
      </c>
      <c r="AO202">
        <f t="shared" si="33"/>
        <v>-1</v>
      </c>
      <c r="AP202">
        <f t="shared" si="34"/>
        <v>-1</v>
      </c>
      <c r="AQ202">
        <f t="shared" si="35"/>
        <v>-1</v>
      </c>
      <c r="AR202">
        <f t="shared" si="36"/>
        <v>-1</v>
      </c>
      <c r="AS202">
        <f t="shared" si="37"/>
        <v>-1</v>
      </c>
      <c r="AT202">
        <f t="shared" si="38"/>
        <v>-1</v>
      </c>
      <c r="AU202">
        <f t="shared" si="39"/>
        <v>-5.5</v>
      </c>
      <c r="AV202">
        <f>SUM(Table1[[#This Row],[Satis]:[29]])</f>
        <v>-6</v>
      </c>
      <c r="AW202">
        <f t="shared" si="40"/>
        <v>-5</v>
      </c>
      <c r="AX202">
        <f t="shared" si="41"/>
        <v>-4</v>
      </c>
      <c r="AY202">
        <f t="shared" si="42"/>
        <v>-3</v>
      </c>
      <c r="AZ202" t="str">
        <f t="shared" si="43"/>
        <v>TDP HardCore</v>
      </c>
    </row>
    <row r="203" spans="1:52" x14ac:dyDescent="0.3">
      <c r="A203" t="s">
        <v>1281</v>
      </c>
      <c r="B203" s="94">
        <v>46044</v>
      </c>
      <c r="C203" t="s">
        <v>1282</v>
      </c>
      <c r="D203" t="s">
        <v>1283</v>
      </c>
      <c r="E203" t="s">
        <v>1284</v>
      </c>
      <c r="F203" t="s">
        <v>69</v>
      </c>
      <c r="G203" t="s">
        <v>39</v>
      </c>
      <c r="H203" t="s">
        <v>1285</v>
      </c>
      <c r="I203" t="s">
        <v>59</v>
      </c>
      <c r="J203" t="s">
        <v>219</v>
      </c>
      <c r="K203" t="s">
        <v>223</v>
      </c>
      <c r="L203" t="s">
        <v>62</v>
      </c>
      <c r="M203" t="s">
        <v>51</v>
      </c>
      <c r="N203" t="s">
        <v>162</v>
      </c>
      <c r="O203" t="s">
        <v>1286</v>
      </c>
      <c r="P203">
        <v>9381998103</v>
      </c>
      <c r="Q203" t="s">
        <v>54</v>
      </c>
      <c r="R203" t="s">
        <v>73</v>
      </c>
      <c r="S203" t="s">
        <v>43</v>
      </c>
      <c r="T203" t="s">
        <v>43</v>
      </c>
      <c r="U203" t="s">
        <v>44</v>
      </c>
      <c r="V203" t="s">
        <v>91</v>
      </c>
      <c r="W203" t="s">
        <v>5084</v>
      </c>
      <c r="X203" t="s">
        <v>91</v>
      </c>
      <c r="Y203" t="s">
        <v>46</v>
      </c>
      <c r="Z203" t="s">
        <v>92</v>
      </c>
      <c r="AA203" t="s">
        <v>48</v>
      </c>
      <c r="AB203" t="s">
        <v>49</v>
      </c>
      <c r="AC203" t="s">
        <v>49</v>
      </c>
      <c r="AD203" t="s">
        <v>1270</v>
      </c>
      <c r="AE203" t="s">
        <v>1271</v>
      </c>
      <c r="AF203" t="s">
        <v>1287</v>
      </c>
      <c r="AG203" t="s">
        <v>196</v>
      </c>
      <c r="AH203" s="93">
        <f>VLOOKUP(Table1[[#This Row],[Caste]],Factor!$H$1:$K$13,4,0)</f>
        <v>1.1461625511156397</v>
      </c>
      <c r="AI20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03">
        <f>Table1[[#This Row],[Factor_1]]*Table1[[#This Row],[2024 Factor]]</f>
        <v>0.77721139583220644</v>
      </c>
      <c r="AK203">
        <f>VLOOKUP(Table1[[#This Row],[Q18: Gender]],Factor!$A$33:$E$35,5,0)</f>
        <v>0.85034013605442171</v>
      </c>
      <c r="AL203">
        <f>VLOOKUP(Table1[[#This Row],[Taluka]],Factor!$A$42:$G$46,7,0)</f>
        <v>1.147984664167413</v>
      </c>
      <c r="AM203">
        <f>VLOOKUP(Table1[[#This Row],[Caste]]&amp;Table1[[#This Row],[Q18: Gender]],Factor!$W$1:$X$23,2,0)</f>
        <v>0.71995135120329123</v>
      </c>
      <c r="AN203">
        <f>VLOOKUP(Table1[[#This Row],[Taluka]]&amp;Table1[[#This Row],[Caste]]&amp;Table1[[#This Row],[Q18: Gender]],Factor!$AK$4:$AL$93,2,0)</f>
        <v>0.54319084681293095</v>
      </c>
      <c r="AO203">
        <f t="shared" si="33"/>
        <v>-1</v>
      </c>
      <c r="AP203">
        <f t="shared" si="34"/>
        <v>-1</v>
      </c>
      <c r="AQ203">
        <f t="shared" si="35"/>
        <v>1</v>
      </c>
      <c r="AR203">
        <f t="shared" si="36"/>
        <v>1</v>
      </c>
      <c r="AS203">
        <f t="shared" si="37"/>
        <v>-1</v>
      </c>
      <c r="AT203">
        <f t="shared" si="38"/>
        <v>1</v>
      </c>
      <c r="AU203">
        <f t="shared" si="39"/>
        <v>0.5</v>
      </c>
      <c r="AV203">
        <f>SUM(Table1[[#This Row],[Satis]:[29]])</f>
        <v>0</v>
      </c>
      <c r="AW203">
        <f t="shared" si="40"/>
        <v>1</v>
      </c>
      <c r="AX203">
        <f t="shared" si="41"/>
        <v>2</v>
      </c>
      <c r="AY203" t="str">
        <f t="shared" si="42"/>
        <v>ND</v>
      </c>
      <c r="AZ203" t="str">
        <f t="shared" si="43"/>
        <v>ND</v>
      </c>
    </row>
    <row r="204" spans="1:52" x14ac:dyDescent="0.3">
      <c r="A204" t="s">
        <v>1687</v>
      </c>
      <c r="B204" s="94">
        <v>46044</v>
      </c>
      <c r="C204" t="s">
        <v>1688</v>
      </c>
      <c r="D204" t="s">
        <v>1689</v>
      </c>
      <c r="E204" t="s">
        <v>1690</v>
      </c>
      <c r="F204" t="s">
        <v>69</v>
      </c>
      <c r="G204" t="s">
        <v>39</v>
      </c>
      <c r="H204" t="s">
        <v>1691</v>
      </c>
      <c r="I204" t="s">
        <v>227</v>
      </c>
      <c r="J204" t="s">
        <v>219</v>
      </c>
      <c r="K204" t="s">
        <v>223</v>
      </c>
      <c r="L204" t="s">
        <v>75</v>
      </c>
      <c r="M204" t="s">
        <v>51</v>
      </c>
      <c r="N204" t="s">
        <v>162</v>
      </c>
      <c r="O204" t="s">
        <v>1692</v>
      </c>
      <c r="P204">
        <v>7995771491</v>
      </c>
      <c r="Q204" t="s">
        <v>54</v>
      </c>
      <c r="R204" t="s">
        <v>132</v>
      </c>
      <c r="S204" t="s">
        <v>43</v>
      </c>
      <c r="T204" t="s">
        <v>43</v>
      </c>
      <c r="U204" t="s">
        <v>44</v>
      </c>
      <c r="V204" t="s">
        <v>45</v>
      </c>
      <c r="W204" t="s">
        <v>5083</v>
      </c>
      <c r="X204" t="s">
        <v>45</v>
      </c>
      <c r="Y204" t="s">
        <v>638</v>
      </c>
      <c r="Z204" t="s">
        <v>47</v>
      </c>
      <c r="AA204" t="s">
        <v>48</v>
      </c>
      <c r="AB204" t="s">
        <v>49</v>
      </c>
      <c r="AC204" t="s">
        <v>49</v>
      </c>
      <c r="AD204" t="s">
        <v>1279</v>
      </c>
      <c r="AE204" t="s">
        <v>185</v>
      </c>
      <c r="AF204" t="s">
        <v>1280</v>
      </c>
      <c r="AG204" t="s">
        <v>196</v>
      </c>
      <c r="AH204" s="93">
        <f>VLOOKUP(Table1[[#This Row],[Caste]],Factor!$H$1:$K$13,4,0)</f>
        <v>1.2612194085121222</v>
      </c>
      <c r="AI20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04">
        <f>Table1[[#This Row],[Factor_1]]*Table1[[#This Row],[2024 Factor]]</f>
        <v>0.92029223709519836</v>
      </c>
      <c r="AK204">
        <f>VLOOKUP(Table1[[#This Row],[Q18: Gender]],Factor!$A$33:$E$35,5,0)</f>
        <v>0.85034013605442171</v>
      </c>
      <c r="AL204">
        <f>VLOOKUP(Table1[[#This Row],[Taluka]],Factor!$A$42:$G$46,7,0)</f>
        <v>1.147984664167413</v>
      </c>
      <c r="AM204">
        <f>VLOOKUP(Table1[[#This Row],[Caste]]&amp;Table1[[#This Row],[Q18: Gender]],Factor!$W$1:$X$23,2,0)</f>
        <v>0.85249089649430487</v>
      </c>
      <c r="AN204">
        <f>VLOOKUP(Table1[[#This Row],[Taluka]]&amp;Table1[[#This Row],[Caste]]&amp;Table1[[#This Row],[Q18: Gender]],Factor!$AK$4:$AL$93,2,0)</f>
        <v>0.41451794778650441</v>
      </c>
      <c r="AO204">
        <f t="shared" si="33"/>
        <v>-1</v>
      </c>
      <c r="AP204">
        <f t="shared" si="34"/>
        <v>-1</v>
      </c>
      <c r="AQ204">
        <f t="shared" si="35"/>
        <v>-1</v>
      </c>
      <c r="AR204">
        <f t="shared" si="36"/>
        <v>-1</v>
      </c>
      <c r="AS204">
        <f t="shared" si="37"/>
        <v>-1</v>
      </c>
      <c r="AT204">
        <f t="shared" si="38"/>
        <v>-1</v>
      </c>
      <c r="AU204">
        <f t="shared" si="39"/>
        <v>-5.5</v>
      </c>
      <c r="AV204">
        <f>SUM(Table1[[#This Row],[Satis]:[29]])</f>
        <v>-6</v>
      </c>
      <c r="AW204">
        <f t="shared" si="40"/>
        <v>-5</v>
      </c>
      <c r="AX204">
        <f t="shared" si="41"/>
        <v>-4</v>
      </c>
      <c r="AY204">
        <f t="shared" si="42"/>
        <v>-3</v>
      </c>
      <c r="AZ204" t="str">
        <f t="shared" si="43"/>
        <v>TDP HardCore</v>
      </c>
    </row>
    <row r="205" spans="1:52" x14ac:dyDescent="0.3">
      <c r="A205" t="s">
        <v>2081</v>
      </c>
      <c r="B205" s="94">
        <v>46044</v>
      </c>
      <c r="C205" t="s">
        <v>2082</v>
      </c>
      <c r="D205" t="s">
        <v>2083</v>
      </c>
      <c r="E205" t="s">
        <v>2084</v>
      </c>
      <c r="F205" t="s">
        <v>69</v>
      </c>
      <c r="G205" t="s">
        <v>39</v>
      </c>
      <c r="H205" t="s">
        <v>2085</v>
      </c>
      <c r="I205" t="s">
        <v>168</v>
      </c>
      <c r="J205" t="s">
        <v>219</v>
      </c>
      <c r="K205" t="s">
        <v>223</v>
      </c>
      <c r="L205" t="s">
        <v>75</v>
      </c>
      <c r="M205" t="s">
        <v>51</v>
      </c>
      <c r="N205" t="s">
        <v>63</v>
      </c>
      <c r="O205" t="s">
        <v>2086</v>
      </c>
      <c r="P205">
        <v>9999999999</v>
      </c>
      <c r="Q205" t="s">
        <v>54</v>
      </c>
      <c r="R205" t="s">
        <v>61</v>
      </c>
      <c r="S205" t="s">
        <v>89</v>
      </c>
      <c r="T205" t="s">
        <v>89</v>
      </c>
      <c r="U205" t="s">
        <v>90</v>
      </c>
      <c r="V205" t="s">
        <v>91</v>
      </c>
      <c r="W205" t="s">
        <v>5084</v>
      </c>
      <c r="X205" t="s">
        <v>91</v>
      </c>
      <c r="Y205" t="s">
        <v>46</v>
      </c>
      <c r="Z205" t="s">
        <v>92</v>
      </c>
      <c r="AA205" t="s">
        <v>92</v>
      </c>
      <c r="AB205" t="s">
        <v>147</v>
      </c>
      <c r="AC205" t="s">
        <v>94</v>
      </c>
      <c r="AD205" t="s">
        <v>1279</v>
      </c>
      <c r="AE205" t="s">
        <v>185</v>
      </c>
      <c r="AF205" t="s">
        <v>1280</v>
      </c>
      <c r="AG205" t="s">
        <v>196</v>
      </c>
      <c r="AH205" s="93">
        <f>VLOOKUP(Table1[[#This Row],[Caste]],Factor!$H$1:$K$13,4,0)</f>
        <v>1.0478809952686368</v>
      </c>
      <c r="AI205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205">
        <f>Table1[[#This Row],[Factor_1]]*Table1[[#This Row],[2024 Factor]]</f>
        <v>1.3826423526599039</v>
      </c>
      <c r="AK205">
        <f>VLOOKUP(Table1[[#This Row],[Q18: Gender]],Factor!$A$33:$E$35,5,0)</f>
        <v>0.85034013605442171</v>
      </c>
      <c r="AL205">
        <f>VLOOKUP(Table1[[#This Row],[Taluka]],Factor!$A$42:$G$46,7,0)</f>
        <v>1.147984664167413</v>
      </c>
      <c r="AM205">
        <f>VLOOKUP(Table1[[#This Row],[Caste]]&amp;Table1[[#This Row],[Q18: Gender]],Factor!$W$1:$X$23,2,0)</f>
        <v>0.7657591888501577</v>
      </c>
      <c r="AN205">
        <f>VLOOKUP(Table1[[#This Row],[Taluka]]&amp;Table1[[#This Row],[Caste]]&amp;Table1[[#This Row],[Q18: Gender]],Factor!$AK$4:$AL$93,2,0)</f>
        <v>0.71710935112881979</v>
      </c>
      <c r="AO205">
        <f t="shared" si="33"/>
        <v>1</v>
      </c>
      <c r="AP205">
        <f t="shared" si="34"/>
        <v>1</v>
      </c>
      <c r="AQ205">
        <f t="shared" si="35"/>
        <v>1</v>
      </c>
      <c r="AR205">
        <f t="shared" si="36"/>
        <v>1</v>
      </c>
      <c r="AS205">
        <f t="shared" si="37"/>
        <v>1</v>
      </c>
      <c r="AT205">
        <f t="shared" si="38"/>
        <v>1</v>
      </c>
      <c r="AU205">
        <f t="shared" si="39"/>
        <v>5.5</v>
      </c>
      <c r="AV205">
        <f>SUM(Table1[[#This Row],[Satis]:[29]])</f>
        <v>6</v>
      </c>
      <c r="AW205">
        <f t="shared" si="40"/>
        <v>5</v>
      </c>
      <c r="AX205">
        <f t="shared" si="41"/>
        <v>4</v>
      </c>
      <c r="AY205">
        <f t="shared" si="42"/>
        <v>3</v>
      </c>
      <c r="AZ205" t="str">
        <f t="shared" si="43"/>
        <v>YSRCP HardCore</v>
      </c>
    </row>
    <row r="206" spans="1:52" x14ac:dyDescent="0.3">
      <c r="A206" t="s">
        <v>1693</v>
      </c>
      <c r="B206" s="94">
        <v>46044</v>
      </c>
      <c r="C206" t="s">
        <v>1694</v>
      </c>
      <c r="D206" t="s">
        <v>1695</v>
      </c>
      <c r="E206" t="s">
        <v>1530</v>
      </c>
      <c r="F206" t="s">
        <v>69</v>
      </c>
      <c r="G206" t="s">
        <v>39</v>
      </c>
      <c r="H206" t="s">
        <v>1696</v>
      </c>
      <c r="I206" t="s">
        <v>59</v>
      </c>
      <c r="J206" t="s">
        <v>219</v>
      </c>
      <c r="K206" t="s">
        <v>223</v>
      </c>
      <c r="L206" t="s">
        <v>50</v>
      </c>
      <c r="M206" t="s">
        <v>51</v>
      </c>
      <c r="N206" t="s">
        <v>63</v>
      </c>
      <c r="O206" t="s">
        <v>1697</v>
      </c>
      <c r="P206">
        <v>9676736135</v>
      </c>
      <c r="Q206" t="s">
        <v>54</v>
      </c>
      <c r="R206" t="s">
        <v>73</v>
      </c>
      <c r="S206" t="s">
        <v>43</v>
      </c>
      <c r="T206" t="s">
        <v>43</v>
      </c>
      <c r="U206" t="s">
        <v>44</v>
      </c>
      <c r="V206" t="s">
        <v>45</v>
      </c>
      <c r="W206" t="s">
        <v>5084</v>
      </c>
      <c r="X206" t="s">
        <v>45</v>
      </c>
      <c r="Y206" t="s">
        <v>46</v>
      </c>
      <c r="Z206" t="s">
        <v>47</v>
      </c>
      <c r="AA206" t="s">
        <v>48</v>
      </c>
      <c r="AB206" t="s">
        <v>49</v>
      </c>
      <c r="AC206" t="s">
        <v>49</v>
      </c>
      <c r="AD206" t="s">
        <v>1270</v>
      </c>
      <c r="AE206" t="s">
        <v>185</v>
      </c>
      <c r="AF206" t="s">
        <v>185</v>
      </c>
      <c r="AG206" t="s">
        <v>196</v>
      </c>
      <c r="AH206" s="93">
        <f>VLOOKUP(Table1[[#This Row],[Caste]],Factor!$H$1:$K$13,4,0)</f>
        <v>1.1461625511156397</v>
      </c>
      <c r="AI20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06">
        <f>Table1[[#This Row],[Factor_1]]*Table1[[#This Row],[2024 Factor]]</f>
        <v>0.77721139583220644</v>
      </c>
      <c r="AK206">
        <f>VLOOKUP(Table1[[#This Row],[Q18: Gender]],Factor!$A$33:$E$35,5,0)</f>
        <v>0.85034013605442171</v>
      </c>
      <c r="AL206">
        <f>VLOOKUP(Table1[[#This Row],[Taluka]],Factor!$A$42:$G$46,7,0)</f>
        <v>1.147984664167413</v>
      </c>
      <c r="AM206">
        <f>VLOOKUP(Table1[[#This Row],[Caste]]&amp;Table1[[#This Row],[Q18: Gender]],Factor!$W$1:$X$23,2,0)</f>
        <v>0.71995135120329123</v>
      </c>
      <c r="AN206">
        <f>VLOOKUP(Table1[[#This Row],[Taluka]]&amp;Table1[[#This Row],[Caste]]&amp;Table1[[#This Row],[Q18: Gender]],Factor!$AK$4:$AL$93,2,0)</f>
        <v>0.54319084681293095</v>
      </c>
      <c r="AO206">
        <f t="shared" si="33"/>
        <v>-1</v>
      </c>
      <c r="AP206">
        <f t="shared" si="34"/>
        <v>-1</v>
      </c>
      <c r="AQ206">
        <f t="shared" si="35"/>
        <v>-1</v>
      </c>
      <c r="AR206">
        <f t="shared" si="36"/>
        <v>-1</v>
      </c>
      <c r="AS206">
        <f t="shared" si="37"/>
        <v>-1</v>
      </c>
      <c r="AT206">
        <f t="shared" si="38"/>
        <v>-1</v>
      </c>
      <c r="AU206">
        <f t="shared" si="39"/>
        <v>-5.5</v>
      </c>
      <c r="AV206">
        <f>SUM(Table1[[#This Row],[Satis]:[29]])</f>
        <v>-6</v>
      </c>
      <c r="AW206">
        <f t="shared" si="40"/>
        <v>-5</v>
      </c>
      <c r="AX206">
        <f t="shared" si="41"/>
        <v>-4</v>
      </c>
      <c r="AY206">
        <f t="shared" si="42"/>
        <v>-3</v>
      </c>
      <c r="AZ206" t="str">
        <f t="shared" si="43"/>
        <v>TDP HardCore</v>
      </c>
    </row>
    <row r="207" spans="1:52" x14ac:dyDescent="0.3">
      <c r="A207" t="s">
        <v>1303</v>
      </c>
      <c r="B207" s="94">
        <v>46044</v>
      </c>
      <c r="C207" t="s">
        <v>1304</v>
      </c>
      <c r="D207" t="s">
        <v>1305</v>
      </c>
      <c r="E207" t="s">
        <v>1306</v>
      </c>
      <c r="F207" t="s">
        <v>935</v>
      </c>
      <c r="G207" t="s">
        <v>39</v>
      </c>
      <c r="H207" t="s">
        <v>1307</v>
      </c>
      <c r="I207" t="s">
        <v>168</v>
      </c>
      <c r="J207" t="s">
        <v>219</v>
      </c>
      <c r="K207" t="s">
        <v>224</v>
      </c>
      <c r="L207" t="s">
        <v>451</v>
      </c>
      <c r="M207" t="s">
        <v>51</v>
      </c>
      <c r="N207" t="s">
        <v>52</v>
      </c>
      <c r="O207" t="s">
        <v>1308</v>
      </c>
      <c r="P207">
        <v>7675438965</v>
      </c>
      <c r="Q207" t="s">
        <v>445</v>
      </c>
      <c r="R207" t="s">
        <v>132</v>
      </c>
      <c r="S207" t="s">
        <v>43</v>
      </c>
      <c r="T207" t="s">
        <v>43</v>
      </c>
      <c r="U207" t="s">
        <v>44</v>
      </c>
      <c r="V207" t="s">
        <v>45</v>
      </c>
      <c r="W207" t="s">
        <v>5056</v>
      </c>
      <c r="X207" t="s">
        <v>91</v>
      </c>
      <c r="Y207" t="s">
        <v>46</v>
      </c>
      <c r="Z207" t="s">
        <v>92</v>
      </c>
      <c r="AA207" t="s">
        <v>48</v>
      </c>
      <c r="AB207" t="s">
        <v>49</v>
      </c>
      <c r="AC207" t="s">
        <v>49</v>
      </c>
      <c r="AD207" t="s">
        <v>1270</v>
      </c>
      <c r="AE207" t="s">
        <v>1250</v>
      </c>
      <c r="AF207" t="s">
        <v>1309</v>
      </c>
      <c r="AG207" t="s">
        <v>498</v>
      </c>
      <c r="AH207" s="93">
        <f>VLOOKUP(Table1[[#This Row],[Caste]],Factor!$H$1:$K$13,4,0)</f>
        <v>1.0478809952686368</v>
      </c>
      <c r="AI20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07">
        <f>Table1[[#This Row],[Factor_1]]*Table1[[#This Row],[2024 Factor]]</f>
        <v>1.7911020357040086</v>
      </c>
      <c r="AK207">
        <f>VLOOKUP(Table1[[#This Row],[Q18: Gender]],Factor!$A$33:$E$35,5,0)</f>
        <v>2.1645021645021645</v>
      </c>
      <c r="AL207">
        <f>VLOOKUP(Table1[[#This Row],[Taluka]],Factor!$A$42:$G$46,7,0)</f>
        <v>1.147984664167413</v>
      </c>
      <c r="AM207">
        <f>VLOOKUP(Table1[[#This Row],[Caste]]&amp;Table1[[#This Row],[Q18: Gender]],Factor!$W$1:$X$23,2,0)</f>
        <v>1.6591449091753416</v>
      </c>
      <c r="AN207">
        <f>VLOOKUP(Table1[[#This Row],[Taluka]]&amp;Table1[[#This Row],[Caste]]&amp;Table1[[#This Row],[Q18: Gender]],Factor!$AK$4:$AL$93,2,0)</f>
        <v>1.4342187022576396</v>
      </c>
      <c r="AO207">
        <f t="shared" si="33"/>
        <v>-1</v>
      </c>
      <c r="AP207">
        <f t="shared" si="34"/>
        <v>-1</v>
      </c>
      <c r="AQ207">
        <f t="shared" si="35"/>
        <v>-1</v>
      </c>
      <c r="AR207">
        <f t="shared" si="36"/>
        <v>1</v>
      </c>
      <c r="AS207">
        <f t="shared" si="37"/>
        <v>-1</v>
      </c>
      <c r="AT207">
        <f t="shared" si="38"/>
        <v>1</v>
      </c>
      <c r="AU207">
        <f t="shared" si="39"/>
        <v>-1.5</v>
      </c>
      <c r="AV207">
        <f>SUM(Table1[[#This Row],[Satis]:[29]])</f>
        <v>-2</v>
      </c>
      <c r="AW207">
        <f t="shared" si="40"/>
        <v>-1</v>
      </c>
      <c r="AX207">
        <f t="shared" si="41"/>
        <v>0</v>
      </c>
      <c r="AY207" t="str">
        <f t="shared" si="42"/>
        <v>ND</v>
      </c>
      <c r="AZ207" t="str">
        <f t="shared" si="43"/>
        <v>ND</v>
      </c>
    </row>
    <row r="208" spans="1:52" x14ac:dyDescent="0.3">
      <c r="A208" t="s">
        <v>1757</v>
      </c>
      <c r="B208" s="94">
        <v>46044</v>
      </c>
      <c r="C208" t="s">
        <v>1758</v>
      </c>
      <c r="D208" t="s">
        <v>1759</v>
      </c>
      <c r="E208" t="s">
        <v>1760</v>
      </c>
      <c r="F208" t="s">
        <v>69</v>
      </c>
      <c r="G208" t="s">
        <v>39</v>
      </c>
      <c r="H208" t="s">
        <v>1761</v>
      </c>
      <c r="I208" t="s">
        <v>36</v>
      </c>
      <c r="J208" t="s">
        <v>219</v>
      </c>
      <c r="K208" t="s">
        <v>223</v>
      </c>
      <c r="L208" t="s">
        <v>75</v>
      </c>
      <c r="M208" t="s">
        <v>51</v>
      </c>
      <c r="N208" t="s">
        <v>63</v>
      </c>
      <c r="O208" t="s">
        <v>1625</v>
      </c>
      <c r="P208">
        <v>6305648616</v>
      </c>
      <c r="Q208" t="s">
        <v>54</v>
      </c>
      <c r="R208" t="s">
        <v>132</v>
      </c>
      <c r="S208" t="s">
        <v>43</v>
      </c>
      <c r="T208" t="s">
        <v>43</v>
      </c>
      <c r="U208" t="s">
        <v>44</v>
      </c>
      <c r="V208" t="s">
        <v>45</v>
      </c>
      <c r="W208" t="s">
        <v>5083</v>
      </c>
      <c r="X208" t="s">
        <v>91</v>
      </c>
      <c r="Y208" t="s">
        <v>638</v>
      </c>
      <c r="Z208" t="s">
        <v>92</v>
      </c>
      <c r="AA208" t="s">
        <v>48</v>
      </c>
      <c r="AB208" t="s">
        <v>49</v>
      </c>
      <c r="AC208" t="s">
        <v>49</v>
      </c>
      <c r="AD208" t="s">
        <v>1279</v>
      </c>
      <c r="AE208" t="s">
        <v>185</v>
      </c>
      <c r="AF208" t="s">
        <v>1762</v>
      </c>
      <c r="AG208" t="s">
        <v>196</v>
      </c>
      <c r="AH208" s="93">
        <f>VLOOKUP(Table1[[#This Row],[Caste]],Factor!$H$1:$K$13,4,0)</f>
        <v>1.1705128247062893</v>
      </c>
      <c r="AI20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08">
        <f>Table1[[#This Row],[Factor_1]]*Table1[[#This Row],[2024 Factor]]</f>
        <v>0.86308903171383233</v>
      </c>
      <c r="AK208">
        <f>VLOOKUP(Table1[[#This Row],[Q18: Gender]],Factor!$A$33:$E$35,5,0)</f>
        <v>0.85034013605442171</v>
      </c>
      <c r="AL208">
        <f>VLOOKUP(Table1[[#This Row],[Taluka]],Factor!$A$42:$G$46,7,0)</f>
        <v>1.147984664167413</v>
      </c>
      <c r="AM208">
        <f>VLOOKUP(Table1[[#This Row],[Caste]]&amp;Table1[[#This Row],[Q18: Gender]],Factor!$W$1:$X$23,2,0)</f>
        <v>0.79950206330384943</v>
      </c>
      <c r="AN208">
        <f>VLOOKUP(Table1[[#This Row],[Taluka]]&amp;Table1[[#This Row],[Caste]]&amp;Table1[[#This Row],[Q18: Gender]],Factor!$AK$4:$AL$93,2,0)</f>
        <v>0.92148737207359532</v>
      </c>
      <c r="AO208">
        <f t="shared" si="33"/>
        <v>-1</v>
      </c>
      <c r="AP208">
        <f t="shared" si="34"/>
        <v>-1</v>
      </c>
      <c r="AQ208">
        <f t="shared" si="35"/>
        <v>-1</v>
      </c>
      <c r="AR208">
        <f t="shared" si="36"/>
        <v>1</v>
      </c>
      <c r="AS208">
        <f t="shared" si="37"/>
        <v>-1</v>
      </c>
      <c r="AT208">
        <f t="shared" si="38"/>
        <v>1</v>
      </c>
      <c r="AU208">
        <f t="shared" si="39"/>
        <v>-1.5</v>
      </c>
      <c r="AV208">
        <f>SUM(Table1[[#This Row],[Satis]:[29]])</f>
        <v>-2</v>
      </c>
      <c r="AW208">
        <f t="shared" si="40"/>
        <v>-1</v>
      </c>
      <c r="AX208">
        <f t="shared" si="41"/>
        <v>0</v>
      </c>
      <c r="AY208" t="str">
        <f t="shared" si="42"/>
        <v>ND</v>
      </c>
      <c r="AZ208" t="str">
        <f t="shared" si="43"/>
        <v>ND</v>
      </c>
    </row>
    <row r="209" spans="1:52" x14ac:dyDescent="0.3">
      <c r="A209" t="s">
        <v>1745</v>
      </c>
      <c r="B209" s="94">
        <v>46044</v>
      </c>
      <c r="C209" t="s">
        <v>1746</v>
      </c>
      <c r="D209" t="s">
        <v>1747</v>
      </c>
      <c r="E209" t="s">
        <v>1197</v>
      </c>
      <c r="F209" t="s">
        <v>240</v>
      </c>
      <c r="G209" t="s">
        <v>39</v>
      </c>
      <c r="H209" t="s">
        <v>1748</v>
      </c>
      <c r="I209" t="s">
        <v>228</v>
      </c>
      <c r="J209" t="s">
        <v>71</v>
      </c>
      <c r="K209" t="s">
        <v>214</v>
      </c>
      <c r="L209" t="s">
        <v>62</v>
      </c>
      <c r="M209" t="s">
        <v>51</v>
      </c>
      <c r="N209" t="s">
        <v>107</v>
      </c>
      <c r="O209" t="s">
        <v>1749</v>
      </c>
      <c r="P209">
        <v>9999999999</v>
      </c>
      <c r="Q209" t="s">
        <v>54</v>
      </c>
      <c r="R209" t="s">
        <v>73</v>
      </c>
      <c r="S209" t="s">
        <v>43</v>
      </c>
      <c r="T209" t="s">
        <v>43</v>
      </c>
      <c r="U209" t="s">
        <v>90</v>
      </c>
      <c r="V209" t="s">
        <v>45</v>
      </c>
      <c r="W209" t="s">
        <v>5062</v>
      </c>
      <c r="X209" t="s">
        <v>45</v>
      </c>
      <c r="Y209" t="s">
        <v>46</v>
      </c>
      <c r="Z209" t="s">
        <v>242</v>
      </c>
      <c r="AA209" t="s">
        <v>48</v>
      </c>
      <c r="AB209" t="s">
        <v>49</v>
      </c>
      <c r="AC209" t="s">
        <v>49</v>
      </c>
      <c r="AD209" t="s">
        <v>1270</v>
      </c>
      <c r="AE209" t="s">
        <v>185</v>
      </c>
      <c r="AF209" t="s">
        <v>1750</v>
      </c>
      <c r="AG209" t="s">
        <v>196</v>
      </c>
      <c r="AH209" s="93">
        <f>VLOOKUP(Table1[[#This Row],[Caste]],Factor!$H$1:$K$13,4,0)</f>
        <v>0.80207032429970992</v>
      </c>
      <c r="AI20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09">
        <f>Table1[[#This Row],[Factor_1]]*Table1[[#This Row],[2024 Factor]]</f>
        <v>0.65595572330316032</v>
      </c>
      <c r="AK209">
        <f>VLOOKUP(Table1[[#This Row],[Q18: Gender]],Factor!$A$33:$E$35,5,0)</f>
        <v>0.85034013605442171</v>
      </c>
      <c r="AL209">
        <f>VLOOKUP(Table1[[#This Row],[Taluka]],Factor!$A$42:$G$46,7,0)</f>
        <v>1.1213131007097483</v>
      </c>
      <c r="AM209">
        <f>VLOOKUP(Table1[[#This Row],[Caste]]&amp;Table1[[#This Row],[Q18: Gender]],Factor!$W$1:$X$23,2,0)</f>
        <v>0.60762903356038633</v>
      </c>
      <c r="AN209">
        <f>VLOOKUP(Table1[[#This Row],[Taluka]]&amp;Table1[[#This Row],[Caste]]&amp;Table1[[#This Row],[Q18: Gender]],Factor!$AK$4:$AL$93,2,0)</f>
        <v>0.38672994380094594</v>
      </c>
      <c r="AO209">
        <f t="shared" si="33"/>
        <v>-1</v>
      </c>
      <c r="AP209">
        <f t="shared" si="34"/>
        <v>1</v>
      </c>
      <c r="AQ209">
        <f t="shared" si="35"/>
        <v>-1</v>
      </c>
      <c r="AR209">
        <f t="shared" si="36"/>
        <v>-1</v>
      </c>
      <c r="AS209">
        <f t="shared" si="37"/>
        <v>-1</v>
      </c>
      <c r="AT209">
        <f t="shared" si="38"/>
        <v>-1</v>
      </c>
      <c r="AU209">
        <f t="shared" si="39"/>
        <v>-3.5</v>
      </c>
      <c r="AV209">
        <f>SUM(Table1[[#This Row],[Satis]:[29]])</f>
        <v>-4</v>
      </c>
      <c r="AW209">
        <f t="shared" si="40"/>
        <v>-5</v>
      </c>
      <c r="AX209">
        <f t="shared" si="41"/>
        <v>-4</v>
      </c>
      <c r="AY209">
        <f t="shared" si="42"/>
        <v>-3</v>
      </c>
      <c r="AZ209" t="str">
        <f t="shared" si="43"/>
        <v>TDP Sympathiser</v>
      </c>
    </row>
    <row r="210" spans="1:52" x14ac:dyDescent="0.3">
      <c r="A210" t="s">
        <v>1322</v>
      </c>
      <c r="B210" s="94">
        <v>46044</v>
      </c>
      <c r="C210" t="s">
        <v>1323</v>
      </c>
      <c r="D210" t="s">
        <v>1324</v>
      </c>
      <c r="E210" t="s">
        <v>1325</v>
      </c>
      <c r="F210" t="s">
        <v>240</v>
      </c>
      <c r="G210" t="s">
        <v>39</v>
      </c>
      <c r="H210" t="s">
        <v>1326</v>
      </c>
      <c r="I210" t="s">
        <v>70</v>
      </c>
      <c r="J210" t="s">
        <v>71</v>
      </c>
      <c r="K210" t="s">
        <v>214</v>
      </c>
      <c r="L210" t="s">
        <v>451</v>
      </c>
      <c r="M210" t="s">
        <v>443</v>
      </c>
      <c r="N210" t="s">
        <v>52</v>
      </c>
      <c r="O210" t="s">
        <v>452</v>
      </c>
      <c r="P210">
        <v>9999999999</v>
      </c>
      <c r="Q210" t="s">
        <v>445</v>
      </c>
      <c r="R210" t="s">
        <v>73</v>
      </c>
      <c r="S210" t="s">
        <v>43</v>
      </c>
      <c r="T210" t="s">
        <v>43</v>
      </c>
      <c r="U210" t="s">
        <v>90</v>
      </c>
      <c r="V210" t="s">
        <v>45</v>
      </c>
      <c r="W210" t="s">
        <v>5062</v>
      </c>
      <c r="X210" t="s">
        <v>45</v>
      </c>
      <c r="Y210" t="s">
        <v>46</v>
      </c>
      <c r="Z210" t="s">
        <v>242</v>
      </c>
      <c r="AA210" t="s">
        <v>48</v>
      </c>
      <c r="AB210" t="s">
        <v>49</v>
      </c>
      <c r="AC210" t="s">
        <v>49</v>
      </c>
      <c r="AD210" t="s">
        <v>1279</v>
      </c>
      <c r="AE210" t="s">
        <v>1271</v>
      </c>
      <c r="AF210" t="s">
        <v>1327</v>
      </c>
      <c r="AG210" t="s">
        <v>196</v>
      </c>
      <c r="AH210" s="93">
        <f>VLOOKUP(Table1[[#This Row],[Caste]],Factor!$H$1:$K$13,4,0)</f>
        <v>1.3836274505214585</v>
      </c>
      <c r="AI21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10">
        <f>Table1[[#This Row],[Factor_1]]*Table1[[#This Row],[2024 Factor]]</f>
        <v>2.0811826914865059</v>
      </c>
      <c r="AK210">
        <f>VLOOKUP(Table1[[#This Row],[Q18: Gender]],Factor!$A$33:$E$35,5,0)</f>
        <v>2.1645021645021645</v>
      </c>
      <c r="AL210">
        <f>VLOOKUP(Table1[[#This Row],[Taluka]],Factor!$A$42:$G$46,7,0)</f>
        <v>1.1213131007097483</v>
      </c>
      <c r="AM210">
        <f>VLOOKUP(Table1[[#This Row],[Caste]]&amp;Table1[[#This Row],[Q18: Gender]],Factor!$W$1:$X$23,2,0)</f>
        <v>1.9278542477265657</v>
      </c>
      <c r="AN210">
        <f>VLOOKUP(Table1[[#This Row],[Taluka]]&amp;Table1[[#This Row],[Caste]]&amp;Table1[[#This Row],[Q18: Gender]],Factor!$AK$4:$AL$93,2,0)</f>
        <v>1.2302776805571209</v>
      </c>
      <c r="AO210">
        <f t="shared" si="33"/>
        <v>-1</v>
      </c>
      <c r="AP210">
        <f t="shared" si="34"/>
        <v>1</v>
      </c>
      <c r="AQ210">
        <f t="shared" si="35"/>
        <v>-1</v>
      </c>
      <c r="AR210">
        <f t="shared" si="36"/>
        <v>-1</v>
      </c>
      <c r="AS210">
        <f t="shared" si="37"/>
        <v>-1</v>
      </c>
      <c r="AT210">
        <f t="shared" si="38"/>
        <v>-1</v>
      </c>
      <c r="AU210">
        <f t="shared" si="39"/>
        <v>-3.5</v>
      </c>
      <c r="AV210">
        <f>SUM(Table1[[#This Row],[Satis]:[29]])</f>
        <v>-4</v>
      </c>
      <c r="AW210">
        <f t="shared" si="40"/>
        <v>-5</v>
      </c>
      <c r="AX210">
        <f t="shared" si="41"/>
        <v>-4</v>
      </c>
      <c r="AY210">
        <f t="shared" si="42"/>
        <v>-3</v>
      </c>
      <c r="AZ210" t="str">
        <f t="shared" si="43"/>
        <v>TDP Sympathiser</v>
      </c>
    </row>
    <row r="211" spans="1:52" x14ac:dyDescent="0.3">
      <c r="A211" t="s">
        <v>1328</v>
      </c>
      <c r="B211" s="94">
        <v>46044</v>
      </c>
      <c r="C211" t="s">
        <v>1329</v>
      </c>
      <c r="D211" t="s">
        <v>1330</v>
      </c>
      <c r="E211" t="s">
        <v>1331</v>
      </c>
      <c r="F211" t="s">
        <v>935</v>
      </c>
      <c r="G211" t="s">
        <v>39</v>
      </c>
      <c r="H211" t="s">
        <v>1332</v>
      </c>
      <c r="I211" t="s">
        <v>36</v>
      </c>
      <c r="J211" t="s">
        <v>219</v>
      </c>
      <c r="K211" t="s">
        <v>224</v>
      </c>
      <c r="L211" t="s">
        <v>62</v>
      </c>
      <c r="M211" t="s">
        <v>51</v>
      </c>
      <c r="N211" t="s">
        <v>162</v>
      </c>
      <c r="O211" t="s">
        <v>1333</v>
      </c>
      <c r="P211">
        <v>7702456926</v>
      </c>
      <c r="Q211" t="s">
        <v>54</v>
      </c>
      <c r="R211" t="s">
        <v>139</v>
      </c>
      <c r="S211" t="s">
        <v>43</v>
      </c>
      <c r="T211" t="s">
        <v>43</v>
      </c>
      <c r="U211" t="s">
        <v>44</v>
      </c>
      <c r="V211" t="s">
        <v>45</v>
      </c>
      <c r="W211" t="s">
        <v>5058</v>
      </c>
      <c r="X211" t="s">
        <v>45</v>
      </c>
      <c r="Y211" t="s">
        <v>46</v>
      </c>
      <c r="Z211" t="s">
        <v>92</v>
      </c>
      <c r="AA211" t="s">
        <v>48</v>
      </c>
      <c r="AB211" t="s">
        <v>49</v>
      </c>
      <c r="AC211" t="s">
        <v>49</v>
      </c>
      <c r="AD211" t="s">
        <v>1279</v>
      </c>
      <c r="AE211" t="s">
        <v>1250</v>
      </c>
      <c r="AF211" t="s">
        <v>1334</v>
      </c>
      <c r="AG211" t="s">
        <v>498</v>
      </c>
      <c r="AH211" s="93">
        <f>VLOOKUP(Table1[[#This Row],[Caste]],Factor!$H$1:$K$13,4,0)</f>
        <v>1.1705128247062893</v>
      </c>
      <c r="AI21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11">
        <f>Table1[[#This Row],[Factor_1]]*Table1[[#This Row],[2024 Factor]]</f>
        <v>0.86308903171383233</v>
      </c>
      <c r="AK211">
        <f>VLOOKUP(Table1[[#This Row],[Q18: Gender]],Factor!$A$33:$E$35,5,0)</f>
        <v>0.85034013605442171</v>
      </c>
      <c r="AL211">
        <f>VLOOKUP(Table1[[#This Row],[Taluka]],Factor!$A$42:$G$46,7,0)</f>
        <v>1.147984664167413</v>
      </c>
      <c r="AM211">
        <f>VLOOKUP(Table1[[#This Row],[Caste]]&amp;Table1[[#This Row],[Q18: Gender]],Factor!$W$1:$X$23,2,0)</f>
        <v>0.79950206330384943</v>
      </c>
      <c r="AN211">
        <f>VLOOKUP(Table1[[#This Row],[Taluka]]&amp;Table1[[#This Row],[Caste]]&amp;Table1[[#This Row],[Q18: Gender]],Factor!$AK$4:$AL$93,2,0)</f>
        <v>0.92148737207359532</v>
      </c>
      <c r="AO211">
        <f t="shared" si="33"/>
        <v>-1</v>
      </c>
      <c r="AP211">
        <f t="shared" si="34"/>
        <v>-1</v>
      </c>
      <c r="AQ211">
        <f t="shared" si="35"/>
        <v>-1</v>
      </c>
      <c r="AR211">
        <f t="shared" si="36"/>
        <v>-1</v>
      </c>
      <c r="AS211">
        <f t="shared" si="37"/>
        <v>-1</v>
      </c>
      <c r="AT211">
        <f t="shared" si="38"/>
        <v>1</v>
      </c>
      <c r="AU211">
        <f t="shared" si="39"/>
        <v>-3.5</v>
      </c>
      <c r="AV211">
        <f>SUM(Table1[[#This Row],[Satis]:[29]])</f>
        <v>-4</v>
      </c>
      <c r="AW211">
        <f t="shared" si="40"/>
        <v>-3</v>
      </c>
      <c r="AX211">
        <f t="shared" si="41"/>
        <v>-2</v>
      </c>
      <c r="AY211" t="str">
        <f t="shared" si="42"/>
        <v>ND</v>
      </c>
      <c r="AZ211" t="str">
        <f t="shared" si="43"/>
        <v>ND</v>
      </c>
    </row>
    <row r="212" spans="1:52" x14ac:dyDescent="0.3">
      <c r="A212" t="s">
        <v>1380</v>
      </c>
      <c r="B212" s="94">
        <v>46044</v>
      </c>
      <c r="C212" t="s">
        <v>1381</v>
      </c>
      <c r="D212" t="s">
        <v>1382</v>
      </c>
      <c r="E212" t="s">
        <v>1383</v>
      </c>
      <c r="F212" t="s">
        <v>69</v>
      </c>
      <c r="G212" t="s">
        <v>39</v>
      </c>
      <c r="H212" t="s">
        <v>1384</v>
      </c>
      <c r="I212" t="s">
        <v>59</v>
      </c>
      <c r="J212" t="s">
        <v>219</v>
      </c>
      <c r="K212" t="s">
        <v>223</v>
      </c>
      <c r="L212" t="s">
        <v>75</v>
      </c>
      <c r="M212" t="s">
        <v>51</v>
      </c>
      <c r="N212" t="s">
        <v>52</v>
      </c>
      <c r="O212" t="s">
        <v>1385</v>
      </c>
      <c r="P212">
        <v>8978793914</v>
      </c>
      <c r="Q212" t="s">
        <v>54</v>
      </c>
      <c r="R212" t="s">
        <v>132</v>
      </c>
      <c r="S212" t="s">
        <v>43</v>
      </c>
      <c r="T212" t="s">
        <v>43</v>
      </c>
      <c r="U212" t="s">
        <v>44</v>
      </c>
      <c r="V212" t="s">
        <v>45</v>
      </c>
      <c r="W212" t="s">
        <v>5046</v>
      </c>
      <c r="X212" t="s">
        <v>45</v>
      </c>
      <c r="Y212" t="s">
        <v>46</v>
      </c>
      <c r="Z212" t="s">
        <v>47</v>
      </c>
      <c r="AA212" t="s">
        <v>48</v>
      </c>
      <c r="AB212" t="s">
        <v>49</v>
      </c>
      <c r="AC212" t="s">
        <v>49</v>
      </c>
      <c r="AD212" t="s">
        <v>1270</v>
      </c>
      <c r="AE212" t="s">
        <v>185</v>
      </c>
      <c r="AF212" t="s">
        <v>185</v>
      </c>
      <c r="AG212" t="s">
        <v>196</v>
      </c>
      <c r="AH212" s="93">
        <f>VLOOKUP(Table1[[#This Row],[Caste]],Factor!$H$1:$K$13,4,0)</f>
        <v>1.1461625511156397</v>
      </c>
      <c r="AI21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12">
        <f>Table1[[#This Row],[Factor_1]]*Table1[[#This Row],[2024 Factor]]</f>
        <v>0.77721139583220644</v>
      </c>
      <c r="AK212">
        <f>VLOOKUP(Table1[[#This Row],[Q18: Gender]],Factor!$A$33:$E$35,5,0)</f>
        <v>0.85034013605442171</v>
      </c>
      <c r="AL212">
        <f>VLOOKUP(Table1[[#This Row],[Taluka]],Factor!$A$42:$G$46,7,0)</f>
        <v>1.147984664167413</v>
      </c>
      <c r="AM212">
        <f>VLOOKUP(Table1[[#This Row],[Caste]]&amp;Table1[[#This Row],[Q18: Gender]],Factor!$W$1:$X$23,2,0)</f>
        <v>0.71995135120329123</v>
      </c>
      <c r="AN212">
        <f>VLOOKUP(Table1[[#This Row],[Taluka]]&amp;Table1[[#This Row],[Caste]]&amp;Table1[[#This Row],[Q18: Gender]],Factor!$AK$4:$AL$93,2,0)</f>
        <v>0.54319084681293095</v>
      </c>
      <c r="AO212">
        <f t="shared" si="33"/>
        <v>-1</v>
      </c>
      <c r="AP212">
        <f t="shared" si="34"/>
        <v>-1</v>
      </c>
      <c r="AQ212">
        <f t="shared" si="35"/>
        <v>-1</v>
      </c>
      <c r="AR212">
        <f t="shared" si="36"/>
        <v>-1</v>
      </c>
      <c r="AS212">
        <f t="shared" si="37"/>
        <v>-1</v>
      </c>
      <c r="AT212">
        <f t="shared" si="38"/>
        <v>-1</v>
      </c>
      <c r="AU212">
        <f t="shared" si="39"/>
        <v>-5.5</v>
      </c>
      <c r="AV212">
        <f>SUM(Table1[[#This Row],[Satis]:[29]])</f>
        <v>-6</v>
      </c>
      <c r="AW212">
        <f t="shared" si="40"/>
        <v>-5</v>
      </c>
      <c r="AX212">
        <f t="shared" si="41"/>
        <v>-4</v>
      </c>
      <c r="AY212">
        <f t="shared" si="42"/>
        <v>-3</v>
      </c>
      <c r="AZ212" t="str">
        <f t="shared" si="43"/>
        <v>TDP HardCore</v>
      </c>
    </row>
    <row r="213" spans="1:52" x14ac:dyDescent="0.3">
      <c r="A213" t="s">
        <v>1342</v>
      </c>
      <c r="B213" s="94">
        <v>46044</v>
      </c>
      <c r="C213" t="s">
        <v>1343</v>
      </c>
      <c r="D213" t="s">
        <v>1344</v>
      </c>
      <c r="E213" t="s">
        <v>1345</v>
      </c>
      <c r="F213" t="s">
        <v>935</v>
      </c>
      <c r="G213" t="s">
        <v>39</v>
      </c>
      <c r="H213" t="s">
        <v>1346</v>
      </c>
      <c r="I213" t="s">
        <v>228</v>
      </c>
      <c r="J213" s="112" t="s">
        <v>203</v>
      </c>
      <c r="K213" s="112" t="s">
        <v>205</v>
      </c>
      <c r="L213" t="s">
        <v>62</v>
      </c>
      <c r="M213" t="s">
        <v>51</v>
      </c>
      <c r="N213" t="s">
        <v>63</v>
      </c>
      <c r="O213" t="s">
        <v>1347</v>
      </c>
      <c r="P213">
        <v>9573127664</v>
      </c>
      <c r="Q213" t="s">
        <v>54</v>
      </c>
      <c r="R213" t="s">
        <v>139</v>
      </c>
      <c r="S213" t="s">
        <v>88</v>
      </c>
      <c r="T213" t="s">
        <v>43</v>
      </c>
      <c r="U213" t="s">
        <v>44</v>
      </c>
      <c r="V213" t="s">
        <v>45</v>
      </c>
      <c r="W213" t="s">
        <v>5062</v>
      </c>
      <c r="X213" t="s">
        <v>45</v>
      </c>
      <c r="Y213" t="s">
        <v>46</v>
      </c>
      <c r="Z213" t="s">
        <v>92</v>
      </c>
      <c r="AA213" t="s">
        <v>92</v>
      </c>
      <c r="AB213" t="s">
        <v>93</v>
      </c>
      <c r="AC213" t="s">
        <v>94</v>
      </c>
      <c r="AD213" t="s">
        <v>1270</v>
      </c>
      <c r="AE213" t="s">
        <v>189</v>
      </c>
      <c r="AF213" t="s">
        <v>1348</v>
      </c>
      <c r="AG213" t="s">
        <v>196</v>
      </c>
      <c r="AH213" s="93">
        <f>VLOOKUP(Table1[[#This Row],[Caste]],Factor!$H$1:$K$13,4,0)</f>
        <v>0.80207032429970992</v>
      </c>
      <c r="AI213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213">
        <f>Table1[[#This Row],[Factor_1]]*Table1[[#This Row],[2024 Factor]]</f>
        <v>1.0971251128803523</v>
      </c>
      <c r="AK213">
        <f>VLOOKUP(Table1[[#This Row],[Q18: Gender]],Factor!$A$33:$E$35,5,0)</f>
        <v>0.85034013605442171</v>
      </c>
      <c r="AL213">
        <f>VLOOKUP(Table1[[#This Row],[Taluka]],Factor!$A$42:$G$46,7,0)</f>
        <v>1.9264642089343564</v>
      </c>
      <c r="AM213">
        <f>VLOOKUP(Table1[[#This Row],[Caste]]&amp;Table1[[#This Row],[Q18: Gender]],Factor!$W$1:$X$23,2,0)</f>
        <v>0.60762903356038633</v>
      </c>
      <c r="AN213">
        <f>VLOOKUP(Table1[[#This Row],[Taluka]]&amp;Table1[[#This Row],[Caste]]&amp;Table1[[#This Row],[Q18: Gender]],Factor!$AK$4:$AL$93,2,0)</f>
        <v>2.0730893618557826</v>
      </c>
      <c r="AO213">
        <f t="shared" si="33"/>
        <v>-1</v>
      </c>
      <c r="AP213">
        <f t="shared" si="34"/>
        <v>-1</v>
      </c>
      <c r="AQ213">
        <f t="shared" si="35"/>
        <v>-1</v>
      </c>
      <c r="AR213">
        <f t="shared" si="36"/>
        <v>-1</v>
      </c>
      <c r="AS213">
        <f t="shared" si="37"/>
        <v>1</v>
      </c>
      <c r="AT213">
        <f t="shared" si="38"/>
        <v>1</v>
      </c>
      <c r="AU213">
        <f t="shared" si="39"/>
        <v>-2.5</v>
      </c>
      <c r="AV213">
        <f>SUM(Table1[[#This Row],[Satis]:[29]])</f>
        <v>-2</v>
      </c>
      <c r="AW213">
        <f t="shared" si="40"/>
        <v>-1</v>
      </c>
      <c r="AX213">
        <f t="shared" si="41"/>
        <v>0</v>
      </c>
      <c r="AY213">
        <f t="shared" si="42"/>
        <v>2</v>
      </c>
      <c r="AZ213" t="str">
        <f t="shared" si="43"/>
        <v>Neutral YSRCP</v>
      </c>
    </row>
    <row r="214" spans="1:52" x14ac:dyDescent="0.3">
      <c r="A214" t="s">
        <v>1791</v>
      </c>
      <c r="B214" s="94">
        <v>46044</v>
      </c>
      <c r="C214" t="s">
        <v>1792</v>
      </c>
      <c r="D214" t="s">
        <v>1793</v>
      </c>
      <c r="E214" t="s">
        <v>1395</v>
      </c>
      <c r="F214" t="s">
        <v>240</v>
      </c>
      <c r="G214" t="s">
        <v>39</v>
      </c>
      <c r="H214" t="s">
        <v>1794</v>
      </c>
      <c r="I214" t="s">
        <v>36</v>
      </c>
      <c r="J214" t="s">
        <v>71</v>
      </c>
      <c r="K214" t="s">
        <v>214</v>
      </c>
      <c r="L214" t="s">
        <v>62</v>
      </c>
      <c r="M214" t="s">
        <v>51</v>
      </c>
      <c r="N214" t="s">
        <v>52</v>
      </c>
      <c r="O214" t="s">
        <v>1795</v>
      </c>
      <c r="P214">
        <v>7993831085</v>
      </c>
      <c r="Q214" t="s">
        <v>54</v>
      </c>
      <c r="R214" t="s">
        <v>73</v>
      </c>
      <c r="S214" t="s">
        <v>43</v>
      </c>
      <c r="T214" t="s">
        <v>43</v>
      </c>
      <c r="U214" t="s">
        <v>44</v>
      </c>
      <c r="V214" t="s">
        <v>45</v>
      </c>
      <c r="W214" t="s">
        <v>5090</v>
      </c>
      <c r="X214" t="s">
        <v>45</v>
      </c>
      <c r="Y214" t="s">
        <v>46</v>
      </c>
      <c r="Z214" t="s">
        <v>47</v>
      </c>
      <c r="AA214" t="s">
        <v>48</v>
      </c>
      <c r="AB214" t="s">
        <v>49</v>
      </c>
      <c r="AC214" t="s">
        <v>49</v>
      </c>
      <c r="AD214" t="s">
        <v>1270</v>
      </c>
      <c r="AE214" t="s">
        <v>185</v>
      </c>
      <c r="AF214" t="s">
        <v>185</v>
      </c>
      <c r="AG214" t="s">
        <v>196</v>
      </c>
      <c r="AH214" s="93">
        <f>VLOOKUP(Table1[[#This Row],[Caste]],Factor!$H$1:$K$13,4,0)</f>
        <v>1.1705128247062893</v>
      </c>
      <c r="AI21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14">
        <f>Table1[[#This Row],[Factor_1]]*Table1[[#This Row],[2024 Factor]]</f>
        <v>0.86308903171383233</v>
      </c>
      <c r="AK214">
        <f>VLOOKUP(Table1[[#This Row],[Q18: Gender]],Factor!$A$33:$E$35,5,0)</f>
        <v>0.85034013605442171</v>
      </c>
      <c r="AL214">
        <f>VLOOKUP(Table1[[#This Row],[Taluka]],Factor!$A$42:$G$46,7,0)</f>
        <v>1.1213131007097483</v>
      </c>
      <c r="AM214">
        <f>VLOOKUP(Table1[[#This Row],[Caste]]&amp;Table1[[#This Row],[Q18: Gender]],Factor!$W$1:$X$23,2,0)</f>
        <v>0.79950206330384943</v>
      </c>
      <c r="AN214">
        <f>VLOOKUP(Table1[[#This Row],[Taluka]]&amp;Table1[[#This Row],[Caste]]&amp;Table1[[#This Row],[Q18: Gender]],Factor!$AK$4:$AL$93,2,0)</f>
        <v>0.7401439088249181</v>
      </c>
      <c r="AO214">
        <f t="shared" si="33"/>
        <v>-1</v>
      </c>
      <c r="AP214">
        <f t="shared" si="34"/>
        <v>-1</v>
      </c>
      <c r="AQ214">
        <f t="shared" si="35"/>
        <v>-1</v>
      </c>
      <c r="AR214">
        <f t="shared" si="36"/>
        <v>-1</v>
      </c>
      <c r="AS214">
        <f t="shared" si="37"/>
        <v>-1</v>
      </c>
      <c r="AT214">
        <f t="shared" si="38"/>
        <v>-1</v>
      </c>
      <c r="AU214">
        <f t="shared" si="39"/>
        <v>-5.5</v>
      </c>
      <c r="AV214">
        <f>SUM(Table1[[#This Row],[Satis]:[29]])</f>
        <v>-6</v>
      </c>
      <c r="AW214">
        <f t="shared" si="40"/>
        <v>-5</v>
      </c>
      <c r="AX214">
        <f t="shared" si="41"/>
        <v>-4</v>
      </c>
      <c r="AY214">
        <f t="shared" si="42"/>
        <v>-3</v>
      </c>
      <c r="AZ214" t="str">
        <f t="shared" si="43"/>
        <v>TDP HardCore</v>
      </c>
    </row>
    <row r="215" spans="1:52" x14ac:dyDescent="0.3">
      <c r="A215" t="s">
        <v>1460</v>
      </c>
      <c r="B215" s="94">
        <v>46044</v>
      </c>
      <c r="C215" t="s">
        <v>1461</v>
      </c>
      <c r="D215" t="s">
        <v>1462</v>
      </c>
      <c r="E215" t="s">
        <v>1463</v>
      </c>
      <c r="F215" t="s">
        <v>240</v>
      </c>
      <c r="G215" t="s">
        <v>39</v>
      </c>
      <c r="H215" t="s">
        <v>1464</v>
      </c>
      <c r="I215" t="s">
        <v>36</v>
      </c>
      <c r="J215" t="s">
        <v>71</v>
      </c>
      <c r="K215" t="s">
        <v>214</v>
      </c>
      <c r="L215" t="s">
        <v>62</v>
      </c>
      <c r="M215" t="s">
        <v>443</v>
      </c>
      <c r="N215" t="s">
        <v>63</v>
      </c>
      <c r="O215" t="s">
        <v>1465</v>
      </c>
      <c r="P215">
        <v>7702512529</v>
      </c>
      <c r="Q215" t="s">
        <v>54</v>
      </c>
      <c r="R215" t="s">
        <v>61</v>
      </c>
      <c r="S215" t="s">
        <v>43</v>
      </c>
      <c r="T215" t="s">
        <v>43</v>
      </c>
      <c r="U215" t="s">
        <v>44</v>
      </c>
      <c r="V215" t="s">
        <v>45</v>
      </c>
      <c r="W215" t="s">
        <v>5056</v>
      </c>
      <c r="X215" t="s">
        <v>45</v>
      </c>
      <c r="Y215" t="s">
        <v>46</v>
      </c>
      <c r="Z215" t="s">
        <v>47</v>
      </c>
      <c r="AA215" t="s">
        <v>92</v>
      </c>
      <c r="AB215" t="s">
        <v>351</v>
      </c>
      <c r="AC215" t="s">
        <v>381</v>
      </c>
      <c r="AD215" t="s">
        <v>1270</v>
      </c>
      <c r="AE215" t="s">
        <v>185</v>
      </c>
      <c r="AF215" t="s">
        <v>1466</v>
      </c>
      <c r="AG215" t="s">
        <v>196</v>
      </c>
      <c r="AH215" s="93">
        <f>VLOOKUP(Table1[[#This Row],[Caste]],Factor!$H$1:$K$13,4,0)</f>
        <v>1.1705128247062893</v>
      </c>
      <c r="AI215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215">
        <f>Table1[[#This Row],[Factor_1]]*Table1[[#This Row],[2024 Factor]]</f>
        <v>1.4435679386658844</v>
      </c>
      <c r="AK215">
        <f>VLOOKUP(Table1[[#This Row],[Q18: Gender]],Factor!$A$33:$E$35,5,0)</f>
        <v>0.85034013605442171</v>
      </c>
      <c r="AL215">
        <f>VLOOKUP(Table1[[#This Row],[Taluka]],Factor!$A$42:$G$46,7,0)</f>
        <v>1.1213131007097483</v>
      </c>
      <c r="AM215">
        <f>VLOOKUP(Table1[[#This Row],[Caste]]&amp;Table1[[#This Row],[Q18: Gender]],Factor!$W$1:$X$23,2,0)</f>
        <v>0.79950206330384943</v>
      </c>
      <c r="AN215">
        <f>VLOOKUP(Table1[[#This Row],[Taluka]]&amp;Table1[[#This Row],[Caste]]&amp;Table1[[#This Row],[Q18: Gender]],Factor!$AK$4:$AL$93,2,0)</f>
        <v>0.7401439088249181</v>
      </c>
      <c r="AO215">
        <f t="shared" si="33"/>
        <v>-1</v>
      </c>
      <c r="AP215">
        <f t="shared" si="34"/>
        <v>-1</v>
      </c>
      <c r="AQ215">
        <f t="shared" si="35"/>
        <v>-1</v>
      </c>
      <c r="AR215">
        <f t="shared" si="36"/>
        <v>-1</v>
      </c>
      <c r="AS215">
        <f t="shared" si="37"/>
        <v>1</v>
      </c>
      <c r="AT215">
        <f t="shared" si="38"/>
        <v>-1</v>
      </c>
      <c r="AU215">
        <f t="shared" si="39"/>
        <v>-4.5</v>
      </c>
      <c r="AV215">
        <f>SUM(Table1[[#This Row],[Satis]:[29]])</f>
        <v>-4</v>
      </c>
      <c r="AW215">
        <f t="shared" si="40"/>
        <v>-3</v>
      </c>
      <c r="AX215">
        <f t="shared" si="41"/>
        <v>-2</v>
      </c>
      <c r="AY215">
        <f t="shared" si="42"/>
        <v>-2</v>
      </c>
      <c r="AZ215" t="str">
        <f t="shared" si="43"/>
        <v>Neutral TDP</v>
      </c>
    </row>
    <row r="216" spans="1:52" x14ac:dyDescent="0.3">
      <c r="A216" t="s">
        <v>1510</v>
      </c>
      <c r="B216" s="94">
        <v>46044</v>
      </c>
      <c r="C216" t="s">
        <v>1461</v>
      </c>
      <c r="D216" t="s">
        <v>1462</v>
      </c>
      <c r="E216" t="s">
        <v>1463</v>
      </c>
      <c r="F216" t="s">
        <v>240</v>
      </c>
      <c r="G216" t="s">
        <v>39</v>
      </c>
      <c r="H216" t="s">
        <v>1511</v>
      </c>
      <c r="I216" t="s">
        <v>36</v>
      </c>
      <c r="J216" t="s">
        <v>71</v>
      </c>
      <c r="K216" t="s">
        <v>214</v>
      </c>
      <c r="L216" t="s">
        <v>62</v>
      </c>
      <c r="M216" t="s">
        <v>443</v>
      </c>
      <c r="N216" t="s">
        <v>63</v>
      </c>
      <c r="O216" t="s">
        <v>1465</v>
      </c>
      <c r="P216">
        <v>7702512529</v>
      </c>
      <c r="Q216" t="s">
        <v>54</v>
      </c>
      <c r="R216" t="s">
        <v>61</v>
      </c>
      <c r="S216" t="s">
        <v>43</v>
      </c>
      <c r="T216" t="s">
        <v>43</v>
      </c>
      <c r="U216" t="s">
        <v>44</v>
      </c>
      <c r="V216" t="s">
        <v>45</v>
      </c>
      <c r="W216" t="s">
        <v>5056</v>
      </c>
      <c r="X216" t="s">
        <v>45</v>
      </c>
      <c r="Y216" t="s">
        <v>46</v>
      </c>
      <c r="Z216" t="s">
        <v>47</v>
      </c>
      <c r="AA216" t="s">
        <v>92</v>
      </c>
      <c r="AB216" t="s">
        <v>351</v>
      </c>
      <c r="AC216" t="s">
        <v>381</v>
      </c>
      <c r="AD216" t="s">
        <v>1279</v>
      </c>
      <c r="AE216" t="s">
        <v>185</v>
      </c>
      <c r="AF216">
        <v>0</v>
      </c>
      <c r="AG216" t="s">
        <v>196</v>
      </c>
      <c r="AH216" s="93">
        <f>VLOOKUP(Table1[[#This Row],[Caste]],Factor!$H$1:$K$13,4,0)</f>
        <v>1.1705128247062893</v>
      </c>
      <c r="AI216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216">
        <f>Table1[[#This Row],[Factor_1]]*Table1[[#This Row],[2024 Factor]]</f>
        <v>1.4435679386658844</v>
      </c>
      <c r="AK216">
        <f>VLOOKUP(Table1[[#This Row],[Q18: Gender]],Factor!$A$33:$E$35,5,0)</f>
        <v>0.85034013605442171</v>
      </c>
      <c r="AL216">
        <f>VLOOKUP(Table1[[#This Row],[Taluka]],Factor!$A$42:$G$46,7,0)</f>
        <v>1.1213131007097483</v>
      </c>
      <c r="AM216">
        <f>VLOOKUP(Table1[[#This Row],[Caste]]&amp;Table1[[#This Row],[Q18: Gender]],Factor!$W$1:$X$23,2,0)</f>
        <v>0.79950206330384943</v>
      </c>
      <c r="AN216">
        <f>VLOOKUP(Table1[[#This Row],[Taluka]]&amp;Table1[[#This Row],[Caste]]&amp;Table1[[#This Row],[Q18: Gender]],Factor!$AK$4:$AL$93,2,0)</f>
        <v>0.7401439088249181</v>
      </c>
      <c r="AO216">
        <f t="shared" si="33"/>
        <v>-1</v>
      </c>
      <c r="AP216">
        <f t="shared" si="34"/>
        <v>-1</v>
      </c>
      <c r="AQ216">
        <f t="shared" si="35"/>
        <v>-1</v>
      </c>
      <c r="AR216">
        <f t="shared" si="36"/>
        <v>-1</v>
      </c>
      <c r="AS216">
        <f t="shared" si="37"/>
        <v>1</v>
      </c>
      <c r="AT216">
        <f t="shared" si="38"/>
        <v>-1</v>
      </c>
      <c r="AU216">
        <f t="shared" si="39"/>
        <v>-4.5</v>
      </c>
      <c r="AV216">
        <f>SUM(Table1[[#This Row],[Satis]:[29]])</f>
        <v>-4</v>
      </c>
      <c r="AW216">
        <f t="shared" si="40"/>
        <v>-3</v>
      </c>
      <c r="AX216">
        <f t="shared" si="41"/>
        <v>-2</v>
      </c>
      <c r="AY216">
        <f t="shared" si="42"/>
        <v>-2</v>
      </c>
      <c r="AZ216" t="str">
        <f t="shared" si="43"/>
        <v>Neutral TDP</v>
      </c>
    </row>
    <row r="217" spans="1:52" x14ac:dyDescent="0.3">
      <c r="A217" t="s">
        <v>1367</v>
      </c>
      <c r="B217" s="94">
        <v>46044</v>
      </c>
      <c r="C217" t="s">
        <v>1368</v>
      </c>
      <c r="D217" t="s">
        <v>1369</v>
      </c>
      <c r="E217" t="s">
        <v>1370</v>
      </c>
      <c r="F217" t="s">
        <v>69</v>
      </c>
      <c r="G217" t="s">
        <v>39</v>
      </c>
      <c r="H217" t="s">
        <v>1371</v>
      </c>
      <c r="I217" t="s">
        <v>59</v>
      </c>
      <c r="J217" t="s">
        <v>219</v>
      </c>
      <c r="K217" t="s">
        <v>221</v>
      </c>
      <c r="L217" t="s">
        <v>50</v>
      </c>
      <c r="M217" t="s">
        <v>51</v>
      </c>
      <c r="N217" t="s">
        <v>52</v>
      </c>
      <c r="O217" t="s">
        <v>885</v>
      </c>
      <c r="P217">
        <v>9849835282</v>
      </c>
      <c r="Q217" t="s">
        <v>54</v>
      </c>
      <c r="R217" t="s">
        <v>73</v>
      </c>
      <c r="S217" t="s">
        <v>89</v>
      </c>
      <c r="T217" t="s">
        <v>89</v>
      </c>
      <c r="U217" t="s">
        <v>90</v>
      </c>
      <c r="V217" t="s">
        <v>91</v>
      </c>
      <c r="W217" t="s">
        <v>5080</v>
      </c>
      <c r="X217" t="s">
        <v>91</v>
      </c>
      <c r="Y217" t="s">
        <v>46</v>
      </c>
      <c r="Z217" t="s">
        <v>92</v>
      </c>
      <c r="AA217" t="s">
        <v>92</v>
      </c>
      <c r="AB217" t="s">
        <v>93</v>
      </c>
      <c r="AC217" t="s">
        <v>94</v>
      </c>
      <c r="AD217" t="s">
        <v>1270</v>
      </c>
      <c r="AE217" t="s">
        <v>1271</v>
      </c>
      <c r="AF217" t="s">
        <v>1372</v>
      </c>
      <c r="AG217" t="s">
        <v>196</v>
      </c>
      <c r="AH217" s="93">
        <f>VLOOKUP(Table1[[#This Row],[Caste]],Factor!$H$1:$K$13,4,0)</f>
        <v>1.1461625511156397</v>
      </c>
      <c r="AI217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217">
        <f>Table1[[#This Row],[Factor_1]]*Table1[[#This Row],[2024 Factor]]</f>
        <v>1.2999324650914248</v>
      </c>
      <c r="AK217">
        <f>VLOOKUP(Table1[[#This Row],[Q18: Gender]],Factor!$A$33:$E$35,5,0)</f>
        <v>0.85034013605442171</v>
      </c>
      <c r="AL217">
        <f>VLOOKUP(Table1[[#This Row],[Taluka]],Factor!$A$42:$G$46,7,0)</f>
        <v>1.147984664167413</v>
      </c>
      <c r="AM217">
        <f>VLOOKUP(Table1[[#This Row],[Caste]]&amp;Table1[[#This Row],[Q18: Gender]],Factor!$W$1:$X$23,2,0)</f>
        <v>0.71995135120329123</v>
      </c>
      <c r="AN217">
        <f>VLOOKUP(Table1[[#This Row],[Taluka]]&amp;Table1[[#This Row],[Caste]]&amp;Table1[[#This Row],[Q18: Gender]],Factor!$AK$4:$AL$93,2,0)</f>
        <v>0.54319084681293095</v>
      </c>
      <c r="AO217">
        <f t="shared" si="33"/>
        <v>1</v>
      </c>
      <c r="AP217">
        <f t="shared" si="34"/>
        <v>1</v>
      </c>
      <c r="AQ217">
        <f t="shared" si="35"/>
        <v>1</v>
      </c>
      <c r="AR217">
        <f t="shared" si="36"/>
        <v>1</v>
      </c>
      <c r="AS217">
        <f t="shared" si="37"/>
        <v>1</v>
      </c>
      <c r="AT217">
        <f t="shared" si="38"/>
        <v>1</v>
      </c>
      <c r="AU217">
        <f t="shared" si="39"/>
        <v>5.5</v>
      </c>
      <c r="AV217">
        <f>SUM(Table1[[#This Row],[Satis]:[29]])</f>
        <v>6</v>
      </c>
      <c r="AW217">
        <f t="shared" si="40"/>
        <v>5</v>
      </c>
      <c r="AX217">
        <f t="shared" si="41"/>
        <v>4</v>
      </c>
      <c r="AY217">
        <f t="shared" si="42"/>
        <v>3</v>
      </c>
      <c r="AZ217" t="str">
        <f t="shared" si="43"/>
        <v>YSRCP HardCore</v>
      </c>
    </row>
    <row r="218" spans="1:52" x14ac:dyDescent="0.3">
      <c r="A218" t="s">
        <v>1735</v>
      </c>
      <c r="B218" s="94">
        <v>46044</v>
      </c>
      <c r="C218" t="s">
        <v>1736</v>
      </c>
      <c r="D218" t="s">
        <v>1737</v>
      </c>
      <c r="E218" t="s">
        <v>1463</v>
      </c>
      <c r="F218" t="s">
        <v>240</v>
      </c>
      <c r="G218" t="s">
        <v>39</v>
      </c>
      <c r="H218" t="s">
        <v>1738</v>
      </c>
      <c r="I218" t="s">
        <v>36</v>
      </c>
      <c r="J218" t="s">
        <v>71</v>
      </c>
      <c r="K218" t="s">
        <v>214</v>
      </c>
      <c r="L218" t="s">
        <v>50</v>
      </c>
      <c r="M218" t="s">
        <v>443</v>
      </c>
      <c r="N218" t="s">
        <v>52</v>
      </c>
      <c r="O218" t="s">
        <v>885</v>
      </c>
      <c r="P218">
        <v>8978056292</v>
      </c>
      <c r="Q218" t="s">
        <v>54</v>
      </c>
      <c r="R218" t="s">
        <v>73</v>
      </c>
      <c r="S218" t="s">
        <v>43</v>
      </c>
      <c r="T218" t="s">
        <v>43</v>
      </c>
      <c r="U218" t="s">
        <v>44</v>
      </c>
      <c r="V218" t="s">
        <v>45</v>
      </c>
      <c r="W218" t="s">
        <v>5050</v>
      </c>
      <c r="X218" t="s">
        <v>45</v>
      </c>
      <c r="Y218" t="s">
        <v>46</v>
      </c>
      <c r="Z218" t="s">
        <v>47</v>
      </c>
      <c r="AA218" t="s">
        <v>242</v>
      </c>
      <c r="AB218" t="s">
        <v>49</v>
      </c>
      <c r="AC218" t="s">
        <v>49</v>
      </c>
      <c r="AD218" t="s">
        <v>1270</v>
      </c>
      <c r="AE218" t="s">
        <v>185</v>
      </c>
      <c r="AF218" t="s">
        <v>185</v>
      </c>
      <c r="AG218" t="s">
        <v>196</v>
      </c>
      <c r="AH218" s="93">
        <f>VLOOKUP(Table1[[#This Row],[Caste]],Factor!$H$1:$K$13,4,0)</f>
        <v>1.1705128247062893</v>
      </c>
      <c r="AI218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218">
        <f>Table1[[#This Row],[Factor_1]]*Table1[[#This Row],[2024 Factor]]</f>
        <v>0.52890136495485462</v>
      </c>
      <c r="AK218">
        <f>VLOOKUP(Table1[[#This Row],[Q18: Gender]],Factor!$A$33:$E$35,5,0)</f>
        <v>0.85034013605442171</v>
      </c>
      <c r="AL218">
        <f>VLOOKUP(Table1[[#This Row],[Taluka]],Factor!$A$42:$G$46,7,0)</f>
        <v>1.1213131007097483</v>
      </c>
      <c r="AM218">
        <f>VLOOKUP(Table1[[#This Row],[Caste]]&amp;Table1[[#This Row],[Q18: Gender]],Factor!$W$1:$X$23,2,0)</f>
        <v>0.79950206330384943</v>
      </c>
      <c r="AN218">
        <f>VLOOKUP(Table1[[#This Row],[Taluka]]&amp;Table1[[#This Row],[Caste]]&amp;Table1[[#This Row],[Q18: Gender]],Factor!$AK$4:$AL$93,2,0)</f>
        <v>0.7401439088249181</v>
      </c>
      <c r="AO218">
        <f t="shared" si="33"/>
        <v>-1</v>
      </c>
      <c r="AP218">
        <f t="shared" si="34"/>
        <v>-1</v>
      </c>
      <c r="AQ218">
        <f t="shared" si="35"/>
        <v>-1</v>
      </c>
      <c r="AR218">
        <f t="shared" si="36"/>
        <v>-1</v>
      </c>
      <c r="AS218">
        <f t="shared" si="37"/>
        <v>-1</v>
      </c>
      <c r="AT218">
        <f t="shared" si="38"/>
        <v>-1</v>
      </c>
      <c r="AU218">
        <f t="shared" si="39"/>
        <v>-5.5</v>
      </c>
      <c r="AV218">
        <f>SUM(Table1[[#This Row],[Satis]:[29]])</f>
        <v>-6</v>
      </c>
      <c r="AW218">
        <f t="shared" si="40"/>
        <v>-5</v>
      </c>
      <c r="AX218">
        <f t="shared" si="41"/>
        <v>-4</v>
      </c>
      <c r="AY218">
        <f t="shared" si="42"/>
        <v>-3</v>
      </c>
      <c r="AZ218" t="str">
        <f t="shared" si="43"/>
        <v>TDP HardCore</v>
      </c>
    </row>
    <row r="219" spans="1:52" x14ac:dyDescent="0.3">
      <c r="A219" t="s">
        <v>1560</v>
      </c>
      <c r="B219" s="94">
        <v>46044</v>
      </c>
      <c r="C219" t="s">
        <v>1561</v>
      </c>
      <c r="D219" t="s">
        <v>1562</v>
      </c>
      <c r="E219" t="s">
        <v>1563</v>
      </c>
      <c r="F219" t="s">
        <v>935</v>
      </c>
      <c r="G219" t="s">
        <v>39</v>
      </c>
      <c r="H219" t="s">
        <v>1564</v>
      </c>
      <c r="I219" t="s">
        <v>227</v>
      </c>
      <c r="J219" t="s">
        <v>219</v>
      </c>
      <c r="K219" t="s">
        <v>224</v>
      </c>
      <c r="L219" t="s">
        <v>62</v>
      </c>
      <c r="M219" t="s">
        <v>51</v>
      </c>
      <c r="N219" t="s">
        <v>63</v>
      </c>
      <c r="O219" t="s">
        <v>1565</v>
      </c>
      <c r="P219">
        <v>8523049612</v>
      </c>
      <c r="Q219" t="s">
        <v>54</v>
      </c>
      <c r="R219" t="s">
        <v>139</v>
      </c>
      <c r="S219" t="s">
        <v>43</v>
      </c>
      <c r="T219" t="s">
        <v>43</v>
      </c>
      <c r="U219" t="s">
        <v>44</v>
      </c>
      <c r="V219" t="s">
        <v>91</v>
      </c>
      <c r="W219" t="s">
        <v>5058</v>
      </c>
      <c r="X219" t="s">
        <v>91</v>
      </c>
      <c r="Y219" t="s">
        <v>46</v>
      </c>
      <c r="Z219" t="s">
        <v>47</v>
      </c>
      <c r="AA219" t="s">
        <v>48</v>
      </c>
      <c r="AB219" t="s">
        <v>49</v>
      </c>
      <c r="AC219" t="s">
        <v>49</v>
      </c>
      <c r="AD219" t="s">
        <v>1552</v>
      </c>
      <c r="AE219" t="s">
        <v>185</v>
      </c>
      <c r="AF219" t="s">
        <v>185</v>
      </c>
      <c r="AG219" t="s">
        <v>196</v>
      </c>
      <c r="AH219" s="93">
        <f>VLOOKUP(Table1[[#This Row],[Caste]],Factor!$H$1:$K$13,4,0)</f>
        <v>1.2612194085121222</v>
      </c>
      <c r="AI21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19">
        <f>Table1[[#This Row],[Factor_1]]*Table1[[#This Row],[2024 Factor]]</f>
        <v>0.92029223709519836</v>
      </c>
      <c r="AK219">
        <f>VLOOKUP(Table1[[#This Row],[Q18: Gender]],Factor!$A$33:$E$35,5,0)</f>
        <v>0.85034013605442171</v>
      </c>
      <c r="AL219">
        <f>VLOOKUP(Table1[[#This Row],[Taluka]],Factor!$A$42:$G$46,7,0)</f>
        <v>1.147984664167413</v>
      </c>
      <c r="AM219">
        <f>VLOOKUP(Table1[[#This Row],[Caste]]&amp;Table1[[#This Row],[Q18: Gender]],Factor!$W$1:$X$23,2,0)</f>
        <v>0.85249089649430487</v>
      </c>
      <c r="AN219">
        <f>VLOOKUP(Table1[[#This Row],[Taluka]]&amp;Table1[[#This Row],[Caste]]&amp;Table1[[#This Row],[Q18: Gender]],Factor!$AK$4:$AL$93,2,0)</f>
        <v>0.41451794778650441</v>
      </c>
      <c r="AO219">
        <f t="shared" si="33"/>
        <v>-1</v>
      </c>
      <c r="AP219">
        <f t="shared" si="34"/>
        <v>-1</v>
      </c>
      <c r="AQ219">
        <f t="shared" si="35"/>
        <v>1</v>
      </c>
      <c r="AR219">
        <f t="shared" si="36"/>
        <v>1</v>
      </c>
      <c r="AS219">
        <f t="shared" si="37"/>
        <v>-1</v>
      </c>
      <c r="AT219">
        <f t="shared" si="38"/>
        <v>-1</v>
      </c>
      <c r="AU219">
        <f t="shared" si="39"/>
        <v>-1.5</v>
      </c>
      <c r="AV219">
        <f>SUM(Table1[[#This Row],[Satis]:[29]])</f>
        <v>-2</v>
      </c>
      <c r="AW219">
        <f t="shared" si="40"/>
        <v>-1</v>
      </c>
      <c r="AX219">
        <f t="shared" si="41"/>
        <v>0</v>
      </c>
      <c r="AY219">
        <f t="shared" si="42"/>
        <v>-3</v>
      </c>
      <c r="AZ219" t="str">
        <f t="shared" si="43"/>
        <v>Neutral TDP</v>
      </c>
    </row>
    <row r="220" spans="1:52" x14ac:dyDescent="0.3">
      <c r="A220" t="s">
        <v>1386</v>
      </c>
      <c r="B220" s="94">
        <v>46044</v>
      </c>
      <c r="C220" t="s">
        <v>1387</v>
      </c>
      <c r="D220" t="s">
        <v>1388</v>
      </c>
      <c r="E220" t="s">
        <v>1389</v>
      </c>
      <c r="F220" t="s">
        <v>935</v>
      </c>
      <c r="G220" t="s">
        <v>39</v>
      </c>
      <c r="H220" t="s">
        <v>1390</v>
      </c>
      <c r="I220" t="s">
        <v>229</v>
      </c>
      <c r="J220" t="s">
        <v>219</v>
      </c>
      <c r="K220" t="s">
        <v>225</v>
      </c>
      <c r="L220" t="s">
        <v>62</v>
      </c>
      <c r="M220" t="s">
        <v>51</v>
      </c>
      <c r="N220" t="s">
        <v>63</v>
      </c>
      <c r="O220" t="s">
        <v>579</v>
      </c>
      <c r="P220">
        <v>7708275629</v>
      </c>
      <c r="Q220" t="s">
        <v>445</v>
      </c>
      <c r="R220" t="s">
        <v>139</v>
      </c>
      <c r="S220" t="s">
        <v>43</v>
      </c>
      <c r="T220" t="s">
        <v>43</v>
      </c>
      <c r="U220" t="s">
        <v>90</v>
      </c>
      <c r="V220" t="s">
        <v>45</v>
      </c>
      <c r="W220" t="s">
        <v>5056</v>
      </c>
      <c r="X220" t="s">
        <v>45</v>
      </c>
      <c r="Y220" t="s">
        <v>46</v>
      </c>
      <c r="Z220" t="s">
        <v>47</v>
      </c>
      <c r="AA220" t="s">
        <v>48</v>
      </c>
      <c r="AB220" t="s">
        <v>49</v>
      </c>
      <c r="AC220" t="s">
        <v>49</v>
      </c>
      <c r="AD220" t="s">
        <v>1279</v>
      </c>
      <c r="AE220" t="s">
        <v>1250</v>
      </c>
      <c r="AF220" t="s">
        <v>1391</v>
      </c>
      <c r="AG220" t="s">
        <v>498</v>
      </c>
      <c r="AH220" s="93">
        <f>VLOOKUP(Table1[[#This Row],[Caste]],Factor!$H$1:$K$13,4,0)</f>
        <v>1.1209668980183516</v>
      </c>
      <c r="AI22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20">
        <f>Table1[[#This Row],[Factor_1]]*Table1[[#This Row],[2024 Factor]]</f>
        <v>1.4370186848956754</v>
      </c>
      <c r="AK220">
        <f>VLOOKUP(Table1[[#This Row],[Q18: Gender]],Factor!$A$33:$E$35,5,0)</f>
        <v>2.1645021645021645</v>
      </c>
      <c r="AL220">
        <f>VLOOKUP(Table1[[#This Row],[Taluka]],Factor!$A$42:$G$46,7,0)</f>
        <v>1.147984664167413</v>
      </c>
      <c r="AM220">
        <f>VLOOKUP(Table1[[#This Row],[Caste]]&amp;Table1[[#This Row],[Q18: Gender]],Factor!$W$1:$X$23,2,0)</f>
        <v>1.3311481913967924</v>
      </c>
      <c r="AN220">
        <f>VLOOKUP(Table1[[#This Row],[Taluka]]&amp;Table1[[#This Row],[Caste]]&amp;Table1[[#This Row],[Q18: Gender]],Factor!$AK$4:$AL$93,2,0)</f>
        <v>0.51141675343184545</v>
      </c>
      <c r="AO220">
        <f t="shared" si="33"/>
        <v>-1</v>
      </c>
      <c r="AP220">
        <f t="shared" si="34"/>
        <v>1</v>
      </c>
      <c r="AQ220">
        <f t="shared" si="35"/>
        <v>-1</v>
      </c>
      <c r="AR220">
        <f t="shared" si="36"/>
        <v>-1</v>
      </c>
      <c r="AS220">
        <f t="shared" si="37"/>
        <v>-1</v>
      </c>
      <c r="AT220">
        <f t="shared" si="38"/>
        <v>-1</v>
      </c>
      <c r="AU220">
        <f t="shared" si="39"/>
        <v>-3.5</v>
      </c>
      <c r="AV220">
        <f>SUM(Table1[[#This Row],[Satis]:[29]])</f>
        <v>-4</v>
      </c>
      <c r="AW220">
        <f t="shared" si="40"/>
        <v>-5</v>
      </c>
      <c r="AX220">
        <f t="shared" si="41"/>
        <v>-4</v>
      </c>
      <c r="AY220">
        <f t="shared" si="42"/>
        <v>-3</v>
      </c>
      <c r="AZ220" t="str">
        <f t="shared" si="43"/>
        <v>TDP Sympathiser</v>
      </c>
    </row>
    <row r="221" spans="1:52" x14ac:dyDescent="0.3">
      <c r="A221" t="s">
        <v>1972</v>
      </c>
      <c r="B221" s="94">
        <v>46044</v>
      </c>
      <c r="C221" t="s">
        <v>1973</v>
      </c>
      <c r="D221" t="s">
        <v>1974</v>
      </c>
      <c r="E221" t="s">
        <v>1975</v>
      </c>
      <c r="F221" t="s">
        <v>240</v>
      </c>
      <c r="G221" t="s">
        <v>39</v>
      </c>
      <c r="H221" t="s">
        <v>1976</v>
      </c>
      <c r="I221" t="s">
        <v>36</v>
      </c>
      <c r="J221" t="s">
        <v>71</v>
      </c>
      <c r="K221" t="s">
        <v>214</v>
      </c>
      <c r="L221" t="s">
        <v>62</v>
      </c>
      <c r="M221" t="s">
        <v>51</v>
      </c>
      <c r="N221" t="s">
        <v>63</v>
      </c>
      <c r="O221" t="s">
        <v>1977</v>
      </c>
      <c r="P221">
        <v>9949597227</v>
      </c>
      <c r="Q221" t="s">
        <v>54</v>
      </c>
      <c r="R221" t="s">
        <v>73</v>
      </c>
      <c r="S221" t="s">
        <v>43</v>
      </c>
      <c r="T221" t="s">
        <v>43</v>
      </c>
      <c r="U221" t="s">
        <v>44</v>
      </c>
      <c r="V221" t="s">
        <v>45</v>
      </c>
      <c r="W221" t="s">
        <v>5093</v>
      </c>
      <c r="X221" t="s">
        <v>45</v>
      </c>
      <c r="Y221" t="s">
        <v>46</v>
      </c>
      <c r="Z221" t="s">
        <v>47</v>
      </c>
      <c r="AA221" t="s">
        <v>48</v>
      </c>
      <c r="AB221" t="s">
        <v>49</v>
      </c>
      <c r="AC221" t="s">
        <v>49</v>
      </c>
      <c r="AD221" t="s">
        <v>1552</v>
      </c>
      <c r="AE221" t="s">
        <v>185</v>
      </c>
      <c r="AF221" t="s">
        <v>1978</v>
      </c>
      <c r="AG221" t="s">
        <v>196</v>
      </c>
      <c r="AH221" s="93">
        <f>VLOOKUP(Table1[[#This Row],[Caste]],Factor!$H$1:$K$13,4,0)</f>
        <v>1.1705128247062893</v>
      </c>
      <c r="AI22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21">
        <f>Table1[[#This Row],[Factor_1]]*Table1[[#This Row],[2024 Factor]]</f>
        <v>0.86308903171383233</v>
      </c>
      <c r="AK221">
        <f>VLOOKUP(Table1[[#This Row],[Q18: Gender]],Factor!$A$33:$E$35,5,0)</f>
        <v>0.85034013605442171</v>
      </c>
      <c r="AL221">
        <f>VLOOKUP(Table1[[#This Row],[Taluka]],Factor!$A$42:$G$46,7,0)</f>
        <v>1.1213131007097483</v>
      </c>
      <c r="AM221">
        <f>VLOOKUP(Table1[[#This Row],[Caste]]&amp;Table1[[#This Row],[Q18: Gender]],Factor!$W$1:$X$23,2,0)</f>
        <v>0.79950206330384943</v>
      </c>
      <c r="AN221">
        <f>VLOOKUP(Table1[[#This Row],[Taluka]]&amp;Table1[[#This Row],[Caste]]&amp;Table1[[#This Row],[Q18: Gender]],Factor!$AK$4:$AL$93,2,0)</f>
        <v>0.7401439088249181</v>
      </c>
      <c r="AO221">
        <f t="shared" si="33"/>
        <v>-1</v>
      </c>
      <c r="AP221">
        <f t="shared" si="34"/>
        <v>-1</v>
      </c>
      <c r="AQ221">
        <f t="shared" si="35"/>
        <v>-1</v>
      </c>
      <c r="AR221">
        <f t="shared" si="36"/>
        <v>-1</v>
      </c>
      <c r="AS221">
        <f t="shared" si="37"/>
        <v>-1</v>
      </c>
      <c r="AT221">
        <f t="shared" si="38"/>
        <v>-1</v>
      </c>
      <c r="AU221">
        <f t="shared" si="39"/>
        <v>-5.5</v>
      </c>
      <c r="AV221">
        <f>SUM(Table1[[#This Row],[Satis]:[29]])</f>
        <v>-6</v>
      </c>
      <c r="AW221">
        <f t="shared" si="40"/>
        <v>-5</v>
      </c>
      <c r="AX221">
        <f t="shared" si="41"/>
        <v>-4</v>
      </c>
      <c r="AY221">
        <f t="shared" si="42"/>
        <v>-3</v>
      </c>
      <c r="AZ221" t="str">
        <f t="shared" si="43"/>
        <v>TDP HardCore</v>
      </c>
    </row>
    <row r="222" spans="1:52" x14ac:dyDescent="0.3">
      <c r="A222" t="s">
        <v>1398</v>
      </c>
      <c r="B222" s="94">
        <v>46044</v>
      </c>
      <c r="C222" t="s">
        <v>1399</v>
      </c>
      <c r="D222" t="s">
        <v>1400</v>
      </c>
      <c r="E222" t="s">
        <v>1276</v>
      </c>
      <c r="F222" t="s">
        <v>935</v>
      </c>
      <c r="G222" t="s">
        <v>39</v>
      </c>
      <c r="H222" t="s">
        <v>1401</v>
      </c>
      <c r="I222" t="s">
        <v>229</v>
      </c>
      <c r="J222" s="112" t="s">
        <v>203</v>
      </c>
      <c r="K222" s="112" t="s">
        <v>205</v>
      </c>
      <c r="L222" t="s">
        <v>161</v>
      </c>
      <c r="M222" t="s">
        <v>51</v>
      </c>
      <c r="N222" t="s">
        <v>63</v>
      </c>
      <c r="O222" t="s">
        <v>1402</v>
      </c>
      <c r="P222">
        <v>9505265934</v>
      </c>
      <c r="Q222" t="s">
        <v>54</v>
      </c>
      <c r="R222" t="s">
        <v>132</v>
      </c>
      <c r="S222" t="s">
        <v>43</v>
      </c>
      <c r="T222" t="s">
        <v>43</v>
      </c>
      <c r="U222" t="s">
        <v>90</v>
      </c>
      <c r="V222" t="s">
        <v>91</v>
      </c>
      <c r="W222" t="s">
        <v>5087</v>
      </c>
      <c r="X222" t="s">
        <v>45</v>
      </c>
      <c r="Y222" t="s">
        <v>46</v>
      </c>
      <c r="Z222" t="s">
        <v>92</v>
      </c>
      <c r="AA222" t="s">
        <v>92</v>
      </c>
      <c r="AB222" t="s">
        <v>351</v>
      </c>
      <c r="AC222" t="s">
        <v>94</v>
      </c>
      <c r="AD222" t="s">
        <v>1279</v>
      </c>
      <c r="AE222" t="s">
        <v>189</v>
      </c>
      <c r="AF222" t="s">
        <v>1403</v>
      </c>
      <c r="AG222" t="s">
        <v>196</v>
      </c>
      <c r="AH222" s="93">
        <f>VLOOKUP(Table1[[#This Row],[Caste]],Factor!$H$1:$K$13,4,0)</f>
        <v>1.1209668980183516</v>
      </c>
      <c r="AI222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222">
        <f>Table1[[#This Row],[Factor_1]]*Table1[[#This Row],[2024 Factor]]</f>
        <v>1.7479996739449526</v>
      </c>
      <c r="AK222">
        <f>VLOOKUP(Table1[[#This Row],[Q18: Gender]],Factor!$A$33:$E$35,5,0)</f>
        <v>0.85034013605442171</v>
      </c>
      <c r="AL222">
        <f>VLOOKUP(Table1[[#This Row],[Taluka]],Factor!$A$42:$G$46,7,0)</f>
        <v>1.9264642089343564</v>
      </c>
      <c r="AM222">
        <f>VLOOKUP(Table1[[#This Row],[Caste]]&amp;Table1[[#This Row],[Q18: Gender]],Factor!$W$1:$X$23,2,0)</f>
        <v>0.96810777556130356</v>
      </c>
      <c r="AN222">
        <f>VLOOKUP(Table1[[#This Row],[Taluka]]&amp;Table1[[#This Row],[Caste]]&amp;Table1[[#This Row],[Q18: Gender]],Factor!$AK$4:$AL$93,2,0)</f>
        <v>3.302959239597544</v>
      </c>
      <c r="AO222">
        <f t="shared" si="33"/>
        <v>-1</v>
      </c>
      <c r="AP222">
        <f t="shared" si="34"/>
        <v>1</v>
      </c>
      <c r="AQ222">
        <f t="shared" si="35"/>
        <v>1</v>
      </c>
      <c r="AR222">
        <f t="shared" si="36"/>
        <v>-1</v>
      </c>
      <c r="AS222">
        <f t="shared" si="37"/>
        <v>1</v>
      </c>
      <c r="AT222">
        <f t="shared" si="38"/>
        <v>1</v>
      </c>
      <c r="AU222">
        <f t="shared" si="39"/>
        <v>1.5</v>
      </c>
      <c r="AV222">
        <f>SUM(Table1[[#This Row],[Satis]:[29]])</f>
        <v>2</v>
      </c>
      <c r="AW222">
        <f t="shared" si="40"/>
        <v>1</v>
      </c>
      <c r="AX222">
        <f t="shared" si="41"/>
        <v>2</v>
      </c>
      <c r="AY222">
        <f t="shared" si="42"/>
        <v>2</v>
      </c>
      <c r="AZ222" t="str">
        <f t="shared" si="43"/>
        <v>Neutral YSRCP</v>
      </c>
    </row>
    <row r="223" spans="1:52" x14ac:dyDescent="0.3">
      <c r="A223" t="s">
        <v>1979</v>
      </c>
      <c r="B223" s="94">
        <v>46044</v>
      </c>
      <c r="C223" t="s">
        <v>1980</v>
      </c>
      <c r="D223" t="s">
        <v>1981</v>
      </c>
      <c r="E223" t="s">
        <v>1982</v>
      </c>
      <c r="F223" t="s">
        <v>240</v>
      </c>
      <c r="G223" t="s">
        <v>39</v>
      </c>
      <c r="H223" t="s">
        <v>1983</v>
      </c>
      <c r="I223" t="s">
        <v>228</v>
      </c>
      <c r="J223" t="s">
        <v>71</v>
      </c>
      <c r="K223" t="s">
        <v>214</v>
      </c>
      <c r="L223" t="s">
        <v>62</v>
      </c>
      <c r="M223" t="s">
        <v>443</v>
      </c>
      <c r="N223" t="s">
        <v>63</v>
      </c>
      <c r="O223" t="s">
        <v>1984</v>
      </c>
      <c r="P223">
        <v>9133606515</v>
      </c>
      <c r="Q223" t="s">
        <v>54</v>
      </c>
      <c r="R223" t="s">
        <v>61</v>
      </c>
      <c r="S223" t="s">
        <v>89</v>
      </c>
      <c r="T223" t="s">
        <v>43</v>
      </c>
      <c r="U223" t="s">
        <v>90</v>
      </c>
      <c r="V223" t="s">
        <v>91</v>
      </c>
      <c r="W223" t="s">
        <v>5078</v>
      </c>
      <c r="X223" t="s">
        <v>91</v>
      </c>
      <c r="Y223" t="s">
        <v>46</v>
      </c>
      <c r="Z223" t="s">
        <v>47</v>
      </c>
      <c r="AA223" t="s">
        <v>48</v>
      </c>
      <c r="AB223" t="s">
        <v>49</v>
      </c>
      <c r="AC223" t="s">
        <v>49</v>
      </c>
      <c r="AD223" t="s">
        <v>1552</v>
      </c>
      <c r="AE223" t="s">
        <v>185</v>
      </c>
      <c r="AF223" t="s">
        <v>1290</v>
      </c>
      <c r="AG223" t="s">
        <v>196</v>
      </c>
      <c r="AH223" s="93">
        <f>VLOOKUP(Table1[[#This Row],[Caste]],Factor!$H$1:$K$13,4,0)</f>
        <v>0.80207032429970992</v>
      </c>
      <c r="AI22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23">
        <f>Table1[[#This Row],[Factor_1]]*Table1[[#This Row],[2024 Factor]]</f>
        <v>0.65595572330316032</v>
      </c>
      <c r="AK223">
        <f>VLOOKUP(Table1[[#This Row],[Q18: Gender]],Factor!$A$33:$E$35,5,0)</f>
        <v>0.85034013605442171</v>
      </c>
      <c r="AL223">
        <f>VLOOKUP(Table1[[#This Row],[Taluka]],Factor!$A$42:$G$46,7,0)</f>
        <v>1.1213131007097483</v>
      </c>
      <c r="AM223">
        <f>VLOOKUP(Table1[[#This Row],[Caste]]&amp;Table1[[#This Row],[Q18: Gender]],Factor!$W$1:$X$23,2,0)</f>
        <v>0.60762903356038633</v>
      </c>
      <c r="AN223">
        <f>VLOOKUP(Table1[[#This Row],[Taluka]]&amp;Table1[[#This Row],[Caste]]&amp;Table1[[#This Row],[Q18: Gender]],Factor!$AK$4:$AL$93,2,0)</f>
        <v>0.38672994380094594</v>
      </c>
      <c r="AO223">
        <f t="shared" si="33"/>
        <v>-1</v>
      </c>
      <c r="AP223">
        <f t="shared" si="34"/>
        <v>1</v>
      </c>
      <c r="AQ223">
        <f t="shared" si="35"/>
        <v>1</v>
      </c>
      <c r="AR223">
        <f t="shared" si="36"/>
        <v>1</v>
      </c>
      <c r="AS223">
        <f t="shared" si="37"/>
        <v>-1</v>
      </c>
      <c r="AT223">
        <f t="shared" si="38"/>
        <v>-1</v>
      </c>
      <c r="AU223">
        <f t="shared" si="39"/>
        <v>0.5</v>
      </c>
      <c r="AV223">
        <f>SUM(Table1[[#This Row],[Satis]:[29]])</f>
        <v>0</v>
      </c>
      <c r="AW223">
        <f t="shared" si="40"/>
        <v>-1</v>
      </c>
      <c r="AX223">
        <f t="shared" si="41"/>
        <v>0</v>
      </c>
      <c r="AY223">
        <f t="shared" si="42"/>
        <v>-3</v>
      </c>
      <c r="AZ223" t="str">
        <f t="shared" si="43"/>
        <v>Neutral TDP</v>
      </c>
    </row>
    <row r="224" spans="1:52" x14ac:dyDescent="0.3">
      <c r="A224" t="s">
        <v>1985</v>
      </c>
      <c r="B224" s="94">
        <v>46044</v>
      </c>
      <c r="C224" t="s">
        <v>1980</v>
      </c>
      <c r="D224" t="s">
        <v>1981</v>
      </c>
      <c r="E224" t="s">
        <v>1982</v>
      </c>
      <c r="F224" t="s">
        <v>240</v>
      </c>
      <c r="G224" t="s">
        <v>39</v>
      </c>
      <c r="H224" t="s">
        <v>1986</v>
      </c>
      <c r="I224" t="s">
        <v>228</v>
      </c>
      <c r="J224" t="s">
        <v>71</v>
      </c>
      <c r="K224" t="s">
        <v>214</v>
      </c>
      <c r="L224" t="s">
        <v>62</v>
      </c>
      <c r="M224" t="s">
        <v>443</v>
      </c>
      <c r="N224" t="s">
        <v>63</v>
      </c>
      <c r="O224" t="s">
        <v>1984</v>
      </c>
      <c r="P224">
        <v>9133606515</v>
      </c>
      <c r="Q224" t="s">
        <v>54</v>
      </c>
      <c r="R224" t="s">
        <v>61</v>
      </c>
      <c r="S224" t="s">
        <v>89</v>
      </c>
      <c r="T224" t="s">
        <v>43</v>
      </c>
      <c r="U224" t="s">
        <v>90</v>
      </c>
      <c r="V224" t="s">
        <v>91</v>
      </c>
      <c r="W224" t="s">
        <v>5078</v>
      </c>
      <c r="X224" t="s">
        <v>91</v>
      </c>
      <c r="Y224" t="s">
        <v>46</v>
      </c>
      <c r="Z224" t="s">
        <v>47</v>
      </c>
      <c r="AA224" t="s">
        <v>48</v>
      </c>
      <c r="AB224" t="s">
        <v>49</v>
      </c>
      <c r="AC224" t="s">
        <v>49</v>
      </c>
      <c r="AD224" t="s">
        <v>1552</v>
      </c>
      <c r="AE224" t="s">
        <v>185</v>
      </c>
      <c r="AF224">
        <v>0</v>
      </c>
      <c r="AG224" t="s">
        <v>196</v>
      </c>
      <c r="AH224" s="93">
        <f>VLOOKUP(Table1[[#This Row],[Caste]],Factor!$H$1:$K$13,4,0)</f>
        <v>0.80207032429970992</v>
      </c>
      <c r="AI22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24">
        <f>Table1[[#This Row],[Factor_1]]*Table1[[#This Row],[2024 Factor]]</f>
        <v>0.65595572330316032</v>
      </c>
      <c r="AK224">
        <f>VLOOKUP(Table1[[#This Row],[Q18: Gender]],Factor!$A$33:$E$35,5,0)</f>
        <v>0.85034013605442171</v>
      </c>
      <c r="AL224">
        <f>VLOOKUP(Table1[[#This Row],[Taluka]],Factor!$A$42:$G$46,7,0)</f>
        <v>1.1213131007097483</v>
      </c>
      <c r="AM224">
        <f>VLOOKUP(Table1[[#This Row],[Caste]]&amp;Table1[[#This Row],[Q18: Gender]],Factor!$W$1:$X$23,2,0)</f>
        <v>0.60762903356038633</v>
      </c>
      <c r="AN224">
        <f>VLOOKUP(Table1[[#This Row],[Taluka]]&amp;Table1[[#This Row],[Caste]]&amp;Table1[[#This Row],[Q18: Gender]],Factor!$AK$4:$AL$93,2,0)</f>
        <v>0.38672994380094594</v>
      </c>
      <c r="AO224">
        <f t="shared" si="33"/>
        <v>-1</v>
      </c>
      <c r="AP224">
        <f t="shared" si="34"/>
        <v>1</v>
      </c>
      <c r="AQ224">
        <f t="shared" si="35"/>
        <v>1</v>
      </c>
      <c r="AR224">
        <f t="shared" si="36"/>
        <v>1</v>
      </c>
      <c r="AS224">
        <f t="shared" si="37"/>
        <v>-1</v>
      </c>
      <c r="AT224">
        <f t="shared" si="38"/>
        <v>-1</v>
      </c>
      <c r="AU224">
        <f t="shared" si="39"/>
        <v>0.5</v>
      </c>
      <c r="AV224">
        <f>SUM(Table1[[#This Row],[Satis]:[29]])</f>
        <v>0</v>
      </c>
      <c r="AW224">
        <f t="shared" si="40"/>
        <v>-1</v>
      </c>
      <c r="AX224">
        <f t="shared" si="41"/>
        <v>0</v>
      </c>
      <c r="AY224">
        <f t="shared" si="42"/>
        <v>-3</v>
      </c>
      <c r="AZ224" t="str">
        <f t="shared" si="43"/>
        <v>Neutral TDP</v>
      </c>
    </row>
    <row r="225" spans="1:52" x14ac:dyDescent="0.3">
      <c r="A225" t="s">
        <v>1987</v>
      </c>
      <c r="B225" s="94">
        <v>46044</v>
      </c>
      <c r="C225" t="s">
        <v>1988</v>
      </c>
      <c r="D225" t="s">
        <v>1981</v>
      </c>
      <c r="E225" t="s">
        <v>1982</v>
      </c>
      <c r="F225" t="s">
        <v>240</v>
      </c>
      <c r="G225" t="s">
        <v>39</v>
      </c>
      <c r="H225" t="s">
        <v>1989</v>
      </c>
      <c r="I225" t="s">
        <v>228</v>
      </c>
      <c r="J225" t="s">
        <v>71</v>
      </c>
      <c r="K225" t="s">
        <v>214</v>
      </c>
      <c r="L225" t="s">
        <v>62</v>
      </c>
      <c r="M225" t="s">
        <v>443</v>
      </c>
      <c r="N225" t="s">
        <v>63</v>
      </c>
      <c r="O225" t="s">
        <v>1984</v>
      </c>
      <c r="P225">
        <v>9133606515</v>
      </c>
      <c r="Q225" t="s">
        <v>54</v>
      </c>
      <c r="R225" t="s">
        <v>61</v>
      </c>
      <c r="S225" t="s">
        <v>89</v>
      </c>
      <c r="T225" t="s">
        <v>43</v>
      </c>
      <c r="U225" t="s">
        <v>90</v>
      </c>
      <c r="V225" t="s">
        <v>91</v>
      </c>
      <c r="W225" t="s">
        <v>5078</v>
      </c>
      <c r="X225" t="s">
        <v>91</v>
      </c>
      <c r="Y225" t="s">
        <v>46</v>
      </c>
      <c r="Z225" t="s">
        <v>47</v>
      </c>
      <c r="AA225" t="s">
        <v>48</v>
      </c>
      <c r="AB225" t="s">
        <v>49</v>
      </c>
      <c r="AC225" t="s">
        <v>49</v>
      </c>
      <c r="AD225" t="s">
        <v>1552</v>
      </c>
      <c r="AE225" t="s">
        <v>185</v>
      </c>
      <c r="AF225">
        <v>0</v>
      </c>
      <c r="AG225" t="s">
        <v>196</v>
      </c>
      <c r="AH225" s="93">
        <f>VLOOKUP(Table1[[#This Row],[Caste]],Factor!$H$1:$K$13,4,0)</f>
        <v>0.80207032429970992</v>
      </c>
      <c r="AI22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25">
        <f>Table1[[#This Row],[Factor_1]]*Table1[[#This Row],[2024 Factor]]</f>
        <v>0.65595572330316032</v>
      </c>
      <c r="AK225">
        <f>VLOOKUP(Table1[[#This Row],[Q18: Gender]],Factor!$A$33:$E$35,5,0)</f>
        <v>0.85034013605442171</v>
      </c>
      <c r="AL225">
        <f>VLOOKUP(Table1[[#This Row],[Taluka]],Factor!$A$42:$G$46,7,0)</f>
        <v>1.1213131007097483</v>
      </c>
      <c r="AM225">
        <f>VLOOKUP(Table1[[#This Row],[Caste]]&amp;Table1[[#This Row],[Q18: Gender]],Factor!$W$1:$X$23,2,0)</f>
        <v>0.60762903356038633</v>
      </c>
      <c r="AN225">
        <f>VLOOKUP(Table1[[#This Row],[Taluka]]&amp;Table1[[#This Row],[Caste]]&amp;Table1[[#This Row],[Q18: Gender]],Factor!$AK$4:$AL$93,2,0)</f>
        <v>0.38672994380094594</v>
      </c>
      <c r="AO225">
        <f t="shared" si="33"/>
        <v>-1</v>
      </c>
      <c r="AP225">
        <f t="shared" si="34"/>
        <v>1</v>
      </c>
      <c r="AQ225">
        <f t="shared" si="35"/>
        <v>1</v>
      </c>
      <c r="AR225">
        <f t="shared" si="36"/>
        <v>1</v>
      </c>
      <c r="AS225">
        <f t="shared" si="37"/>
        <v>-1</v>
      </c>
      <c r="AT225">
        <f t="shared" si="38"/>
        <v>-1</v>
      </c>
      <c r="AU225">
        <f t="shared" si="39"/>
        <v>0.5</v>
      </c>
      <c r="AV225">
        <f>SUM(Table1[[#This Row],[Satis]:[29]])</f>
        <v>0</v>
      </c>
      <c r="AW225">
        <f t="shared" si="40"/>
        <v>-1</v>
      </c>
      <c r="AX225">
        <f t="shared" si="41"/>
        <v>0</v>
      </c>
      <c r="AY225">
        <f t="shared" si="42"/>
        <v>-3</v>
      </c>
      <c r="AZ225" t="str">
        <f t="shared" si="43"/>
        <v>Neutral TDP</v>
      </c>
    </row>
    <row r="226" spans="1:52" x14ac:dyDescent="0.3">
      <c r="A226" t="s">
        <v>1419</v>
      </c>
      <c r="B226" s="94">
        <v>46044</v>
      </c>
      <c r="C226" t="s">
        <v>1420</v>
      </c>
      <c r="D226" t="s">
        <v>1421</v>
      </c>
      <c r="E226" t="s">
        <v>1276</v>
      </c>
      <c r="F226" t="s">
        <v>935</v>
      </c>
      <c r="G226" t="s">
        <v>39</v>
      </c>
      <c r="H226" t="s">
        <v>1422</v>
      </c>
      <c r="I226" t="s">
        <v>59</v>
      </c>
      <c r="J226" t="s">
        <v>219</v>
      </c>
      <c r="K226" t="s">
        <v>224</v>
      </c>
      <c r="L226" t="s">
        <v>62</v>
      </c>
      <c r="M226" t="s">
        <v>51</v>
      </c>
      <c r="N226" t="s">
        <v>63</v>
      </c>
      <c r="O226" t="s">
        <v>1423</v>
      </c>
      <c r="P226">
        <v>9985424967</v>
      </c>
      <c r="Q226" t="s">
        <v>54</v>
      </c>
      <c r="R226" t="s">
        <v>132</v>
      </c>
      <c r="S226" t="s">
        <v>43</v>
      </c>
      <c r="T226" t="s">
        <v>43</v>
      </c>
      <c r="U226" t="s">
        <v>90</v>
      </c>
      <c r="V226" t="s">
        <v>91</v>
      </c>
      <c r="W226" t="s">
        <v>5056</v>
      </c>
      <c r="X226" t="s">
        <v>45</v>
      </c>
      <c r="Y226" t="s">
        <v>46</v>
      </c>
      <c r="Z226" t="s">
        <v>47</v>
      </c>
      <c r="AA226" t="s">
        <v>48</v>
      </c>
      <c r="AB226" t="s">
        <v>49</v>
      </c>
      <c r="AC226" t="s">
        <v>49</v>
      </c>
      <c r="AD226" t="s">
        <v>1279</v>
      </c>
      <c r="AE226" t="s">
        <v>1271</v>
      </c>
      <c r="AF226" t="s">
        <v>1212</v>
      </c>
      <c r="AG226" t="s">
        <v>196</v>
      </c>
      <c r="AH226" s="93">
        <f>VLOOKUP(Table1[[#This Row],[Caste]],Factor!$H$1:$K$13,4,0)</f>
        <v>1.1461625511156397</v>
      </c>
      <c r="AI22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26">
        <f>Table1[[#This Row],[Factor_1]]*Table1[[#This Row],[2024 Factor]]</f>
        <v>0.77721139583220644</v>
      </c>
      <c r="AK226">
        <f>VLOOKUP(Table1[[#This Row],[Q18: Gender]],Factor!$A$33:$E$35,5,0)</f>
        <v>0.85034013605442171</v>
      </c>
      <c r="AL226">
        <f>VLOOKUP(Table1[[#This Row],[Taluka]],Factor!$A$42:$G$46,7,0)</f>
        <v>1.147984664167413</v>
      </c>
      <c r="AM226">
        <f>VLOOKUP(Table1[[#This Row],[Caste]]&amp;Table1[[#This Row],[Q18: Gender]],Factor!$W$1:$X$23,2,0)</f>
        <v>0.71995135120329123</v>
      </c>
      <c r="AN226">
        <f>VLOOKUP(Table1[[#This Row],[Taluka]]&amp;Table1[[#This Row],[Caste]]&amp;Table1[[#This Row],[Q18: Gender]],Factor!$AK$4:$AL$93,2,0)</f>
        <v>0.54319084681293095</v>
      </c>
      <c r="AO226">
        <f t="shared" si="33"/>
        <v>-1</v>
      </c>
      <c r="AP226">
        <f t="shared" si="34"/>
        <v>1</v>
      </c>
      <c r="AQ226">
        <f t="shared" si="35"/>
        <v>1</v>
      </c>
      <c r="AR226">
        <f t="shared" si="36"/>
        <v>-1</v>
      </c>
      <c r="AS226">
        <f t="shared" si="37"/>
        <v>-1</v>
      </c>
      <c r="AT226">
        <f t="shared" si="38"/>
        <v>-1</v>
      </c>
      <c r="AU226">
        <f t="shared" si="39"/>
        <v>-1.5</v>
      </c>
      <c r="AV226">
        <f>SUM(Table1[[#This Row],[Satis]:[29]])</f>
        <v>-2</v>
      </c>
      <c r="AW226">
        <f t="shared" si="40"/>
        <v>-3</v>
      </c>
      <c r="AX226">
        <f t="shared" si="41"/>
        <v>-2</v>
      </c>
      <c r="AY226">
        <f t="shared" si="42"/>
        <v>-3</v>
      </c>
      <c r="AZ226" t="str">
        <f t="shared" si="43"/>
        <v>Neutral TDP</v>
      </c>
    </row>
    <row r="227" spans="1:52" x14ac:dyDescent="0.3">
      <c r="A227" t="s">
        <v>1424</v>
      </c>
      <c r="B227" s="94">
        <v>46044</v>
      </c>
      <c r="C227" t="s">
        <v>1425</v>
      </c>
      <c r="D227" t="s">
        <v>1426</v>
      </c>
      <c r="E227" t="s">
        <v>1427</v>
      </c>
      <c r="F227" t="s">
        <v>935</v>
      </c>
      <c r="G227" t="s">
        <v>39</v>
      </c>
      <c r="H227" t="s">
        <v>1428</v>
      </c>
      <c r="I227" t="s">
        <v>227</v>
      </c>
      <c r="J227" s="112" t="s">
        <v>203</v>
      </c>
      <c r="K227" s="112" t="s">
        <v>205</v>
      </c>
      <c r="L227" t="s">
        <v>62</v>
      </c>
      <c r="M227" t="s">
        <v>51</v>
      </c>
      <c r="N227" t="s">
        <v>63</v>
      </c>
      <c r="O227" t="s">
        <v>1429</v>
      </c>
      <c r="P227">
        <v>6303864965</v>
      </c>
      <c r="Q227" t="s">
        <v>445</v>
      </c>
      <c r="R227" t="s">
        <v>61</v>
      </c>
      <c r="S227" t="s">
        <v>43</v>
      </c>
      <c r="T227" t="s">
        <v>43</v>
      </c>
      <c r="U227" t="s">
        <v>90</v>
      </c>
      <c r="V227" t="s">
        <v>91</v>
      </c>
      <c r="W227" t="s">
        <v>5050</v>
      </c>
      <c r="X227" t="s">
        <v>91</v>
      </c>
      <c r="Y227" t="s">
        <v>46</v>
      </c>
      <c r="Z227" t="s">
        <v>92</v>
      </c>
      <c r="AA227" t="s">
        <v>92</v>
      </c>
      <c r="AB227" t="s">
        <v>351</v>
      </c>
      <c r="AC227" t="s">
        <v>94</v>
      </c>
      <c r="AD227" t="s">
        <v>1279</v>
      </c>
      <c r="AE227" t="s">
        <v>189</v>
      </c>
      <c r="AF227" t="s">
        <v>1391</v>
      </c>
      <c r="AG227" t="s">
        <v>196</v>
      </c>
      <c r="AH227" s="93">
        <f>VLOOKUP(Table1[[#This Row],[Caste]],Factor!$H$1:$K$13,4,0)</f>
        <v>1.2612194085121222</v>
      </c>
      <c r="AI227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227">
        <f>Table1[[#This Row],[Factor_1]]*Table1[[#This Row],[2024 Factor]]</f>
        <v>4.3746926640885135</v>
      </c>
      <c r="AK227">
        <f>VLOOKUP(Table1[[#This Row],[Q18: Gender]],Factor!$A$33:$E$35,5,0)</f>
        <v>2.1645021645021645</v>
      </c>
      <c r="AL227">
        <f>VLOOKUP(Table1[[#This Row],[Taluka]],Factor!$A$42:$G$46,7,0)</f>
        <v>1.9264642089343564</v>
      </c>
      <c r="AM227">
        <f>VLOOKUP(Table1[[#This Row],[Caste]]&amp;Table1[[#This Row],[Q18: Gender]],Factor!$W$1:$X$23,2,0)</f>
        <v>2.4228688637206557</v>
      </c>
      <c r="AN227">
        <f>VLOOKUP(Table1[[#This Row],[Taluka]]&amp;Table1[[#This Row],[Caste]]&amp;Table1[[#This Row],[Q18: Gender]],Factor!$AK$4:$AL$93,2,0)</f>
        <v>3.5695242713707369</v>
      </c>
      <c r="AO227">
        <f t="shared" si="33"/>
        <v>-1</v>
      </c>
      <c r="AP227">
        <f t="shared" si="34"/>
        <v>1</v>
      </c>
      <c r="AQ227">
        <f t="shared" si="35"/>
        <v>1</v>
      </c>
      <c r="AR227">
        <f t="shared" si="36"/>
        <v>1</v>
      </c>
      <c r="AS227">
        <f t="shared" si="37"/>
        <v>1</v>
      </c>
      <c r="AT227">
        <f t="shared" si="38"/>
        <v>1</v>
      </c>
      <c r="AU227">
        <f t="shared" si="39"/>
        <v>3.5</v>
      </c>
      <c r="AV227">
        <f>SUM(Table1[[#This Row],[Satis]:[29]])</f>
        <v>4</v>
      </c>
      <c r="AW227">
        <f t="shared" si="40"/>
        <v>3</v>
      </c>
      <c r="AX227">
        <f t="shared" si="41"/>
        <v>4</v>
      </c>
      <c r="AY227">
        <f t="shared" si="42"/>
        <v>2</v>
      </c>
      <c r="AZ227" t="str">
        <f t="shared" si="43"/>
        <v>YSRCP Sympathiser</v>
      </c>
    </row>
    <row r="228" spans="1:52" x14ac:dyDescent="0.3">
      <c r="A228" t="s">
        <v>2009</v>
      </c>
      <c r="B228" s="94">
        <v>46044</v>
      </c>
      <c r="C228" t="s">
        <v>2010</v>
      </c>
      <c r="D228" t="s">
        <v>2011</v>
      </c>
      <c r="E228" t="s">
        <v>2012</v>
      </c>
      <c r="F228" t="s">
        <v>240</v>
      </c>
      <c r="G228" t="s">
        <v>39</v>
      </c>
      <c r="H228" t="s">
        <v>2013</v>
      </c>
      <c r="I228" t="s">
        <v>228</v>
      </c>
      <c r="J228" t="s">
        <v>71</v>
      </c>
      <c r="K228" t="s">
        <v>214</v>
      </c>
      <c r="L228" t="s">
        <v>62</v>
      </c>
      <c r="M228" t="s">
        <v>443</v>
      </c>
      <c r="N228" t="s">
        <v>63</v>
      </c>
      <c r="O228" t="s">
        <v>2014</v>
      </c>
      <c r="P228">
        <v>9000151051</v>
      </c>
      <c r="Q228" t="s">
        <v>54</v>
      </c>
      <c r="R228" t="s">
        <v>73</v>
      </c>
      <c r="S228" t="s">
        <v>43</v>
      </c>
      <c r="T228" t="s">
        <v>43</v>
      </c>
      <c r="U228" t="s">
        <v>44</v>
      </c>
      <c r="V228" t="s">
        <v>45</v>
      </c>
      <c r="W228" t="s">
        <v>5057</v>
      </c>
      <c r="X228" t="s">
        <v>45</v>
      </c>
      <c r="Y228" t="s">
        <v>46</v>
      </c>
      <c r="Z228" t="s">
        <v>47</v>
      </c>
      <c r="AA228" t="s">
        <v>48</v>
      </c>
      <c r="AB228" t="s">
        <v>49</v>
      </c>
      <c r="AC228" t="s">
        <v>49</v>
      </c>
      <c r="AD228" t="s">
        <v>1552</v>
      </c>
      <c r="AE228" t="s">
        <v>185</v>
      </c>
      <c r="AF228" t="s">
        <v>2015</v>
      </c>
      <c r="AG228" t="s">
        <v>196</v>
      </c>
      <c r="AH228" s="93">
        <f>VLOOKUP(Table1[[#This Row],[Caste]],Factor!$H$1:$K$13,4,0)</f>
        <v>0.80207032429970992</v>
      </c>
      <c r="AI22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28">
        <f>Table1[[#This Row],[Factor_1]]*Table1[[#This Row],[2024 Factor]]</f>
        <v>0.65595572330316032</v>
      </c>
      <c r="AK228">
        <f>VLOOKUP(Table1[[#This Row],[Q18: Gender]],Factor!$A$33:$E$35,5,0)</f>
        <v>0.85034013605442171</v>
      </c>
      <c r="AL228">
        <f>VLOOKUP(Table1[[#This Row],[Taluka]],Factor!$A$42:$G$46,7,0)</f>
        <v>1.1213131007097483</v>
      </c>
      <c r="AM228">
        <f>VLOOKUP(Table1[[#This Row],[Caste]]&amp;Table1[[#This Row],[Q18: Gender]],Factor!$W$1:$X$23,2,0)</f>
        <v>0.60762903356038633</v>
      </c>
      <c r="AN228">
        <f>VLOOKUP(Table1[[#This Row],[Taluka]]&amp;Table1[[#This Row],[Caste]]&amp;Table1[[#This Row],[Q18: Gender]],Factor!$AK$4:$AL$93,2,0)</f>
        <v>0.38672994380094594</v>
      </c>
      <c r="AO228">
        <f t="shared" si="33"/>
        <v>-1</v>
      </c>
      <c r="AP228">
        <f t="shared" si="34"/>
        <v>-1</v>
      </c>
      <c r="AQ228">
        <f t="shared" si="35"/>
        <v>-1</v>
      </c>
      <c r="AR228">
        <f t="shared" si="36"/>
        <v>-1</v>
      </c>
      <c r="AS228">
        <f t="shared" si="37"/>
        <v>-1</v>
      </c>
      <c r="AT228">
        <f t="shared" si="38"/>
        <v>-1</v>
      </c>
      <c r="AU228">
        <f t="shared" si="39"/>
        <v>-5.5</v>
      </c>
      <c r="AV228">
        <f>SUM(Table1[[#This Row],[Satis]:[29]])</f>
        <v>-6</v>
      </c>
      <c r="AW228">
        <f t="shared" si="40"/>
        <v>-5</v>
      </c>
      <c r="AX228">
        <f t="shared" si="41"/>
        <v>-4</v>
      </c>
      <c r="AY228">
        <f t="shared" si="42"/>
        <v>-3</v>
      </c>
      <c r="AZ228" t="str">
        <f t="shared" si="43"/>
        <v>TDP HardCore</v>
      </c>
    </row>
    <row r="229" spans="1:52" x14ac:dyDescent="0.3">
      <c r="A229" t="s">
        <v>1433</v>
      </c>
      <c r="B229" s="94">
        <v>46044</v>
      </c>
      <c r="C229" t="s">
        <v>1434</v>
      </c>
      <c r="D229" t="s">
        <v>1435</v>
      </c>
      <c r="E229" t="s">
        <v>1436</v>
      </c>
      <c r="F229" t="s">
        <v>69</v>
      </c>
      <c r="G229" t="s">
        <v>39</v>
      </c>
      <c r="H229" t="s">
        <v>1437</v>
      </c>
      <c r="I229" t="s">
        <v>227</v>
      </c>
      <c r="J229" t="s">
        <v>219</v>
      </c>
      <c r="K229" t="s">
        <v>223</v>
      </c>
      <c r="L229" t="s">
        <v>62</v>
      </c>
      <c r="M229" t="s">
        <v>51</v>
      </c>
      <c r="N229" t="s">
        <v>63</v>
      </c>
      <c r="O229" t="s">
        <v>1438</v>
      </c>
      <c r="P229">
        <v>9999999999</v>
      </c>
      <c r="Q229" t="s">
        <v>445</v>
      </c>
      <c r="R229" t="s">
        <v>132</v>
      </c>
      <c r="S229" t="s">
        <v>43</v>
      </c>
      <c r="T229" t="s">
        <v>43</v>
      </c>
      <c r="U229" t="s">
        <v>44</v>
      </c>
      <c r="V229" t="s">
        <v>45</v>
      </c>
      <c r="W229" t="s">
        <v>74</v>
      </c>
      <c r="X229" t="s">
        <v>45</v>
      </c>
      <c r="Y229" t="s">
        <v>46</v>
      </c>
      <c r="Z229" t="s">
        <v>47</v>
      </c>
      <c r="AA229" t="s">
        <v>48</v>
      </c>
      <c r="AB229" t="s">
        <v>49</v>
      </c>
      <c r="AC229" t="s">
        <v>49</v>
      </c>
      <c r="AD229" t="s">
        <v>1279</v>
      </c>
      <c r="AE229" t="s">
        <v>1271</v>
      </c>
      <c r="AF229" t="s">
        <v>1439</v>
      </c>
      <c r="AG229" t="s">
        <v>196</v>
      </c>
      <c r="AH229" s="93">
        <f>VLOOKUP(Table1[[#This Row],[Caste]],Factor!$H$1:$K$13,4,0)</f>
        <v>1.2612194085121222</v>
      </c>
      <c r="AI22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29">
        <f>Table1[[#This Row],[Factor_1]]*Table1[[#This Row],[2024 Factor]]</f>
        <v>2.6155674106916162</v>
      </c>
      <c r="AK229">
        <f>VLOOKUP(Table1[[#This Row],[Q18: Gender]],Factor!$A$33:$E$35,5,0)</f>
        <v>2.1645021645021645</v>
      </c>
      <c r="AL229">
        <f>VLOOKUP(Table1[[#This Row],[Taluka]],Factor!$A$42:$G$46,7,0)</f>
        <v>1.147984664167413</v>
      </c>
      <c r="AM229">
        <f>VLOOKUP(Table1[[#This Row],[Caste]]&amp;Table1[[#This Row],[Q18: Gender]],Factor!$W$1:$X$23,2,0)</f>
        <v>2.4228688637206557</v>
      </c>
      <c r="AN229">
        <f>VLOOKUP(Table1[[#This Row],[Taluka]]&amp;Table1[[#This Row],[Caste]]&amp;Table1[[#This Row],[Q18: Gender]],Factor!$AK$4:$AL$93,2,0)</f>
        <v>2.2107623881946901</v>
      </c>
      <c r="AO229">
        <f t="shared" si="33"/>
        <v>-1</v>
      </c>
      <c r="AP229">
        <f t="shared" si="34"/>
        <v>-1</v>
      </c>
      <c r="AQ229">
        <f t="shared" si="35"/>
        <v>-1</v>
      </c>
      <c r="AR229">
        <f t="shared" si="36"/>
        <v>-1</v>
      </c>
      <c r="AS229">
        <f t="shared" si="37"/>
        <v>-1</v>
      </c>
      <c r="AT229">
        <f t="shared" si="38"/>
        <v>-1</v>
      </c>
      <c r="AU229">
        <f t="shared" si="39"/>
        <v>-5.5</v>
      </c>
      <c r="AV229">
        <f>SUM(Table1[[#This Row],[Satis]:[29]])</f>
        <v>-6</v>
      </c>
      <c r="AW229">
        <f t="shared" si="40"/>
        <v>-5</v>
      </c>
      <c r="AX229">
        <f t="shared" si="41"/>
        <v>-4</v>
      </c>
      <c r="AY229">
        <f t="shared" si="42"/>
        <v>-3</v>
      </c>
      <c r="AZ229" t="str">
        <f t="shared" si="43"/>
        <v>TDP HardCore</v>
      </c>
    </row>
    <row r="230" spans="1:52" x14ac:dyDescent="0.3">
      <c r="A230" t="s">
        <v>1440</v>
      </c>
      <c r="B230" s="94">
        <v>46044</v>
      </c>
      <c r="C230" t="s">
        <v>1441</v>
      </c>
      <c r="D230" t="s">
        <v>1442</v>
      </c>
      <c r="E230" t="s">
        <v>1300</v>
      </c>
      <c r="F230" t="s">
        <v>69</v>
      </c>
      <c r="G230" t="s">
        <v>39</v>
      </c>
      <c r="H230" t="s">
        <v>1443</v>
      </c>
      <c r="I230" t="s">
        <v>229</v>
      </c>
      <c r="J230" t="s">
        <v>219</v>
      </c>
      <c r="K230" t="s">
        <v>223</v>
      </c>
      <c r="L230" t="s">
        <v>75</v>
      </c>
      <c r="M230" t="s">
        <v>51</v>
      </c>
      <c r="N230" t="s">
        <v>52</v>
      </c>
      <c r="O230" t="s">
        <v>1444</v>
      </c>
      <c r="P230">
        <v>9550967769</v>
      </c>
      <c r="Q230" t="s">
        <v>445</v>
      </c>
      <c r="R230" t="s">
        <v>132</v>
      </c>
      <c r="S230" t="s">
        <v>89</v>
      </c>
      <c r="T230" t="s">
        <v>43</v>
      </c>
      <c r="U230" t="s">
        <v>44</v>
      </c>
      <c r="V230" t="s">
        <v>45</v>
      </c>
      <c r="W230" t="s">
        <v>5084</v>
      </c>
      <c r="X230" t="s">
        <v>45</v>
      </c>
      <c r="Y230" t="s">
        <v>46</v>
      </c>
      <c r="Z230" t="s">
        <v>47</v>
      </c>
      <c r="AA230" t="s">
        <v>48</v>
      </c>
      <c r="AB230" t="s">
        <v>49</v>
      </c>
      <c r="AC230" t="s">
        <v>49</v>
      </c>
      <c r="AD230" t="s">
        <v>1279</v>
      </c>
      <c r="AE230" t="s">
        <v>1271</v>
      </c>
      <c r="AF230" t="s">
        <v>1445</v>
      </c>
      <c r="AG230" t="s">
        <v>196</v>
      </c>
      <c r="AH230" s="93">
        <f>VLOOKUP(Table1[[#This Row],[Caste]],Factor!$H$1:$K$13,4,0)</f>
        <v>1.1209668980183516</v>
      </c>
      <c r="AI23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30">
        <f>Table1[[#This Row],[Factor_1]]*Table1[[#This Row],[2024 Factor]]</f>
        <v>1.4370186848956754</v>
      </c>
      <c r="AK230">
        <f>VLOOKUP(Table1[[#This Row],[Q18: Gender]],Factor!$A$33:$E$35,5,0)</f>
        <v>2.1645021645021645</v>
      </c>
      <c r="AL230">
        <f>VLOOKUP(Table1[[#This Row],[Taluka]],Factor!$A$42:$G$46,7,0)</f>
        <v>1.147984664167413</v>
      </c>
      <c r="AM230">
        <f>VLOOKUP(Table1[[#This Row],[Caste]]&amp;Table1[[#This Row],[Q18: Gender]],Factor!$W$1:$X$23,2,0)</f>
        <v>1.3311481913967924</v>
      </c>
      <c r="AN230">
        <f>VLOOKUP(Table1[[#This Row],[Taluka]]&amp;Table1[[#This Row],[Caste]]&amp;Table1[[#This Row],[Q18: Gender]],Factor!$AK$4:$AL$93,2,0)</f>
        <v>0.51141675343184545</v>
      </c>
      <c r="AO230">
        <f t="shared" si="33"/>
        <v>-1</v>
      </c>
      <c r="AP230">
        <f t="shared" si="34"/>
        <v>-1</v>
      </c>
      <c r="AQ230">
        <f t="shared" si="35"/>
        <v>-1</v>
      </c>
      <c r="AR230">
        <f t="shared" si="36"/>
        <v>-1</v>
      </c>
      <c r="AS230">
        <f t="shared" si="37"/>
        <v>-1</v>
      </c>
      <c r="AT230">
        <f t="shared" si="38"/>
        <v>-1</v>
      </c>
      <c r="AU230">
        <f t="shared" si="39"/>
        <v>-5.5</v>
      </c>
      <c r="AV230">
        <f>SUM(Table1[[#This Row],[Satis]:[29]])</f>
        <v>-6</v>
      </c>
      <c r="AW230">
        <f t="shared" si="40"/>
        <v>-5</v>
      </c>
      <c r="AX230">
        <f t="shared" si="41"/>
        <v>-4</v>
      </c>
      <c r="AY230">
        <f t="shared" si="42"/>
        <v>-3</v>
      </c>
      <c r="AZ230" t="str">
        <f t="shared" si="43"/>
        <v>TDP HardCore</v>
      </c>
    </row>
    <row r="231" spans="1:52" x14ac:dyDescent="0.3">
      <c r="A231" t="s">
        <v>1446</v>
      </c>
      <c r="B231" s="94">
        <v>46044</v>
      </c>
      <c r="C231" t="s">
        <v>1447</v>
      </c>
      <c r="D231" t="s">
        <v>1448</v>
      </c>
      <c r="E231" t="s">
        <v>1449</v>
      </c>
      <c r="F231" t="s">
        <v>69</v>
      </c>
      <c r="G231" t="s">
        <v>39</v>
      </c>
      <c r="H231" t="s">
        <v>1450</v>
      </c>
      <c r="I231" t="s">
        <v>59</v>
      </c>
      <c r="J231" t="s">
        <v>219</v>
      </c>
      <c r="K231" t="s">
        <v>223</v>
      </c>
      <c r="L231" t="s">
        <v>75</v>
      </c>
      <c r="M231" t="s">
        <v>51</v>
      </c>
      <c r="N231" t="s">
        <v>52</v>
      </c>
      <c r="O231" t="s">
        <v>1451</v>
      </c>
      <c r="P231">
        <v>9999999999</v>
      </c>
      <c r="Q231" t="s">
        <v>445</v>
      </c>
      <c r="R231" t="s">
        <v>73</v>
      </c>
      <c r="S231" t="s">
        <v>43</v>
      </c>
      <c r="T231" t="s">
        <v>43</v>
      </c>
      <c r="U231" t="s">
        <v>44</v>
      </c>
      <c r="V231" t="s">
        <v>45</v>
      </c>
      <c r="W231" t="s">
        <v>5051</v>
      </c>
      <c r="X231" t="s">
        <v>45</v>
      </c>
      <c r="Y231" t="s">
        <v>46</v>
      </c>
      <c r="Z231" t="s">
        <v>47</v>
      </c>
      <c r="AA231" t="s">
        <v>48</v>
      </c>
      <c r="AB231" t="s">
        <v>49</v>
      </c>
      <c r="AC231" t="s">
        <v>49</v>
      </c>
      <c r="AD231" t="s">
        <v>1279</v>
      </c>
      <c r="AE231" t="s">
        <v>1271</v>
      </c>
      <c r="AF231" t="s">
        <v>1452</v>
      </c>
      <c r="AG231" t="s">
        <v>196</v>
      </c>
      <c r="AH231" s="93">
        <f>VLOOKUP(Table1[[#This Row],[Caste]],Factor!$H$1:$K$13,4,0)</f>
        <v>1.1461625511156397</v>
      </c>
      <c r="AI23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31">
        <f>Table1[[#This Row],[Factor_1]]*Table1[[#This Row],[2024 Factor]]</f>
        <v>3.0326483876590018</v>
      </c>
      <c r="AK231">
        <f>VLOOKUP(Table1[[#This Row],[Q18: Gender]],Factor!$A$33:$E$35,5,0)</f>
        <v>2.1645021645021645</v>
      </c>
      <c r="AL231">
        <f>VLOOKUP(Table1[[#This Row],[Taluka]],Factor!$A$42:$G$46,7,0)</f>
        <v>1.147984664167413</v>
      </c>
      <c r="AM231">
        <f>VLOOKUP(Table1[[#This Row],[Caste]]&amp;Table1[[#This Row],[Q18: Gender]],Factor!$W$1:$X$23,2,0)</f>
        <v>2.8092219390089208</v>
      </c>
      <c r="AN231">
        <f>VLOOKUP(Table1[[#This Row],[Taluka]]&amp;Table1[[#This Row],[Caste]]&amp;Table1[[#This Row],[Q18: Gender]],Factor!$AK$4:$AL$93,2,0)</f>
        <v>2.2934724643212636</v>
      </c>
      <c r="AO231">
        <f t="shared" si="33"/>
        <v>-1</v>
      </c>
      <c r="AP231">
        <f t="shared" si="34"/>
        <v>-1</v>
      </c>
      <c r="AQ231">
        <f t="shared" si="35"/>
        <v>-1</v>
      </c>
      <c r="AR231">
        <f t="shared" si="36"/>
        <v>-1</v>
      </c>
      <c r="AS231">
        <f t="shared" si="37"/>
        <v>-1</v>
      </c>
      <c r="AT231">
        <f t="shared" si="38"/>
        <v>-1</v>
      </c>
      <c r="AU231">
        <f t="shared" si="39"/>
        <v>-5.5</v>
      </c>
      <c r="AV231">
        <f>SUM(Table1[[#This Row],[Satis]:[29]])</f>
        <v>-6</v>
      </c>
      <c r="AW231">
        <f t="shared" si="40"/>
        <v>-5</v>
      </c>
      <c r="AX231">
        <f t="shared" si="41"/>
        <v>-4</v>
      </c>
      <c r="AY231">
        <f t="shared" si="42"/>
        <v>-3</v>
      </c>
      <c r="AZ231" t="str">
        <f t="shared" si="43"/>
        <v>TDP HardCore</v>
      </c>
    </row>
    <row r="232" spans="1:52" x14ac:dyDescent="0.3">
      <c r="A232" t="s">
        <v>1453</v>
      </c>
      <c r="B232" s="94">
        <v>46044</v>
      </c>
      <c r="C232" t="s">
        <v>1454</v>
      </c>
      <c r="D232" t="s">
        <v>1455</v>
      </c>
      <c r="E232" t="s">
        <v>1456</v>
      </c>
      <c r="F232" t="s">
        <v>69</v>
      </c>
      <c r="G232" t="s">
        <v>39</v>
      </c>
      <c r="H232" t="s">
        <v>1457</v>
      </c>
      <c r="I232" t="s">
        <v>59</v>
      </c>
      <c r="J232" t="s">
        <v>219</v>
      </c>
      <c r="K232" t="s">
        <v>223</v>
      </c>
      <c r="L232" t="s">
        <v>75</v>
      </c>
      <c r="M232" t="s">
        <v>51</v>
      </c>
      <c r="N232" t="s">
        <v>52</v>
      </c>
      <c r="O232" t="s">
        <v>1458</v>
      </c>
      <c r="P232">
        <v>816661794</v>
      </c>
      <c r="Q232" t="s">
        <v>54</v>
      </c>
      <c r="R232" t="s">
        <v>73</v>
      </c>
      <c r="S232" t="s">
        <v>89</v>
      </c>
      <c r="T232" t="s">
        <v>43</v>
      </c>
      <c r="U232" t="s">
        <v>44</v>
      </c>
      <c r="V232" t="s">
        <v>45</v>
      </c>
      <c r="W232" t="s">
        <v>5094</v>
      </c>
      <c r="X232" t="s">
        <v>45</v>
      </c>
      <c r="Y232" t="s">
        <v>46</v>
      </c>
      <c r="Z232" t="s">
        <v>47</v>
      </c>
      <c r="AA232" t="s">
        <v>48</v>
      </c>
      <c r="AB232" t="s">
        <v>49</v>
      </c>
      <c r="AC232" t="s">
        <v>49</v>
      </c>
      <c r="AD232" t="s">
        <v>1279</v>
      </c>
      <c r="AE232" t="s">
        <v>1271</v>
      </c>
      <c r="AF232" t="s">
        <v>1459</v>
      </c>
      <c r="AG232" t="s">
        <v>196</v>
      </c>
      <c r="AH232" s="93">
        <f>VLOOKUP(Table1[[#This Row],[Caste]],Factor!$H$1:$K$13,4,0)</f>
        <v>1.1461625511156397</v>
      </c>
      <c r="AI23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32">
        <f>Table1[[#This Row],[Factor_1]]*Table1[[#This Row],[2024 Factor]]</f>
        <v>0.77721139583220644</v>
      </c>
      <c r="AK232">
        <f>VLOOKUP(Table1[[#This Row],[Q18: Gender]],Factor!$A$33:$E$35,5,0)</f>
        <v>0.85034013605442171</v>
      </c>
      <c r="AL232">
        <f>VLOOKUP(Table1[[#This Row],[Taluka]],Factor!$A$42:$G$46,7,0)</f>
        <v>1.147984664167413</v>
      </c>
      <c r="AM232">
        <f>VLOOKUP(Table1[[#This Row],[Caste]]&amp;Table1[[#This Row],[Q18: Gender]],Factor!$W$1:$X$23,2,0)</f>
        <v>0.71995135120329123</v>
      </c>
      <c r="AN232">
        <f>VLOOKUP(Table1[[#This Row],[Taluka]]&amp;Table1[[#This Row],[Caste]]&amp;Table1[[#This Row],[Q18: Gender]],Factor!$AK$4:$AL$93,2,0)</f>
        <v>0.54319084681293095</v>
      </c>
      <c r="AO232">
        <f t="shared" si="33"/>
        <v>-1</v>
      </c>
      <c r="AP232">
        <f t="shared" si="34"/>
        <v>-1</v>
      </c>
      <c r="AQ232">
        <f t="shared" si="35"/>
        <v>-1</v>
      </c>
      <c r="AR232">
        <f t="shared" si="36"/>
        <v>-1</v>
      </c>
      <c r="AS232">
        <f t="shared" si="37"/>
        <v>-1</v>
      </c>
      <c r="AT232">
        <f t="shared" si="38"/>
        <v>-1</v>
      </c>
      <c r="AU232">
        <f t="shared" si="39"/>
        <v>-5.5</v>
      </c>
      <c r="AV232">
        <f>SUM(Table1[[#This Row],[Satis]:[29]])</f>
        <v>-6</v>
      </c>
      <c r="AW232">
        <f t="shared" si="40"/>
        <v>-5</v>
      </c>
      <c r="AX232">
        <f t="shared" si="41"/>
        <v>-4</v>
      </c>
      <c r="AY232">
        <f t="shared" si="42"/>
        <v>-3</v>
      </c>
      <c r="AZ232" t="str">
        <f t="shared" si="43"/>
        <v>TDP HardCore</v>
      </c>
    </row>
    <row r="233" spans="1:52" x14ac:dyDescent="0.3">
      <c r="A233" t="s">
        <v>2030</v>
      </c>
      <c r="B233" s="94">
        <v>46044</v>
      </c>
      <c r="C233" t="s">
        <v>2031</v>
      </c>
      <c r="D233" t="s">
        <v>2032</v>
      </c>
      <c r="E233" t="s">
        <v>2033</v>
      </c>
      <c r="F233" t="s">
        <v>69</v>
      </c>
      <c r="G233" t="s">
        <v>39</v>
      </c>
      <c r="H233" t="s">
        <v>2034</v>
      </c>
      <c r="I233" t="s">
        <v>59</v>
      </c>
      <c r="J233" t="s">
        <v>219</v>
      </c>
      <c r="K233" t="s">
        <v>223</v>
      </c>
      <c r="L233" t="s">
        <v>62</v>
      </c>
      <c r="M233" t="s">
        <v>51</v>
      </c>
      <c r="N233" t="s">
        <v>63</v>
      </c>
      <c r="O233" t="s">
        <v>1625</v>
      </c>
      <c r="P233">
        <v>9849450469</v>
      </c>
      <c r="Q233" t="s">
        <v>54</v>
      </c>
      <c r="R233" t="s">
        <v>61</v>
      </c>
      <c r="S233" t="s">
        <v>43</v>
      </c>
      <c r="T233" t="s">
        <v>43</v>
      </c>
      <c r="U233" t="s">
        <v>44</v>
      </c>
      <c r="V233" t="s">
        <v>45</v>
      </c>
      <c r="W233" t="s">
        <v>5067</v>
      </c>
      <c r="X233" t="s">
        <v>45</v>
      </c>
      <c r="Y233" t="s">
        <v>46</v>
      </c>
      <c r="Z233" t="s">
        <v>47</v>
      </c>
      <c r="AA233" t="s">
        <v>48</v>
      </c>
      <c r="AB233" t="s">
        <v>49</v>
      </c>
      <c r="AC233" t="s">
        <v>49</v>
      </c>
      <c r="AD233" t="s">
        <v>1552</v>
      </c>
      <c r="AE233" t="s">
        <v>185</v>
      </c>
      <c r="AF233" t="s">
        <v>2035</v>
      </c>
      <c r="AG233" t="s">
        <v>196</v>
      </c>
      <c r="AH233" s="93">
        <f>VLOOKUP(Table1[[#This Row],[Caste]],Factor!$H$1:$K$13,4,0)</f>
        <v>1.1461625511156397</v>
      </c>
      <c r="AI23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33">
        <f>Table1[[#This Row],[Factor_1]]*Table1[[#This Row],[2024 Factor]]</f>
        <v>0.77721139583220644</v>
      </c>
      <c r="AK233">
        <f>VLOOKUP(Table1[[#This Row],[Q18: Gender]],Factor!$A$33:$E$35,5,0)</f>
        <v>0.85034013605442171</v>
      </c>
      <c r="AL233">
        <f>VLOOKUP(Table1[[#This Row],[Taluka]],Factor!$A$42:$G$46,7,0)</f>
        <v>1.147984664167413</v>
      </c>
      <c r="AM233">
        <f>VLOOKUP(Table1[[#This Row],[Caste]]&amp;Table1[[#This Row],[Q18: Gender]],Factor!$W$1:$X$23,2,0)</f>
        <v>0.71995135120329123</v>
      </c>
      <c r="AN233">
        <f>VLOOKUP(Table1[[#This Row],[Taluka]]&amp;Table1[[#This Row],[Caste]]&amp;Table1[[#This Row],[Q18: Gender]],Factor!$AK$4:$AL$93,2,0)</f>
        <v>0.54319084681293095</v>
      </c>
      <c r="AO233">
        <f t="shared" si="33"/>
        <v>-1</v>
      </c>
      <c r="AP233">
        <f t="shared" si="34"/>
        <v>-1</v>
      </c>
      <c r="AQ233">
        <f t="shared" si="35"/>
        <v>-1</v>
      </c>
      <c r="AR233">
        <f t="shared" si="36"/>
        <v>-1</v>
      </c>
      <c r="AS233">
        <f t="shared" si="37"/>
        <v>-1</v>
      </c>
      <c r="AT233">
        <f t="shared" si="38"/>
        <v>-1</v>
      </c>
      <c r="AU233">
        <f t="shared" si="39"/>
        <v>-5.5</v>
      </c>
      <c r="AV233">
        <f>SUM(Table1[[#This Row],[Satis]:[29]])</f>
        <v>-6</v>
      </c>
      <c r="AW233">
        <f t="shared" si="40"/>
        <v>-5</v>
      </c>
      <c r="AX233">
        <f t="shared" si="41"/>
        <v>-4</v>
      </c>
      <c r="AY233">
        <f t="shared" si="42"/>
        <v>-3</v>
      </c>
      <c r="AZ233" t="str">
        <f t="shared" si="43"/>
        <v>TDP HardCore</v>
      </c>
    </row>
    <row r="234" spans="1:52" x14ac:dyDescent="0.3">
      <c r="A234" t="s">
        <v>2036</v>
      </c>
      <c r="B234" s="94">
        <v>46044</v>
      </c>
      <c r="C234" t="s">
        <v>2037</v>
      </c>
      <c r="D234" t="s">
        <v>2038</v>
      </c>
      <c r="E234" t="s">
        <v>2012</v>
      </c>
      <c r="F234" t="s">
        <v>240</v>
      </c>
      <c r="G234" t="s">
        <v>39</v>
      </c>
      <c r="H234" t="s">
        <v>2039</v>
      </c>
      <c r="I234" t="s">
        <v>228</v>
      </c>
      <c r="J234" t="s">
        <v>71</v>
      </c>
      <c r="K234" t="s">
        <v>214</v>
      </c>
      <c r="L234" t="s">
        <v>62</v>
      </c>
      <c r="M234" t="s">
        <v>51</v>
      </c>
      <c r="N234" t="s">
        <v>52</v>
      </c>
      <c r="O234" t="s">
        <v>2040</v>
      </c>
      <c r="P234">
        <v>7702562836</v>
      </c>
      <c r="Q234" t="s">
        <v>54</v>
      </c>
      <c r="R234" t="s">
        <v>61</v>
      </c>
      <c r="S234" t="s">
        <v>89</v>
      </c>
      <c r="T234" t="s">
        <v>89</v>
      </c>
      <c r="U234" t="s">
        <v>44</v>
      </c>
      <c r="V234" t="s">
        <v>91</v>
      </c>
      <c r="W234" t="s">
        <v>5058</v>
      </c>
      <c r="X234" t="s">
        <v>45</v>
      </c>
      <c r="Y234" t="s">
        <v>46</v>
      </c>
      <c r="Z234" t="s">
        <v>242</v>
      </c>
      <c r="AA234" t="s">
        <v>48</v>
      </c>
      <c r="AB234" t="s">
        <v>49</v>
      </c>
      <c r="AC234" t="s">
        <v>49</v>
      </c>
      <c r="AD234" t="s">
        <v>1552</v>
      </c>
      <c r="AE234" t="s">
        <v>185</v>
      </c>
      <c r="AF234" t="s">
        <v>1290</v>
      </c>
      <c r="AG234" t="s">
        <v>196</v>
      </c>
      <c r="AH234" s="93">
        <f>VLOOKUP(Table1[[#This Row],[Caste]],Factor!$H$1:$K$13,4,0)</f>
        <v>0.80207032429970992</v>
      </c>
      <c r="AI23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34">
        <f>Table1[[#This Row],[Factor_1]]*Table1[[#This Row],[2024 Factor]]</f>
        <v>0.65595572330316032</v>
      </c>
      <c r="AK234">
        <f>VLOOKUP(Table1[[#This Row],[Q18: Gender]],Factor!$A$33:$E$35,5,0)</f>
        <v>0.85034013605442171</v>
      </c>
      <c r="AL234">
        <f>VLOOKUP(Table1[[#This Row],[Taluka]],Factor!$A$42:$G$46,7,0)</f>
        <v>1.1213131007097483</v>
      </c>
      <c r="AM234">
        <f>VLOOKUP(Table1[[#This Row],[Caste]]&amp;Table1[[#This Row],[Q18: Gender]],Factor!$W$1:$X$23,2,0)</f>
        <v>0.60762903356038633</v>
      </c>
      <c r="AN234">
        <f>VLOOKUP(Table1[[#This Row],[Taluka]]&amp;Table1[[#This Row],[Caste]]&amp;Table1[[#This Row],[Q18: Gender]],Factor!$AK$4:$AL$93,2,0)</f>
        <v>0.38672994380094594</v>
      </c>
      <c r="AO234">
        <f t="shared" si="33"/>
        <v>1</v>
      </c>
      <c r="AP234">
        <f t="shared" si="34"/>
        <v>-1</v>
      </c>
      <c r="AQ234">
        <f t="shared" si="35"/>
        <v>1</v>
      </c>
      <c r="AR234">
        <f t="shared" si="36"/>
        <v>-1</v>
      </c>
      <c r="AS234">
        <f t="shared" si="37"/>
        <v>-1</v>
      </c>
      <c r="AT234">
        <f t="shared" si="38"/>
        <v>-1</v>
      </c>
      <c r="AU234">
        <f t="shared" si="39"/>
        <v>-1.5</v>
      </c>
      <c r="AV234">
        <f>SUM(Table1[[#This Row],[Satis]:[29]])</f>
        <v>-2</v>
      </c>
      <c r="AW234">
        <f t="shared" si="40"/>
        <v>-1</v>
      </c>
      <c r="AX234">
        <f t="shared" si="41"/>
        <v>-2</v>
      </c>
      <c r="AY234">
        <f t="shared" si="42"/>
        <v>-2</v>
      </c>
      <c r="AZ234" t="str">
        <f t="shared" si="43"/>
        <v>Neutral TDP</v>
      </c>
    </row>
    <row r="235" spans="1:52" x14ac:dyDescent="0.3">
      <c r="A235" t="s">
        <v>2046</v>
      </c>
      <c r="B235" s="94">
        <v>46044</v>
      </c>
      <c r="C235" t="s">
        <v>2047</v>
      </c>
      <c r="D235" t="s">
        <v>2048</v>
      </c>
      <c r="E235" t="s">
        <v>1074</v>
      </c>
      <c r="F235" t="s">
        <v>935</v>
      </c>
      <c r="G235" t="s">
        <v>39</v>
      </c>
      <c r="H235" t="s">
        <v>2049</v>
      </c>
      <c r="I235" t="s">
        <v>36</v>
      </c>
      <c r="J235" t="s">
        <v>219</v>
      </c>
      <c r="K235" t="s">
        <v>224</v>
      </c>
      <c r="L235" t="s">
        <v>62</v>
      </c>
      <c r="M235" t="s">
        <v>51</v>
      </c>
      <c r="N235" t="s">
        <v>52</v>
      </c>
      <c r="O235" t="s">
        <v>2050</v>
      </c>
      <c r="P235">
        <v>8309146199</v>
      </c>
      <c r="Q235" t="s">
        <v>54</v>
      </c>
      <c r="R235" t="s">
        <v>61</v>
      </c>
      <c r="S235" t="s">
        <v>43</v>
      </c>
      <c r="T235" t="s">
        <v>43</v>
      </c>
      <c r="U235" t="s">
        <v>44</v>
      </c>
      <c r="V235" t="s">
        <v>45</v>
      </c>
      <c r="W235" t="s">
        <v>5051</v>
      </c>
      <c r="X235" t="s">
        <v>45</v>
      </c>
      <c r="Y235" t="s">
        <v>46</v>
      </c>
      <c r="Z235" t="s">
        <v>92</v>
      </c>
      <c r="AA235" t="s">
        <v>92</v>
      </c>
      <c r="AB235" t="s">
        <v>93</v>
      </c>
      <c r="AC235" t="s">
        <v>94</v>
      </c>
      <c r="AD235" t="s">
        <v>1552</v>
      </c>
      <c r="AE235" t="s">
        <v>185</v>
      </c>
      <c r="AF235" t="s">
        <v>2051</v>
      </c>
      <c r="AG235" t="s">
        <v>196</v>
      </c>
      <c r="AH235" s="93">
        <f>VLOOKUP(Table1[[#This Row],[Caste]],Factor!$H$1:$K$13,4,0)</f>
        <v>1.1705128247062893</v>
      </c>
      <c r="AI235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235">
        <f>Table1[[#This Row],[Factor_1]]*Table1[[#This Row],[2024 Factor]]</f>
        <v>1.4435679386658844</v>
      </c>
      <c r="AK235">
        <f>VLOOKUP(Table1[[#This Row],[Q18: Gender]],Factor!$A$33:$E$35,5,0)</f>
        <v>0.85034013605442171</v>
      </c>
      <c r="AL235">
        <f>VLOOKUP(Table1[[#This Row],[Taluka]],Factor!$A$42:$G$46,7,0)</f>
        <v>1.147984664167413</v>
      </c>
      <c r="AM235">
        <f>VLOOKUP(Table1[[#This Row],[Caste]]&amp;Table1[[#This Row],[Q18: Gender]],Factor!$W$1:$X$23,2,0)</f>
        <v>0.79950206330384943</v>
      </c>
      <c r="AN235">
        <f>VLOOKUP(Table1[[#This Row],[Taluka]]&amp;Table1[[#This Row],[Caste]]&amp;Table1[[#This Row],[Q18: Gender]],Factor!$AK$4:$AL$93,2,0)</f>
        <v>0.92148737207359532</v>
      </c>
      <c r="AO235">
        <f t="shared" si="33"/>
        <v>-1</v>
      </c>
      <c r="AP235">
        <f t="shared" si="34"/>
        <v>-1</v>
      </c>
      <c r="AQ235">
        <f t="shared" si="35"/>
        <v>-1</v>
      </c>
      <c r="AR235">
        <f t="shared" si="36"/>
        <v>-1</v>
      </c>
      <c r="AS235">
        <f t="shared" si="37"/>
        <v>1</v>
      </c>
      <c r="AT235">
        <f t="shared" si="38"/>
        <v>1</v>
      </c>
      <c r="AU235">
        <f t="shared" si="39"/>
        <v>-2.5</v>
      </c>
      <c r="AV235">
        <f>SUM(Table1[[#This Row],[Satis]:[29]])</f>
        <v>-2</v>
      </c>
      <c r="AW235">
        <f t="shared" si="40"/>
        <v>-1</v>
      </c>
      <c r="AX235">
        <f t="shared" si="41"/>
        <v>0</v>
      </c>
      <c r="AY235">
        <f t="shared" si="42"/>
        <v>2</v>
      </c>
      <c r="AZ235" t="str">
        <f t="shared" si="43"/>
        <v>Neutral YSRCP</v>
      </c>
    </row>
    <row r="236" spans="1:52" x14ac:dyDescent="0.3">
      <c r="A236" t="s">
        <v>2059</v>
      </c>
      <c r="B236" s="94">
        <v>46044</v>
      </c>
      <c r="C236" t="s">
        <v>2060</v>
      </c>
      <c r="D236" t="s">
        <v>2061</v>
      </c>
      <c r="E236" t="s">
        <v>1549</v>
      </c>
      <c r="F236" t="s">
        <v>935</v>
      </c>
      <c r="G236" t="s">
        <v>39</v>
      </c>
      <c r="H236" t="s">
        <v>2062</v>
      </c>
      <c r="I236" t="s">
        <v>59</v>
      </c>
      <c r="J236" t="s">
        <v>219</v>
      </c>
      <c r="K236" t="s">
        <v>224</v>
      </c>
      <c r="L236" t="s">
        <v>62</v>
      </c>
      <c r="M236" t="s">
        <v>51</v>
      </c>
      <c r="N236" t="s">
        <v>107</v>
      </c>
      <c r="O236" t="s">
        <v>2063</v>
      </c>
      <c r="P236">
        <v>9573597559</v>
      </c>
      <c r="Q236" t="s">
        <v>54</v>
      </c>
      <c r="R236" t="s">
        <v>61</v>
      </c>
      <c r="S236" t="s">
        <v>43</v>
      </c>
      <c r="T236" t="s">
        <v>43</v>
      </c>
      <c r="U236" t="s">
        <v>44</v>
      </c>
      <c r="V236" t="s">
        <v>91</v>
      </c>
      <c r="W236" t="s">
        <v>5057</v>
      </c>
      <c r="X236" t="s">
        <v>45</v>
      </c>
      <c r="Y236" t="s">
        <v>46</v>
      </c>
      <c r="Z236" t="s">
        <v>47</v>
      </c>
      <c r="AA236" t="s">
        <v>48</v>
      </c>
      <c r="AB236" t="s">
        <v>49</v>
      </c>
      <c r="AC236" t="s">
        <v>49</v>
      </c>
      <c r="AD236" t="s">
        <v>1552</v>
      </c>
      <c r="AE236" t="s">
        <v>185</v>
      </c>
      <c r="AF236" t="s">
        <v>1290</v>
      </c>
      <c r="AG236" t="s">
        <v>196</v>
      </c>
      <c r="AH236" s="93">
        <f>VLOOKUP(Table1[[#This Row],[Caste]],Factor!$H$1:$K$13,4,0)</f>
        <v>1.1461625511156397</v>
      </c>
      <c r="AI23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36">
        <f>Table1[[#This Row],[Factor_1]]*Table1[[#This Row],[2024 Factor]]</f>
        <v>0.77721139583220644</v>
      </c>
      <c r="AK236">
        <f>VLOOKUP(Table1[[#This Row],[Q18: Gender]],Factor!$A$33:$E$35,5,0)</f>
        <v>0.85034013605442171</v>
      </c>
      <c r="AL236">
        <f>VLOOKUP(Table1[[#This Row],[Taluka]],Factor!$A$42:$G$46,7,0)</f>
        <v>1.147984664167413</v>
      </c>
      <c r="AM236">
        <f>VLOOKUP(Table1[[#This Row],[Caste]]&amp;Table1[[#This Row],[Q18: Gender]],Factor!$W$1:$X$23,2,0)</f>
        <v>0.71995135120329123</v>
      </c>
      <c r="AN236">
        <f>VLOOKUP(Table1[[#This Row],[Taluka]]&amp;Table1[[#This Row],[Caste]]&amp;Table1[[#This Row],[Q18: Gender]],Factor!$AK$4:$AL$93,2,0)</f>
        <v>0.54319084681293095</v>
      </c>
      <c r="AO236">
        <f t="shared" si="33"/>
        <v>-1</v>
      </c>
      <c r="AP236">
        <f t="shared" si="34"/>
        <v>-1</v>
      </c>
      <c r="AQ236">
        <f t="shared" si="35"/>
        <v>1</v>
      </c>
      <c r="AR236">
        <f t="shared" si="36"/>
        <v>-1</v>
      </c>
      <c r="AS236">
        <f t="shared" si="37"/>
        <v>-1</v>
      </c>
      <c r="AT236">
        <f t="shared" si="38"/>
        <v>-1</v>
      </c>
      <c r="AU236">
        <f t="shared" si="39"/>
        <v>-3.5</v>
      </c>
      <c r="AV236">
        <f>SUM(Table1[[#This Row],[Satis]:[29]])</f>
        <v>-4</v>
      </c>
      <c r="AW236">
        <f t="shared" si="40"/>
        <v>-3</v>
      </c>
      <c r="AX236">
        <f t="shared" si="41"/>
        <v>-2</v>
      </c>
      <c r="AY236">
        <f t="shared" si="42"/>
        <v>-3</v>
      </c>
      <c r="AZ236" t="str">
        <f t="shared" si="43"/>
        <v>Neutral TDP</v>
      </c>
    </row>
    <row r="237" spans="1:52" x14ac:dyDescent="0.3">
      <c r="A237" t="s">
        <v>2064</v>
      </c>
      <c r="B237" s="94">
        <v>46044</v>
      </c>
      <c r="C237" t="s">
        <v>2065</v>
      </c>
      <c r="D237" t="s">
        <v>2066</v>
      </c>
      <c r="E237" t="s">
        <v>2067</v>
      </c>
      <c r="F237" t="s">
        <v>240</v>
      </c>
      <c r="G237" t="s">
        <v>39</v>
      </c>
      <c r="H237" t="s">
        <v>2068</v>
      </c>
      <c r="I237" t="s">
        <v>70</v>
      </c>
      <c r="J237" t="s">
        <v>71</v>
      </c>
      <c r="K237" t="s">
        <v>214</v>
      </c>
      <c r="L237" t="s">
        <v>62</v>
      </c>
      <c r="M237" t="s">
        <v>51</v>
      </c>
      <c r="N237" t="s">
        <v>107</v>
      </c>
      <c r="O237" t="s">
        <v>406</v>
      </c>
      <c r="P237">
        <v>9573123553</v>
      </c>
      <c r="Q237" t="s">
        <v>54</v>
      </c>
      <c r="R237" t="s">
        <v>73</v>
      </c>
      <c r="S237" t="s">
        <v>89</v>
      </c>
      <c r="T237" t="s">
        <v>89</v>
      </c>
      <c r="U237" t="s">
        <v>44</v>
      </c>
      <c r="V237" t="s">
        <v>91</v>
      </c>
      <c r="W237" t="s">
        <v>5042</v>
      </c>
      <c r="X237" t="s">
        <v>91</v>
      </c>
      <c r="Y237" t="s">
        <v>46</v>
      </c>
      <c r="Z237" t="s">
        <v>92</v>
      </c>
      <c r="AA237" t="s">
        <v>48</v>
      </c>
      <c r="AB237" t="s">
        <v>49</v>
      </c>
      <c r="AC237" t="s">
        <v>49</v>
      </c>
      <c r="AD237" t="s">
        <v>1552</v>
      </c>
      <c r="AE237" t="s">
        <v>185</v>
      </c>
      <c r="AF237" t="s">
        <v>2069</v>
      </c>
      <c r="AG237" t="s">
        <v>196</v>
      </c>
      <c r="AH237" s="93">
        <f>VLOOKUP(Table1[[#This Row],[Caste]],Factor!$H$1:$K$13,4,0)</f>
        <v>1.3836274505214585</v>
      </c>
      <c r="AI23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37">
        <f>Table1[[#This Row],[Factor_1]]*Table1[[#This Row],[2024 Factor]]</f>
        <v>1.1648410586678206</v>
      </c>
      <c r="AK237">
        <f>VLOOKUP(Table1[[#This Row],[Q18: Gender]],Factor!$A$33:$E$35,5,0)</f>
        <v>0.85034013605442171</v>
      </c>
      <c r="AL237">
        <f>VLOOKUP(Table1[[#This Row],[Taluka]],Factor!$A$42:$G$46,7,0)</f>
        <v>1.1213131007097483</v>
      </c>
      <c r="AM237">
        <f>VLOOKUP(Table1[[#This Row],[Caste]]&amp;Table1[[#This Row],[Q18: Gender]],Factor!$W$1:$X$23,2,0)</f>
        <v>1.0790228998469584</v>
      </c>
      <c r="AN237">
        <f>VLOOKUP(Table1[[#This Row],[Taluka]]&amp;Table1[[#This Row],[Caste]]&amp;Table1[[#This Row],[Q18: Gender]],Factor!$AK$4:$AL$93,2,0)</f>
        <v>0.90933567693352424</v>
      </c>
      <c r="AO237">
        <f t="shared" si="33"/>
        <v>1</v>
      </c>
      <c r="AP237">
        <f t="shared" si="34"/>
        <v>-1</v>
      </c>
      <c r="AQ237">
        <f t="shared" si="35"/>
        <v>1</v>
      </c>
      <c r="AR237">
        <f t="shared" si="36"/>
        <v>1</v>
      </c>
      <c r="AS237">
        <f t="shared" si="37"/>
        <v>-1</v>
      </c>
      <c r="AT237">
        <f t="shared" si="38"/>
        <v>1</v>
      </c>
      <c r="AU237">
        <f t="shared" si="39"/>
        <v>2.5</v>
      </c>
      <c r="AV237">
        <f>SUM(Table1[[#This Row],[Satis]:[29]])</f>
        <v>2</v>
      </c>
      <c r="AW237">
        <f t="shared" si="40"/>
        <v>3</v>
      </c>
      <c r="AX237">
        <f t="shared" si="41"/>
        <v>2</v>
      </c>
      <c r="AY237">
        <f t="shared" si="42"/>
        <v>2</v>
      </c>
      <c r="AZ237" t="str">
        <f t="shared" si="43"/>
        <v>Neutral YSRCP</v>
      </c>
    </row>
    <row r="238" spans="1:52" x14ac:dyDescent="0.3">
      <c r="A238" t="s">
        <v>1486</v>
      </c>
      <c r="B238" s="94">
        <v>46044</v>
      </c>
      <c r="C238" t="s">
        <v>1487</v>
      </c>
      <c r="D238" t="s">
        <v>1488</v>
      </c>
      <c r="E238" t="s">
        <v>1489</v>
      </c>
      <c r="F238" t="s">
        <v>935</v>
      </c>
      <c r="G238" t="s">
        <v>39</v>
      </c>
      <c r="H238" t="s">
        <v>1490</v>
      </c>
      <c r="I238" t="s">
        <v>70</v>
      </c>
      <c r="J238" s="112" t="s">
        <v>203</v>
      </c>
      <c r="K238" s="112" t="s">
        <v>205</v>
      </c>
      <c r="L238" t="s">
        <v>62</v>
      </c>
      <c r="M238" t="s">
        <v>51</v>
      </c>
      <c r="N238" t="s">
        <v>52</v>
      </c>
      <c r="O238" t="s">
        <v>1491</v>
      </c>
      <c r="P238">
        <v>9618060877</v>
      </c>
      <c r="Q238" t="s">
        <v>445</v>
      </c>
      <c r="R238" t="s">
        <v>139</v>
      </c>
      <c r="S238" t="s">
        <v>88</v>
      </c>
      <c r="T238" t="s">
        <v>89</v>
      </c>
      <c r="U238" t="s">
        <v>90</v>
      </c>
      <c r="V238" t="s">
        <v>91</v>
      </c>
      <c r="W238" t="s">
        <v>5049</v>
      </c>
      <c r="X238" t="s">
        <v>91</v>
      </c>
      <c r="Y238" t="s">
        <v>46</v>
      </c>
      <c r="Z238" t="s">
        <v>92</v>
      </c>
      <c r="AA238" t="s">
        <v>92</v>
      </c>
      <c r="AB238" t="s">
        <v>93</v>
      </c>
      <c r="AC238" t="s">
        <v>94</v>
      </c>
      <c r="AD238" t="s">
        <v>1270</v>
      </c>
      <c r="AE238" t="s">
        <v>189</v>
      </c>
      <c r="AF238" t="s">
        <v>1348</v>
      </c>
      <c r="AG238" t="s">
        <v>196</v>
      </c>
      <c r="AH238" s="93">
        <f>VLOOKUP(Table1[[#This Row],[Caste]],Factor!$H$1:$K$13,4,0)</f>
        <v>1.3836274505214585</v>
      </c>
      <c r="AI238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238">
        <f>Table1[[#This Row],[Factor_1]]*Table1[[#This Row],[2024 Factor]]</f>
        <v>3.4809023142961388</v>
      </c>
      <c r="AK238">
        <f>VLOOKUP(Table1[[#This Row],[Q18: Gender]],Factor!$A$33:$E$35,5,0)</f>
        <v>2.1645021645021645</v>
      </c>
      <c r="AL238">
        <f>VLOOKUP(Table1[[#This Row],[Taluka]],Factor!$A$42:$G$46,7,0)</f>
        <v>1.9264642089343564</v>
      </c>
      <c r="AM238">
        <f>VLOOKUP(Table1[[#This Row],[Caste]]&amp;Table1[[#This Row],[Q18: Gender]],Factor!$W$1:$X$23,2,0)</f>
        <v>1.9278542477265657</v>
      </c>
      <c r="AN238">
        <f>VLOOKUP(Table1[[#This Row],[Taluka]]&amp;Table1[[#This Row],[Caste]]&amp;Table1[[#This Row],[Q18: Gender]],Factor!$AK$4:$AL$93,2,0)</f>
        <v>4.0768956513699193</v>
      </c>
      <c r="AO238">
        <f t="shared" si="33"/>
        <v>1</v>
      </c>
      <c r="AP238">
        <f t="shared" si="34"/>
        <v>1</v>
      </c>
      <c r="AQ238">
        <f t="shared" si="35"/>
        <v>1</v>
      </c>
      <c r="AR238">
        <f t="shared" si="36"/>
        <v>1</v>
      </c>
      <c r="AS238">
        <f t="shared" si="37"/>
        <v>1</v>
      </c>
      <c r="AT238">
        <f t="shared" si="38"/>
        <v>1</v>
      </c>
      <c r="AU238">
        <f t="shared" si="39"/>
        <v>5.5</v>
      </c>
      <c r="AV238">
        <f>SUM(Table1[[#This Row],[Satis]:[29]])</f>
        <v>6</v>
      </c>
      <c r="AW238">
        <f t="shared" si="40"/>
        <v>5</v>
      </c>
      <c r="AX238">
        <f t="shared" si="41"/>
        <v>4</v>
      </c>
      <c r="AY238">
        <f t="shared" si="42"/>
        <v>3</v>
      </c>
      <c r="AZ238" t="str">
        <f t="shared" si="43"/>
        <v>YSRCP HardCore</v>
      </c>
    </row>
    <row r="239" spans="1:52" x14ac:dyDescent="0.3">
      <c r="A239" t="s">
        <v>2070</v>
      </c>
      <c r="B239" s="94">
        <v>46044</v>
      </c>
      <c r="C239" t="s">
        <v>2071</v>
      </c>
      <c r="D239" t="s">
        <v>2072</v>
      </c>
      <c r="E239" t="s">
        <v>2073</v>
      </c>
      <c r="F239" t="s">
        <v>240</v>
      </c>
      <c r="G239" t="s">
        <v>39</v>
      </c>
      <c r="H239" t="s">
        <v>2074</v>
      </c>
      <c r="I239" t="s">
        <v>70</v>
      </c>
      <c r="J239" t="s">
        <v>71</v>
      </c>
      <c r="K239" t="s">
        <v>214</v>
      </c>
      <c r="L239" t="s">
        <v>62</v>
      </c>
      <c r="M239" t="s">
        <v>443</v>
      </c>
      <c r="N239" t="s">
        <v>107</v>
      </c>
      <c r="O239" t="s">
        <v>2075</v>
      </c>
      <c r="P239">
        <v>7993832429</v>
      </c>
      <c r="Q239" t="s">
        <v>54</v>
      </c>
      <c r="R239" t="s">
        <v>132</v>
      </c>
      <c r="S239" t="s">
        <v>43</v>
      </c>
      <c r="T239" t="s">
        <v>43</v>
      </c>
      <c r="U239" t="s">
        <v>44</v>
      </c>
      <c r="V239" t="s">
        <v>45</v>
      </c>
      <c r="W239" t="s">
        <v>5068</v>
      </c>
      <c r="X239" t="s">
        <v>45</v>
      </c>
      <c r="Y239" t="s">
        <v>46</v>
      </c>
      <c r="Z239" t="s">
        <v>47</v>
      </c>
      <c r="AA239" t="s">
        <v>48</v>
      </c>
      <c r="AB239" t="s">
        <v>49</v>
      </c>
      <c r="AC239" t="s">
        <v>49</v>
      </c>
      <c r="AD239" t="s">
        <v>1552</v>
      </c>
      <c r="AE239" t="s">
        <v>185</v>
      </c>
      <c r="AF239" t="s">
        <v>1341</v>
      </c>
      <c r="AG239" t="s">
        <v>196</v>
      </c>
      <c r="AH239" s="93">
        <f>VLOOKUP(Table1[[#This Row],[Caste]],Factor!$H$1:$K$13,4,0)</f>
        <v>1.3836274505214585</v>
      </c>
      <c r="AI23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39">
        <f>Table1[[#This Row],[Factor_1]]*Table1[[#This Row],[2024 Factor]]</f>
        <v>1.1648410586678206</v>
      </c>
      <c r="AK239">
        <f>VLOOKUP(Table1[[#This Row],[Q18: Gender]],Factor!$A$33:$E$35,5,0)</f>
        <v>0.85034013605442171</v>
      </c>
      <c r="AL239">
        <f>VLOOKUP(Table1[[#This Row],[Taluka]],Factor!$A$42:$G$46,7,0)</f>
        <v>1.1213131007097483</v>
      </c>
      <c r="AM239">
        <f>VLOOKUP(Table1[[#This Row],[Caste]]&amp;Table1[[#This Row],[Q18: Gender]],Factor!$W$1:$X$23,2,0)</f>
        <v>1.0790228998469584</v>
      </c>
      <c r="AN239">
        <f>VLOOKUP(Table1[[#This Row],[Taluka]]&amp;Table1[[#This Row],[Caste]]&amp;Table1[[#This Row],[Q18: Gender]],Factor!$AK$4:$AL$93,2,0)</f>
        <v>0.90933567693352424</v>
      </c>
      <c r="AO239">
        <f t="shared" si="33"/>
        <v>-1</v>
      </c>
      <c r="AP239">
        <f t="shared" si="34"/>
        <v>-1</v>
      </c>
      <c r="AQ239">
        <f t="shared" si="35"/>
        <v>-1</v>
      </c>
      <c r="AR239">
        <f t="shared" si="36"/>
        <v>-1</v>
      </c>
      <c r="AS239">
        <f t="shared" si="37"/>
        <v>-1</v>
      </c>
      <c r="AT239">
        <f t="shared" si="38"/>
        <v>-1</v>
      </c>
      <c r="AU239">
        <f t="shared" si="39"/>
        <v>-5.5</v>
      </c>
      <c r="AV239">
        <f>SUM(Table1[[#This Row],[Satis]:[29]])</f>
        <v>-6</v>
      </c>
      <c r="AW239">
        <f t="shared" si="40"/>
        <v>-5</v>
      </c>
      <c r="AX239">
        <f t="shared" si="41"/>
        <v>-4</v>
      </c>
      <c r="AY239">
        <f t="shared" si="42"/>
        <v>-3</v>
      </c>
      <c r="AZ239" t="str">
        <f t="shared" si="43"/>
        <v>TDP HardCore</v>
      </c>
    </row>
    <row r="240" spans="1:52" x14ac:dyDescent="0.3">
      <c r="A240" t="s">
        <v>1554</v>
      </c>
      <c r="B240" s="94">
        <v>46044</v>
      </c>
      <c r="C240" t="s">
        <v>1555</v>
      </c>
      <c r="D240" t="s">
        <v>1556</v>
      </c>
      <c r="E240" t="s">
        <v>1557</v>
      </c>
      <c r="F240" t="s">
        <v>240</v>
      </c>
      <c r="G240" t="s">
        <v>39</v>
      </c>
      <c r="H240" t="s">
        <v>1558</v>
      </c>
      <c r="I240" t="s">
        <v>70</v>
      </c>
      <c r="J240" t="s">
        <v>71</v>
      </c>
      <c r="K240" t="s">
        <v>214</v>
      </c>
      <c r="L240" t="s">
        <v>451</v>
      </c>
      <c r="M240" t="s">
        <v>443</v>
      </c>
      <c r="N240" t="s">
        <v>162</v>
      </c>
      <c r="O240" t="s">
        <v>1559</v>
      </c>
      <c r="P240">
        <v>9908059266</v>
      </c>
      <c r="Q240" t="s">
        <v>445</v>
      </c>
      <c r="R240" t="s">
        <v>132</v>
      </c>
      <c r="S240" t="s">
        <v>43</v>
      </c>
      <c r="T240" t="s">
        <v>43</v>
      </c>
      <c r="U240" t="s">
        <v>90</v>
      </c>
      <c r="V240" t="s">
        <v>91</v>
      </c>
      <c r="W240" t="s">
        <v>5068</v>
      </c>
      <c r="X240" t="s">
        <v>91</v>
      </c>
      <c r="Y240" t="s">
        <v>46</v>
      </c>
      <c r="Z240" t="s">
        <v>92</v>
      </c>
      <c r="AA240" t="s">
        <v>92</v>
      </c>
      <c r="AB240" t="s">
        <v>93</v>
      </c>
      <c r="AC240" t="s">
        <v>94</v>
      </c>
      <c r="AD240" t="s">
        <v>1552</v>
      </c>
      <c r="AE240" t="s">
        <v>185</v>
      </c>
      <c r="AF240" t="s">
        <v>1355</v>
      </c>
      <c r="AG240" t="s">
        <v>196</v>
      </c>
      <c r="AH240" s="93">
        <f>VLOOKUP(Table1[[#This Row],[Caste]],Factor!$H$1:$K$13,4,0)</f>
        <v>1.3836274505214585</v>
      </c>
      <c r="AI240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240">
        <f>Table1[[#This Row],[Factor_1]]*Table1[[#This Row],[2024 Factor]]</f>
        <v>3.4809023142961388</v>
      </c>
      <c r="AK240">
        <f>VLOOKUP(Table1[[#This Row],[Q18: Gender]],Factor!$A$33:$E$35,5,0)</f>
        <v>2.1645021645021645</v>
      </c>
      <c r="AL240">
        <f>VLOOKUP(Table1[[#This Row],[Taluka]],Factor!$A$42:$G$46,7,0)</f>
        <v>1.1213131007097483</v>
      </c>
      <c r="AM240">
        <f>VLOOKUP(Table1[[#This Row],[Caste]]&amp;Table1[[#This Row],[Q18: Gender]],Factor!$W$1:$X$23,2,0)</f>
        <v>1.9278542477265657</v>
      </c>
      <c r="AN240">
        <f>VLOOKUP(Table1[[#This Row],[Taluka]]&amp;Table1[[#This Row],[Caste]]&amp;Table1[[#This Row],[Q18: Gender]],Factor!$AK$4:$AL$93,2,0)</f>
        <v>1.2302776805571209</v>
      </c>
      <c r="AO240">
        <f t="shared" si="33"/>
        <v>-1</v>
      </c>
      <c r="AP240">
        <f t="shared" si="34"/>
        <v>1</v>
      </c>
      <c r="AQ240">
        <f t="shared" si="35"/>
        <v>1</v>
      </c>
      <c r="AR240">
        <f t="shared" si="36"/>
        <v>1</v>
      </c>
      <c r="AS240">
        <f t="shared" si="37"/>
        <v>1</v>
      </c>
      <c r="AT240">
        <f t="shared" si="38"/>
        <v>1</v>
      </c>
      <c r="AU240">
        <f t="shared" si="39"/>
        <v>3.5</v>
      </c>
      <c r="AV240">
        <f>SUM(Table1[[#This Row],[Satis]:[29]])</f>
        <v>4</v>
      </c>
      <c r="AW240">
        <f t="shared" si="40"/>
        <v>3</v>
      </c>
      <c r="AX240">
        <f t="shared" si="41"/>
        <v>4</v>
      </c>
      <c r="AY240">
        <f t="shared" si="42"/>
        <v>2</v>
      </c>
      <c r="AZ240" t="str">
        <f t="shared" si="43"/>
        <v>YSRCP Sympathiser</v>
      </c>
    </row>
    <row r="241" spans="1:52" x14ac:dyDescent="0.3">
      <c r="A241" t="s">
        <v>1503</v>
      </c>
      <c r="B241" s="94">
        <v>46044</v>
      </c>
      <c r="C241" t="s">
        <v>1504</v>
      </c>
      <c r="D241" t="s">
        <v>1505</v>
      </c>
      <c r="E241" t="s">
        <v>1506</v>
      </c>
      <c r="F241" t="s">
        <v>935</v>
      </c>
      <c r="G241" t="s">
        <v>39</v>
      </c>
      <c r="H241" t="s">
        <v>1507</v>
      </c>
      <c r="I241" t="s">
        <v>59</v>
      </c>
      <c r="J241" t="s">
        <v>219</v>
      </c>
      <c r="K241" t="s">
        <v>224</v>
      </c>
      <c r="L241" t="s">
        <v>62</v>
      </c>
      <c r="M241" t="s">
        <v>51</v>
      </c>
      <c r="N241" t="s">
        <v>52</v>
      </c>
      <c r="O241" t="s">
        <v>1508</v>
      </c>
      <c r="P241">
        <v>9989545372</v>
      </c>
      <c r="Q241" t="s">
        <v>54</v>
      </c>
      <c r="R241" t="s">
        <v>132</v>
      </c>
      <c r="S241" t="s">
        <v>43</v>
      </c>
      <c r="T241" t="s">
        <v>43</v>
      </c>
      <c r="U241" t="s">
        <v>44</v>
      </c>
      <c r="V241" t="s">
        <v>91</v>
      </c>
      <c r="W241" t="s">
        <v>5058</v>
      </c>
      <c r="X241" t="s">
        <v>45</v>
      </c>
      <c r="Y241" t="s">
        <v>46</v>
      </c>
      <c r="Z241" t="s">
        <v>47</v>
      </c>
      <c r="AA241" t="s">
        <v>48</v>
      </c>
      <c r="AB241" t="s">
        <v>49</v>
      </c>
      <c r="AC241" t="s">
        <v>49</v>
      </c>
      <c r="AD241" t="s">
        <v>1270</v>
      </c>
      <c r="AE241" t="s">
        <v>1250</v>
      </c>
      <c r="AF241" t="s">
        <v>1509</v>
      </c>
      <c r="AG241" t="s">
        <v>498</v>
      </c>
      <c r="AH241" s="93">
        <f>VLOOKUP(Table1[[#This Row],[Caste]],Factor!$H$1:$K$13,4,0)</f>
        <v>1.1461625511156397</v>
      </c>
      <c r="AI24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41">
        <f>Table1[[#This Row],[Factor_1]]*Table1[[#This Row],[2024 Factor]]</f>
        <v>0.77721139583220644</v>
      </c>
      <c r="AK241">
        <f>VLOOKUP(Table1[[#This Row],[Q18: Gender]],Factor!$A$33:$E$35,5,0)</f>
        <v>0.85034013605442171</v>
      </c>
      <c r="AL241">
        <f>VLOOKUP(Table1[[#This Row],[Taluka]],Factor!$A$42:$G$46,7,0)</f>
        <v>1.147984664167413</v>
      </c>
      <c r="AM241">
        <f>VLOOKUP(Table1[[#This Row],[Caste]]&amp;Table1[[#This Row],[Q18: Gender]],Factor!$W$1:$X$23,2,0)</f>
        <v>0.71995135120329123</v>
      </c>
      <c r="AN241">
        <f>VLOOKUP(Table1[[#This Row],[Taluka]]&amp;Table1[[#This Row],[Caste]]&amp;Table1[[#This Row],[Q18: Gender]],Factor!$AK$4:$AL$93,2,0)</f>
        <v>0.54319084681293095</v>
      </c>
      <c r="AO241">
        <f t="shared" si="33"/>
        <v>-1</v>
      </c>
      <c r="AP241">
        <f t="shared" si="34"/>
        <v>-1</v>
      </c>
      <c r="AQ241">
        <f t="shared" si="35"/>
        <v>1</v>
      </c>
      <c r="AR241">
        <f t="shared" si="36"/>
        <v>-1</v>
      </c>
      <c r="AS241">
        <f t="shared" si="37"/>
        <v>-1</v>
      </c>
      <c r="AT241">
        <f t="shared" si="38"/>
        <v>-1</v>
      </c>
      <c r="AU241">
        <f t="shared" si="39"/>
        <v>-3.5</v>
      </c>
      <c r="AV241">
        <f>SUM(Table1[[#This Row],[Satis]:[29]])</f>
        <v>-4</v>
      </c>
      <c r="AW241">
        <f t="shared" si="40"/>
        <v>-3</v>
      </c>
      <c r="AX241">
        <f t="shared" si="41"/>
        <v>-2</v>
      </c>
      <c r="AY241">
        <f t="shared" si="42"/>
        <v>-3</v>
      </c>
      <c r="AZ241" t="str">
        <f t="shared" si="43"/>
        <v>Neutral TDP</v>
      </c>
    </row>
    <row r="242" spans="1:52" x14ac:dyDescent="0.3">
      <c r="A242" t="s">
        <v>1273</v>
      </c>
      <c r="B242" s="94">
        <v>46044</v>
      </c>
      <c r="C242" t="s">
        <v>1274</v>
      </c>
      <c r="D242" t="s">
        <v>1275</v>
      </c>
      <c r="E242" t="s">
        <v>1276</v>
      </c>
      <c r="F242" t="s">
        <v>935</v>
      </c>
      <c r="G242" t="s">
        <v>39</v>
      </c>
      <c r="H242" t="s">
        <v>1277</v>
      </c>
      <c r="I242" t="s">
        <v>59</v>
      </c>
      <c r="J242" t="s">
        <v>219</v>
      </c>
      <c r="K242" t="s">
        <v>224</v>
      </c>
      <c r="L242" t="s">
        <v>50</v>
      </c>
      <c r="M242" t="s">
        <v>51</v>
      </c>
      <c r="N242" t="s">
        <v>63</v>
      </c>
      <c r="O242" t="s">
        <v>1278</v>
      </c>
      <c r="P242">
        <v>7993687613</v>
      </c>
      <c r="Q242" t="s">
        <v>54</v>
      </c>
      <c r="R242" t="s">
        <v>132</v>
      </c>
      <c r="S242" t="s">
        <v>43</v>
      </c>
      <c r="T242" t="s">
        <v>43</v>
      </c>
      <c r="U242" t="s">
        <v>44</v>
      </c>
      <c r="V242" t="s">
        <v>45</v>
      </c>
      <c r="W242" t="s">
        <v>5058</v>
      </c>
      <c r="X242" t="s">
        <v>45</v>
      </c>
      <c r="Y242" t="s">
        <v>46</v>
      </c>
      <c r="Z242" t="s">
        <v>47</v>
      </c>
      <c r="AA242" t="s">
        <v>48</v>
      </c>
      <c r="AB242" t="s">
        <v>49</v>
      </c>
      <c r="AC242" t="s">
        <v>49</v>
      </c>
      <c r="AD242" t="s">
        <v>1279</v>
      </c>
      <c r="AE242" t="s">
        <v>185</v>
      </c>
      <c r="AF242" t="s">
        <v>1280</v>
      </c>
      <c r="AG242" t="s">
        <v>196</v>
      </c>
      <c r="AH242" s="93">
        <f>VLOOKUP(Table1[[#This Row],[Caste]],Factor!$H$1:$K$13,4,0)</f>
        <v>1.1461625511156397</v>
      </c>
      <c r="AI24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42">
        <f>Table1[[#This Row],[Factor_1]]*Table1[[#This Row],[2024 Factor]]</f>
        <v>0.77721139583220644</v>
      </c>
      <c r="AK242">
        <f>VLOOKUP(Table1[[#This Row],[Q18: Gender]],Factor!$A$33:$E$35,5,0)</f>
        <v>0.85034013605442171</v>
      </c>
      <c r="AL242">
        <f>VLOOKUP(Table1[[#This Row],[Taluka]],Factor!$A$42:$G$46,7,0)</f>
        <v>1.147984664167413</v>
      </c>
      <c r="AM242">
        <f>VLOOKUP(Table1[[#This Row],[Caste]]&amp;Table1[[#This Row],[Q18: Gender]],Factor!$W$1:$X$23,2,0)</f>
        <v>0.71995135120329123</v>
      </c>
      <c r="AN242">
        <f>VLOOKUP(Table1[[#This Row],[Taluka]]&amp;Table1[[#This Row],[Caste]]&amp;Table1[[#This Row],[Q18: Gender]],Factor!$AK$4:$AL$93,2,0)</f>
        <v>0.54319084681293095</v>
      </c>
      <c r="AO242">
        <f t="shared" si="33"/>
        <v>-1</v>
      </c>
      <c r="AP242">
        <f t="shared" si="34"/>
        <v>-1</v>
      </c>
      <c r="AQ242">
        <f t="shared" si="35"/>
        <v>-1</v>
      </c>
      <c r="AR242">
        <f t="shared" si="36"/>
        <v>-1</v>
      </c>
      <c r="AS242">
        <f t="shared" si="37"/>
        <v>-1</v>
      </c>
      <c r="AT242">
        <f t="shared" si="38"/>
        <v>-1</v>
      </c>
      <c r="AU242">
        <f t="shared" si="39"/>
        <v>-5.5</v>
      </c>
      <c r="AV242">
        <f>SUM(Table1[[#This Row],[Satis]:[29]])</f>
        <v>-6</v>
      </c>
      <c r="AW242">
        <f t="shared" si="40"/>
        <v>-5</v>
      </c>
      <c r="AX242">
        <f t="shared" si="41"/>
        <v>-4</v>
      </c>
      <c r="AY242">
        <f t="shared" si="42"/>
        <v>-3</v>
      </c>
      <c r="AZ242" t="str">
        <f t="shared" si="43"/>
        <v>TDP HardCore</v>
      </c>
    </row>
    <row r="243" spans="1:52" x14ac:dyDescent="0.3">
      <c r="A243" t="s">
        <v>1288</v>
      </c>
      <c r="B243" s="94">
        <v>46044</v>
      </c>
      <c r="C243" t="s">
        <v>1274</v>
      </c>
      <c r="D243" t="s">
        <v>1275</v>
      </c>
      <c r="E243" t="s">
        <v>1276</v>
      </c>
      <c r="F243" t="s">
        <v>935</v>
      </c>
      <c r="G243" t="s">
        <v>39</v>
      </c>
      <c r="H243" t="s">
        <v>1289</v>
      </c>
      <c r="I243" t="s">
        <v>59</v>
      </c>
      <c r="J243" t="s">
        <v>219</v>
      </c>
      <c r="K243" t="s">
        <v>224</v>
      </c>
      <c r="L243" t="s">
        <v>50</v>
      </c>
      <c r="M243" t="s">
        <v>51</v>
      </c>
      <c r="N243" t="s">
        <v>63</v>
      </c>
      <c r="O243" t="s">
        <v>1278</v>
      </c>
      <c r="P243">
        <v>7993687613</v>
      </c>
      <c r="Q243" t="s">
        <v>54</v>
      </c>
      <c r="R243" t="s">
        <v>132</v>
      </c>
      <c r="S243" t="s">
        <v>43</v>
      </c>
      <c r="T243" t="s">
        <v>43</v>
      </c>
      <c r="U243" t="s">
        <v>44</v>
      </c>
      <c r="V243" t="s">
        <v>45</v>
      </c>
      <c r="W243" t="s">
        <v>5058</v>
      </c>
      <c r="X243" t="s">
        <v>45</v>
      </c>
      <c r="Y243" t="s">
        <v>46</v>
      </c>
      <c r="Z243" t="s">
        <v>47</v>
      </c>
      <c r="AA243" t="s">
        <v>48</v>
      </c>
      <c r="AB243" t="s">
        <v>49</v>
      </c>
      <c r="AC243" t="s">
        <v>49</v>
      </c>
      <c r="AD243" t="s">
        <v>1270</v>
      </c>
      <c r="AE243" t="s">
        <v>185</v>
      </c>
      <c r="AF243">
        <v>0</v>
      </c>
      <c r="AG243" t="s">
        <v>196</v>
      </c>
      <c r="AH243" s="93">
        <f>VLOOKUP(Table1[[#This Row],[Caste]],Factor!$H$1:$K$13,4,0)</f>
        <v>1.1461625511156397</v>
      </c>
      <c r="AI24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43">
        <f>Table1[[#This Row],[Factor_1]]*Table1[[#This Row],[2024 Factor]]</f>
        <v>0.77721139583220644</v>
      </c>
      <c r="AK243">
        <f>VLOOKUP(Table1[[#This Row],[Q18: Gender]],Factor!$A$33:$E$35,5,0)</f>
        <v>0.85034013605442171</v>
      </c>
      <c r="AL243">
        <f>VLOOKUP(Table1[[#This Row],[Taluka]],Factor!$A$42:$G$46,7,0)</f>
        <v>1.147984664167413</v>
      </c>
      <c r="AM243">
        <f>VLOOKUP(Table1[[#This Row],[Caste]]&amp;Table1[[#This Row],[Q18: Gender]],Factor!$W$1:$X$23,2,0)</f>
        <v>0.71995135120329123</v>
      </c>
      <c r="AN243">
        <f>VLOOKUP(Table1[[#This Row],[Taluka]]&amp;Table1[[#This Row],[Caste]]&amp;Table1[[#This Row],[Q18: Gender]],Factor!$AK$4:$AL$93,2,0)</f>
        <v>0.54319084681293095</v>
      </c>
      <c r="AO243">
        <f t="shared" si="33"/>
        <v>-1</v>
      </c>
      <c r="AP243">
        <f t="shared" si="34"/>
        <v>-1</v>
      </c>
      <c r="AQ243">
        <f t="shared" si="35"/>
        <v>-1</v>
      </c>
      <c r="AR243">
        <f t="shared" si="36"/>
        <v>-1</v>
      </c>
      <c r="AS243">
        <f t="shared" si="37"/>
        <v>-1</v>
      </c>
      <c r="AT243">
        <f t="shared" si="38"/>
        <v>-1</v>
      </c>
      <c r="AU243">
        <f t="shared" si="39"/>
        <v>-5.5</v>
      </c>
      <c r="AV243">
        <f>SUM(Table1[[#This Row],[Satis]:[29]])</f>
        <v>-6</v>
      </c>
      <c r="AW243">
        <f t="shared" si="40"/>
        <v>-5</v>
      </c>
      <c r="AX243">
        <f t="shared" si="41"/>
        <v>-4</v>
      </c>
      <c r="AY243">
        <f t="shared" si="42"/>
        <v>-3</v>
      </c>
      <c r="AZ243" t="str">
        <f t="shared" si="43"/>
        <v>TDP HardCore</v>
      </c>
    </row>
    <row r="244" spans="1:52" x14ac:dyDescent="0.3">
      <c r="A244" t="s">
        <v>1518</v>
      </c>
      <c r="B244" s="94">
        <v>46044</v>
      </c>
      <c r="C244" t="s">
        <v>1519</v>
      </c>
      <c r="D244" t="s">
        <v>1520</v>
      </c>
      <c r="E244" t="s">
        <v>1521</v>
      </c>
      <c r="F244" t="s">
        <v>935</v>
      </c>
      <c r="G244" t="s">
        <v>39</v>
      </c>
      <c r="H244" t="s">
        <v>1522</v>
      </c>
      <c r="I244" t="s">
        <v>229</v>
      </c>
      <c r="J244" t="s">
        <v>219</v>
      </c>
      <c r="K244" t="s">
        <v>224</v>
      </c>
      <c r="L244" t="s">
        <v>62</v>
      </c>
      <c r="M244" t="s">
        <v>51</v>
      </c>
      <c r="N244" t="s">
        <v>52</v>
      </c>
      <c r="O244" t="s">
        <v>1523</v>
      </c>
      <c r="P244">
        <v>9704566223</v>
      </c>
      <c r="Q244" t="s">
        <v>54</v>
      </c>
      <c r="R244" t="s">
        <v>139</v>
      </c>
      <c r="S244" t="s">
        <v>43</v>
      </c>
      <c r="T244" t="s">
        <v>89</v>
      </c>
      <c r="U244" t="s">
        <v>90</v>
      </c>
      <c r="V244" t="s">
        <v>91</v>
      </c>
      <c r="W244" t="s">
        <v>5055</v>
      </c>
      <c r="X244" t="s">
        <v>45</v>
      </c>
      <c r="Y244" t="s">
        <v>46</v>
      </c>
      <c r="Z244" t="s">
        <v>242</v>
      </c>
      <c r="AA244" t="s">
        <v>48</v>
      </c>
      <c r="AB244" t="s">
        <v>49</v>
      </c>
      <c r="AC244" t="s">
        <v>49</v>
      </c>
      <c r="AD244" t="s">
        <v>1270</v>
      </c>
      <c r="AE244" t="s">
        <v>1271</v>
      </c>
      <c r="AF244" t="s">
        <v>1524</v>
      </c>
      <c r="AG244" t="s">
        <v>196</v>
      </c>
      <c r="AH244" s="93">
        <f>VLOOKUP(Table1[[#This Row],[Caste]],Factor!$H$1:$K$13,4,0)</f>
        <v>1.1209668980183516</v>
      </c>
      <c r="AI24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44">
        <f>Table1[[#This Row],[Factor_1]]*Table1[[#This Row],[2024 Factor]]</f>
        <v>1.0451044981059459</v>
      </c>
      <c r="AK244">
        <f>VLOOKUP(Table1[[#This Row],[Q18: Gender]],Factor!$A$33:$E$35,5,0)</f>
        <v>0.85034013605442171</v>
      </c>
      <c r="AL244">
        <f>VLOOKUP(Table1[[#This Row],[Taluka]],Factor!$A$42:$G$46,7,0)</f>
        <v>1.147984664167413</v>
      </c>
      <c r="AM244">
        <f>VLOOKUP(Table1[[#This Row],[Caste]]&amp;Table1[[#This Row],[Q18: Gender]],Factor!$W$1:$X$23,2,0)</f>
        <v>0.96810777556130356</v>
      </c>
      <c r="AN244">
        <f>VLOOKUP(Table1[[#This Row],[Taluka]]&amp;Table1[[#This Row],[Caste]]&amp;Table1[[#This Row],[Q18: Gender]],Factor!$AK$4:$AL$93,2,0)</f>
        <v>0.30685005205910726</v>
      </c>
      <c r="AO244">
        <f t="shared" si="33"/>
        <v>1</v>
      </c>
      <c r="AP244">
        <f t="shared" si="34"/>
        <v>1</v>
      </c>
      <c r="AQ244">
        <f t="shared" si="35"/>
        <v>1</v>
      </c>
      <c r="AR244">
        <f t="shared" si="36"/>
        <v>-1</v>
      </c>
      <c r="AS244">
        <f t="shared" si="37"/>
        <v>-1</v>
      </c>
      <c r="AT244">
        <f t="shared" si="38"/>
        <v>-1</v>
      </c>
      <c r="AU244">
        <f t="shared" si="39"/>
        <v>0.5</v>
      </c>
      <c r="AV244">
        <f>SUM(Table1[[#This Row],[Satis]:[29]])</f>
        <v>0</v>
      </c>
      <c r="AW244">
        <f t="shared" si="40"/>
        <v>-1</v>
      </c>
      <c r="AX244">
        <f t="shared" si="41"/>
        <v>-2</v>
      </c>
      <c r="AY244">
        <f t="shared" si="42"/>
        <v>-2</v>
      </c>
      <c r="AZ244" t="str">
        <f t="shared" si="43"/>
        <v>Neutral TDP</v>
      </c>
    </row>
    <row r="245" spans="1:52" x14ac:dyDescent="0.3">
      <c r="A245" t="s">
        <v>1525</v>
      </c>
      <c r="B245" s="94">
        <v>46044</v>
      </c>
      <c r="C245" t="s">
        <v>1513</v>
      </c>
      <c r="D245" t="s">
        <v>1514</v>
      </c>
      <c r="E245" t="s">
        <v>1515</v>
      </c>
      <c r="F245" t="s">
        <v>240</v>
      </c>
      <c r="G245" t="s">
        <v>39</v>
      </c>
      <c r="H245" t="s">
        <v>1526</v>
      </c>
      <c r="I245" t="s">
        <v>231</v>
      </c>
      <c r="J245" t="s">
        <v>71</v>
      </c>
      <c r="K245" t="s">
        <v>214</v>
      </c>
      <c r="L245" t="s">
        <v>626</v>
      </c>
      <c r="M245" t="s">
        <v>51</v>
      </c>
      <c r="N245" t="s">
        <v>107</v>
      </c>
      <c r="O245" t="s">
        <v>1517</v>
      </c>
      <c r="P245">
        <v>9492247688</v>
      </c>
      <c r="Q245" t="s">
        <v>54</v>
      </c>
      <c r="R245" t="s">
        <v>132</v>
      </c>
      <c r="S245" t="s">
        <v>89</v>
      </c>
      <c r="T245" t="s">
        <v>89</v>
      </c>
      <c r="U245" t="s">
        <v>44</v>
      </c>
      <c r="V245" t="s">
        <v>45</v>
      </c>
      <c r="W245" t="s">
        <v>5058</v>
      </c>
      <c r="X245" t="s">
        <v>45</v>
      </c>
      <c r="Y245" t="s">
        <v>638</v>
      </c>
      <c r="Z245" t="s">
        <v>242</v>
      </c>
      <c r="AA245" t="s">
        <v>242</v>
      </c>
      <c r="AB245" t="s">
        <v>49</v>
      </c>
      <c r="AC245" t="s">
        <v>49</v>
      </c>
      <c r="AD245" t="s">
        <v>1270</v>
      </c>
      <c r="AE245" t="s">
        <v>1271</v>
      </c>
      <c r="AF245" t="s">
        <v>1227</v>
      </c>
      <c r="AG245" t="s">
        <v>196</v>
      </c>
      <c r="AH245" s="93">
        <f>VLOOKUP(Table1[[#This Row],[Caste]],Factor!$H$1:$K$13,4,0)</f>
        <v>1.016226256869897</v>
      </c>
      <c r="AI245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245">
        <f>Table1[[#This Row],[Factor_1]]*Table1[[#This Row],[2024 Factor]]</f>
        <v>0.33613637727235079</v>
      </c>
      <c r="AK245">
        <f>VLOOKUP(Table1[[#This Row],[Q18: Gender]],Factor!$A$33:$E$35,5,0)</f>
        <v>0.85034013605442171</v>
      </c>
      <c r="AL245">
        <f>VLOOKUP(Table1[[#This Row],[Taluka]],Factor!$A$42:$G$46,7,0)</f>
        <v>1.1213131007097483</v>
      </c>
      <c r="AM245">
        <f>VLOOKUP(Table1[[#This Row],[Caste]]&amp;Table1[[#This Row],[Q18: Gender]],Factor!$W$1:$X$23,2,0)</f>
        <v>0.50811312843494849</v>
      </c>
      <c r="AN245">
        <f>VLOOKUP(Table1[[#This Row],[Taluka]]&amp;Table1[[#This Row],[Caste]]&amp;Table1[[#This Row],[Q18: Gender]],Factor!$AK$4:$AL$93,2,0)</f>
        <v>0.73498254074817215</v>
      </c>
      <c r="AO245">
        <f t="shared" si="33"/>
        <v>1</v>
      </c>
      <c r="AP245">
        <f t="shared" si="34"/>
        <v>-1</v>
      </c>
      <c r="AQ245">
        <f t="shared" si="35"/>
        <v>-1</v>
      </c>
      <c r="AR245">
        <f t="shared" si="36"/>
        <v>-1</v>
      </c>
      <c r="AS245">
        <f t="shared" si="37"/>
        <v>-1</v>
      </c>
      <c r="AT245">
        <f t="shared" si="38"/>
        <v>-1</v>
      </c>
      <c r="AU245">
        <f t="shared" si="39"/>
        <v>-3.5</v>
      </c>
      <c r="AV245">
        <f>SUM(Table1[[#This Row],[Satis]:[29]])</f>
        <v>-4</v>
      </c>
      <c r="AW245">
        <f t="shared" si="40"/>
        <v>-3</v>
      </c>
      <c r="AX245">
        <f t="shared" si="41"/>
        <v>-4</v>
      </c>
      <c r="AY245">
        <f t="shared" si="42"/>
        <v>-2</v>
      </c>
      <c r="AZ245" t="str">
        <f t="shared" si="43"/>
        <v>TDP Sympathiser</v>
      </c>
    </row>
    <row r="246" spans="1:52" x14ac:dyDescent="0.3">
      <c r="A246" t="s">
        <v>1527</v>
      </c>
      <c r="B246" s="94">
        <v>46044</v>
      </c>
      <c r="C246" t="s">
        <v>1528</v>
      </c>
      <c r="D246" t="s">
        <v>1529</v>
      </c>
      <c r="E246" t="s">
        <v>1530</v>
      </c>
      <c r="F246" t="s">
        <v>69</v>
      </c>
      <c r="G246" t="s">
        <v>39</v>
      </c>
      <c r="H246" t="s">
        <v>1531</v>
      </c>
      <c r="I246" t="s">
        <v>168</v>
      </c>
      <c r="J246" t="s">
        <v>219</v>
      </c>
      <c r="K246" t="s">
        <v>223</v>
      </c>
      <c r="L246" t="s">
        <v>75</v>
      </c>
      <c r="M246" t="s">
        <v>51</v>
      </c>
      <c r="N246" t="s">
        <v>63</v>
      </c>
      <c r="O246" t="s">
        <v>1532</v>
      </c>
      <c r="P246">
        <v>9999999999</v>
      </c>
      <c r="Q246" t="s">
        <v>445</v>
      </c>
      <c r="R246" t="s">
        <v>73</v>
      </c>
      <c r="S246" t="s">
        <v>89</v>
      </c>
      <c r="T246" t="s">
        <v>89</v>
      </c>
      <c r="U246" t="s">
        <v>90</v>
      </c>
      <c r="V246" t="s">
        <v>91</v>
      </c>
      <c r="W246" t="s">
        <v>74</v>
      </c>
      <c r="X246" t="s">
        <v>91</v>
      </c>
      <c r="Y246" t="s">
        <v>46</v>
      </c>
      <c r="Z246" t="s">
        <v>92</v>
      </c>
      <c r="AA246" t="s">
        <v>48</v>
      </c>
      <c r="AB246" t="s">
        <v>49</v>
      </c>
      <c r="AC246" t="s">
        <v>49</v>
      </c>
      <c r="AD246" t="s">
        <v>1279</v>
      </c>
      <c r="AE246" t="s">
        <v>1271</v>
      </c>
      <c r="AF246" t="s">
        <v>1533</v>
      </c>
      <c r="AG246" t="s">
        <v>196</v>
      </c>
      <c r="AH246" s="93">
        <f>VLOOKUP(Table1[[#This Row],[Caste]],Factor!$H$1:$K$13,4,0)</f>
        <v>1.0478809952686368</v>
      </c>
      <c r="AI24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46">
        <f>Table1[[#This Row],[Factor_1]]*Table1[[#This Row],[2024 Factor]]</f>
        <v>1.7911020357040086</v>
      </c>
      <c r="AK246">
        <f>VLOOKUP(Table1[[#This Row],[Q18: Gender]],Factor!$A$33:$E$35,5,0)</f>
        <v>2.1645021645021645</v>
      </c>
      <c r="AL246">
        <f>VLOOKUP(Table1[[#This Row],[Taluka]],Factor!$A$42:$G$46,7,0)</f>
        <v>1.147984664167413</v>
      </c>
      <c r="AM246">
        <f>VLOOKUP(Table1[[#This Row],[Caste]]&amp;Table1[[#This Row],[Q18: Gender]],Factor!$W$1:$X$23,2,0)</f>
        <v>1.6591449091753416</v>
      </c>
      <c r="AN246">
        <f>VLOOKUP(Table1[[#This Row],[Taluka]]&amp;Table1[[#This Row],[Caste]]&amp;Table1[[#This Row],[Q18: Gender]],Factor!$AK$4:$AL$93,2,0)</f>
        <v>1.4342187022576396</v>
      </c>
      <c r="AO246">
        <f t="shared" si="33"/>
        <v>1</v>
      </c>
      <c r="AP246">
        <f t="shared" si="34"/>
        <v>1</v>
      </c>
      <c r="AQ246">
        <f t="shared" si="35"/>
        <v>1</v>
      </c>
      <c r="AR246">
        <f t="shared" si="36"/>
        <v>1</v>
      </c>
      <c r="AS246">
        <f t="shared" si="37"/>
        <v>-1</v>
      </c>
      <c r="AT246">
        <f t="shared" si="38"/>
        <v>1</v>
      </c>
      <c r="AU246">
        <f t="shared" si="39"/>
        <v>4.5</v>
      </c>
      <c r="AV246">
        <f>SUM(Table1[[#This Row],[Satis]:[29]])</f>
        <v>4</v>
      </c>
      <c r="AW246">
        <f t="shared" si="40"/>
        <v>3</v>
      </c>
      <c r="AX246">
        <f t="shared" si="41"/>
        <v>2</v>
      </c>
      <c r="AY246">
        <f t="shared" si="42"/>
        <v>2</v>
      </c>
      <c r="AZ246" t="str">
        <f t="shared" si="43"/>
        <v>Neutral YSRCP</v>
      </c>
    </row>
    <row r="247" spans="1:52" x14ac:dyDescent="0.3">
      <c r="A247" t="s">
        <v>1534</v>
      </c>
      <c r="B247" s="94">
        <v>46044</v>
      </c>
      <c r="C247" t="s">
        <v>1535</v>
      </c>
      <c r="D247" t="s">
        <v>1536</v>
      </c>
      <c r="E247" t="s">
        <v>1537</v>
      </c>
      <c r="F247" t="s">
        <v>69</v>
      </c>
      <c r="G247" t="s">
        <v>39</v>
      </c>
      <c r="H247" t="s">
        <v>1538</v>
      </c>
      <c r="I247" t="s">
        <v>227</v>
      </c>
      <c r="J247" t="s">
        <v>219</v>
      </c>
      <c r="K247" t="s">
        <v>223</v>
      </c>
      <c r="L247" t="s">
        <v>62</v>
      </c>
      <c r="M247" t="s">
        <v>51</v>
      </c>
      <c r="N247" t="s">
        <v>63</v>
      </c>
      <c r="O247" t="s">
        <v>1539</v>
      </c>
      <c r="P247">
        <v>9177365502</v>
      </c>
      <c r="Q247" t="s">
        <v>54</v>
      </c>
      <c r="R247" t="s">
        <v>73</v>
      </c>
      <c r="S247" t="s">
        <v>43</v>
      </c>
      <c r="T247" t="s">
        <v>43</v>
      </c>
      <c r="U247" t="s">
        <v>44</v>
      </c>
      <c r="V247" t="s">
        <v>45</v>
      </c>
      <c r="W247" t="s">
        <v>5061</v>
      </c>
      <c r="X247" t="s">
        <v>45</v>
      </c>
      <c r="Y247" t="s">
        <v>46</v>
      </c>
      <c r="Z247" t="s">
        <v>47</v>
      </c>
      <c r="AA247" t="s">
        <v>48</v>
      </c>
      <c r="AB247" t="s">
        <v>49</v>
      </c>
      <c r="AC247" t="s">
        <v>49</v>
      </c>
      <c r="AD247" t="s">
        <v>1279</v>
      </c>
      <c r="AE247" t="s">
        <v>1271</v>
      </c>
      <c r="AF247" t="s">
        <v>1212</v>
      </c>
      <c r="AG247" t="s">
        <v>196</v>
      </c>
      <c r="AH247" s="93">
        <f>VLOOKUP(Table1[[#This Row],[Caste]],Factor!$H$1:$K$13,4,0)</f>
        <v>1.2612194085121222</v>
      </c>
      <c r="AI24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47">
        <f>Table1[[#This Row],[Factor_1]]*Table1[[#This Row],[2024 Factor]]</f>
        <v>0.92029223709519836</v>
      </c>
      <c r="AK247">
        <f>VLOOKUP(Table1[[#This Row],[Q18: Gender]],Factor!$A$33:$E$35,5,0)</f>
        <v>0.85034013605442171</v>
      </c>
      <c r="AL247">
        <f>VLOOKUP(Table1[[#This Row],[Taluka]],Factor!$A$42:$G$46,7,0)</f>
        <v>1.147984664167413</v>
      </c>
      <c r="AM247">
        <f>VLOOKUP(Table1[[#This Row],[Caste]]&amp;Table1[[#This Row],[Q18: Gender]],Factor!$W$1:$X$23,2,0)</f>
        <v>0.85249089649430487</v>
      </c>
      <c r="AN247">
        <f>VLOOKUP(Table1[[#This Row],[Taluka]]&amp;Table1[[#This Row],[Caste]]&amp;Table1[[#This Row],[Q18: Gender]],Factor!$AK$4:$AL$93,2,0)</f>
        <v>0.41451794778650441</v>
      </c>
      <c r="AO247">
        <f t="shared" si="33"/>
        <v>-1</v>
      </c>
      <c r="AP247">
        <f t="shared" si="34"/>
        <v>-1</v>
      </c>
      <c r="AQ247">
        <f t="shared" si="35"/>
        <v>-1</v>
      </c>
      <c r="AR247">
        <f t="shared" si="36"/>
        <v>-1</v>
      </c>
      <c r="AS247">
        <f t="shared" si="37"/>
        <v>-1</v>
      </c>
      <c r="AT247">
        <f t="shared" si="38"/>
        <v>-1</v>
      </c>
      <c r="AU247">
        <f t="shared" si="39"/>
        <v>-5.5</v>
      </c>
      <c r="AV247">
        <f>SUM(Table1[[#This Row],[Satis]:[29]])</f>
        <v>-6</v>
      </c>
      <c r="AW247">
        <f t="shared" si="40"/>
        <v>-5</v>
      </c>
      <c r="AX247">
        <f t="shared" si="41"/>
        <v>-4</v>
      </c>
      <c r="AY247">
        <f t="shared" si="42"/>
        <v>-3</v>
      </c>
      <c r="AZ247" t="str">
        <f t="shared" si="43"/>
        <v>TDP HardCore</v>
      </c>
    </row>
    <row r="248" spans="1:52" x14ac:dyDescent="0.3">
      <c r="A248" t="s">
        <v>1540</v>
      </c>
      <c r="B248" s="94">
        <v>46044</v>
      </c>
      <c r="C248" t="s">
        <v>1541</v>
      </c>
      <c r="D248" t="s">
        <v>1542</v>
      </c>
      <c r="E248" t="s">
        <v>1543</v>
      </c>
      <c r="F248" t="s">
        <v>935</v>
      </c>
      <c r="G248" t="s">
        <v>39</v>
      </c>
      <c r="H248" t="s">
        <v>1544</v>
      </c>
      <c r="I248" t="s">
        <v>59</v>
      </c>
      <c r="J248" s="112" t="s">
        <v>203</v>
      </c>
      <c r="K248" s="112" t="s">
        <v>205</v>
      </c>
      <c r="L248" t="s">
        <v>82</v>
      </c>
      <c r="M248" t="s">
        <v>51</v>
      </c>
      <c r="N248" t="s">
        <v>52</v>
      </c>
      <c r="O248" t="s">
        <v>1545</v>
      </c>
      <c r="P248">
        <v>7702564932</v>
      </c>
      <c r="Q248" t="s">
        <v>54</v>
      </c>
      <c r="R248" t="s">
        <v>73</v>
      </c>
      <c r="S248" t="s">
        <v>89</v>
      </c>
      <c r="T248" t="s">
        <v>89</v>
      </c>
      <c r="U248" t="s">
        <v>90</v>
      </c>
      <c r="V248" t="s">
        <v>91</v>
      </c>
      <c r="W248" t="s">
        <v>5057</v>
      </c>
      <c r="X248" t="s">
        <v>91</v>
      </c>
      <c r="Y248" t="s">
        <v>46</v>
      </c>
      <c r="Z248" t="s">
        <v>92</v>
      </c>
      <c r="AA248" t="s">
        <v>92</v>
      </c>
      <c r="AB248" t="s">
        <v>93</v>
      </c>
      <c r="AC248" t="s">
        <v>94</v>
      </c>
      <c r="AD248" t="s">
        <v>1279</v>
      </c>
      <c r="AE248" t="s">
        <v>189</v>
      </c>
      <c r="AF248" t="s">
        <v>1403</v>
      </c>
      <c r="AG248" t="s">
        <v>196</v>
      </c>
      <c r="AH248" s="93">
        <f>VLOOKUP(Table1[[#This Row],[Caste]],Factor!$H$1:$K$13,4,0)</f>
        <v>1.1461625511156397</v>
      </c>
      <c r="AI248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248">
        <f>Table1[[#This Row],[Factor_1]]*Table1[[#This Row],[2024 Factor]]</f>
        <v>1.2999324650914248</v>
      </c>
      <c r="AK248">
        <f>VLOOKUP(Table1[[#This Row],[Q18: Gender]],Factor!$A$33:$E$35,5,0)</f>
        <v>0.85034013605442171</v>
      </c>
      <c r="AL248">
        <f>VLOOKUP(Table1[[#This Row],[Taluka]],Factor!$A$42:$G$46,7,0)</f>
        <v>1.9264642089343564</v>
      </c>
      <c r="AM248">
        <f>VLOOKUP(Table1[[#This Row],[Caste]]&amp;Table1[[#This Row],[Q18: Gender]],Factor!$W$1:$X$23,2,0)</f>
        <v>0.71995135120329123</v>
      </c>
      <c r="AN248">
        <f>VLOOKUP(Table1[[#This Row],[Taluka]]&amp;Table1[[#This Row],[Caste]]&amp;Table1[[#This Row],[Q18: Gender]],Factor!$AK$4:$AL$93,2,0)</f>
        <v>0.70534647283248642</v>
      </c>
      <c r="AO248">
        <f t="shared" si="33"/>
        <v>1</v>
      </c>
      <c r="AP248">
        <f t="shared" si="34"/>
        <v>1</v>
      </c>
      <c r="AQ248">
        <f t="shared" si="35"/>
        <v>1</v>
      </c>
      <c r="AR248">
        <f t="shared" si="36"/>
        <v>1</v>
      </c>
      <c r="AS248">
        <f t="shared" si="37"/>
        <v>1</v>
      </c>
      <c r="AT248">
        <f t="shared" si="38"/>
        <v>1</v>
      </c>
      <c r="AU248">
        <f t="shared" si="39"/>
        <v>5.5</v>
      </c>
      <c r="AV248">
        <f>SUM(Table1[[#This Row],[Satis]:[29]])</f>
        <v>6</v>
      </c>
      <c r="AW248">
        <f t="shared" si="40"/>
        <v>5</v>
      </c>
      <c r="AX248">
        <f t="shared" si="41"/>
        <v>4</v>
      </c>
      <c r="AY248">
        <f t="shared" si="42"/>
        <v>3</v>
      </c>
      <c r="AZ248" t="str">
        <f t="shared" si="43"/>
        <v>YSRCP HardCore</v>
      </c>
    </row>
    <row r="249" spans="1:52" x14ac:dyDescent="0.3">
      <c r="A249" t="s">
        <v>1546</v>
      </c>
      <c r="B249" s="94">
        <v>46044</v>
      </c>
      <c r="C249" t="s">
        <v>1547</v>
      </c>
      <c r="D249" t="s">
        <v>1548</v>
      </c>
      <c r="E249" t="s">
        <v>1549</v>
      </c>
      <c r="F249" t="s">
        <v>935</v>
      </c>
      <c r="G249" t="s">
        <v>39</v>
      </c>
      <c r="H249" t="s">
        <v>1550</v>
      </c>
      <c r="I249" t="s">
        <v>227</v>
      </c>
      <c r="J249" t="s">
        <v>219</v>
      </c>
      <c r="K249" t="s">
        <v>224</v>
      </c>
      <c r="L249" t="s">
        <v>62</v>
      </c>
      <c r="M249" t="s">
        <v>51</v>
      </c>
      <c r="N249" t="s">
        <v>63</v>
      </c>
      <c r="O249" t="s">
        <v>1551</v>
      </c>
      <c r="P249">
        <v>9866499154</v>
      </c>
      <c r="Q249" t="s">
        <v>445</v>
      </c>
      <c r="R249" t="s">
        <v>61</v>
      </c>
      <c r="S249" t="s">
        <v>43</v>
      </c>
      <c r="T249" t="s">
        <v>43</v>
      </c>
      <c r="U249" t="s">
        <v>44</v>
      </c>
      <c r="V249" t="s">
        <v>45</v>
      </c>
      <c r="W249" t="s">
        <v>5091</v>
      </c>
      <c r="X249" t="s">
        <v>45</v>
      </c>
      <c r="Y249" t="s">
        <v>716</v>
      </c>
      <c r="Z249" t="s">
        <v>92</v>
      </c>
      <c r="AA249" t="s">
        <v>92</v>
      </c>
      <c r="AB249" t="s">
        <v>93</v>
      </c>
      <c r="AC249" t="s">
        <v>94</v>
      </c>
      <c r="AD249" t="s">
        <v>1552</v>
      </c>
      <c r="AE249" t="s">
        <v>191</v>
      </c>
      <c r="AF249" t="s">
        <v>1553</v>
      </c>
      <c r="AG249" t="s">
        <v>498</v>
      </c>
      <c r="AH249" s="93">
        <f>VLOOKUP(Table1[[#This Row],[Caste]],Factor!$H$1:$K$13,4,0)</f>
        <v>1.2612194085121222</v>
      </c>
      <c r="AI249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249">
        <f>Table1[[#This Row],[Factor_1]]*Table1[[#This Row],[2024 Factor]]</f>
        <v>4.3746926640885135</v>
      </c>
      <c r="AK249">
        <f>VLOOKUP(Table1[[#This Row],[Q18: Gender]],Factor!$A$33:$E$35,5,0)</f>
        <v>2.1645021645021645</v>
      </c>
      <c r="AL249">
        <f>VLOOKUP(Table1[[#This Row],[Taluka]],Factor!$A$42:$G$46,7,0)</f>
        <v>1.147984664167413</v>
      </c>
      <c r="AM249">
        <f>VLOOKUP(Table1[[#This Row],[Caste]]&amp;Table1[[#This Row],[Q18: Gender]],Factor!$W$1:$X$23,2,0)</f>
        <v>2.4228688637206557</v>
      </c>
      <c r="AN249">
        <f>VLOOKUP(Table1[[#This Row],[Taluka]]&amp;Table1[[#This Row],[Caste]]&amp;Table1[[#This Row],[Q18: Gender]],Factor!$AK$4:$AL$93,2,0)</f>
        <v>2.2107623881946901</v>
      </c>
      <c r="AO249">
        <f t="shared" si="33"/>
        <v>-1</v>
      </c>
      <c r="AP249">
        <f t="shared" si="34"/>
        <v>-1</v>
      </c>
      <c r="AQ249">
        <f t="shared" si="35"/>
        <v>-1</v>
      </c>
      <c r="AR249">
        <f t="shared" si="36"/>
        <v>-1</v>
      </c>
      <c r="AS249">
        <f t="shared" si="37"/>
        <v>1</v>
      </c>
      <c r="AT249">
        <f t="shared" si="38"/>
        <v>1</v>
      </c>
      <c r="AU249">
        <f t="shared" si="39"/>
        <v>-2.5</v>
      </c>
      <c r="AV249">
        <f>SUM(Table1[[#This Row],[Satis]:[29]])</f>
        <v>-2</v>
      </c>
      <c r="AW249">
        <f t="shared" si="40"/>
        <v>-1</v>
      </c>
      <c r="AX249">
        <f t="shared" si="41"/>
        <v>0</v>
      </c>
      <c r="AY249">
        <f t="shared" si="42"/>
        <v>2</v>
      </c>
      <c r="AZ249" t="str">
        <f t="shared" si="43"/>
        <v>Neutral YSRCP</v>
      </c>
    </row>
    <row r="250" spans="1:52" x14ac:dyDescent="0.3">
      <c r="A250" t="s">
        <v>1430</v>
      </c>
      <c r="B250" s="94">
        <v>46044</v>
      </c>
      <c r="C250" t="s">
        <v>1431</v>
      </c>
      <c r="D250" t="s">
        <v>1275</v>
      </c>
      <c r="E250" t="s">
        <v>1276</v>
      </c>
      <c r="F250" t="s">
        <v>935</v>
      </c>
      <c r="G250" t="s">
        <v>39</v>
      </c>
      <c r="H250" t="s">
        <v>1432</v>
      </c>
      <c r="I250" t="s">
        <v>59</v>
      </c>
      <c r="J250" t="s">
        <v>219</v>
      </c>
      <c r="K250" t="s">
        <v>224</v>
      </c>
      <c r="L250" t="s">
        <v>50</v>
      </c>
      <c r="M250" t="s">
        <v>51</v>
      </c>
      <c r="N250" t="s">
        <v>63</v>
      </c>
      <c r="O250" t="s">
        <v>1278</v>
      </c>
      <c r="P250">
        <v>7993687613</v>
      </c>
      <c r="Q250" t="s">
        <v>54</v>
      </c>
      <c r="R250" t="s">
        <v>132</v>
      </c>
      <c r="S250" t="s">
        <v>43</v>
      </c>
      <c r="T250" t="s">
        <v>43</v>
      </c>
      <c r="U250" t="s">
        <v>44</v>
      </c>
      <c r="V250" t="s">
        <v>45</v>
      </c>
      <c r="W250" t="s">
        <v>5058</v>
      </c>
      <c r="X250" t="s">
        <v>45</v>
      </c>
      <c r="Y250" t="s">
        <v>46</v>
      </c>
      <c r="Z250" t="s">
        <v>47</v>
      </c>
      <c r="AA250" t="s">
        <v>48</v>
      </c>
      <c r="AB250" t="s">
        <v>49</v>
      </c>
      <c r="AC250" t="s">
        <v>49</v>
      </c>
      <c r="AD250" t="s">
        <v>1279</v>
      </c>
      <c r="AE250" t="s">
        <v>185</v>
      </c>
      <c r="AF250">
        <v>0</v>
      </c>
      <c r="AG250" t="s">
        <v>196</v>
      </c>
      <c r="AH250" s="93">
        <f>VLOOKUP(Table1[[#This Row],[Caste]],Factor!$H$1:$K$13,4,0)</f>
        <v>1.1461625511156397</v>
      </c>
      <c r="AI25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50">
        <f>Table1[[#This Row],[Factor_1]]*Table1[[#This Row],[2024 Factor]]</f>
        <v>0.77721139583220644</v>
      </c>
      <c r="AK250">
        <f>VLOOKUP(Table1[[#This Row],[Q18: Gender]],Factor!$A$33:$E$35,5,0)</f>
        <v>0.85034013605442171</v>
      </c>
      <c r="AL250">
        <f>VLOOKUP(Table1[[#This Row],[Taluka]],Factor!$A$42:$G$46,7,0)</f>
        <v>1.147984664167413</v>
      </c>
      <c r="AM250">
        <f>VLOOKUP(Table1[[#This Row],[Caste]]&amp;Table1[[#This Row],[Q18: Gender]],Factor!$W$1:$X$23,2,0)</f>
        <v>0.71995135120329123</v>
      </c>
      <c r="AN250">
        <f>VLOOKUP(Table1[[#This Row],[Taluka]]&amp;Table1[[#This Row],[Caste]]&amp;Table1[[#This Row],[Q18: Gender]],Factor!$AK$4:$AL$93,2,0)</f>
        <v>0.54319084681293095</v>
      </c>
      <c r="AO250">
        <f t="shared" si="33"/>
        <v>-1</v>
      </c>
      <c r="AP250">
        <f t="shared" si="34"/>
        <v>-1</v>
      </c>
      <c r="AQ250">
        <f t="shared" si="35"/>
        <v>-1</v>
      </c>
      <c r="AR250">
        <f t="shared" si="36"/>
        <v>-1</v>
      </c>
      <c r="AS250">
        <f t="shared" si="37"/>
        <v>-1</v>
      </c>
      <c r="AT250">
        <f t="shared" si="38"/>
        <v>-1</v>
      </c>
      <c r="AU250">
        <f t="shared" si="39"/>
        <v>-5.5</v>
      </c>
      <c r="AV250">
        <f>SUM(Table1[[#This Row],[Satis]:[29]])</f>
        <v>-6</v>
      </c>
      <c r="AW250">
        <f t="shared" si="40"/>
        <v>-5</v>
      </c>
      <c r="AX250">
        <f t="shared" si="41"/>
        <v>-4</v>
      </c>
      <c r="AY250">
        <f t="shared" si="42"/>
        <v>-3</v>
      </c>
      <c r="AZ250" t="str">
        <f t="shared" si="43"/>
        <v>TDP HardCore</v>
      </c>
    </row>
    <row r="251" spans="1:52" x14ac:dyDescent="0.3">
      <c r="A251" t="s">
        <v>1291</v>
      </c>
      <c r="B251" s="94">
        <v>46044</v>
      </c>
      <c r="C251" t="s">
        <v>1292</v>
      </c>
      <c r="D251" t="s">
        <v>1293</v>
      </c>
      <c r="E251" t="s">
        <v>1294</v>
      </c>
      <c r="F251" t="s">
        <v>240</v>
      </c>
      <c r="G251" t="s">
        <v>39</v>
      </c>
      <c r="H251" t="s">
        <v>1295</v>
      </c>
      <c r="I251" t="s">
        <v>70</v>
      </c>
      <c r="J251" t="s">
        <v>71</v>
      </c>
      <c r="K251" t="s">
        <v>214</v>
      </c>
      <c r="L251" t="s">
        <v>75</v>
      </c>
      <c r="M251" t="s">
        <v>51</v>
      </c>
      <c r="N251" t="s">
        <v>63</v>
      </c>
      <c r="O251" t="s">
        <v>1296</v>
      </c>
      <c r="P251">
        <v>8464988939</v>
      </c>
      <c r="Q251" t="s">
        <v>54</v>
      </c>
      <c r="R251" t="s">
        <v>73</v>
      </c>
      <c r="S251" t="s">
        <v>89</v>
      </c>
      <c r="T251" t="s">
        <v>89</v>
      </c>
      <c r="U251" t="s">
        <v>90</v>
      </c>
      <c r="V251" t="s">
        <v>91</v>
      </c>
      <c r="W251" t="s">
        <v>5064</v>
      </c>
      <c r="X251" t="s">
        <v>91</v>
      </c>
      <c r="Y251" t="s">
        <v>46</v>
      </c>
      <c r="Z251" t="s">
        <v>92</v>
      </c>
      <c r="AA251" t="s">
        <v>92</v>
      </c>
      <c r="AB251" t="s">
        <v>93</v>
      </c>
      <c r="AC251" t="s">
        <v>94</v>
      </c>
      <c r="AD251" t="s">
        <v>1270</v>
      </c>
      <c r="AE251" t="s">
        <v>185</v>
      </c>
      <c r="AF251" t="s">
        <v>185</v>
      </c>
      <c r="AG251" t="s">
        <v>196</v>
      </c>
      <c r="AH251" s="93">
        <f>VLOOKUP(Table1[[#This Row],[Caste]],Factor!$H$1:$K$13,4,0)</f>
        <v>1.3836274505214585</v>
      </c>
      <c r="AI251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251">
        <f>Table1[[#This Row],[Factor_1]]*Table1[[#This Row],[2024 Factor]]</f>
        <v>1.9482662206881376</v>
      </c>
      <c r="AK251">
        <f>VLOOKUP(Table1[[#This Row],[Q18: Gender]],Factor!$A$33:$E$35,5,0)</f>
        <v>0.85034013605442171</v>
      </c>
      <c r="AL251">
        <f>VLOOKUP(Table1[[#This Row],[Taluka]],Factor!$A$42:$G$46,7,0)</f>
        <v>1.1213131007097483</v>
      </c>
      <c r="AM251">
        <f>VLOOKUP(Table1[[#This Row],[Caste]]&amp;Table1[[#This Row],[Q18: Gender]],Factor!$W$1:$X$23,2,0)</f>
        <v>1.0790228998469584</v>
      </c>
      <c r="AN251">
        <f>VLOOKUP(Table1[[#This Row],[Taluka]]&amp;Table1[[#This Row],[Caste]]&amp;Table1[[#This Row],[Q18: Gender]],Factor!$AK$4:$AL$93,2,0)</f>
        <v>0.90933567693352424</v>
      </c>
      <c r="AO251">
        <f t="shared" si="33"/>
        <v>1</v>
      </c>
      <c r="AP251">
        <f t="shared" si="34"/>
        <v>1</v>
      </c>
      <c r="AQ251">
        <f t="shared" si="35"/>
        <v>1</v>
      </c>
      <c r="AR251">
        <f t="shared" si="36"/>
        <v>1</v>
      </c>
      <c r="AS251">
        <f t="shared" si="37"/>
        <v>1</v>
      </c>
      <c r="AT251">
        <f t="shared" si="38"/>
        <v>1</v>
      </c>
      <c r="AU251">
        <f t="shared" si="39"/>
        <v>5.5</v>
      </c>
      <c r="AV251">
        <f>SUM(Table1[[#This Row],[Satis]:[29]])</f>
        <v>6</v>
      </c>
      <c r="AW251">
        <f t="shared" si="40"/>
        <v>5</v>
      </c>
      <c r="AX251">
        <f t="shared" si="41"/>
        <v>4</v>
      </c>
      <c r="AY251">
        <f t="shared" si="42"/>
        <v>3</v>
      </c>
      <c r="AZ251" t="str">
        <f t="shared" si="43"/>
        <v>YSRCP HardCore</v>
      </c>
    </row>
    <row r="252" spans="1:52" x14ac:dyDescent="0.3">
      <c r="A252" t="s">
        <v>1566</v>
      </c>
      <c r="B252" s="94">
        <v>46044</v>
      </c>
      <c r="C252" t="s">
        <v>1567</v>
      </c>
      <c r="D252" t="s">
        <v>1568</v>
      </c>
      <c r="E252" t="s">
        <v>1521</v>
      </c>
      <c r="F252" t="s">
        <v>935</v>
      </c>
      <c r="G252" t="s">
        <v>39</v>
      </c>
      <c r="H252" t="s">
        <v>1569</v>
      </c>
      <c r="I252" t="s">
        <v>145</v>
      </c>
      <c r="J252" t="s">
        <v>219</v>
      </c>
      <c r="K252" t="s">
        <v>224</v>
      </c>
      <c r="L252" t="s">
        <v>451</v>
      </c>
      <c r="M252" t="s">
        <v>51</v>
      </c>
      <c r="N252" t="s">
        <v>63</v>
      </c>
      <c r="O252" t="s">
        <v>1570</v>
      </c>
      <c r="P252">
        <v>9849074865</v>
      </c>
      <c r="Q252" t="s">
        <v>445</v>
      </c>
      <c r="R252" t="s">
        <v>61</v>
      </c>
      <c r="S252" t="s">
        <v>43</v>
      </c>
      <c r="T252" t="s">
        <v>43</v>
      </c>
      <c r="U252" t="s">
        <v>44</v>
      </c>
      <c r="V252" t="s">
        <v>91</v>
      </c>
      <c r="W252" t="s">
        <v>5087</v>
      </c>
      <c r="X252" t="s">
        <v>91</v>
      </c>
      <c r="Y252" t="s">
        <v>46</v>
      </c>
      <c r="Z252" t="s">
        <v>92</v>
      </c>
      <c r="AA252" t="s">
        <v>48</v>
      </c>
      <c r="AB252" t="s">
        <v>49</v>
      </c>
      <c r="AC252" t="s">
        <v>49</v>
      </c>
      <c r="AD252" t="s">
        <v>1270</v>
      </c>
      <c r="AE252" t="s">
        <v>1250</v>
      </c>
      <c r="AF252" t="s">
        <v>1571</v>
      </c>
      <c r="AG252" t="s">
        <v>498</v>
      </c>
      <c r="AH252" s="93">
        <f>VLOOKUP(Table1[[#This Row],[Caste]],Factor!$H$1:$K$13,4,0)</f>
        <v>1.8452248965186235</v>
      </c>
      <c r="AI25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52">
        <f>Table1[[#This Row],[Factor_1]]*Table1[[#This Row],[2024 Factor]]</f>
        <v>2.738974648348997</v>
      </c>
      <c r="AK252">
        <f>VLOOKUP(Table1[[#This Row],[Q18: Gender]],Factor!$A$33:$E$35,5,0)</f>
        <v>2.1645021645021645</v>
      </c>
      <c r="AL252">
        <f>VLOOKUP(Table1[[#This Row],[Taluka]],Factor!$A$42:$G$46,7,0)</f>
        <v>1.147984664167413</v>
      </c>
      <c r="AM252">
        <f>VLOOKUP(Table1[[#This Row],[Caste]]&amp;Table1[[#This Row],[Q18: Gender]],Factor!$W$1:$X$23,2,0)</f>
        <v>2.5371842327131073</v>
      </c>
      <c r="AN252">
        <f>VLOOKUP(Table1[[#This Row],[Taluka]]&amp;Table1[[#This Row],[Caste]]&amp;Table1[[#This Row],[Q18: Gender]],Factor!$AK$4:$AL$93,2,0)</f>
        <v>2.9242991836792998</v>
      </c>
      <c r="AO252">
        <f t="shared" si="33"/>
        <v>-1</v>
      </c>
      <c r="AP252">
        <f t="shared" si="34"/>
        <v>-1</v>
      </c>
      <c r="AQ252">
        <f t="shared" si="35"/>
        <v>1</v>
      </c>
      <c r="AR252">
        <f t="shared" si="36"/>
        <v>1</v>
      </c>
      <c r="AS252">
        <f t="shared" si="37"/>
        <v>-1</v>
      </c>
      <c r="AT252">
        <f t="shared" si="38"/>
        <v>1</v>
      </c>
      <c r="AU252">
        <f t="shared" si="39"/>
        <v>0.5</v>
      </c>
      <c r="AV252">
        <f>SUM(Table1[[#This Row],[Satis]:[29]])</f>
        <v>0</v>
      </c>
      <c r="AW252">
        <f t="shared" si="40"/>
        <v>1</v>
      </c>
      <c r="AX252">
        <f t="shared" si="41"/>
        <v>2</v>
      </c>
      <c r="AY252" t="str">
        <f t="shared" si="42"/>
        <v>ND</v>
      </c>
      <c r="AZ252" t="str">
        <f t="shared" si="43"/>
        <v>ND</v>
      </c>
    </row>
    <row r="253" spans="1:52" x14ac:dyDescent="0.3">
      <c r="A253" t="s">
        <v>1297</v>
      </c>
      <c r="B253" s="94">
        <v>46044</v>
      </c>
      <c r="C253" t="s">
        <v>1298</v>
      </c>
      <c r="D253" t="s">
        <v>1299</v>
      </c>
      <c r="E253" t="s">
        <v>1300</v>
      </c>
      <c r="F253" t="s">
        <v>69</v>
      </c>
      <c r="G253" t="s">
        <v>39</v>
      </c>
      <c r="H253" t="s">
        <v>1301</v>
      </c>
      <c r="I253" t="s">
        <v>229</v>
      </c>
      <c r="J253" t="s">
        <v>219</v>
      </c>
      <c r="K253" t="s">
        <v>223</v>
      </c>
      <c r="L253" t="s">
        <v>75</v>
      </c>
      <c r="M253" t="s">
        <v>51</v>
      </c>
      <c r="N253" t="s">
        <v>63</v>
      </c>
      <c r="O253" t="s">
        <v>1302</v>
      </c>
      <c r="P253">
        <v>9505252282</v>
      </c>
      <c r="Q253" t="s">
        <v>54</v>
      </c>
      <c r="R253" t="s">
        <v>132</v>
      </c>
      <c r="S253" t="s">
        <v>43</v>
      </c>
      <c r="T253" t="s">
        <v>43</v>
      </c>
      <c r="U253" t="s">
        <v>90</v>
      </c>
      <c r="V253" t="s">
        <v>91</v>
      </c>
      <c r="W253" t="s">
        <v>5095</v>
      </c>
      <c r="X253" t="s">
        <v>45</v>
      </c>
      <c r="Y253" t="s">
        <v>46</v>
      </c>
      <c r="Z253" t="s">
        <v>47</v>
      </c>
      <c r="AA253" t="s">
        <v>48</v>
      </c>
      <c r="AB253" t="s">
        <v>49</v>
      </c>
      <c r="AC253" t="s">
        <v>49</v>
      </c>
      <c r="AD253" t="s">
        <v>1279</v>
      </c>
      <c r="AE253" t="s">
        <v>185</v>
      </c>
      <c r="AF253" t="s">
        <v>1280</v>
      </c>
      <c r="AG253" t="s">
        <v>196</v>
      </c>
      <c r="AH253" s="93">
        <f>VLOOKUP(Table1[[#This Row],[Caste]],Factor!$H$1:$K$13,4,0)</f>
        <v>1.1209668980183516</v>
      </c>
      <c r="AI25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53">
        <f>Table1[[#This Row],[Factor_1]]*Table1[[#This Row],[2024 Factor]]</f>
        <v>1.0451044981059459</v>
      </c>
      <c r="AK253">
        <f>VLOOKUP(Table1[[#This Row],[Q18: Gender]],Factor!$A$33:$E$35,5,0)</f>
        <v>0.85034013605442171</v>
      </c>
      <c r="AL253">
        <f>VLOOKUP(Table1[[#This Row],[Taluka]],Factor!$A$42:$G$46,7,0)</f>
        <v>1.147984664167413</v>
      </c>
      <c r="AM253">
        <f>VLOOKUP(Table1[[#This Row],[Caste]]&amp;Table1[[#This Row],[Q18: Gender]],Factor!$W$1:$X$23,2,0)</f>
        <v>0.96810777556130356</v>
      </c>
      <c r="AN253">
        <f>VLOOKUP(Table1[[#This Row],[Taluka]]&amp;Table1[[#This Row],[Caste]]&amp;Table1[[#This Row],[Q18: Gender]],Factor!$AK$4:$AL$93,2,0)</f>
        <v>0.30685005205910726</v>
      </c>
      <c r="AO253">
        <f t="shared" si="33"/>
        <v>-1</v>
      </c>
      <c r="AP253">
        <f t="shared" si="34"/>
        <v>1</v>
      </c>
      <c r="AQ253">
        <f t="shared" si="35"/>
        <v>1</v>
      </c>
      <c r="AR253">
        <f t="shared" si="36"/>
        <v>-1</v>
      </c>
      <c r="AS253">
        <f t="shared" si="37"/>
        <v>-1</v>
      </c>
      <c r="AT253">
        <f t="shared" si="38"/>
        <v>-1</v>
      </c>
      <c r="AU253">
        <f t="shared" si="39"/>
        <v>-1.5</v>
      </c>
      <c r="AV253">
        <f>SUM(Table1[[#This Row],[Satis]:[29]])</f>
        <v>-2</v>
      </c>
      <c r="AW253">
        <f t="shared" si="40"/>
        <v>-3</v>
      </c>
      <c r="AX253">
        <f t="shared" si="41"/>
        <v>-2</v>
      </c>
      <c r="AY253">
        <f t="shared" si="42"/>
        <v>-3</v>
      </c>
      <c r="AZ253" t="str">
        <f t="shared" si="43"/>
        <v>Neutral TDP</v>
      </c>
    </row>
    <row r="254" spans="1:52" x14ac:dyDescent="0.3">
      <c r="A254" t="s">
        <v>1315</v>
      </c>
      <c r="B254" s="94">
        <v>46044</v>
      </c>
      <c r="C254" t="s">
        <v>1316</v>
      </c>
      <c r="D254" t="s">
        <v>1317</v>
      </c>
      <c r="E254" t="s">
        <v>1318</v>
      </c>
      <c r="F254" t="s">
        <v>69</v>
      </c>
      <c r="G254" t="s">
        <v>39</v>
      </c>
      <c r="H254" t="s">
        <v>1319</v>
      </c>
      <c r="I254" t="s">
        <v>59</v>
      </c>
      <c r="J254" t="s">
        <v>219</v>
      </c>
      <c r="K254" t="s">
        <v>223</v>
      </c>
      <c r="L254" t="s">
        <v>75</v>
      </c>
      <c r="M254" t="s">
        <v>51</v>
      </c>
      <c r="N254" t="s">
        <v>63</v>
      </c>
      <c r="O254" t="s">
        <v>1320</v>
      </c>
      <c r="P254">
        <v>9177506868</v>
      </c>
      <c r="Q254" t="s">
        <v>445</v>
      </c>
      <c r="R254" t="s">
        <v>61</v>
      </c>
      <c r="S254" t="s">
        <v>43</v>
      </c>
      <c r="T254" t="s">
        <v>43</v>
      </c>
      <c r="U254" t="s">
        <v>44</v>
      </c>
      <c r="V254" t="s">
        <v>45</v>
      </c>
      <c r="W254" t="s">
        <v>5084</v>
      </c>
      <c r="X254" t="s">
        <v>45</v>
      </c>
      <c r="Y254" t="s">
        <v>46</v>
      </c>
      <c r="Z254" t="s">
        <v>47</v>
      </c>
      <c r="AA254" t="s">
        <v>48</v>
      </c>
      <c r="AB254" t="s">
        <v>49</v>
      </c>
      <c r="AC254" t="s">
        <v>49</v>
      </c>
      <c r="AD254" t="s">
        <v>1270</v>
      </c>
      <c r="AE254" t="s">
        <v>185</v>
      </c>
      <c r="AF254" t="s">
        <v>1321</v>
      </c>
      <c r="AG254" t="s">
        <v>196</v>
      </c>
      <c r="AH254" s="93">
        <f>VLOOKUP(Table1[[#This Row],[Caste]],Factor!$H$1:$K$13,4,0)</f>
        <v>1.1461625511156397</v>
      </c>
      <c r="AI25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54">
        <f>Table1[[#This Row],[Factor_1]]*Table1[[#This Row],[2024 Factor]]</f>
        <v>3.0326483876590018</v>
      </c>
      <c r="AK254">
        <f>VLOOKUP(Table1[[#This Row],[Q18: Gender]],Factor!$A$33:$E$35,5,0)</f>
        <v>2.1645021645021645</v>
      </c>
      <c r="AL254">
        <f>VLOOKUP(Table1[[#This Row],[Taluka]],Factor!$A$42:$G$46,7,0)</f>
        <v>1.147984664167413</v>
      </c>
      <c r="AM254">
        <f>VLOOKUP(Table1[[#This Row],[Caste]]&amp;Table1[[#This Row],[Q18: Gender]],Factor!$W$1:$X$23,2,0)</f>
        <v>2.8092219390089208</v>
      </c>
      <c r="AN254">
        <f>VLOOKUP(Table1[[#This Row],[Taluka]]&amp;Table1[[#This Row],[Caste]]&amp;Table1[[#This Row],[Q18: Gender]],Factor!$AK$4:$AL$93,2,0)</f>
        <v>2.2934724643212636</v>
      </c>
      <c r="AO254">
        <f t="shared" si="33"/>
        <v>-1</v>
      </c>
      <c r="AP254">
        <f t="shared" si="34"/>
        <v>-1</v>
      </c>
      <c r="AQ254">
        <f t="shared" si="35"/>
        <v>-1</v>
      </c>
      <c r="AR254">
        <f t="shared" si="36"/>
        <v>-1</v>
      </c>
      <c r="AS254">
        <f t="shared" si="37"/>
        <v>-1</v>
      </c>
      <c r="AT254">
        <f t="shared" si="38"/>
        <v>-1</v>
      </c>
      <c r="AU254">
        <f t="shared" si="39"/>
        <v>-5.5</v>
      </c>
      <c r="AV254">
        <f>SUM(Table1[[#This Row],[Satis]:[29]])</f>
        <v>-6</v>
      </c>
      <c r="AW254">
        <f t="shared" si="40"/>
        <v>-5</v>
      </c>
      <c r="AX254">
        <f t="shared" si="41"/>
        <v>-4</v>
      </c>
      <c r="AY254">
        <f t="shared" si="42"/>
        <v>-3</v>
      </c>
      <c r="AZ254" t="str">
        <f t="shared" si="43"/>
        <v>TDP HardCore</v>
      </c>
    </row>
    <row r="255" spans="1:52" x14ac:dyDescent="0.3">
      <c r="A255" t="s">
        <v>1584</v>
      </c>
      <c r="B255" s="94">
        <v>46044</v>
      </c>
      <c r="C255" t="s">
        <v>1585</v>
      </c>
      <c r="D255" t="s">
        <v>1586</v>
      </c>
      <c r="E255" t="s">
        <v>1284</v>
      </c>
      <c r="F255" t="s">
        <v>69</v>
      </c>
      <c r="G255" t="s">
        <v>39</v>
      </c>
      <c r="H255" t="s">
        <v>1587</v>
      </c>
      <c r="I255" t="s">
        <v>36</v>
      </c>
      <c r="J255" t="s">
        <v>219</v>
      </c>
      <c r="K255" t="s">
        <v>223</v>
      </c>
      <c r="L255" t="s">
        <v>50</v>
      </c>
      <c r="M255" t="s">
        <v>51</v>
      </c>
      <c r="N255" t="s">
        <v>52</v>
      </c>
      <c r="O255" t="s">
        <v>394</v>
      </c>
      <c r="P255">
        <v>9999999999</v>
      </c>
      <c r="Q255" t="s">
        <v>54</v>
      </c>
      <c r="R255" t="s">
        <v>61</v>
      </c>
      <c r="S255" t="s">
        <v>89</v>
      </c>
      <c r="T255" t="s">
        <v>89</v>
      </c>
      <c r="U255" t="s">
        <v>90</v>
      </c>
      <c r="V255" t="s">
        <v>91</v>
      </c>
      <c r="W255" t="s">
        <v>5080</v>
      </c>
      <c r="X255" t="s">
        <v>91</v>
      </c>
      <c r="Y255" t="s">
        <v>46</v>
      </c>
      <c r="Z255" t="s">
        <v>92</v>
      </c>
      <c r="AA255" t="s">
        <v>48</v>
      </c>
      <c r="AB255" t="s">
        <v>49</v>
      </c>
      <c r="AC255" t="s">
        <v>49</v>
      </c>
      <c r="AD255" t="s">
        <v>1279</v>
      </c>
      <c r="AE255" t="s">
        <v>1271</v>
      </c>
      <c r="AF255" t="s">
        <v>1588</v>
      </c>
      <c r="AG255" t="s">
        <v>196</v>
      </c>
      <c r="AH255" s="93">
        <f>VLOOKUP(Table1[[#This Row],[Caste]],Factor!$H$1:$K$13,4,0)</f>
        <v>1.1705128247062893</v>
      </c>
      <c r="AI25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55">
        <f>Table1[[#This Row],[Factor_1]]*Table1[[#This Row],[2024 Factor]]</f>
        <v>0.86308903171383233</v>
      </c>
      <c r="AK255">
        <f>VLOOKUP(Table1[[#This Row],[Q18: Gender]],Factor!$A$33:$E$35,5,0)</f>
        <v>0.85034013605442171</v>
      </c>
      <c r="AL255">
        <f>VLOOKUP(Table1[[#This Row],[Taluka]],Factor!$A$42:$G$46,7,0)</f>
        <v>1.147984664167413</v>
      </c>
      <c r="AM255">
        <f>VLOOKUP(Table1[[#This Row],[Caste]]&amp;Table1[[#This Row],[Q18: Gender]],Factor!$W$1:$X$23,2,0)</f>
        <v>0.79950206330384943</v>
      </c>
      <c r="AN255">
        <f>VLOOKUP(Table1[[#This Row],[Taluka]]&amp;Table1[[#This Row],[Caste]]&amp;Table1[[#This Row],[Q18: Gender]],Factor!$AK$4:$AL$93,2,0)</f>
        <v>0.92148737207359532</v>
      </c>
      <c r="AO255">
        <f t="shared" si="33"/>
        <v>1</v>
      </c>
      <c r="AP255">
        <f t="shared" si="34"/>
        <v>1</v>
      </c>
      <c r="AQ255">
        <f t="shared" si="35"/>
        <v>1</v>
      </c>
      <c r="AR255">
        <f t="shared" si="36"/>
        <v>1</v>
      </c>
      <c r="AS255">
        <f t="shared" si="37"/>
        <v>-1</v>
      </c>
      <c r="AT255">
        <f t="shared" si="38"/>
        <v>1</v>
      </c>
      <c r="AU255">
        <f t="shared" si="39"/>
        <v>4.5</v>
      </c>
      <c r="AV255">
        <f>SUM(Table1[[#This Row],[Satis]:[29]])</f>
        <v>4</v>
      </c>
      <c r="AW255">
        <f t="shared" si="40"/>
        <v>3</v>
      </c>
      <c r="AX255">
        <f t="shared" si="41"/>
        <v>2</v>
      </c>
      <c r="AY255">
        <f t="shared" si="42"/>
        <v>2</v>
      </c>
      <c r="AZ255" t="str">
        <f t="shared" si="43"/>
        <v>Neutral YSRCP</v>
      </c>
    </row>
    <row r="256" spans="1:52" x14ac:dyDescent="0.3">
      <c r="A256" t="s">
        <v>1589</v>
      </c>
      <c r="B256" s="94">
        <v>46044</v>
      </c>
      <c r="C256" t="s">
        <v>1590</v>
      </c>
      <c r="D256" t="s">
        <v>1591</v>
      </c>
      <c r="E256" t="s">
        <v>1592</v>
      </c>
      <c r="F256" t="s">
        <v>935</v>
      </c>
      <c r="G256" t="s">
        <v>39</v>
      </c>
      <c r="H256" t="s">
        <v>1593</v>
      </c>
      <c r="I256" t="s">
        <v>36</v>
      </c>
      <c r="J256" t="s">
        <v>219</v>
      </c>
      <c r="K256" t="s">
        <v>224</v>
      </c>
      <c r="L256" t="s">
        <v>50</v>
      </c>
      <c r="M256" t="s">
        <v>51</v>
      </c>
      <c r="N256" t="s">
        <v>63</v>
      </c>
      <c r="O256" t="s">
        <v>1594</v>
      </c>
      <c r="P256">
        <v>7989697868</v>
      </c>
      <c r="Q256" t="s">
        <v>54</v>
      </c>
      <c r="R256" t="s">
        <v>132</v>
      </c>
      <c r="S256" t="s">
        <v>43</v>
      </c>
      <c r="T256" t="s">
        <v>43</v>
      </c>
      <c r="U256" t="s">
        <v>44</v>
      </c>
      <c r="V256" t="s">
        <v>91</v>
      </c>
      <c r="W256" t="s">
        <v>5087</v>
      </c>
      <c r="X256" t="s">
        <v>45</v>
      </c>
      <c r="Y256" t="s">
        <v>46</v>
      </c>
      <c r="Z256" t="s">
        <v>92</v>
      </c>
      <c r="AA256" t="s">
        <v>48</v>
      </c>
      <c r="AB256" t="s">
        <v>49</v>
      </c>
      <c r="AC256" t="s">
        <v>49</v>
      </c>
      <c r="AD256" t="s">
        <v>1270</v>
      </c>
      <c r="AE256" t="s">
        <v>1250</v>
      </c>
      <c r="AF256" t="s">
        <v>1595</v>
      </c>
      <c r="AG256" t="s">
        <v>498</v>
      </c>
      <c r="AH256" s="93">
        <f>VLOOKUP(Table1[[#This Row],[Caste]],Factor!$H$1:$K$13,4,0)</f>
        <v>1.1705128247062893</v>
      </c>
      <c r="AI25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56">
        <f>Table1[[#This Row],[Factor_1]]*Table1[[#This Row],[2024 Factor]]</f>
        <v>0.86308903171383233</v>
      </c>
      <c r="AK256">
        <f>VLOOKUP(Table1[[#This Row],[Q18: Gender]],Factor!$A$33:$E$35,5,0)</f>
        <v>0.85034013605442171</v>
      </c>
      <c r="AL256">
        <f>VLOOKUP(Table1[[#This Row],[Taluka]],Factor!$A$42:$G$46,7,0)</f>
        <v>1.147984664167413</v>
      </c>
      <c r="AM256">
        <f>VLOOKUP(Table1[[#This Row],[Caste]]&amp;Table1[[#This Row],[Q18: Gender]],Factor!$W$1:$X$23,2,0)</f>
        <v>0.79950206330384943</v>
      </c>
      <c r="AN256">
        <f>VLOOKUP(Table1[[#This Row],[Taluka]]&amp;Table1[[#This Row],[Caste]]&amp;Table1[[#This Row],[Q18: Gender]],Factor!$AK$4:$AL$93,2,0)</f>
        <v>0.92148737207359532</v>
      </c>
      <c r="AO256">
        <f t="shared" si="33"/>
        <v>-1</v>
      </c>
      <c r="AP256">
        <f t="shared" si="34"/>
        <v>-1</v>
      </c>
      <c r="AQ256">
        <f t="shared" si="35"/>
        <v>1</v>
      </c>
      <c r="AR256">
        <f t="shared" si="36"/>
        <v>-1</v>
      </c>
      <c r="AS256">
        <f t="shared" si="37"/>
        <v>-1</v>
      </c>
      <c r="AT256">
        <f t="shared" si="38"/>
        <v>1</v>
      </c>
      <c r="AU256">
        <f t="shared" si="39"/>
        <v>-1.5</v>
      </c>
      <c r="AV256">
        <f>SUM(Table1[[#This Row],[Satis]:[29]])</f>
        <v>-2</v>
      </c>
      <c r="AW256">
        <f t="shared" si="40"/>
        <v>-1</v>
      </c>
      <c r="AX256">
        <f t="shared" si="41"/>
        <v>0</v>
      </c>
      <c r="AY256" t="str">
        <f t="shared" si="42"/>
        <v>ND</v>
      </c>
      <c r="AZ256" t="str">
        <f t="shared" si="43"/>
        <v>ND</v>
      </c>
    </row>
    <row r="257" spans="1:52" x14ac:dyDescent="0.3">
      <c r="A257" t="s">
        <v>1596</v>
      </c>
      <c r="B257" s="94">
        <v>46044</v>
      </c>
      <c r="C257" t="s">
        <v>1597</v>
      </c>
      <c r="D257" t="s">
        <v>1598</v>
      </c>
      <c r="E257" t="s">
        <v>1345</v>
      </c>
      <c r="F257" t="s">
        <v>935</v>
      </c>
      <c r="G257" t="s">
        <v>39</v>
      </c>
      <c r="H257" t="s">
        <v>1599</v>
      </c>
      <c r="I257" t="s">
        <v>227</v>
      </c>
      <c r="J257" t="s">
        <v>219</v>
      </c>
      <c r="K257" t="s">
        <v>224</v>
      </c>
      <c r="L257" t="s">
        <v>451</v>
      </c>
      <c r="M257" t="s">
        <v>51</v>
      </c>
      <c r="N257" t="s">
        <v>52</v>
      </c>
      <c r="O257" t="s">
        <v>1600</v>
      </c>
      <c r="P257">
        <v>7989264623</v>
      </c>
      <c r="Q257" t="s">
        <v>445</v>
      </c>
      <c r="R257" t="s">
        <v>139</v>
      </c>
      <c r="S257" t="s">
        <v>43</v>
      </c>
      <c r="T257" t="s">
        <v>43</v>
      </c>
      <c r="U257" t="s">
        <v>44</v>
      </c>
      <c r="V257" t="s">
        <v>91</v>
      </c>
      <c r="W257" t="s">
        <v>5062</v>
      </c>
      <c r="X257" t="s">
        <v>45</v>
      </c>
      <c r="Y257" t="s">
        <v>46</v>
      </c>
      <c r="Z257" t="s">
        <v>47</v>
      </c>
      <c r="AA257" t="s">
        <v>48</v>
      </c>
      <c r="AB257" t="s">
        <v>49</v>
      </c>
      <c r="AC257" t="s">
        <v>49</v>
      </c>
      <c r="AD257" t="s">
        <v>1279</v>
      </c>
      <c r="AE257" t="s">
        <v>1250</v>
      </c>
      <c r="AF257" t="s">
        <v>1334</v>
      </c>
      <c r="AG257" t="s">
        <v>498</v>
      </c>
      <c r="AH257" s="93">
        <f>VLOOKUP(Table1[[#This Row],[Caste]],Factor!$H$1:$K$13,4,0)</f>
        <v>1.2612194085121222</v>
      </c>
      <c r="AI25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57">
        <f>Table1[[#This Row],[Factor_1]]*Table1[[#This Row],[2024 Factor]]</f>
        <v>2.6155674106916162</v>
      </c>
      <c r="AK257">
        <f>VLOOKUP(Table1[[#This Row],[Q18: Gender]],Factor!$A$33:$E$35,5,0)</f>
        <v>2.1645021645021645</v>
      </c>
      <c r="AL257">
        <f>VLOOKUP(Table1[[#This Row],[Taluka]],Factor!$A$42:$G$46,7,0)</f>
        <v>1.147984664167413</v>
      </c>
      <c r="AM257">
        <f>VLOOKUP(Table1[[#This Row],[Caste]]&amp;Table1[[#This Row],[Q18: Gender]],Factor!$W$1:$X$23,2,0)</f>
        <v>2.4228688637206557</v>
      </c>
      <c r="AN257">
        <f>VLOOKUP(Table1[[#This Row],[Taluka]]&amp;Table1[[#This Row],[Caste]]&amp;Table1[[#This Row],[Q18: Gender]],Factor!$AK$4:$AL$93,2,0)</f>
        <v>2.2107623881946901</v>
      </c>
      <c r="AO257">
        <f t="shared" si="33"/>
        <v>-1</v>
      </c>
      <c r="AP257">
        <f t="shared" si="34"/>
        <v>-1</v>
      </c>
      <c r="AQ257">
        <f t="shared" si="35"/>
        <v>1</v>
      </c>
      <c r="AR257">
        <f t="shared" si="36"/>
        <v>-1</v>
      </c>
      <c r="AS257">
        <f t="shared" si="37"/>
        <v>-1</v>
      </c>
      <c r="AT257">
        <f t="shared" si="38"/>
        <v>-1</v>
      </c>
      <c r="AU257">
        <f t="shared" si="39"/>
        <v>-3.5</v>
      </c>
      <c r="AV257">
        <f>SUM(Table1[[#This Row],[Satis]:[29]])</f>
        <v>-4</v>
      </c>
      <c r="AW257">
        <f t="shared" si="40"/>
        <v>-3</v>
      </c>
      <c r="AX257">
        <f t="shared" si="41"/>
        <v>-2</v>
      </c>
      <c r="AY257">
        <f t="shared" si="42"/>
        <v>-3</v>
      </c>
      <c r="AZ257" t="str">
        <f t="shared" si="43"/>
        <v>Neutral TDP</v>
      </c>
    </row>
    <row r="258" spans="1:52" x14ac:dyDescent="0.3">
      <c r="A258" t="s">
        <v>1786</v>
      </c>
      <c r="B258" s="94">
        <v>46044</v>
      </c>
      <c r="C258" t="s">
        <v>1787</v>
      </c>
      <c r="D258" t="s">
        <v>1788</v>
      </c>
      <c r="E258" t="s">
        <v>1294</v>
      </c>
      <c r="F258" t="s">
        <v>240</v>
      </c>
      <c r="G258" t="s">
        <v>39</v>
      </c>
      <c r="H258" t="s">
        <v>1789</v>
      </c>
      <c r="I258" t="s">
        <v>228</v>
      </c>
      <c r="J258" t="s">
        <v>71</v>
      </c>
      <c r="K258" t="s">
        <v>214</v>
      </c>
      <c r="L258" t="s">
        <v>82</v>
      </c>
      <c r="M258" t="s">
        <v>51</v>
      </c>
      <c r="N258" t="s">
        <v>107</v>
      </c>
      <c r="O258" t="s">
        <v>1790</v>
      </c>
      <c r="P258">
        <v>7702423631</v>
      </c>
      <c r="Q258" t="s">
        <v>54</v>
      </c>
      <c r="R258" t="s">
        <v>42</v>
      </c>
      <c r="S258" t="s">
        <v>89</v>
      </c>
      <c r="T258" t="s">
        <v>89</v>
      </c>
      <c r="U258" t="s">
        <v>90</v>
      </c>
      <c r="V258" t="s">
        <v>91</v>
      </c>
      <c r="W258" t="s">
        <v>5078</v>
      </c>
      <c r="X258" t="s">
        <v>45</v>
      </c>
      <c r="Y258" t="s">
        <v>46</v>
      </c>
      <c r="Z258" t="s">
        <v>47</v>
      </c>
      <c r="AA258" t="s">
        <v>48</v>
      </c>
      <c r="AB258" t="s">
        <v>49</v>
      </c>
      <c r="AC258" t="s">
        <v>49</v>
      </c>
      <c r="AD258" t="s">
        <v>1270</v>
      </c>
      <c r="AE258" t="s">
        <v>185</v>
      </c>
      <c r="AF258" t="s">
        <v>185</v>
      </c>
      <c r="AG258" t="s">
        <v>196</v>
      </c>
      <c r="AH258" s="93">
        <f>VLOOKUP(Table1[[#This Row],[Caste]],Factor!$H$1:$K$13,4,0)</f>
        <v>0.80207032429970992</v>
      </c>
      <c r="AI25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58">
        <f>Table1[[#This Row],[Factor_1]]*Table1[[#This Row],[2024 Factor]]</f>
        <v>0.65595572330316032</v>
      </c>
      <c r="AK258">
        <f>VLOOKUP(Table1[[#This Row],[Q18: Gender]],Factor!$A$33:$E$35,5,0)</f>
        <v>0.85034013605442171</v>
      </c>
      <c r="AL258">
        <f>VLOOKUP(Table1[[#This Row],[Taluka]],Factor!$A$42:$G$46,7,0)</f>
        <v>1.1213131007097483</v>
      </c>
      <c r="AM258">
        <f>VLOOKUP(Table1[[#This Row],[Caste]]&amp;Table1[[#This Row],[Q18: Gender]],Factor!$W$1:$X$23,2,0)</f>
        <v>0.60762903356038633</v>
      </c>
      <c r="AN258">
        <f>VLOOKUP(Table1[[#This Row],[Taluka]]&amp;Table1[[#This Row],[Caste]]&amp;Table1[[#This Row],[Q18: Gender]],Factor!$AK$4:$AL$93,2,0)</f>
        <v>0.38672994380094594</v>
      </c>
      <c r="AO258">
        <f t="shared" ref="AO258:AO321" si="44">IF(T258="బాగుంది",-1,1)</f>
        <v>1</v>
      </c>
      <c r="AP258">
        <f t="shared" ref="AP258:AP321" si="45">IF(U258="అమలవడం లేదు",1,-1)</f>
        <v>1</v>
      </c>
      <c r="AQ258">
        <f t="shared" ref="AQ258:AQ321" si="46">IF(V258="జగన్ మోహన్ రెడ్డి గారు",1,-1)</f>
        <v>1</v>
      </c>
      <c r="AR258">
        <f t="shared" ref="AR258:AR321" si="47">IF(X258="జగన్ మోహన్ రెడ్డి గారు",1,-1)</f>
        <v>-1</v>
      </c>
      <c r="AS258">
        <f t="shared" ref="AS258:AS321" si="48">IF(AA258="YSRCP (వైఎస్‌ఆర్‌సీపీ)",1,-1)</f>
        <v>-1</v>
      </c>
      <c r="AT258">
        <f t="shared" ref="AT258:AT321" si="49">IF(Z258="YSRCP (వైఎస్‌ఆర్‌సీపీ)",1,-1)</f>
        <v>-1</v>
      </c>
      <c r="AU258">
        <f t="shared" ref="AU258:AU321" si="50">AO258+AP258+AQ258+AR258+(0.5*AS258)+AT258</f>
        <v>0.5</v>
      </c>
      <c r="AV258">
        <f>SUM(Table1[[#This Row],[Satis]:[29]])</f>
        <v>0</v>
      </c>
      <c r="AW258">
        <f t="shared" ref="AW258:AW321" si="51">AO258+AQ258+AR258+AS258+AT258</f>
        <v>-1</v>
      </c>
      <c r="AX258">
        <f t="shared" ref="AX258:AX321" si="52">AQ258+AR258+AS258+AT258</f>
        <v>-2</v>
      </c>
      <c r="AY258">
        <f t="shared" ref="AY258:AY321" si="53">IF(AND(AO258=1,AS258=1,AT258=1),3,IF(AND(AO258=-1,AS258=-1,AT258=-1),-3,IF(AND(AO258=1,AS258=-1,AT258=1),2,IF(AND(AO258=-1,AS258=1,AT258=-1),-2,IF(AND(AS258=1,AT258=1),2,IF(AND(AS258=-1,AT258=-1),-2,"ND"))))))</f>
        <v>-2</v>
      </c>
      <c r="AZ258" t="str">
        <f t="shared" ref="AZ258:AZ321" si="54">IFERROR(IF(AV258=6,"YSRCP HardCore",IF(AV258=-6,"TDP HardCore",IF(AW258&gt;=4,"YSRCP Sympathiser",IF(AW258&lt;=-4,"TDP Sympathiser",IF(AX258&gt;=3,"YSRCP Sympathiser",IF(AX258&lt;=-3,"TDP Sympathiser",IF(AY258="ND","ND",IF(AY258&gt;=2,"Neutral YSRCP",IF(AY258&lt;=-2,"Neutral TDP",0))))))))),"ND")</f>
        <v>Neutral TDP</v>
      </c>
    </row>
    <row r="259" spans="1:52" x14ac:dyDescent="0.3">
      <c r="A259" t="s">
        <v>1608</v>
      </c>
      <c r="B259" s="94">
        <v>46044</v>
      </c>
      <c r="C259" t="s">
        <v>1609</v>
      </c>
      <c r="D259" t="s">
        <v>1610</v>
      </c>
      <c r="E259" t="s">
        <v>1611</v>
      </c>
      <c r="F259" t="s">
        <v>935</v>
      </c>
      <c r="G259" t="s">
        <v>39</v>
      </c>
      <c r="H259" t="s">
        <v>1612</v>
      </c>
      <c r="I259" t="s">
        <v>59</v>
      </c>
      <c r="J259" t="s">
        <v>219</v>
      </c>
      <c r="K259" t="s">
        <v>224</v>
      </c>
      <c r="L259" t="s">
        <v>50</v>
      </c>
      <c r="M259" t="s">
        <v>51</v>
      </c>
      <c r="N259" t="s">
        <v>52</v>
      </c>
      <c r="O259" t="s">
        <v>1613</v>
      </c>
      <c r="P259">
        <v>9491581216</v>
      </c>
      <c r="Q259" t="s">
        <v>54</v>
      </c>
      <c r="R259" t="s">
        <v>61</v>
      </c>
      <c r="S259" t="s">
        <v>88</v>
      </c>
      <c r="T259" t="s">
        <v>43</v>
      </c>
      <c r="U259" t="s">
        <v>90</v>
      </c>
      <c r="V259" t="s">
        <v>91</v>
      </c>
      <c r="W259" t="s">
        <v>5064</v>
      </c>
      <c r="X259" t="s">
        <v>91</v>
      </c>
      <c r="Y259" t="s">
        <v>46</v>
      </c>
      <c r="Z259" t="s">
        <v>92</v>
      </c>
      <c r="AA259" t="s">
        <v>92</v>
      </c>
      <c r="AB259" t="s">
        <v>93</v>
      </c>
      <c r="AC259" t="s">
        <v>94</v>
      </c>
      <c r="AD259" t="s">
        <v>1279</v>
      </c>
      <c r="AE259" t="s">
        <v>1271</v>
      </c>
      <c r="AF259" t="s">
        <v>1614</v>
      </c>
      <c r="AG259" t="s">
        <v>196</v>
      </c>
      <c r="AH259" s="93">
        <f>VLOOKUP(Table1[[#This Row],[Caste]],Factor!$H$1:$K$13,4,0)</f>
        <v>1.1461625511156397</v>
      </c>
      <c r="AI259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259">
        <f>Table1[[#This Row],[Factor_1]]*Table1[[#This Row],[2024 Factor]]</f>
        <v>1.2999324650914248</v>
      </c>
      <c r="AK259">
        <f>VLOOKUP(Table1[[#This Row],[Q18: Gender]],Factor!$A$33:$E$35,5,0)</f>
        <v>0.85034013605442171</v>
      </c>
      <c r="AL259">
        <f>VLOOKUP(Table1[[#This Row],[Taluka]],Factor!$A$42:$G$46,7,0)</f>
        <v>1.147984664167413</v>
      </c>
      <c r="AM259">
        <f>VLOOKUP(Table1[[#This Row],[Caste]]&amp;Table1[[#This Row],[Q18: Gender]],Factor!$W$1:$X$23,2,0)</f>
        <v>0.71995135120329123</v>
      </c>
      <c r="AN259">
        <f>VLOOKUP(Table1[[#This Row],[Taluka]]&amp;Table1[[#This Row],[Caste]]&amp;Table1[[#This Row],[Q18: Gender]],Factor!$AK$4:$AL$93,2,0)</f>
        <v>0.54319084681293095</v>
      </c>
      <c r="AO259">
        <f t="shared" si="44"/>
        <v>-1</v>
      </c>
      <c r="AP259">
        <f t="shared" si="45"/>
        <v>1</v>
      </c>
      <c r="AQ259">
        <f t="shared" si="46"/>
        <v>1</v>
      </c>
      <c r="AR259">
        <f t="shared" si="47"/>
        <v>1</v>
      </c>
      <c r="AS259">
        <f t="shared" si="48"/>
        <v>1</v>
      </c>
      <c r="AT259">
        <f t="shared" si="49"/>
        <v>1</v>
      </c>
      <c r="AU259">
        <f t="shared" si="50"/>
        <v>3.5</v>
      </c>
      <c r="AV259">
        <f>SUM(Table1[[#This Row],[Satis]:[29]])</f>
        <v>4</v>
      </c>
      <c r="AW259">
        <f t="shared" si="51"/>
        <v>3</v>
      </c>
      <c r="AX259">
        <f t="shared" si="52"/>
        <v>4</v>
      </c>
      <c r="AY259">
        <f t="shared" si="53"/>
        <v>2</v>
      </c>
      <c r="AZ259" t="str">
        <f t="shared" si="54"/>
        <v>YSRCP Sympathiser</v>
      </c>
    </row>
    <row r="260" spans="1:52" x14ac:dyDescent="0.3">
      <c r="A260" t="s">
        <v>1615</v>
      </c>
      <c r="B260" s="94">
        <v>46044</v>
      </c>
      <c r="C260" t="s">
        <v>1616</v>
      </c>
      <c r="D260" t="s">
        <v>1617</v>
      </c>
      <c r="E260" t="s">
        <v>1618</v>
      </c>
      <c r="F260" t="s">
        <v>935</v>
      </c>
      <c r="G260" t="s">
        <v>39</v>
      </c>
      <c r="H260" t="s">
        <v>1619</v>
      </c>
      <c r="I260" t="s">
        <v>70</v>
      </c>
      <c r="J260" s="112" t="s">
        <v>203</v>
      </c>
      <c r="K260" s="112" t="s">
        <v>205</v>
      </c>
      <c r="L260" t="s">
        <v>62</v>
      </c>
      <c r="M260" t="s">
        <v>51</v>
      </c>
      <c r="N260" t="s">
        <v>63</v>
      </c>
      <c r="O260" t="s">
        <v>1620</v>
      </c>
      <c r="P260">
        <v>9963033146</v>
      </c>
      <c r="Q260" t="s">
        <v>54</v>
      </c>
      <c r="R260" t="s">
        <v>139</v>
      </c>
      <c r="S260" t="s">
        <v>89</v>
      </c>
      <c r="T260" t="s">
        <v>89</v>
      </c>
      <c r="U260" t="s">
        <v>90</v>
      </c>
      <c r="V260" t="s">
        <v>91</v>
      </c>
      <c r="W260" t="s">
        <v>5062</v>
      </c>
      <c r="X260" t="s">
        <v>91</v>
      </c>
      <c r="Y260" t="s">
        <v>46</v>
      </c>
      <c r="Z260" t="s">
        <v>92</v>
      </c>
      <c r="AA260" t="s">
        <v>92</v>
      </c>
      <c r="AB260" t="s">
        <v>93</v>
      </c>
      <c r="AC260" t="s">
        <v>94</v>
      </c>
      <c r="AD260" t="s">
        <v>1279</v>
      </c>
      <c r="AE260" t="s">
        <v>189</v>
      </c>
      <c r="AF260" t="s">
        <v>1614</v>
      </c>
      <c r="AG260" t="s">
        <v>196</v>
      </c>
      <c r="AH260" s="93">
        <f>VLOOKUP(Table1[[#This Row],[Caste]],Factor!$H$1:$K$13,4,0)</f>
        <v>1.3836274505214585</v>
      </c>
      <c r="AI260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260">
        <f>Table1[[#This Row],[Factor_1]]*Table1[[#This Row],[2024 Factor]]</f>
        <v>1.9482662206881376</v>
      </c>
      <c r="AK260">
        <f>VLOOKUP(Table1[[#This Row],[Q18: Gender]],Factor!$A$33:$E$35,5,0)</f>
        <v>0.85034013605442171</v>
      </c>
      <c r="AL260">
        <f>VLOOKUP(Table1[[#This Row],[Taluka]],Factor!$A$42:$G$46,7,0)</f>
        <v>1.9264642089343564</v>
      </c>
      <c r="AM260">
        <f>VLOOKUP(Table1[[#This Row],[Caste]]&amp;Table1[[#This Row],[Q18: Gender]],Factor!$W$1:$X$23,2,0)</f>
        <v>1.0790228998469584</v>
      </c>
      <c r="AN260">
        <f>VLOOKUP(Table1[[#This Row],[Taluka]]&amp;Table1[[#This Row],[Caste]]&amp;Table1[[#This Row],[Q18: Gender]],Factor!$AK$4:$AL$93,2,0)</f>
        <v>2.1355167697651956</v>
      </c>
      <c r="AO260">
        <f t="shared" si="44"/>
        <v>1</v>
      </c>
      <c r="AP260">
        <f t="shared" si="45"/>
        <v>1</v>
      </c>
      <c r="AQ260">
        <f t="shared" si="46"/>
        <v>1</v>
      </c>
      <c r="AR260">
        <f t="shared" si="47"/>
        <v>1</v>
      </c>
      <c r="AS260">
        <f t="shared" si="48"/>
        <v>1</v>
      </c>
      <c r="AT260">
        <f t="shared" si="49"/>
        <v>1</v>
      </c>
      <c r="AU260">
        <f t="shared" si="50"/>
        <v>5.5</v>
      </c>
      <c r="AV260">
        <f>SUM(Table1[[#This Row],[Satis]:[29]])</f>
        <v>6</v>
      </c>
      <c r="AW260">
        <f t="shared" si="51"/>
        <v>5</v>
      </c>
      <c r="AX260">
        <f t="shared" si="52"/>
        <v>4</v>
      </c>
      <c r="AY260">
        <f t="shared" si="53"/>
        <v>3</v>
      </c>
      <c r="AZ260" t="str">
        <f t="shared" si="54"/>
        <v>YSRCP HardCore</v>
      </c>
    </row>
    <row r="261" spans="1:52" x14ac:dyDescent="0.3">
      <c r="A261" t="s">
        <v>1373</v>
      </c>
      <c r="B261" s="94">
        <v>46044</v>
      </c>
      <c r="C261" t="s">
        <v>1374</v>
      </c>
      <c r="D261" t="s">
        <v>1375</v>
      </c>
      <c r="E261" t="s">
        <v>1376</v>
      </c>
      <c r="F261" t="s">
        <v>69</v>
      </c>
      <c r="G261" t="s">
        <v>39</v>
      </c>
      <c r="H261" t="s">
        <v>1377</v>
      </c>
      <c r="I261" t="s">
        <v>231</v>
      </c>
      <c r="J261" t="s">
        <v>219</v>
      </c>
      <c r="K261" t="s">
        <v>223</v>
      </c>
      <c r="L261" t="s">
        <v>75</v>
      </c>
      <c r="M261" t="s">
        <v>51</v>
      </c>
      <c r="N261" t="s">
        <v>162</v>
      </c>
      <c r="O261" t="s">
        <v>1378</v>
      </c>
      <c r="P261">
        <v>8977280447</v>
      </c>
      <c r="Q261" t="s">
        <v>54</v>
      </c>
      <c r="R261" t="s">
        <v>73</v>
      </c>
      <c r="S261" t="s">
        <v>43</v>
      </c>
      <c r="T261" t="s">
        <v>43</v>
      </c>
      <c r="U261" t="s">
        <v>44</v>
      </c>
      <c r="V261" t="s">
        <v>45</v>
      </c>
      <c r="W261" t="s">
        <v>5084</v>
      </c>
      <c r="X261" t="s">
        <v>45</v>
      </c>
      <c r="Y261" t="s">
        <v>46</v>
      </c>
      <c r="Z261" t="s">
        <v>47</v>
      </c>
      <c r="AA261" t="s">
        <v>48</v>
      </c>
      <c r="AB261" t="s">
        <v>49</v>
      </c>
      <c r="AC261" t="s">
        <v>49</v>
      </c>
      <c r="AD261" t="s">
        <v>1270</v>
      </c>
      <c r="AE261" t="s">
        <v>185</v>
      </c>
      <c r="AF261" t="s">
        <v>1379</v>
      </c>
      <c r="AG261" t="s">
        <v>196</v>
      </c>
      <c r="AH261" s="93">
        <f>VLOOKUP(Table1[[#This Row],[Caste]],Factor!$H$1:$K$13,4,0)</f>
        <v>1.016226256869897</v>
      </c>
      <c r="AI26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61">
        <f>Table1[[#This Row],[Factor_1]]*Table1[[#This Row],[2024 Factor]]</f>
        <v>0.54852499843435276</v>
      </c>
      <c r="AK261">
        <f>VLOOKUP(Table1[[#This Row],[Q18: Gender]],Factor!$A$33:$E$35,5,0)</f>
        <v>0.85034013605442171</v>
      </c>
      <c r="AL261">
        <f>VLOOKUP(Table1[[#This Row],[Taluka]],Factor!$A$42:$G$46,7,0)</f>
        <v>1.147984664167413</v>
      </c>
      <c r="AM261">
        <f>VLOOKUP(Table1[[#This Row],[Caste]]&amp;Table1[[#This Row],[Q18: Gender]],Factor!$W$1:$X$23,2,0)</f>
        <v>0.50811312843494849</v>
      </c>
      <c r="AN261">
        <f>VLOOKUP(Table1[[#This Row],[Taluka]]&amp;Table1[[#This Row],[Caste]]&amp;Table1[[#This Row],[Q18: Gender]],Factor!$AK$4:$AL$93,2,0)</f>
        <v>0.18301228231933422</v>
      </c>
      <c r="AO261">
        <f t="shared" si="44"/>
        <v>-1</v>
      </c>
      <c r="AP261">
        <f t="shared" si="45"/>
        <v>-1</v>
      </c>
      <c r="AQ261">
        <f t="shared" si="46"/>
        <v>-1</v>
      </c>
      <c r="AR261">
        <f t="shared" si="47"/>
        <v>-1</v>
      </c>
      <c r="AS261">
        <f t="shared" si="48"/>
        <v>-1</v>
      </c>
      <c r="AT261">
        <f t="shared" si="49"/>
        <v>-1</v>
      </c>
      <c r="AU261">
        <f t="shared" si="50"/>
        <v>-5.5</v>
      </c>
      <c r="AV261">
        <f>SUM(Table1[[#This Row],[Satis]:[29]])</f>
        <v>-6</v>
      </c>
      <c r="AW261">
        <f t="shared" si="51"/>
        <v>-5</v>
      </c>
      <c r="AX261">
        <f t="shared" si="52"/>
        <v>-4</v>
      </c>
      <c r="AY261">
        <f t="shared" si="53"/>
        <v>-3</v>
      </c>
      <c r="AZ261" t="str">
        <f t="shared" si="54"/>
        <v>TDP HardCore</v>
      </c>
    </row>
    <row r="262" spans="1:52" x14ac:dyDescent="0.3">
      <c r="A262" t="s">
        <v>1626</v>
      </c>
      <c r="B262" s="94">
        <v>46044</v>
      </c>
      <c r="C262" t="s">
        <v>1627</v>
      </c>
      <c r="D262" t="s">
        <v>1628</v>
      </c>
      <c r="E262" t="s">
        <v>1629</v>
      </c>
      <c r="F262" t="s">
        <v>935</v>
      </c>
      <c r="G262" t="s">
        <v>39</v>
      </c>
      <c r="H262" t="s">
        <v>1630</v>
      </c>
      <c r="I262" t="s">
        <v>145</v>
      </c>
      <c r="J262" t="s">
        <v>219</v>
      </c>
      <c r="K262" t="s">
        <v>224</v>
      </c>
      <c r="L262" t="s">
        <v>62</v>
      </c>
      <c r="M262" t="s">
        <v>51</v>
      </c>
      <c r="N262" t="s">
        <v>63</v>
      </c>
      <c r="O262" t="s">
        <v>1631</v>
      </c>
      <c r="P262">
        <v>9849693250</v>
      </c>
      <c r="Q262" t="s">
        <v>54</v>
      </c>
      <c r="R262" t="s">
        <v>61</v>
      </c>
      <c r="S262" t="s">
        <v>43</v>
      </c>
      <c r="T262" t="s">
        <v>43</v>
      </c>
      <c r="U262" t="s">
        <v>44</v>
      </c>
      <c r="V262" t="s">
        <v>91</v>
      </c>
      <c r="W262" t="s">
        <v>5049</v>
      </c>
      <c r="X262" t="s">
        <v>45</v>
      </c>
      <c r="Y262" t="s">
        <v>46</v>
      </c>
      <c r="Z262" t="s">
        <v>47</v>
      </c>
      <c r="AA262" t="s">
        <v>48</v>
      </c>
      <c r="AB262" t="s">
        <v>49</v>
      </c>
      <c r="AC262" t="s">
        <v>49</v>
      </c>
      <c r="AD262" t="s">
        <v>1270</v>
      </c>
      <c r="AE262" t="s">
        <v>1250</v>
      </c>
      <c r="AF262" t="s">
        <v>1632</v>
      </c>
      <c r="AG262" t="s">
        <v>498</v>
      </c>
      <c r="AH262" s="93">
        <f>VLOOKUP(Table1[[#This Row],[Caste]],Factor!$H$1:$K$13,4,0)</f>
        <v>1.8452248965186235</v>
      </c>
      <c r="AI26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62">
        <f>Table1[[#This Row],[Factor_1]]*Table1[[#This Row],[2024 Factor]]</f>
        <v>1.5651283704851411</v>
      </c>
      <c r="AK262">
        <f>VLOOKUP(Table1[[#This Row],[Q18: Gender]],Factor!$A$33:$E$35,5,0)</f>
        <v>0.85034013605442171</v>
      </c>
      <c r="AL262">
        <f>VLOOKUP(Table1[[#This Row],[Taluka]],Factor!$A$42:$G$46,7,0)</f>
        <v>1.147984664167413</v>
      </c>
      <c r="AM262">
        <f>VLOOKUP(Table1[[#This Row],[Caste]]&amp;Table1[[#This Row],[Q18: Gender]],Factor!$W$1:$X$23,2,0)</f>
        <v>1.4498195615503471</v>
      </c>
      <c r="AN262">
        <f>VLOOKUP(Table1[[#This Row],[Taluka]]&amp;Table1[[#This Row],[Caste]]&amp;Table1[[#This Row],[Q18: Gender]],Factor!$AK$4:$AL$93,2,0)</f>
        <v>2.9242991836792998</v>
      </c>
      <c r="AO262">
        <f t="shared" si="44"/>
        <v>-1</v>
      </c>
      <c r="AP262">
        <f t="shared" si="45"/>
        <v>-1</v>
      </c>
      <c r="AQ262">
        <f t="shared" si="46"/>
        <v>1</v>
      </c>
      <c r="AR262">
        <f t="shared" si="47"/>
        <v>-1</v>
      </c>
      <c r="AS262">
        <f t="shared" si="48"/>
        <v>-1</v>
      </c>
      <c r="AT262">
        <f t="shared" si="49"/>
        <v>-1</v>
      </c>
      <c r="AU262">
        <f t="shared" si="50"/>
        <v>-3.5</v>
      </c>
      <c r="AV262">
        <f>SUM(Table1[[#This Row],[Satis]:[29]])</f>
        <v>-4</v>
      </c>
      <c r="AW262">
        <f t="shared" si="51"/>
        <v>-3</v>
      </c>
      <c r="AX262">
        <f t="shared" si="52"/>
        <v>-2</v>
      </c>
      <c r="AY262">
        <f t="shared" si="53"/>
        <v>-3</v>
      </c>
      <c r="AZ262" t="str">
        <f t="shared" si="54"/>
        <v>Neutral TDP</v>
      </c>
    </row>
    <row r="263" spans="1:52" x14ac:dyDescent="0.3">
      <c r="A263" t="s">
        <v>1392</v>
      </c>
      <c r="B263" s="94">
        <v>46044</v>
      </c>
      <c r="C263" t="s">
        <v>1393</v>
      </c>
      <c r="D263" t="s">
        <v>1394</v>
      </c>
      <c r="E263" t="s">
        <v>1395</v>
      </c>
      <c r="F263" t="s">
        <v>240</v>
      </c>
      <c r="G263" t="s">
        <v>39</v>
      </c>
      <c r="H263" t="s">
        <v>1396</v>
      </c>
      <c r="I263" t="s">
        <v>59</v>
      </c>
      <c r="J263" t="s">
        <v>71</v>
      </c>
      <c r="K263" t="s">
        <v>214</v>
      </c>
      <c r="L263" t="s">
        <v>50</v>
      </c>
      <c r="M263" t="s">
        <v>51</v>
      </c>
      <c r="N263" t="s">
        <v>52</v>
      </c>
      <c r="O263" t="s">
        <v>1397</v>
      </c>
      <c r="P263">
        <v>7702456550</v>
      </c>
      <c r="Q263" t="s">
        <v>54</v>
      </c>
      <c r="R263" t="s">
        <v>139</v>
      </c>
      <c r="S263" t="s">
        <v>43</v>
      </c>
      <c r="T263" t="s">
        <v>43</v>
      </c>
      <c r="U263" t="s">
        <v>44</v>
      </c>
      <c r="V263" t="s">
        <v>45</v>
      </c>
      <c r="W263" t="s">
        <v>5054</v>
      </c>
      <c r="X263" t="s">
        <v>45</v>
      </c>
      <c r="Y263" t="s">
        <v>46</v>
      </c>
      <c r="Z263" t="s">
        <v>47</v>
      </c>
      <c r="AA263" t="s">
        <v>48</v>
      </c>
      <c r="AB263" t="s">
        <v>49</v>
      </c>
      <c r="AC263" t="s">
        <v>49</v>
      </c>
      <c r="AD263" t="s">
        <v>1279</v>
      </c>
      <c r="AE263" t="s">
        <v>185</v>
      </c>
      <c r="AF263" t="s">
        <v>1280</v>
      </c>
      <c r="AG263" t="s">
        <v>196</v>
      </c>
      <c r="AH263" s="93">
        <f>VLOOKUP(Table1[[#This Row],[Caste]],Factor!$H$1:$K$13,4,0)</f>
        <v>1.1461625511156397</v>
      </c>
      <c r="AI26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63">
        <f>Table1[[#This Row],[Factor_1]]*Table1[[#This Row],[2024 Factor]]</f>
        <v>0.77721139583220644</v>
      </c>
      <c r="AK263">
        <f>VLOOKUP(Table1[[#This Row],[Q18: Gender]],Factor!$A$33:$E$35,5,0)</f>
        <v>0.85034013605442171</v>
      </c>
      <c r="AL263">
        <f>VLOOKUP(Table1[[#This Row],[Taluka]],Factor!$A$42:$G$46,7,0)</f>
        <v>1.1213131007097483</v>
      </c>
      <c r="AM263">
        <f>VLOOKUP(Table1[[#This Row],[Caste]]&amp;Table1[[#This Row],[Q18: Gender]],Factor!$W$1:$X$23,2,0)</f>
        <v>0.71995135120329123</v>
      </c>
      <c r="AN263">
        <f>VLOOKUP(Table1[[#This Row],[Taluka]]&amp;Table1[[#This Row],[Caste]]&amp;Table1[[#This Row],[Q18: Gender]],Factor!$AK$4:$AL$93,2,0)</f>
        <v>1.3370299504035861</v>
      </c>
      <c r="AO263">
        <f t="shared" si="44"/>
        <v>-1</v>
      </c>
      <c r="AP263">
        <f t="shared" si="45"/>
        <v>-1</v>
      </c>
      <c r="AQ263">
        <f t="shared" si="46"/>
        <v>-1</v>
      </c>
      <c r="AR263">
        <f t="shared" si="47"/>
        <v>-1</v>
      </c>
      <c r="AS263">
        <f t="shared" si="48"/>
        <v>-1</v>
      </c>
      <c r="AT263">
        <f t="shared" si="49"/>
        <v>-1</v>
      </c>
      <c r="AU263">
        <f t="shared" si="50"/>
        <v>-5.5</v>
      </c>
      <c r="AV263">
        <f>SUM(Table1[[#This Row],[Satis]:[29]])</f>
        <v>-6</v>
      </c>
      <c r="AW263">
        <f t="shared" si="51"/>
        <v>-5</v>
      </c>
      <c r="AX263">
        <f t="shared" si="52"/>
        <v>-4</v>
      </c>
      <c r="AY263">
        <f t="shared" si="53"/>
        <v>-3</v>
      </c>
      <c r="AZ263" t="str">
        <f t="shared" si="54"/>
        <v>TDP HardCore</v>
      </c>
    </row>
    <row r="264" spans="1:52" x14ac:dyDescent="0.3">
      <c r="A264" t="s">
        <v>1413</v>
      </c>
      <c r="B264" s="94">
        <v>46044</v>
      </c>
      <c r="C264" t="s">
        <v>1414</v>
      </c>
      <c r="D264" t="s">
        <v>1415</v>
      </c>
      <c r="E264" t="s">
        <v>1284</v>
      </c>
      <c r="F264" t="s">
        <v>69</v>
      </c>
      <c r="G264" t="s">
        <v>39</v>
      </c>
      <c r="H264" t="s">
        <v>1416</v>
      </c>
      <c r="I264" t="s">
        <v>59</v>
      </c>
      <c r="J264" t="s">
        <v>219</v>
      </c>
      <c r="K264" t="s">
        <v>223</v>
      </c>
      <c r="L264" t="s">
        <v>50</v>
      </c>
      <c r="M264" t="s">
        <v>51</v>
      </c>
      <c r="N264" t="s">
        <v>162</v>
      </c>
      <c r="O264" t="s">
        <v>1417</v>
      </c>
      <c r="P264">
        <v>9941992277</v>
      </c>
      <c r="Q264" t="s">
        <v>54</v>
      </c>
      <c r="R264" t="s">
        <v>73</v>
      </c>
      <c r="S264" t="s">
        <v>43</v>
      </c>
      <c r="T264" t="s">
        <v>43</v>
      </c>
      <c r="U264" t="s">
        <v>44</v>
      </c>
      <c r="V264" t="s">
        <v>45</v>
      </c>
      <c r="W264" t="s">
        <v>74</v>
      </c>
      <c r="X264" t="s">
        <v>45</v>
      </c>
      <c r="Y264" t="s">
        <v>46</v>
      </c>
      <c r="Z264" t="s">
        <v>47</v>
      </c>
      <c r="AA264" t="s">
        <v>48</v>
      </c>
      <c r="AB264" t="s">
        <v>49</v>
      </c>
      <c r="AC264" t="s">
        <v>49</v>
      </c>
      <c r="AD264" t="s">
        <v>1270</v>
      </c>
      <c r="AE264" t="s">
        <v>185</v>
      </c>
      <c r="AF264" t="s">
        <v>1418</v>
      </c>
      <c r="AG264" t="s">
        <v>196</v>
      </c>
      <c r="AH264" s="93">
        <f>VLOOKUP(Table1[[#This Row],[Caste]],Factor!$H$1:$K$13,4,0)</f>
        <v>1.1461625511156397</v>
      </c>
      <c r="AI26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64">
        <f>Table1[[#This Row],[Factor_1]]*Table1[[#This Row],[2024 Factor]]</f>
        <v>0.77721139583220644</v>
      </c>
      <c r="AK264">
        <f>VLOOKUP(Table1[[#This Row],[Q18: Gender]],Factor!$A$33:$E$35,5,0)</f>
        <v>0.85034013605442171</v>
      </c>
      <c r="AL264">
        <f>VLOOKUP(Table1[[#This Row],[Taluka]],Factor!$A$42:$G$46,7,0)</f>
        <v>1.147984664167413</v>
      </c>
      <c r="AM264">
        <f>VLOOKUP(Table1[[#This Row],[Caste]]&amp;Table1[[#This Row],[Q18: Gender]],Factor!$W$1:$X$23,2,0)</f>
        <v>0.71995135120329123</v>
      </c>
      <c r="AN264">
        <f>VLOOKUP(Table1[[#This Row],[Taluka]]&amp;Table1[[#This Row],[Caste]]&amp;Table1[[#This Row],[Q18: Gender]],Factor!$AK$4:$AL$93,2,0)</f>
        <v>0.54319084681293095</v>
      </c>
      <c r="AO264">
        <f t="shared" si="44"/>
        <v>-1</v>
      </c>
      <c r="AP264">
        <f t="shared" si="45"/>
        <v>-1</v>
      </c>
      <c r="AQ264">
        <f t="shared" si="46"/>
        <v>-1</v>
      </c>
      <c r="AR264">
        <f t="shared" si="47"/>
        <v>-1</v>
      </c>
      <c r="AS264">
        <f t="shared" si="48"/>
        <v>-1</v>
      </c>
      <c r="AT264">
        <f t="shared" si="49"/>
        <v>-1</v>
      </c>
      <c r="AU264">
        <f t="shared" si="50"/>
        <v>-5.5</v>
      </c>
      <c r="AV264">
        <f>SUM(Table1[[#This Row],[Satis]:[29]])</f>
        <v>-6</v>
      </c>
      <c r="AW264">
        <f t="shared" si="51"/>
        <v>-5</v>
      </c>
      <c r="AX264">
        <f t="shared" si="52"/>
        <v>-4</v>
      </c>
      <c r="AY264">
        <f t="shared" si="53"/>
        <v>-3</v>
      </c>
      <c r="AZ264" t="str">
        <f t="shared" si="54"/>
        <v>TDP HardCore</v>
      </c>
    </row>
    <row r="265" spans="1:52" x14ac:dyDescent="0.3">
      <c r="A265" t="s">
        <v>1886</v>
      </c>
      <c r="B265" s="94">
        <v>46044</v>
      </c>
      <c r="C265" t="s">
        <v>1887</v>
      </c>
      <c r="D265" t="s">
        <v>1888</v>
      </c>
      <c r="E265" t="s">
        <v>1642</v>
      </c>
      <c r="F265" t="s">
        <v>69</v>
      </c>
      <c r="G265" t="s">
        <v>39</v>
      </c>
      <c r="H265" t="s">
        <v>1889</v>
      </c>
      <c r="I265" s="112" t="s">
        <v>231</v>
      </c>
      <c r="J265" t="s">
        <v>219</v>
      </c>
      <c r="K265" t="s">
        <v>223</v>
      </c>
      <c r="L265" t="s">
        <v>62</v>
      </c>
      <c r="M265" t="s">
        <v>51</v>
      </c>
      <c r="N265" t="s">
        <v>52</v>
      </c>
      <c r="O265" t="s">
        <v>1890</v>
      </c>
      <c r="P265">
        <v>9618602733</v>
      </c>
      <c r="Q265" t="s">
        <v>54</v>
      </c>
      <c r="R265" t="s">
        <v>132</v>
      </c>
      <c r="S265" t="s">
        <v>43</v>
      </c>
      <c r="T265" t="s">
        <v>43</v>
      </c>
      <c r="U265" t="s">
        <v>90</v>
      </c>
      <c r="V265" t="s">
        <v>45</v>
      </c>
      <c r="W265" t="s">
        <v>5058</v>
      </c>
      <c r="X265" t="s">
        <v>45</v>
      </c>
      <c r="Y265" t="s">
        <v>46</v>
      </c>
      <c r="Z265" t="s">
        <v>47</v>
      </c>
      <c r="AA265" t="s">
        <v>48</v>
      </c>
      <c r="AB265" t="s">
        <v>49</v>
      </c>
      <c r="AC265" t="s">
        <v>49</v>
      </c>
      <c r="AD265" t="s">
        <v>1270</v>
      </c>
      <c r="AE265" t="s">
        <v>185</v>
      </c>
      <c r="AF265" t="s">
        <v>1891</v>
      </c>
      <c r="AG265" t="s">
        <v>196</v>
      </c>
      <c r="AH265" s="93">
        <f>VLOOKUP(Table1[[#This Row],[Caste]],Factor!$H$1:$K$13,4,0)</f>
        <v>1.016226256869897</v>
      </c>
      <c r="AI26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65">
        <f>Table1[[#This Row],[Factor_1]]*Table1[[#This Row],[2024 Factor]]</f>
        <v>0.54852499843435276</v>
      </c>
      <c r="AK265">
        <f>VLOOKUP(Table1[[#This Row],[Q18: Gender]],Factor!$A$33:$E$35,5,0)</f>
        <v>0.85034013605442171</v>
      </c>
      <c r="AL265">
        <f>VLOOKUP(Table1[[#This Row],[Taluka]],Factor!$A$42:$G$46,7,0)</f>
        <v>1.147984664167413</v>
      </c>
      <c r="AM265">
        <f>VLOOKUP(Table1[[#This Row],[Caste]]&amp;Table1[[#This Row],[Q18: Gender]],Factor!$W$1:$X$23,2,0)</f>
        <v>0.50811312843494849</v>
      </c>
      <c r="AN265">
        <f>VLOOKUP(Table1[[#This Row],[Taluka]]&amp;Table1[[#This Row],[Caste]]&amp;Table1[[#This Row],[Q18: Gender]],Factor!$AK$4:$AL$93,2,0)</f>
        <v>0.18301228231933422</v>
      </c>
      <c r="AO265">
        <f t="shared" si="44"/>
        <v>-1</v>
      </c>
      <c r="AP265">
        <f t="shared" si="45"/>
        <v>1</v>
      </c>
      <c r="AQ265">
        <f t="shared" si="46"/>
        <v>-1</v>
      </c>
      <c r="AR265">
        <f t="shared" si="47"/>
        <v>-1</v>
      </c>
      <c r="AS265">
        <f t="shared" si="48"/>
        <v>-1</v>
      </c>
      <c r="AT265">
        <f t="shared" si="49"/>
        <v>-1</v>
      </c>
      <c r="AU265">
        <f t="shared" si="50"/>
        <v>-3.5</v>
      </c>
      <c r="AV265">
        <f>SUM(Table1[[#This Row],[Satis]:[29]])</f>
        <v>-4</v>
      </c>
      <c r="AW265">
        <f t="shared" si="51"/>
        <v>-5</v>
      </c>
      <c r="AX265">
        <f t="shared" si="52"/>
        <v>-4</v>
      </c>
      <c r="AY265">
        <f t="shared" si="53"/>
        <v>-3</v>
      </c>
      <c r="AZ265" t="str">
        <f t="shared" si="54"/>
        <v>TDP Sympathiser</v>
      </c>
    </row>
    <row r="266" spans="1:52" x14ac:dyDescent="0.3">
      <c r="A266" t="s">
        <v>1512</v>
      </c>
      <c r="B266" s="94">
        <v>46044</v>
      </c>
      <c r="C266" t="s">
        <v>1513</v>
      </c>
      <c r="D266" t="s">
        <v>1514</v>
      </c>
      <c r="E266" t="s">
        <v>1515</v>
      </c>
      <c r="F266" t="s">
        <v>240</v>
      </c>
      <c r="G266" t="s">
        <v>39</v>
      </c>
      <c r="H266" t="s">
        <v>1516</v>
      </c>
      <c r="I266" t="s">
        <v>231</v>
      </c>
      <c r="J266" t="s">
        <v>71</v>
      </c>
      <c r="K266" t="s">
        <v>214</v>
      </c>
      <c r="L266" t="s">
        <v>626</v>
      </c>
      <c r="M266" t="s">
        <v>51</v>
      </c>
      <c r="N266" t="s">
        <v>107</v>
      </c>
      <c r="O266" t="s">
        <v>1517</v>
      </c>
      <c r="P266">
        <v>9492247688</v>
      </c>
      <c r="Q266" t="s">
        <v>54</v>
      </c>
      <c r="R266" t="s">
        <v>132</v>
      </c>
      <c r="S266" t="s">
        <v>89</v>
      </c>
      <c r="T266" t="s">
        <v>89</v>
      </c>
      <c r="U266" t="s">
        <v>44</v>
      </c>
      <c r="V266" t="s">
        <v>45</v>
      </c>
      <c r="W266" t="s">
        <v>5058</v>
      </c>
      <c r="X266" t="s">
        <v>45</v>
      </c>
      <c r="Y266" t="s">
        <v>638</v>
      </c>
      <c r="Z266" t="s">
        <v>242</v>
      </c>
      <c r="AA266" t="s">
        <v>242</v>
      </c>
      <c r="AB266" t="s">
        <v>49</v>
      </c>
      <c r="AC266" t="s">
        <v>49</v>
      </c>
      <c r="AD266" t="s">
        <v>1279</v>
      </c>
      <c r="AE266" t="s">
        <v>185</v>
      </c>
      <c r="AF266">
        <v>0</v>
      </c>
      <c r="AG266" t="s">
        <v>196</v>
      </c>
      <c r="AH266" s="93">
        <f>VLOOKUP(Table1[[#This Row],[Caste]],Factor!$H$1:$K$13,4,0)</f>
        <v>1.016226256869897</v>
      </c>
      <c r="AI266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266">
        <f>Table1[[#This Row],[Factor_1]]*Table1[[#This Row],[2024 Factor]]</f>
        <v>0.33613637727235079</v>
      </c>
      <c r="AK266">
        <f>VLOOKUP(Table1[[#This Row],[Q18: Gender]],Factor!$A$33:$E$35,5,0)</f>
        <v>0.85034013605442171</v>
      </c>
      <c r="AL266">
        <f>VLOOKUP(Table1[[#This Row],[Taluka]],Factor!$A$42:$G$46,7,0)</f>
        <v>1.1213131007097483</v>
      </c>
      <c r="AM266">
        <f>VLOOKUP(Table1[[#This Row],[Caste]]&amp;Table1[[#This Row],[Q18: Gender]],Factor!$W$1:$X$23,2,0)</f>
        <v>0.50811312843494849</v>
      </c>
      <c r="AN266">
        <f>VLOOKUP(Table1[[#This Row],[Taluka]]&amp;Table1[[#This Row],[Caste]]&amp;Table1[[#This Row],[Q18: Gender]],Factor!$AK$4:$AL$93,2,0)</f>
        <v>0.73498254074817215</v>
      </c>
      <c r="AO266">
        <f t="shared" si="44"/>
        <v>1</v>
      </c>
      <c r="AP266">
        <f t="shared" si="45"/>
        <v>-1</v>
      </c>
      <c r="AQ266">
        <f t="shared" si="46"/>
        <v>-1</v>
      </c>
      <c r="AR266">
        <f t="shared" si="47"/>
        <v>-1</v>
      </c>
      <c r="AS266">
        <f t="shared" si="48"/>
        <v>-1</v>
      </c>
      <c r="AT266">
        <f t="shared" si="49"/>
        <v>-1</v>
      </c>
      <c r="AU266">
        <f t="shared" si="50"/>
        <v>-3.5</v>
      </c>
      <c r="AV266">
        <f>SUM(Table1[[#This Row],[Satis]:[29]])</f>
        <v>-4</v>
      </c>
      <c r="AW266">
        <f t="shared" si="51"/>
        <v>-3</v>
      </c>
      <c r="AX266">
        <f t="shared" si="52"/>
        <v>-4</v>
      </c>
      <c r="AY266">
        <f t="shared" si="53"/>
        <v>-2</v>
      </c>
      <c r="AZ266" t="str">
        <f t="shared" si="54"/>
        <v>TDP Sympathiser</v>
      </c>
    </row>
    <row r="267" spans="1:52" x14ac:dyDescent="0.3">
      <c r="A267" t="s">
        <v>1654</v>
      </c>
      <c r="B267" s="94">
        <v>46044</v>
      </c>
      <c r="C267" t="s">
        <v>1655</v>
      </c>
      <c r="D267" t="s">
        <v>1656</v>
      </c>
      <c r="E267" t="s">
        <v>1647</v>
      </c>
      <c r="F267" t="s">
        <v>69</v>
      </c>
      <c r="G267" t="s">
        <v>39</v>
      </c>
      <c r="H267" t="s">
        <v>1657</v>
      </c>
      <c r="I267" t="s">
        <v>70</v>
      </c>
      <c r="J267" s="112" t="s">
        <v>203</v>
      </c>
      <c r="K267" s="112" t="s">
        <v>205</v>
      </c>
      <c r="L267" t="s">
        <v>451</v>
      </c>
      <c r="M267" t="s">
        <v>51</v>
      </c>
      <c r="N267" t="s">
        <v>52</v>
      </c>
      <c r="O267" t="s">
        <v>1658</v>
      </c>
      <c r="P267">
        <v>9999999999</v>
      </c>
      <c r="Q267" t="s">
        <v>445</v>
      </c>
      <c r="R267" t="s">
        <v>132</v>
      </c>
      <c r="S267" t="s">
        <v>89</v>
      </c>
      <c r="T267" t="s">
        <v>89</v>
      </c>
      <c r="U267" t="s">
        <v>90</v>
      </c>
      <c r="V267" t="s">
        <v>91</v>
      </c>
      <c r="W267" t="s">
        <v>5067</v>
      </c>
      <c r="X267" t="s">
        <v>91</v>
      </c>
      <c r="Y267" t="s">
        <v>638</v>
      </c>
      <c r="Z267" t="s">
        <v>92</v>
      </c>
      <c r="AA267" t="s">
        <v>92</v>
      </c>
      <c r="AB267" t="s">
        <v>147</v>
      </c>
      <c r="AC267" t="s">
        <v>94</v>
      </c>
      <c r="AD267" t="s">
        <v>1279</v>
      </c>
      <c r="AE267" t="s">
        <v>189</v>
      </c>
      <c r="AF267" t="s">
        <v>1254</v>
      </c>
      <c r="AG267" t="s">
        <v>196</v>
      </c>
      <c r="AH267" s="93">
        <f>VLOOKUP(Table1[[#This Row],[Caste]],Factor!$H$1:$K$13,4,0)</f>
        <v>1.3836274505214585</v>
      </c>
      <c r="AI267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267">
        <f>Table1[[#This Row],[Factor_1]]*Table1[[#This Row],[2024 Factor]]</f>
        <v>3.4809023142961388</v>
      </c>
      <c r="AK267">
        <f>VLOOKUP(Table1[[#This Row],[Q18: Gender]],Factor!$A$33:$E$35,5,0)</f>
        <v>2.1645021645021645</v>
      </c>
      <c r="AL267">
        <f>VLOOKUP(Table1[[#This Row],[Taluka]],Factor!$A$42:$G$46,7,0)</f>
        <v>1.9264642089343564</v>
      </c>
      <c r="AM267">
        <f>VLOOKUP(Table1[[#This Row],[Caste]]&amp;Table1[[#This Row],[Q18: Gender]],Factor!$W$1:$X$23,2,0)</f>
        <v>1.9278542477265657</v>
      </c>
      <c r="AN267">
        <f>VLOOKUP(Table1[[#This Row],[Taluka]]&amp;Table1[[#This Row],[Caste]]&amp;Table1[[#This Row],[Q18: Gender]],Factor!$AK$4:$AL$93,2,0)</f>
        <v>4.0768956513699193</v>
      </c>
      <c r="AO267">
        <f t="shared" si="44"/>
        <v>1</v>
      </c>
      <c r="AP267">
        <f t="shared" si="45"/>
        <v>1</v>
      </c>
      <c r="AQ267">
        <f t="shared" si="46"/>
        <v>1</v>
      </c>
      <c r="AR267">
        <f t="shared" si="47"/>
        <v>1</v>
      </c>
      <c r="AS267">
        <f t="shared" si="48"/>
        <v>1</v>
      </c>
      <c r="AT267">
        <f t="shared" si="49"/>
        <v>1</v>
      </c>
      <c r="AU267">
        <f t="shared" si="50"/>
        <v>5.5</v>
      </c>
      <c r="AV267">
        <f>SUM(Table1[[#This Row],[Satis]:[29]])</f>
        <v>6</v>
      </c>
      <c r="AW267">
        <f t="shared" si="51"/>
        <v>5</v>
      </c>
      <c r="AX267">
        <f t="shared" si="52"/>
        <v>4</v>
      </c>
      <c r="AY267">
        <f t="shared" si="53"/>
        <v>3</v>
      </c>
      <c r="AZ267" t="str">
        <f t="shared" si="54"/>
        <v>YSRCP HardCore</v>
      </c>
    </row>
    <row r="268" spans="1:52" x14ac:dyDescent="0.3">
      <c r="A268" t="s">
        <v>1923</v>
      </c>
      <c r="B268" s="94">
        <v>46044</v>
      </c>
      <c r="C268" t="s">
        <v>1924</v>
      </c>
      <c r="D268" t="s">
        <v>1925</v>
      </c>
      <c r="E268" t="s">
        <v>1926</v>
      </c>
      <c r="F268" t="s">
        <v>935</v>
      </c>
      <c r="G268" t="s">
        <v>39</v>
      </c>
      <c r="H268" t="s">
        <v>1927</v>
      </c>
      <c r="I268" t="s">
        <v>59</v>
      </c>
      <c r="J268" t="s">
        <v>219</v>
      </c>
      <c r="K268" t="s">
        <v>224</v>
      </c>
      <c r="L268" t="s">
        <v>62</v>
      </c>
      <c r="M268" t="s">
        <v>51</v>
      </c>
      <c r="N268" t="s">
        <v>52</v>
      </c>
      <c r="O268" t="s">
        <v>406</v>
      </c>
      <c r="P268">
        <v>8897379713</v>
      </c>
      <c r="Q268" t="s">
        <v>54</v>
      </c>
      <c r="R268" t="s">
        <v>61</v>
      </c>
      <c r="S268" t="s">
        <v>43</v>
      </c>
      <c r="T268" t="s">
        <v>43</v>
      </c>
      <c r="U268" t="s">
        <v>44</v>
      </c>
      <c r="V268" t="s">
        <v>45</v>
      </c>
      <c r="W268" t="s">
        <v>5087</v>
      </c>
      <c r="X268" t="s">
        <v>45</v>
      </c>
      <c r="Y268" t="s">
        <v>46</v>
      </c>
      <c r="Z268" t="s">
        <v>47</v>
      </c>
      <c r="AA268" t="s">
        <v>48</v>
      </c>
      <c r="AB268" t="s">
        <v>49</v>
      </c>
      <c r="AC268" t="s">
        <v>49</v>
      </c>
      <c r="AD268" t="s">
        <v>1270</v>
      </c>
      <c r="AE268" t="s">
        <v>185</v>
      </c>
      <c r="AF268" t="s">
        <v>1418</v>
      </c>
      <c r="AG268" t="s">
        <v>196</v>
      </c>
      <c r="AH268" s="93">
        <f>VLOOKUP(Table1[[#This Row],[Caste]],Factor!$H$1:$K$13,4,0)</f>
        <v>1.1461625511156397</v>
      </c>
      <c r="AI26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68">
        <f>Table1[[#This Row],[Factor_1]]*Table1[[#This Row],[2024 Factor]]</f>
        <v>0.77721139583220644</v>
      </c>
      <c r="AK268">
        <f>VLOOKUP(Table1[[#This Row],[Q18: Gender]],Factor!$A$33:$E$35,5,0)</f>
        <v>0.85034013605442171</v>
      </c>
      <c r="AL268">
        <f>VLOOKUP(Table1[[#This Row],[Taluka]],Factor!$A$42:$G$46,7,0)</f>
        <v>1.147984664167413</v>
      </c>
      <c r="AM268">
        <f>VLOOKUP(Table1[[#This Row],[Caste]]&amp;Table1[[#This Row],[Q18: Gender]],Factor!$W$1:$X$23,2,0)</f>
        <v>0.71995135120329123</v>
      </c>
      <c r="AN268">
        <f>VLOOKUP(Table1[[#This Row],[Taluka]]&amp;Table1[[#This Row],[Caste]]&amp;Table1[[#This Row],[Q18: Gender]],Factor!$AK$4:$AL$93,2,0)</f>
        <v>0.54319084681293095</v>
      </c>
      <c r="AO268">
        <f t="shared" si="44"/>
        <v>-1</v>
      </c>
      <c r="AP268">
        <f t="shared" si="45"/>
        <v>-1</v>
      </c>
      <c r="AQ268">
        <f t="shared" si="46"/>
        <v>-1</v>
      </c>
      <c r="AR268">
        <f t="shared" si="47"/>
        <v>-1</v>
      </c>
      <c r="AS268">
        <f t="shared" si="48"/>
        <v>-1</v>
      </c>
      <c r="AT268">
        <f t="shared" si="49"/>
        <v>-1</v>
      </c>
      <c r="AU268">
        <f t="shared" si="50"/>
        <v>-5.5</v>
      </c>
      <c r="AV268">
        <f>SUM(Table1[[#This Row],[Satis]:[29]])</f>
        <v>-6</v>
      </c>
      <c r="AW268">
        <f t="shared" si="51"/>
        <v>-5</v>
      </c>
      <c r="AX268">
        <f t="shared" si="52"/>
        <v>-4</v>
      </c>
      <c r="AY268">
        <f t="shared" si="53"/>
        <v>-3</v>
      </c>
      <c r="AZ268" t="str">
        <f t="shared" si="54"/>
        <v>TDP HardCore</v>
      </c>
    </row>
    <row r="269" spans="1:52" x14ac:dyDescent="0.3">
      <c r="A269" t="s">
        <v>1644</v>
      </c>
      <c r="B269" s="94">
        <v>46044</v>
      </c>
      <c r="C269" t="s">
        <v>1645</v>
      </c>
      <c r="D269" t="s">
        <v>1646</v>
      </c>
      <c r="E269" t="s">
        <v>1647</v>
      </c>
      <c r="F269" t="s">
        <v>69</v>
      </c>
      <c r="G269" t="s">
        <v>39</v>
      </c>
      <c r="H269" t="s">
        <v>1648</v>
      </c>
      <c r="I269" t="s">
        <v>227</v>
      </c>
      <c r="J269" t="s">
        <v>219</v>
      </c>
      <c r="K269" t="s">
        <v>223</v>
      </c>
      <c r="L269" t="s">
        <v>62</v>
      </c>
      <c r="M269" t="s">
        <v>51</v>
      </c>
      <c r="N269" t="s">
        <v>107</v>
      </c>
      <c r="O269" t="s">
        <v>406</v>
      </c>
      <c r="P269">
        <v>7993388869</v>
      </c>
      <c r="Q269" t="s">
        <v>54</v>
      </c>
      <c r="R269" t="s">
        <v>73</v>
      </c>
      <c r="S269" t="s">
        <v>89</v>
      </c>
      <c r="T269" t="s">
        <v>43</v>
      </c>
      <c r="U269" t="s">
        <v>44</v>
      </c>
      <c r="V269" t="s">
        <v>45</v>
      </c>
      <c r="W269" t="s">
        <v>5087</v>
      </c>
      <c r="X269" t="s">
        <v>45</v>
      </c>
      <c r="Y269" t="s">
        <v>46</v>
      </c>
      <c r="Z269" t="s">
        <v>47</v>
      </c>
      <c r="AA269" t="s">
        <v>48</v>
      </c>
      <c r="AB269" t="s">
        <v>49</v>
      </c>
      <c r="AC269" t="s">
        <v>49</v>
      </c>
      <c r="AD269" t="s">
        <v>1279</v>
      </c>
      <c r="AE269" t="s">
        <v>185</v>
      </c>
      <c r="AF269" t="s">
        <v>1280</v>
      </c>
      <c r="AG269" t="s">
        <v>196</v>
      </c>
      <c r="AH269" s="93">
        <f>VLOOKUP(Table1[[#This Row],[Caste]],Factor!$H$1:$K$13,4,0)</f>
        <v>1.2612194085121222</v>
      </c>
      <c r="AI26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69">
        <f>Table1[[#This Row],[Factor_1]]*Table1[[#This Row],[2024 Factor]]</f>
        <v>0.92029223709519836</v>
      </c>
      <c r="AK269">
        <f>VLOOKUP(Table1[[#This Row],[Q18: Gender]],Factor!$A$33:$E$35,5,0)</f>
        <v>0.85034013605442171</v>
      </c>
      <c r="AL269">
        <f>VLOOKUP(Table1[[#This Row],[Taluka]],Factor!$A$42:$G$46,7,0)</f>
        <v>1.147984664167413</v>
      </c>
      <c r="AM269">
        <f>VLOOKUP(Table1[[#This Row],[Caste]]&amp;Table1[[#This Row],[Q18: Gender]],Factor!$W$1:$X$23,2,0)</f>
        <v>0.85249089649430487</v>
      </c>
      <c r="AN269">
        <f>VLOOKUP(Table1[[#This Row],[Taluka]]&amp;Table1[[#This Row],[Caste]]&amp;Table1[[#This Row],[Q18: Gender]],Factor!$AK$4:$AL$93,2,0)</f>
        <v>0.41451794778650441</v>
      </c>
      <c r="AO269">
        <f t="shared" si="44"/>
        <v>-1</v>
      </c>
      <c r="AP269">
        <f t="shared" si="45"/>
        <v>-1</v>
      </c>
      <c r="AQ269">
        <f t="shared" si="46"/>
        <v>-1</v>
      </c>
      <c r="AR269">
        <f t="shared" si="47"/>
        <v>-1</v>
      </c>
      <c r="AS269">
        <f t="shared" si="48"/>
        <v>-1</v>
      </c>
      <c r="AT269">
        <f t="shared" si="49"/>
        <v>-1</v>
      </c>
      <c r="AU269">
        <f t="shared" si="50"/>
        <v>-5.5</v>
      </c>
      <c r="AV269">
        <f>SUM(Table1[[#This Row],[Satis]:[29]])</f>
        <v>-6</v>
      </c>
      <c r="AW269">
        <f t="shared" si="51"/>
        <v>-5</v>
      </c>
      <c r="AX269">
        <f t="shared" si="52"/>
        <v>-4</v>
      </c>
      <c r="AY269">
        <f t="shared" si="53"/>
        <v>-3</v>
      </c>
      <c r="AZ269" t="str">
        <f t="shared" si="54"/>
        <v>TDP HardCore</v>
      </c>
    </row>
    <row r="270" spans="1:52" x14ac:dyDescent="0.3">
      <c r="A270" t="s">
        <v>1892</v>
      </c>
      <c r="B270" s="94">
        <v>46044</v>
      </c>
      <c r="C270" t="s">
        <v>1893</v>
      </c>
      <c r="D270" t="s">
        <v>1894</v>
      </c>
      <c r="E270" t="s">
        <v>1436</v>
      </c>
      <c r="F270" t="s">
        <v>69</v>
      </c>
      <c r="G270" t="s">
        <v>39</v>
      </c>
      <c r="H270" t="s">
        <v>1895</v>
      </c>
      <c r="I270" t="s">
        <v>227</v>
      </c>
      <c r="J270" t="s">
        <v>219</v>
      </c>
      <c r="K270" t="s">
        <v>223</v>
      </c>
      <c r="L270" t="s">
        <v>62</v>
      </c>
      <c r="M270" t="s">
        <v>51</v>
      </c>
      <c r="N270" t="s">
        <v>52</v>
      </c>
      <c r="O270" t="s">
        <v>542</v>
      </c>
      <c r="P270">
        <v>9381036835</v>
      </c>
      <c r="Q270" t="s">
        <v>54</v>
      </c>
      <c r="R270" t="s">
        <v>73</v>
      </c>
      <c r="S270" t="s">
        <v>43</v>
      </c>
      <c r="T270" t="s">
        <v>43</v>
      </c>
      <c r="U270" t="s">
        <v>44</v>
      </c>
      <c r="V270" t="s">
        <v>45</v>
      </c>
      <c r="W270" t="s">
        <v>5084</v>
      </c>
      <c r="X270" t="s">
        <v>45</v>
      </c>
      <c r="Y270" t="s">
        <v>46</v>
      </c>
      <c r="Z270" t="s">
        <v>47</v>
      </c>
      <c r="AA270" t="s">
        <v>48</v>
      </c>
      <c r="AB270" t="s">
        <v>49</v>
      </c>
      <c r="AC270" t="s">
        <v>49</v>
      </c>
      <c r="AD270" t="s">
        <v>1270</v>
      </c>
      <c r="AE270" t="s">
        <v>185</v>
      </c>
      <c r="AF270" t="s">
        <v>1379</v>
      </c>
      <c r="AG270" t="s">
        <v>196</v>
      </c>
      <c r="AH270" s="93">
        <f>VLOOKUP(Table1[[#This Row],[Caste]],Factor!$H$1:$K$13,4,0)</f>
        <v>1.2612194085121222</v>
      </c>
      <c r="AI27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70">
        <f>Table1[[#This Row],[Factor_1]]*Table1[[#This Row],[2024 Factor]]</f>
        <v>0.92029223709519836</v>
      </c>
      <c r="AK270">
        <f>VLOOKUP(Table1[[#This Row],[Q18: Gender]],Factor!$A$33:$E$35,5,0)</f>
        <v>0.85034013605442171</v>
      </c>
      <c r="AL270">
        <f>VLOOKUP(Table1[[#This Row],[Taluka]],Factor!$A$42:$G$46,7,0)</f>
        <v>1.147984664167413</v>
      </c>
      <c r="AM270">
        <f>VLOOKUP(Table1[[#This Row],[Caste]]&amp;Table1[[#This Row],[Q18: Gender]],Factor!$W$1:$X$23,2,0)</f>
        <v>0.85249089649430487</v>
      </c>
      <c r="AN270">
        <f>VLOOKUP(Table1[[#This Row],[Taluka]]&amp;Table1[[#This Row],[Caste]]&amp;Table1[[#This Row],[Q18: Gender]],Factor!$AK$4:$AL$93,2,0)</f>
        <v>0.41451794778650441</v>
      </c>
      <c r="AO270">
        <f t="shared" si="44"/>
        <v>-1</v>
      </c>
      <c r="AP270">
        <f t="shared" si="45"/>
        <v>-1</v>
      </c>
      <c r="AQ270">
        <f t="shared" si="46"/>
        <v>-1</v>
      </c>
      <c r="AR270">
        <f t="shared" si="47"/>
        <v>-1</v>
      </c>
      <c r="AS270">
        <f t="shared" si="48"/>
        <v>-1</v>
      </c>
      <c r="AT270">
        <f t="shared" si="49"/>
        <v>-1</v>
      </c>
      <c r="AU270">
        <f t="shared" si="50"/>
        <v>-5.5</v>
      </c>
      <c r="AV270">
        <f>SUM(Table1[[#This Row],[Satis]:[29]])</f>
        <v>-6</v>
      </c>
      <c r="AW270">
        <f t="shared" si="51"/>
        <v>-5</v>
      </c>
      <c r="AX270">
        <f t="shared" si="52"/>
        <v>-4</v>
      </c>
      <c r="AY270">
        <f t="shared" si="53"/>
        <v>-3</v>
      </c>
      <c r="AZ270" t="str">
        <f t="shared" si="54"/>
        <v>TDP HardCore</v>
      </c>
    </row>
    <row r="271" spans="1:52" x14ac:dyDescent="0.3">
      <c r="A271" t="s">
        <v>1675</v>
      </c>
      <c r="B271" s="94">
        <v>46044</v>
      </c>
      <c r="C271" t="s">
        <v>1676</v>
      </c>
      <c r="D271" t="s">
        <v>1677</v>
      </c>
      <c r="E271" t="s">
        <v>1352</v>
      </c>
      <c r="F271" t="s">
        <v>69</v>
      </c>
      <c r="G271" t="s">
        <v>39</v>
      </c>
      <c r="H271" t="s">
        <v>1678</v>
      </c>
      <c r="I271" t="s">
        <v>168</v>
      </c>
      <c r="J271" t="s">
        <v>219</v>
      </c>
      <c r="K271" t="s">
        <v>221</v>
      </c>
      <c r="L271" t="s">
        <v>75</v>
      </c>
      <c r="M271" t="s">
        <v>51</v>
      </c>
      <c r="N271" t="s">
        <v>63</v>
      </c>
      <c r="O271" t="s">
        <v>1679</v>
      </c>
      <c r="P271">
        <v>9515465715</v>
      </c>
      <c r="Q271" t="s">
        <v>445</v>
      </c>
      <c r="R271" t="s">
        <v>132</v>
      </c>
      <c r="S271" t="s">
        <v>89</v>
      </c>
      <c r="T271" t="s">
        <v>43</v>
      </c>
      <c r="U271" t="s">
        <v>90</v>
      </c>
      <c r="V271" t="s">
        <v>91</v>
      </c>
      <c r="W271" t="s">
        <v>74</v>
      </c>
      <c r="X271" t="s">
        <v>45</v>
      </c>
      <c r="Y271" t="s">
        <v>46</v>
      </c>
      <c r="Z271" t="s">
        <v>47</v>
      </c>
      <c r="AA271" t="s">
        <v>48</v>
      </c>
      <c r="AB271" t="s">
        <v>49</v>
      </c>
      <c r="AC271" t="s">
        <v>49</v>
      </c>
      <c r="AD271" t="s">
        <v>1279</v>
      </c>
      <c r="AE271" t="s">
        <v>1271</v>
      </c>
      <c r="AF271" t="s">
        <v>1680</v>
      </c>
      <c r="AG271" t="s">
        <v>196</v>
      </c>
      <c r="AH271" s="93">
        <f>VLOOKUP(Table1[[#This Row],[Caste]],Factor!$H$1:$K$13,4,0)</f>
        <v>1.0478809952686368</v>
      </c>
      <c r="AI27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71">
        <f>Table1[[#This Row],[Factor_1]]*Table1[[#This Row],[2024 Factor]]</f>
        <v>1.7911020357040086</v>
      </c>
      <c r="AK271">
        <f>VLOOKUP(Table1[[#This Row],[Q18: Gender]],Factor!$A$33:$E$35,5,0)</f>
        <v>2.1645021645021645</v>
      </c>
      <c r="AL271">
        <f>VLOOKUP(Table1[[#This Row],[Taluka]],Factor!$A$42:$G$46,7,0)</f>
        <v>1.147984664167413</v>
      </c>
      <c r="AM271">
        <f>VLOOKUP(Table1[[#This Row],[Caste]]&amp;Table1[[#This Row],[Q18: Gender]],Factor!$W$1:$X$23,2,0)</f>
        <v>1.6591449091753416</v>
      </c>
      <c r="AN271">
        <f>VLOOKUP(Table1[[#This Row],[Taluka]]&amp;Table1[[#This Row],[Caste]]&amp;Table1[[#This Row],[Q18: Gender]],Factor!$AK$4:$AL$93,2,0)</f>
        <v>1.4342187022576396</v>
      </c>
      <c r="AO271">
        <f t="shared" si="44"/>
        <v>-1</v>
      </c>
      <c r="AP271">
        <f t="shared" si="45"/>
        <v>1</v>
      </c>
      <c r="AQ271">
        <f t="shared" si="46"/>
        <v>1</v>
      </c>
      <c r="AR271">
        <f t="shared" si="47"/>
        <v>-1</v>
      </c>
      <c r="AS271">
        <f t="shared" si="48"/>
        <v>-1</v>
      </c>
      <c r="AT271">
        <f t="shared" si="49"/>
        <v>-1</v>
      </c>
      <c r="AU271">
        <f t="shared" si="50"/>
        <v>-1.5</v>
      </c>
      <c r="AV271">
        <f>SUM(Table1[[#This Row],[Satis]:[29]])</f>
        <v>-2</v>
      </c>
      <c r="AW271">
        <f t="shared" si="51"/>
        <v>-3</v>
      </c>
      <c r="AX271">
        <f t="shared" si="52"/>
        <v>-2</v>
      </c>
      <c r="AY271">
        <f t="shared" si="53"/>
        <v>-3</v>
      </c>
      <c r="AZ271" t="str">
        <f t="shared" si="54"/>
        <v>Neutral TDP</v>
      </c>
    </row>
    <row r="272" spans="1:52" x14ac:dyDescent="0.3">
      <c r="A272" t="s">
        <v>1928</v>
      </c>
      <c r="B272" s="94">
        <v>46044</v>
      </c>
      <c r="C272" t="s">
        <v>1929</v>
      </c>
      <c r="D272" t="s">
        <v>1930</v>
      </c>
      <c r="E272" t="s">
        <v>1931</v>
      </c>
      <c r="F272" t="s">
        <v>240</v>
      </c>
      <c r="G272" t="s">
        <v>39</v>
      </c>
      <c r="H272" t="s">
        <v>1932</v>
      </c>
      <c r="I272" t="s">
        <v>168</v>
      </c>
      <c r="J272" t="s">
        <v>71</v>
      </c>
      <c r="K272" t="s">
        <v>214</v>
      </c>
      <c r="L272" t="s">
        <v>62</v>
      </c>
      <c r="M272" t="s">
        <v>51</v>
      </c>
      <c r="N272" t="s">
        <v>63</v>
      </c>
      <c r="O272" t="s">
        <v>1933</v>
      </c>
      <c r="P272">
        <v>999999999</v>
      </c>
      <c r="Q272" t="s">
        <v>445</v>
      </c>
      <c r="R272" t="s">
        <v>73</v>
      </c>
      <c r="S272" t="s">
        <v>43</v>
      </c>
      <c r="T272" t="s">
        <v>43</v>
      </c>
      <c r="U272" t="s">
        <v>90</v>
      </c>
      <c r="V272" t="s">
        <v>45</v>
      </c>
      <c r="W272" t="s">
        <v>5054</v>
      </c>
      <c r="X272" t="s">
        <v>45</v>
      </c>
      <c r="Y272" t="s">
        <v>46</v>
      </c>
      <c r="Z272" t="s">
        <v>47</v>
      </c>
      <c r="AA272" t="s">
        <v>48</v>
      </c>
      <c r="AB272" t="s">
        <v>49</v>
      </c>
      <c r="AC272" t="s">
        <v>49</v>
      </c>
      <c r="AD272" t="s">
        <v>1279</v>
      </c>
      <c r="AE272" t="s">
        <v>185</v>
      </c>
      <c r="AF272" t="s">
        <v>1280</v>
      </c>
      <c r="AG272" t="s">
        <v>196</v>
      </c>
      <c r="AH272" s="93">
        <f>VLOOKUP(Table1[[#This Row],[Caste]],Factor!$H$1:$K$13,4,0)</f>
        <v>1.0478809952686368</v>
      </c>
      <c r="AI27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72">
        <f>Table1[[#This Row],[Factor_1]]*Table1[[#This Row],[2024 Factor]]</f>
        <v>1.7911020357040086</v>
      </c>
      <c r="AK272">
        <f>VLOOKUP(Table1[[#This Row],[Q18: Gender]],Factor!$A$33:$E$35,5,0)</f>
        <v>2.1645021645021645</v>
      </c>
      <c r="AL272">
        <f>VLOOKUP(Table1[[#This Row],[Taluka]],Factor!$A$42:$G$46,7,0)</f>
        <v>1.1213131007097483</v>
      </c>
      <c r="AM272">
        <f>VLOOKUP(Table1[[#This Row],[Caste]]&amp;Table1[[#This Row],[Q18: Gender]],Factor!$W$1:$X$23,2,0)</f>
        <v>1.6591449091753416</v>
      </c>
      <c r="AN272">
        <f>VLOOKUP(Table1[[#This Row],[Taluka]]&amp;Table1[[#This Row],[Caste]]&amp;Table1[[#This Row],[Q18: Gender]],Factor!$AK$4:$AL$93,2,0)</f>
        <v>1.4399657941188679</v>
      </c>
      <c r="AO272">
        <f t="shared" si="44"/>
        <v>-1</v>
      </c>
      <c r="AP272">
        <f t="shared" si="45"/>
        <v>1</v>
      </c>
      <c r="AQ272">
        <f t="shared" si="46"/>
        <v>-1</v>
      </c>
      <c r="AR272">
        <f t="shared" si="47"/>
        <v>-1</v>
      </c>
      <c r="AS272">
        <f t="shared" si="48"/>
        <v>-1</v>
      </c>
      <c r="AT272">
        <f t="shared" si="49"/>
        <v>-1</v>
      </c>
      <c r="AU272">
        <f t="shared" si="50"/>
        <v>-3.5</v>
      </c>
      <c r="AV272">
        <f>SUM(Table1[[#This Row],[Satis]:[29]])</f>
        <v>-4</v>
      </c>
      <c r="AW272">
        <f t="shared" si="51"/>
        <v>-5</v>
      </c>
      <c r="AX272">
        <f t="shared" si="52"/>
        <v>-4</v>
      </c>
      <c r="AY272">
        <f t="shared" si="53"/>
        <v>-3</v>
      </c>
      <c r="AZ272" t="str">
        <f t="shared" si="54"/>
        <v>TDP Sympathiser</v>
      </c>
    </row>
    <row r="273" spans="1:52" x14ac:dyDescent="0.3">
      <c r="A273" t="s">
        <v>2087</v>
      </c>
      <c r="B273" s="94">
        <v>46044</v>
      </c>
      <c r="C273" t="s">
        <v>2088</v>
      </c>
      <c r="D273" t="s">
        <v>1656</v>
      </c>
      <c r="E273" t="s">
        <v>1647</v>
      </c>
      <c r="F273" t="s">
        <v>69</v>
      </c>
      <c r="G273" t="s">
        <v>39</v>
      </c>
      <c r="H273" t="s">
        <v>2089</v>
      </c>
      <c r="I273" t="s">
        <v>70</v>
      </c>
      <c r="J273" t="s">
        <v>219</v>
      </c>
      <c r="K273" t="s">
        <v>223</v>
      </c>
      <c r="L273" t="s">
        <v>451</v>
      </c>
      <c r="M273" t="s">
        <v>51</v>
      </c>
      <c r="N273" t="s">
        <v>52</v>
      </c>
      <c r="O273" t="s">
        <v>1658</v>
      </c>
      <c r="P273">
        <v>9999999999</v>
      </c>
      <c r="Q273" t="s">
        <v>445</v>
      </c>
      <c r="R273" t="s">
        <v>132</v>
      </c>
      <c r="S273" t="s">
        <v>89</v>
      </c>
      <c r="T273" t="s">
        <v>89</v>
      </c>
      <c r="U273" t="s">
        <v>90</v>
      </c>
      <c r="V273" t="s">
        <v>91</v>
      </c>
      <c r="W273" t="s">
        <v>5067</v>
      </c>
      <c r="X273" t="s">
        <v>91</v>
      </c>
      <c r="Y273" t="s">
        <v>638</v>
      </c>
      <c r="Z273" t="s">
        <v>92</v>
      </c>
      <c r="AA273" t="s">
        <v>92</v>
      </c>
      <c r="AB273" t="s">
        <v>147</v>
      </c>
      <c r="AC273" t="s">
        <v>94</v>
      </c>
      <c r="AD273" t="s">
        <v>1270</v>
      </c>
      <c r="AE273" t="s">
        <v>185</v>
      </c>
      <c r="AF273">
        <v>0</v>
      </c>
      <c r="AG273" t="s">
        <v>196</v>
      </c>
      <c r="AH273" s="93">
        <f>VLOOKUP(Table1[[#This Row],[Caste]],Factor!$H$1:$K$13,4,0)</f>
        <v>1.3836274505214585</v>
      </c>
      <c r="AI273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273">
        <f>Table1[[#This Row],[Factor_1]]*Table1[[#This Row],[2024 Factor]]</f>
        <v>3.4809023142961388</v>
      </c>
      <c r="AK273">
        <f>VLOOKUP(Table1[[#This Row],[Q18: Gender]],Factor!$A$33:$E$35,5,0)</f>
        <v>2.1645021645021645</v>
      </c>
      <c r="AL273">
        <f>VLOOKUP(Table1[[#This Row],[Taluka]],Factor!$A$42:$G$46,7,0)</f>
        <v>1.147984664167413</v>
      </c>
      <c r="AM273">
        <f>VLOOKUP(Table1[[#This Row],[Caste]]&amp;Table1[[#This Row],[Q18: Gender]],Factor!$W$1:$X$23,2,0)</f>
        <v>1.9278542477265657</v>
      </c>
      <c r="AN273">
        <f>VLOOKUP(Table1[[#This Row],[Taluka]]&amp;Table1[[#This Row],[Caste]]&amp;Table1[[#This Row],[Q18: Gender]],Factor!$AK$4:$AL$93,2,0)</f>
        <v>3.2048072590163397</v>
      </c>
      <c r="AO273">
        <f t="shared" si="44"/>
        <v>1</v>
      </c>
      <c r="AP273">
        <f t="shared" si="45"/>
        <v>1</v>
      </c>
      <c r="AQ273">
        <f t="shared" si="46"/>
        <v>1</v>
      </c>
      <c r="AR273">
        <f t="shared" si="47"/>
        <v>1</v>
      </c>
      <c r="AS273">
        <f t="shared" si="48"/>
        <v>1</v>
      </c>
      <c r="AT273">
        <f t="shared" si="49"/>
        <v>1</v>
      </c>
      <c r="AU273">
        <f t="shared" si="50"/>
        <v>5.5</v>
      </c>
      <c r="AV273">
        <f>SUM(Table1[[#This Row],[Satis]:[29]])</f>
        <v>6</v>
      </c>
      <c r="AW273">
        <f t="shared" si="51"/>
        <v>5</v>
      </c>
      <c r="AX273">
        <f t="shared" si="52"/>
        <v>4</v>
      </c>
      <c r="AY273">
        <f t="shared" si="53"/>
        <v>3</v>
      </c>
      <c r="AZ273" t="str">
        <f t="shared" si="54"/>
        <v>YSRCP HardCore</v>
      </c>
    </row>
    <row r="274" spans="1:52" x14ac:dyDescent="0.3">
      <c r="A274" t="s">
        <v>1819</v>
      </c>
      <c r="B274" s="94">
        <v>46044</v>
      </c>
      <c r="C274" t="s">
        <v>1820</v>
      </c>
      <c r="D274" t="s">
        <v>1821</v>
      </c>
      <c r="E274" t="s">
        <v>1822</v>
      </c>
      <c r="F274" t="s">
        <v>240</v>
      </c>
      <c r="G274" t="s">
        <v>39</v>
      </c>
      <c r="H274" t="s">
        <v>1823</v>
      </c>
      <c r="I274" t="s">
        <v>168</v>
      </c>
      <c r="J274" t="s">
        <v>71</v>
      </c>
      <c r="K274" t="s">
        <v>214</v>
      </c>
      <c r="L274" t="s">
        <v>62</v>
      </c>
      <c r="M274" t="s">
        <v>443</v>
      </c>
      <c r="N274" t="s">
        <v>63</v>
      </c>
      <c r="O274" t="s">
        <v>1824</v>
      </c>
      <c r="P274">
        <v>9640672467</v>
      </c>
      <c r="Q274" t="s">
        <v>54</v>
      </c>
      <c r="R274" t="s">
        <v>73</v>
      </c>
      <c r="S274" t="s">
        <v>43</v>
      </c>
      <c r="T274" t="s">
        <v>43</v>
      </c>
      <c r="U274" t="s">
        <v>90</v>
      </c>
      <c r="V274" t="s">
        <v>45</v>
      </c>
      <c r="W274" t="s">
        <v>5056</v>
      </c>
      <c r="X274" t="s">
        <v>45</v>
      </c>
      <c r="Y274" t="s">
        <v>46</v>
      </c>
      <c r="Z274" t="s">
        <v>47</v>
      </c>
      <c r="AA274" t="s">
        <v>48</v>
      </c>
      <c r="AB274" t="s">
        <v>49</v>
      </c>
      <c r="AC274" t="s">
        <v>49</v>
      </c>
      <c r="AD274" t="s">
        <v>1270</v>
      </c>
      <c r="AE274" t="s">
        <v>185</v>
      </c>
      <c r="AF274" t="s">
        <v>1825</v>
      </c>
      <c r="AG274" t="s">
        <v>196</v>
      </c>
      <c r="AH274" s="93">
        <f>VLOOKUP(Table1[[#This Row],[Caste]],Factor!$H$1:$K$13,4,0)</f>
        <v>1.0478809952686368</v>
      </c>
      <c r="AI27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74">
        <f>Table1[[#This Row],[Factor_1]]*Table1[[#This Row],[2024 Factor]]</f>
        <v>0.8266624780172348</v>
      </c>
      <c r="AK274">
        <f>VLOOKUP(Table1[[#This Row],[Q18: Gender]],Factor!$A$33:$E$35,5,0)</f>
        <v>0.85034013605442171</v>
      </c>
      <c r="AL274">
        <f>VLOOKUP(Table1[[#This Row],[Taluka]],Factor!$A$42:$G$46,7,0)</f>
        <v>1.1213131007097483</v>
      </c>
      <c r="AM274">
        <f>VLOOKUP(Table1[[#This Row],[Caste]]&amp;Table1[[#This Row],[Q18: Gender]],Factor!$W$1:$X$23,2,0)</f>
        <v>0.7657591888501577</v>
      </c>
      <c r="AN274">
        <f>VLOOKUP(Table1[[#This Row],[Taluka]]&amp;Table1[[#This Row],[Caste]]&amp;Table1[[#This Row],[Q18: Gender]],Factor!$AK$4:$AL$93,2,0)</f>
        <v>2.8799315882377359</v>
      </c>
      <c r="AO274">
        <f t="shared" si="44"/>
        <v>-1</v>
      </c>
      <c r="AP274">
        <f t="shared" si="45"/>
        <v>1</v>
      </c>
      <c r="AQ274">
        <f t="shared" si="46"/>
        <v>-1</v>
      </c>
      <c r="AR274">
        <f t="shared" si="47"/>
        <v>-1</v>
      </c>
      <c r="AS274">
        <f t="shared" si="48"/>
        <v>-1</v>
      </c>
      <c r="AT274">
        <f t="shared" si="49"/>
        <v>-1</v>
      </c>
      <c r="AU274">
        <f t="shared" si="50"/>
        <v>-3.5</v>
      </c>
      <c r="AV274">
        <f>SUM(Table1[[#This Row],[Satis]:[29]])</f>
        <v>-4</v>
      </c>
      <c r="AW274">
        <f t="shared" si="51"/>
        <v>-5</v>
      </c>
      <c r="AX274">
        <f t="shared" si="52"/>
        <v>-4</v>
      </c>
      <c r="AY274">
        <f t="shared" si="53"/>
        <v>-3</v>
      </c>
      <c r="AZ274" t="str">
        <f t="shared" si="54"/>
        <v>TDP Sympathiser</v>
      </c>
    </row>
    <row r="275" spans="1:52" x14ac:dyDescent="0.3">
      <c r="A275" t="s">
        <v>1698</v>
      </c>
      <c r="B275" s="94">
        <v>46044</v>
      </c>
      <c r="C275" t="s">
        <v>1699</v>
      </c>
      <c r="D275" t="s">
        <v>1700</v>
      </c>
      <c r="E275" t="s">
        <v>1701</v>
      </c>
      <c r="F275" t="s">
        <v>935</v>
      </c>
      <c r="G275" t="s">
        <v>39</v>
      </c>
      <c r="H275" t="s">
        <v>1702</v>
      </c>
      <c r="I275" t="s">
        <v>36</v>
      </c>
      <c r="J275" t="s">
        <v>219</v>
      </c>
      <c r="K275" t="s">
        <v>224</v>
      </c>
      <c r="L275" t="s">
        <v>451</v>
      </c>
      <c r="M275" t="s">
        <v>51</v>
      </c>
      <c r="N275" t="s">
        <v>52</v>
      </c>
      <c r="O275" t="s">
        <v>1703</v>
      </c>
      <c r="P275">
        <v>9550242727</v>
      </c>
      <c r="Q275" t="s">
        <v>445</v>
      </c>
      <c r="R275" t="s">
        <v>139</v>
      </c>
      <c r="S275" t="s">
        <v>43</v>
      </c>
      <c r="T275" t="s">
        <v>43</v>
      </c>
      <c r="U275" t="s">
        <v>44</v>
      </c>
      <c r="V275" t="s">
        <v>45</v>
      </c>
      <c r="W275" t="s">
        <v>5087</v>
      </c>
      <c r="X275" t="s">
        <v>45</v>
      </c>
      <c r="Y275" t="s">
        <v>46</v>
      </c>
      <c r="Z275" t="s">
        <v>47</v>
      </c>
      <c r="AA275" t="s">
        <v>48</v>
      </c>
      <c r="AB275" t="s">
        <v>49</v>
      </c>
      <c r="AC275" t="s">
        <v>49</v>
      </c>
      <c r="AD275" t="s">
        <v>1279</v>
      </c>
      <c r="AE275" t="s">
        <v>1250</v>
      </c>
      <c r="AF275" t="s">
        <v>1614</v>
      </c>
      <c r="AG275" t="s">
        <v>498</v>
      </c>
      <c r="AH275" s="93">
        <f>VLOOKUP(Table1[[#This Row],[Caste]],Factor!$H$1:$K$13,4,0)</f>
        <v>1.1705128247062893</v>
      </c>
      <c r="AI27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75">
        <f>Table1[[#This Row],[Factor_1]]*Table1[[#This Row],[2024 Factor]]</f>
        <v>2.3577066232182737</v>
      </c>
      <c r="AK275">
        <f>VLOOKUP(Table1[[#This Row],[Q18: Gender]],Factor!$A$33:$E$35,5,0)</f>
        <v>2.1645021645021645</v>
      </c>
      <c r="AL275">
        <f>VLOOKUP(Table1[[#This Row],[Taluka]],Factor!$A$42:$G$46,7,0)</f>
        <v>1.147984664167413</v>
      </c>
      <c r="AM275">
        <f>VLOOKUP(Table1[[#This Row],[Caste]]&amp;Table1[[#This Row],[Q18: Gender]],Factor!$W$1:$X$23,2,0)</f>
        <v>2.1840056363422229</v>
      </c>
      <c r="AN275">
        <f>VLOOKUP(Table1[[#This Row],[Taluka]]&amp;Table1[[#This Row],[Caste]]&amp;Table1[[#This Row],[Q18: Gender]],Factor!$AK$4:$AL$93,2,0)</f>
        <v>25.80164641806067</v>
      </c>
      <c r="AO275">
        <f t="shared" si="44"/>
        <v>-1</v>
      </c>
      <c r="AP275">
        <f t="shared" si="45"/>
        <v>-1</v>
      </c>
      <c r="AQ275">
        <f t="shared" si="46"/>
        <v>-1</v>
      </c>
      <c r="AR275">
        <f t="shared" si="47"/>
        <v>-1</v>
      </c>
      <c r="AS275">
        <f t="shared" si="48"/>
        <v>-1</v>
      </c>
      <c r="AT275">
        <f t="shared" si="49"/>
        <v>-1</v>
      </c>
      <c r="AU275">
        <f t="shared" si="50"/>
        <v>-5.5</v>
      </c>
      <c r="AV275">
        <f>SUM(Table1[[#This Row],[Satis]:[29]])</f>
        <v>-6</v>
      </c>
      <c r="AW275">
        <f t="shared" si="51"/>
        <v>-5</v>
      </c>
      <c r="AX275">
        <f t="shared" si="52"/>
        <v>-4</v>
      </c>
      <c r="AY275">
        <f t="shared" si="53"/>
        <v>-3</v>
      </c>
      <c r="AZ275" t="str">
        <f t="shared" si="54"/>
        <v>TDP HardCore</v>
      </c>
    </row>
    <row r="276" spans="1:52" x14ac:dyDescent="0.3">
      <c r="A276" t="s">
        <v>1704</v>
      </c>
      <c r="B276" s="94">
        <v>46044</v>
      </c>
      <c r="C276" t="s">
        <v>1705</v>
      </c>
      <c r="D276" t="s">
        <v>1706</v>
      </c>
      <c r="E276" t="s">
        <v>1306</v>
      </c>
      <c r="F276" t="s">
        <v>935</v>
      </c>
      <c r="G276" t="s">
        <v>39</v>
      </c>
      <c r="H276" t="s">
        <v>1707</v>
      </c>
      <c r="I276" t="s">
        <v>229</v>
      </c>
      <c r="J276" t="s">
        <v>219</v>
      </c>
      <c r="K276" t="s">
        <v>224</v>
      </c>
      <c r="L276" t="s">
        <v>82</v>
      </c>
      <c r="M276" t="s">
        <v>51</v>
      </c>
      <c r="N276" t="s">
        <v>162</v>
      </c>
      <c r="O276" t="s">
        <v>1708</v>
      </c>
      <c r="P276">
        <v>9989053760</v>
      </c>
      <c r="Q276" t="s">
        <v>54</v>
      </c>
      <c r="R276" t="s">
        <v>132</v>
      </c>
      <c r="S276" t="s">
        <v>43</v>
      </c>
      <c r="T276" t="s">
        <v>43</v>
      </c>
      <c r="U276" t="s">
        <v>44</v>
      </c>
      <c r="V276" t="s">
        <v>45</v>
      </c>
      <c r="W276" t="s">
        <v>5049</v>
      </c>
      <c r="X276" t="s">
        <v>45</v>
      </c>
      <c r="Y276" t="s">
        <v>46</v>
      </c>
      <c r="Z276" t="s">
        <v>47</v>
      </c>
      <c r="AA276" t="s">
        <v>48</v>
      </c>
      <c r="AB276" t="s">
        <v>49</v>
      </c>
      <c r="AC276" t="s">
        <v>49</v>
      </c>
      <c r="AD276" t="s">
        <v>1279</v>
      </c>
      <c r="AE276" t="s">
        <v>1250</v>
      </c>
      <c r="AF276" t="s">
        <v>1403</v>
      </c>
      <c r="AG276" t="s">
        <v>498</v>
      </c>
      <c r="AH276" s="93">
        <f>VLOOKUP(Table1[[#This Row],[Caste]],Factor!$H$1:$K$13,4,0)</f>
        <v>1.1209668980183516</v>
      </c>
      <c r="AI27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76">
        <f>Table1[[#This Row],[Factor_1]]*Table1[[#This Row],[2024 Factor]]</f>
        <v>1.0451044981059459</v>
      </c>
      <c r="AK276">
        <f>VLOOKUP(Table1[[#This Row],[Q18: Gender]],Factor!$A$33:$E$35,5,0)</f>
        <v>0.85034013605442171</v>
      </c>
      <c r="AL276">
        <f>VLOOKUP(Table1[[#This Row],[Taluka]],Factor!$A$42:$G$46,7,0)</f>
        <v>1.147984664167413</v>
      </c>
      <c r="AM276">
        <f>VLOOKUP(Table1[[#This Row],[Caste]]&amp;Table1[[#This Row],[Q18: Gender]],Factor!$W$1:$X$23,2,0)</f>
        <v>0.96810777556130356</v>
      </c>
      <c r="AN276">
        <f>VLOOKUP(Table1[[#This Row],[Taluka]]&amp;Table1[[#This Row],[Caste]]&amp;Table1[[#This Row],[Q18: Gender]],Factor!$AK$4:$AL$93,2,0)</f>
        <v>0.30685005205910726</v>
      </c>
      <c r="AO276">
        <f t="shared" si="44"/>
        <v>-1</v>
      </c>
      <c r="AP276">
        <f t="shared" si="45"/>
        <v>-1</v>
      </c>
      <c r="AQ276">
        <f t="shared" si="46"/>
        <v>-1</v>
      </c>
      <c r="AR276">
        <f t="shared" si="47"/>
        <v>-1</v>
      </c>
      <c r="AS276">
        <f t="shared" si="48"/>
        <v>-1</v>
      </c>
      <c r="AT276">
        <f t="shared" si="49"/>
        <v>-1</v>
      </c>
      <c r="AU276">
        <f t="shared" si="50"/>
        <v>-5.5</v>
      </c>
      <c r="AV276">
        <f>SUM(Table1[[#This Row],[Satis]:[29]])</f>
        <v>-6</v>
      </c>
      <c r="AW276">
        <f t="shared" si="51"/>
        <v>-5</v>
      </c>
      <c r="AX276">
        <f t="shared" si="52"/>
        <v>-4</v>
      </c>
      <c r="AY276">
        <f t="shared" si="53"/>
        <v>-3</v>
      </c>
      <c r="AZ276" t="str">
        <f t="shared" si="54"/>
        <v>TDP HardCore</v>
      </c>
    </row>
    <row r="277" spans="1:52" x14ac:dyDescent="0.3">
      <c r="A277" t="s">
        <v>1310</v>
      </c>
      <c r="B277" s="94">
        <v>46044</v>
      </c>
      <c r="C277" t="s">
        <v>1311</v>
      </c>
      <c r="D277" t="s">
        <v>1312</v>
      </c>
      <c r="E277" t="s">
        <v>1313</v>
      </c>
      <c r="F277" t="s">
        <v>240</v>
      </c>
      <c r="G277" t="s">
        <v>39</v>
      </c>
      <c r="H277" t="s">
        <v>1314</v>
      </c>
      <c r="I277" t="s">
        <v>229</v>
      </c>
      <c r="J277" t="s">
        <v>71</v>
      </c>
      <c r="K277" t="s">
        <v>214</v>
      </c>
      <c r="L277" t="s">
        <v>62</v>
      </c>
      <c r="M277" t="s">
        <v>51</v>
      </c>
      <c r="N277" t="s">
        <v>52</v>
      </c>
      <c r="O277" t="s">
        <v>452</v>
      </c>
      <c r="P277">
        <v>99999999</v>
      </c>
      <c r="Q277" t="s">
        <v>445</v>
      </c>
      <c r="R277" t="s">
        <v>73</v>
      </c>
      <c r="S277" t="s">
        <v>43</v>
      </c>
      <c r="T277" t="s">
        <v>43</v>
      </c>
      <c r="U277" t="s">
        <v>44</v>
      </c>
      <c r="V277" t="s">
        <v>45</v>
      </c>
      <c r="W277" t="s">
        <v>5093</v>
      </c>
      <c r="X277" t="s">
        <v>45</v>
      </c>
      <c r="Y277" t="s">
        <v>46</v>
      </c>
      <c r="Z277" t="s">
        <v>47</v>
      </c>
      <c r="AA277" t="s">
        <v>48</v>
      </c>
      <c r="AB277" t="s">
        <v>49</v>
      </c>
      <c r="AC277" t="s">
        <v>49</v>
      </c>
      <c r="AD277" t="s">
        <v>1279</v>
      </c>
      <c r="AE277" t="s">
        <v>185</v>
      </c>
      <c r="AF277" t="s">
        <v>1280</v>
      </c>
      <c r="AG277" t="s">
        <v>196</v>
      </c>
      <c r="AH277" s="93">
        <f>VLOOKUP(Table1[[#This Row],[Caste]],Factor!$H$1:$K$13,4,0)</f>
        <v>1.1209668980183516</v>
      </c>
      <c r="AI27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77">
        <f>Table1[[#This Row],[Factor_1]]*Table1[[#This Row],[2024 Factor]]</f>
        <v>1.4370186848956754</v>
      </c>
      <c r="AK277">
        <f>VLOOKUP(Table1[[#This Row],[Q18: Gender]],Factor!$A$33:$E$35,5,0)</f>
        <v>2.1645021645021645</v>
      </c>
      <c r="AL277">
        <f>VLOOKUP(Table1[[#This Row],[Taluka]],Factor!$A$42:$G$46,7,0)</f>
        <v>1.1213131007097483</v>
      </c>
      <c r="AM277">
        <f>VLOOKUP(Table1[[#This Row],[Caste]]&amp;Table1[[#This Row],[Q18: Gender]],Factor!$W$1:$X$23,2,0)</f>
        <v>1.3311481913967924</v>
      </c>
      <c r="AN277">
        <f>VLOOKUP(Table1[[#This Row],[Taluka]]&amp;Table1[[#This Row],[Caste]]&amp;Table1[[#This Row],[Q18: Gender]],Factor!$AK$4:$AL$93,2,0)</f>
        <v>1.5403981909912889</v>
      </c>
      <c r="AO277">
        <f t="shared" si="44"/>
        <v>-1</v>
      </c>
      <c r="AP277">
        <f t="shared" si="45"/>
        <v>-1</v>
      </c>
      <c r="AQ277">
        <f t="shared" si="46"/>
        <v>-1</v>
      </c>
      <c r="AR277">
        <f t="shared" si="47"/>
        <v>-1</v>
      </c>
      <c r="AS277">
        <f t="shared" si="48"/>
        <v>-1</v>
      </c>
      <c r="AT277">
        <f t="shared" si="49"/>
        <v>-1</v>
      </c>
      <c r="AU277">
        <f t="shared" si="50"/>
        <v>-5.5</v>
      </c>
      <c r="AV277">
        <f>SUM(Table1[[#This Row],[Satis]:[29]])</f>
        <v>-6</v>
      </c>
      <c r="AW277">
        <f t="shared" si="51"/>
        <v>-5</v>
      </c>
      <c r="AX277">
        <f t="shared" si="52"/>
        <v>-4</v>
      </c>
      <c r="AY277">
        <f t="shared" si="53"/>
        <v>-3</v>
      </c>
      <c r="AZ277" t="str">
        <f t="shared" si="54"/>
        <v>TDP HardCore</v>
      </c>
    </row>
    <row r="278" spans="1:52" x14ac:dyDescent="0.3">
      <c r="A278" t="s">
        <v>1715</v>
      </c>
      <c r="B278" s="94">
        <v>46044</v>
      </c>
      <c r="C278" t="s">
        <v>1716</v>
      </c>
      <c r="D278" t="s">
        <v>1717</v>
      </c>
      <c r="E278" t="s">
        <v>1718</v>
      </c>
      <c r="F278" t="s">
        <v>935</v>
      </c>
      <c r="G278" t="s">
        <v>39</v>
      </c>
      <c r="H278" t="s">
        <v>1719</v>
      </c>
      <c r="I278" t="s">
        <v>227</v>
      </c>
      <c r="J278" t="s">
        <v>219</v>
      </c>
      <c r="K278" t="s">
        <v>224</v>
      </c>
      <c r="L278" t="s">
        <v>62</v>
      </c>
      <c r="M278" t="s">
        <v>51</v>
      </c>
      <c r="N278" t="s">
        <v>63</v>
      </c>
      <c r="O278" t="s">
        <v>1720</v>
      </c>
      <c r="P278">
        <v>9704515574</v>
      </c>
      <c r="Q278" t="s">
        <v>54</v>
      </c>
      <c r="R278" t="s">
        <v>61</v>
      </c>
      <c r="S278" t="s">
        <v>88</v>
      </c>
      <c r="T278" t="s">
        <v>89</v>
      </c>
      <c r="U278" t="s">
        <v>90</v>
      </c>
      <c r="V278" t="s">
        <v>91</v>
      </c>
      <c r="W278" t="s">
        <v>5096</v>
      </c>
      <c r="X278" t="s">
        <v>91</v>
      </c>
      <c r="Y278" t="s">
        <v>46</v>
      </c>
      <c r="Z278" t="s">
        <v>92</v>
      </c>
      <c r="AA278" t="s">
        <v>92</v>
      </c>
      <c r="AB278" t="s">
        <v>93</v>
      </c>
      <c r="AC278" t="s">
        <v>94</v>
      </c>
      <c r="AD278" t="s">
        <v>1279</v>
      </c>
      <c r="AE278" t="s">
        <v>1271</v>
      </c>
      <c r="AF278" t="s">
        <v>1721</v>
      </c>
      <c r="AG278" t="s">
        <v>196</v>
      </c>
      <c r="AH278" s="93">
        <f>VLOOKUP(Table1[[#This Row],[Caste]],Factor!$H$1:$K$13,4,0)</f>
        <v>1.2612194085121222</v>
      </c>
      <c r="AI278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278">
        <f>Table1[[#This Row],[Factor_1]]*Table1[[#This Row],[2024 Factor]]</f>
        <v>1.5392437151422549</v>
      </c>
      <c r="AK278">
        <f>VLOOKUP(Table1[[#This Row],[Q18: Gender]],Factor!$A$33:$E$35,5,0)</f>
        <v>0.85034013605442171</v>
      </c>
      <c r="AL278">
        <f>VLOOKUP(Table1[[#This Row],[Taluka]],Factor!$A$42:$G$46,7,0)</f>
        <v>1.147984664167413</v>
      </c>
      <c r="AM278">
        <f>VLOOKUP(Table1[[#This Row],[Caste]]&amp;Table1[[#This Row],[Q18: Gender]],Factor!$W$1:$X$23,2,0)</f>
        <v>0.85249089649430487</v>
      </c>
      <c r="AN278">
        <f>VLOOKUP(Table1[[#This Row],[Taluka]]&amp;Table1[[#This Row],[Caste]]&amp;Table1[[#This Row],[Q18: Gender]],Factor!$AK$4:$AL$93,2,0)</f>
        <v>0.41451794778650441</v>
      </c>
      <c r="AO278">
        <f t="shared" si="44"/>
        <v>1</v>
      </c>
      <c r="AP278">
        <f t="shared" si="45"/>
        <v>1</v>
      </c>
      <c r="AQ278">
        <f t="shared" si="46"/>
        <v>1</v>
      </c>
      <c r="AR278">
        <f t="shared" si="47"/>
        <v>1</v>
      </c>
      <c r="AS278">
        <f t="shared" si="48"/>
        <v>1</v>
      </c>
      <c r="AT278">
        <f t="shared" si="49"/>
        <v>1</v>
      </c>
      <c r="AU278">
        <f t="shared" si="50"/>
        <v>5.5</v>
      </c>
      <c r="AV278">
        <f>SUM(Table1[[#This Row],[Satis]:[29]])</f>
        <v>6</v>
      </c>
      <c r="AW278">
        <f t="shared" si="51"/>
        <v>5</v>
      </c>
      <c r="AX278">
        <f t="shared" si="52"/>
        <v>4</v>
      </c>
      <c r="AY278">
        <f t="shared" si="53"/>
        <v>3</v>
      </c>
      <c r="AZ278" t="str">
        <f t="shared" si="54"/>
        <v>YSRCP HardCore</v>
      </c>
    </row>
    <row r="279" spans="1:52" x14ac:dyDescent="0.3">
      <c r="A279" t="s">
        <v>1722</v>
      </c>
      <c r="B279" s="94">
        <v>46044</v>
      </c>
      <c r="C279" t="s">
        <v>1723</v>
      </c>
      <c r="D279" t="s">
        <v>1724</v>
      </c>
      <c r="E279" t="s">
        <v>1725</v>
      </c>
      <c r="F279" t="s">
        <v>69</v>
      </c>
      <c r="G279" t="s">
        <v>39</v>
      </c>
      <c r="H279" t="s">
        <v>1726</v>
      </c>
      <c r="I279" t="s">
        <v>59</v>
      </c>
      <c r="J279" t="s">
        <v>219</v>
      </c>
      <c r="K279" t="s">
        <v>221</v>
      </c>
      <c r="L279" t="s">
        <v>75</v>
      </c>
      <c r="M279" t="s">
        <v>51</v>
      </c>
      <c r="N279" t="s">
        <v>52</v>
      </c>
      <c r="O279" t="s">
        <v>1727</v>
      </c>
      <c r="P279">
        <v>9999999999</v>
      </c>
      <c r="Q279" t="s">
        <v>54</v>
      </c>
      <c r="R279" t="s">
        <v>73</v>
      </c>
      <c r="S279" t="s">
        <v>43</v>
      </c>
      <c r="T279" t="s">
        <v>43</v>
      </c>
      <c r="U279" t="s">
        <v>44</v>
      </c>
      <c r="V279" t="s">
        <v>45</v>
      </c>
      <c r="W279" t="s">
        <v>5085</v>
      </c>
      <c r="X279" t="s">
        <v>45</v>
      </c>
      <c r="Y279" t="s">
        <v>46</v>
      </c>
      <c r="Z279" t="s">
        <v>47</v>
      </c>
      <c r="AA279" t="s">
        <v>48</v>
      </c>
      <c r="AB279" t="s">
        <v>49</v>
      </c>
      <c r="AC279" t="s">
        <v>49</v>
      </c>
      <c r="AD279" t="s">
        <v>1279</v>
      </c>
      <c r="AE279" t="s">
        <v>1271</v>
      </c>
      <c r="AF279" t="s">
        <v>1728</v>
      </c>
      <c r="AG279" t="s">
        <v>196</v>
      </c>
      <c r="AH279" s="93">
        <f>VLOOKUP(Table1[[#This Row],[Caste]],Factor!$H$1:$K$13,4,0)</f>
        <v>1.1461625511156397</v>
      </c>
      <c r="AI27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79">
        <f>Table1[[#This Row],[Factor_1]]*Table1[[#This Row],[2024 Factor]]</f>
        <v>0.77721139583220644</v>
      </c>
      <c r="AK279">
        <f>VLOOKUP(Table1[[#This Row],[Q18: Gender]],Factor!$A$33:$E$35,5,0)</f>
        <v>0.85034013605442171</v>
      </c>
      <c r="AL279">
        <f>VLOOKUP(Table1[[#This Row],[Taluka]],Factor!$A$42:$G$46,7,0)</f>
        <v>1.147984664167413</v>
      </c>
      <c r="AM279">
        <f>VLOOKUP(Table1[[#This Row],[Caste]]&amp;Table1[[#This Row],[Q18: Gender]],Factor!$W$1:$X$23,2,0)</f>
        <v>0.71995135120329123</v>
      </c>
      <c r="AN279">
        <f>VLOOKUP(Table1[[#This Row],[Taluka]]&amp;Table1[[#This Row],[Caste]]&amp;Table1[[#This Row],[Q18: Gender]],Factor!$AK$4:$AL$93,2,0)</f>
        <v>0.54319084681293095</v>
      </c>
      <c r="AO279">
        <f t="shared" si="44"/>
        <v>-1</v>
      </c>
      <c r="AP279">
        <f t="shared" si="45"/>
        <v>-1</v>
      </c>
      <c r="AQ279">
        <f t="shared" si="46"/>
        <v>-1</v>
      </c>
      <c r="AR279">
        <f t="shared" si="47"/>
        <v>-1</v>
      </c>
      <c r="AS279">
        <f t="shared" si="48"/>
        <v>-1</v>
      </c>
      <c r="AT279">
        <f t="shared" si="49"/>
        <v>-1</v>
      </c>
      <c r="AU279">
        <f t="shared" si="50"/>
        <v>-5.5</v>
      </c>
      <c r="AV279">
        <f>SUM(Table1[[#This Row],[Satis]:[29]])</f>
        <v>-6</v>
      </c>
      <c r="AW279">
        <f t="shared" si="51"/>
        <v>-5</v>
      </c>
      <c r="AX279">
        <f t="shared" si="52"/>
        <v>-4</v>
      </c>
      <c r="AY279">
        <f t="shared" si="53"/>
        <v>-3</v>
      </c>
      <c r="AZ279" t="str">
        <f t="shared" si="54"/>
        <v>TDP HardCore</v>
      </c>
    </row>
    <row r="280" spans="1:52" x14ac:dyDescent="0.3">
      <c r="A280" t="s">
        <v>1335</v>
      </c>
      <c r="B280" s="94">
        <v>46044</v>
      </c>
      <c r="C280" t="s">
        <v>1336</v>
      </c>
      <c r="D280" t="s">
        <v>1337</v>
      </c>
      <c r="E280" t="s">
        <v>1338</v>
      </c>
      <c r="F280" t="s">
        <v>240</v>
      </c>
      <c r="G280" t="s">
        <v>39</v>
      </c>
      <c r="H280" t="s">
        <v>1339</v>
      </c>
      <c r="I280" t="s">
        <v>59</v>
      </c>
      <c r="J280" t="s">
        <v>71</v>
      </c>
      <c r="K280" t="s">
        <v>214</v>
      </c>
      <c r="L280" t="s">
        <v>62</v>
      </c>
      <c r="M280" t="s">
        <v>51</v>
      </c>
      <c r="N280" t="s">
        <v>162</v>
      </c>
      <c r="O280" t="s">
        <v>1340</v>
      </c>
      <c r="P280">
        <v>9666298475</v>
      </c>
      <c r="Q280" t="s">
        <v>54</v>
      </c>
      <c r="R280" t="s">
        <v>61</v>
      </c>
      <c r="S280" t="s">
        <v>43</v>
      </c>
      <c r="T280" t="s">
        <v>43</v>
      </c>
      <c r="U280" t="s">
        <v>44</v>
      </c>
      <c r="V280" t="s">
        <v>45</v>
      </c>
      <c r="W280" t="s">
        <v>5056</v>
      </c>
      <c r="X280" t="s">
        <v>45</v>
      </c>
      <c r="Y280" t="s">
        <v>46</v>
      </c>
      <c r="Z280" t="s">
        <v>47</v>
      </c>
      <c r="AA280" t="s">
        <v>48</v>
      </c>
      <c r="AB280" t="s">
        <v>49</v>
      </c>
      <c r="AC280" t="s">
        <v>49</v>
      </c>
      <c r="AD280" t="s">
        <v>1270</v>
      </c>
      <c r="AE280" t="s">
        <v>185</v>
      </c>
      <c r="AF280" t="s">
        <v>1341</v>
      </c>
      <c r="AG280" t="s">
        <v>196</v>
      </c>
      <c r="AH280" s="93">
        <f>VLOOKUP(Table1[[#This Row],[Caste]],Factor!$H$1:$K$13,4,0)</f>
        <v>1.1461625511156397</v>
      </c>
      <c r="AI28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80">
        <f>Table1[[#This Row],[Factor_1]]*Table1[[#This Row],[2024 Factor]]</f>
        <v>0.77721139583220644</v>
      </c>
      <c r="AK280">
        <f>VLOOKUP(Table1[[#This Row],[Q18: Gender]],Factor!$A$33:$E$35,5,0)</f>
        <v>0.85034013605442171</v>
      </c>
      <c r="AL280">
        <f>VLOOKUP(Table1[[#This Row],[Taluka]],Factor!$A$42:$G$46,7,0)</f>
        <v>1.1213131007097483</v>
      </c>
      <c r="AM280">
        <f>VLOOKUP(Table1[[#This Row],[Caste]]&amp;Table1[[#This Row],[Q18: Gender]],Factor!$W$1:$X$23,2,0)</f>
        <v>0.71995135120329123</v>
      </c>
      <c r="AN280">
        <f>VLOOKUP(Table1[[#This Row],[Taluka]]&amp;Table1[[#This Row],[Caste]]&amp;Table1[[#This Row],[Q18: Gender]],Factor!$AK$4:$AL$93,2,0)</f>
        <v>1.3370299504035861</v>
      </c>
      <c r="AO280">
        <f t="shared" si="44"/>
        <v>-1</v>
      </c>
      <c r="AP280">
        <f t="shared" si="45"/>
        <v>-1</v>
      </c>
      <c r="AQ280">
        <f t="shared" si="46"/>
        <v>-1</v>
      </c>
      <c r="AR280">
        <f t="shared" si="47"/>
        <v>-1</v>
      </c>
      <c r="AS280">
        <f t="shared" si="48"/>
        <v>-1</v>
      </c>
      <c r="AT280">
        <f t="shared" si="49"/>
        <v>-1</v>
      </c>
      <c r="AU280">
        <f t="shared" si="50"/>
        <v>-5.5</v>
      </c>
      <c r="AV280">
        <f>SUM(Table1[[#This Row],[Satis]:[29]])</f>
        <v>-6</v>
      </c>
      <c r="AW280">
        <f t="shared" si="51"/>
        <v>-5</v>
      </c>
      <c r="AX280">
        <f t="shared" si="52"/>
        <v>-4</v>
      </c>
      <c r="AY280">
        <f t="shared" si="53"/>
        <v>-3</v>
      </c>
      <c r="AZ280" t="str">
        <f t="shared" si="54"/>
        <v>TDP HardCore</v>
      </c>
    </row>
    <row r="281" spans="1:52" x14ac:dyDescent="0.3">
      <c r="A281" t="s">
        <v>1404</v>
      </c>
      <c r="B281" s="94">
        <v>46044</v>
      </c>
      <c r="C281" t="s">
        <v>1405</v>
      </c>
      <c r="D281" t="s">
        <v>1406</v>
      </c>
      <c r="E281" t="s">
        <v>1407</v>
      </c>
      <c r="F281" t="s">
        <v>240</v>
      </c>
      <c r="G281" t="s">
        <v>39</v>
      </c>
      <c r="H281" t="s">
        <v>1408</v>
      </c>
      <c r="I281" t="s">
        <v>159</v>
      </c>
      <c r="J281" t="s">
        <v>71</v>
      </c>
      <c r="K281" t="s">
        <v>214</v>
      </c>
      <c r="L281" t="s">
        <v>62</v>
      </c>
      <c r="M281" t="s">
        <v>51</v>
      </c>
      <c r="N281" t="s">
        <v>107</v>
      </c>
      <c r="O281" t="s">
        <v>1409</v>
      </c>
      <c r="P281">
        <v>9701154498</v>
      </c>
      <c r="Q281" t="s">
        <v>445</v>
      </c>
      <c r="R281" t="s">
        <v>73</v>
      </c>
      <c r="S281" t="s">
        <v>43</v>
      </c>
      <c r="T281" t="s">
        <v>43</v>
      </c>
      <c r="U281" t="s">
        <v>44</v>
      </c>
      <c r="V281" t="s">
        <v>45</v>
      </c>
      <c r="W281" t="s">
        <v>5056</v>
      </c>
      <c r="X281" t="s">
        <v>45</v>
      </c>
      <c r="Y281" t="s">
        <v>46</v>
      </c>
      <c r="Z281" t="s">
        <v>47</v>
      </c>
      <c r="AA281" t="s">
        <v>48</v>
      </c>
      <c r="AB281" t="s">
        <v>49</v>
      </c>
      <c r="AC281" t="s">
        <v>49</v>
      </c>
      <c r="AD281" t="s">
        <v>1270</v>
      </c>
      <c r="AE281" t="s">
        <v>185</v>
      </c>
      <c r="AF281" t="s">
        <v>1290</v>
      </c>
      <c r="AG281" t="s">
        <v>196</v>
      </c>
      <c r="AH281" s="93">
        <f>VLOOKUP(Table1[[#This Row],[Caste]],Factor!$H$1:$K$13,4,0)</f>
        <v>2.1852575402829908</v>
      </c>
      <c r="AI28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81">
        <f>Table1[[#This Row],[Factor_1]]*Table1[[#This Row],[2024 Factor]]</f>
        <v>3.8334694045417663</v>
      </c>
      <c r="AK281">
        <f>VLOOKUP(Table1[[#This Row],[Q18: Gender]],Factor!$A$33:$E$35,5,0)</f>
        <v>2.1645021645021645</v>
      </c>
      <c r="AL281">
        <f>VLOOKUP(Table1[[#This Row],[Taluka]],Factor!$A$42:$G$46,7,0)</f>
        <v>1.1213131007097483</v>
      </c>
      <c r="AM281">
        <f>VLOOKUP(Table1[[#This Row],[Caste]]&amp;Table1[[#This Row],[Q18: Gender]],Factor!$W$1:$X$23,2,0)</f>
        <v>3.5510435029598604</v>
      </c>
      <c r="AN281">
        <f>VLOOKUP(Table1[[#This Row],[Taluka]]&amp;Table1[[#This Row],[Caste]]&amp;Table1[[#This Row],[Q18: Gender]],Factor!$AK$4:$AL$93,2,0)</f>
        <v>1.027312553073255</v>
      </c>
      <c r="AO281">
        <f t="shared" si="44"/>
        <v>-1</v>
      </c>
      <c r="AP281">
        <f t="shared" si="45"/>
        <v>-1</v>
      </c>
      <c r="AQ281">
        <f t="shared" si="46"/>
        <v>-1</v>
      </c>
      <c r="AR281">
        <f t="shared" si="47"/>
        <v>-1</v>
      </c>
      <c r="AS281">
        <f t="shared" si="48"/>
        <v>-1</v>
      </c>
      <c r="AT281">
        <f t="shared" si="49"/>
        <v>-1</v>
      </c>
      <c r="AU281">
        <f t="shared" si="50"/>
        <v>-5.5</v>
      </c>
      <c r="AV281">
        <f>SUM(Table1[[#This Row],[Satis]:[29]])</f>
        <v>-6</v>
      </c>
      <c r="AW281">
        <f t="shared" si="51"/>
        <v>-5</v>
      </c>
      <c r="AX281">
        <f t="shared" si="52"/>
        <v>-4</v>
      </c>
      <c r="AY281">
        <f t="shared" si="53"/>
        <v>-3</v>
      </c>
      <c r="AZ281" t="str">
        <f t="shared" si="54"/>
        <v>TDP HardCore</v>
      </c>
    </row>
    <row r="282" spans="1:52" x14ac:dyDescent="0.3">
      <c r="A282" t="s">
        <v>1739</v>
      </c>
      <c r="B282" s="94">
        <v>46044</v>
      </c>
      <c r="C282" t="s">
        <v>1740</v>
      </c>
      <c r="D282" t="s">
        <v>1741</v>
      </c>
      <c r="E282" t="s">
        <v>1306</v>
      </c>
      <c r="F282" t="s">
        <v>935</v>
      </c>
      <c r="G282" t="s">
        <v>39</v>
      </c>
      <c r="H282" t="s">
        <v>1742</v>
      </c>
      <c r="I282" t="s">
        <v>227</v>
      </c>
      <c r="J282" t="s">
        <v>219</v>
      </c>
      <c r="K282" t="s">
        <v>224</v>
      </c>
      <c r="L282" t="s">
        <v>451</v>
      </c>
      <c r="M282" t="s">
        <v>51</v>
      </c>
      <c r="N282" t="s">
        <v>63</v>
      </c>
      <c r="O282" t="s">
        <v>1743</v>
      </c>
      <c r="P282">
        <v>6308944653</v>
      </c>
      <c r="Q282" t="s">
        <v>445</v>
      </c>
      <c r="R282" t="s">
        <v>132</v>
      </c>
      <c r="S282" t="s">
        <v>43</v>
      </c>
      <c r="T282" t="s">
        <v>43</v>
      </c>
      <c r="U282" t="s">
        <v>44</v>
      </c>
      <c r="V282" t="s">
        <v>91</v>
      </c>
      <c r="W282" t="s">
        <v>5055</v>
      </c>
      <c r="X282" t="s">
        <v>45</v>
      </c>
      <c r="Y282" t="s">
        <v>46</v>
      </c>
      <c r="Z282" t="s">
        <v>47</v>
      </c>
      <c r="AA282" t="s">
        <v>48</v>
      </c>
      <c r="AB282" t="s">
        <v>49</v>
      </c>
      <c r="AC282" t="s">
        <v>49</v>
      </c>
      <c r="AD282" t="s">
        <v>1270</v>
      </c>
      <c r="AE282" t="s">
        <v>1250</v>
      </c>
      <c r="AF282" t="s">
        <v>1744</v>
      </c>
      <c r="AG282" t="s">
        <v>498</v>
      </c>
      <c r="AH282" s="93">
        <f>VLOOKUP(Table1[[#This Row],[Caste]],Factor!$H$1:$K$13,4,0)</f>
        <v>1.2612194085121222</v>
      </c>
      <c r="AI28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82">
        <f>Table1[[#This Row],[Factor_1]]*Table1[[#This Row],[2024 Factor]]</f>
        <v>2.6155674106916162</v>
      </c>
      <c r="AK282">
        <f>VLOOKUP(Table1[[#This Row],[Q18: Gender]],Factor!$A$33:$E$35,5,0)</f>
        <v>2.1645021645021645</v>
      </c>
      <c r="AL282">
        <f>VLOOKUP(Table1[[#This Row],[Taluka]],Factor!$A$42:$G$46,7,0)</f>
        <v>1.147984664167413</v>
      </c>
      <c r="AM282">
        <f>VLOOKUP(Table1[[#This Row],[Caste]]&amp;Table1[[#This Row],[Q18: Gender]],Factor!$W$1:$X$23,2,0)</f>
        <v>2.4228688637206557</v>
      </c>
      <c r="AN282">
        <f>VLOOKUP(Table1[[#This Row],[Taluka]]&amp;Table1[[#This Row],[Caste]]&amp;Table1[[#This Row],[Q18: Gender]],Factor!$AK$4:$AL$93,2,0)</f>
        <v>2.2107623881946901</v>
      </c>
      <c r="AO282">
        <f t="shared" si="44"/>
        <v>-1</v>
      </c>
      <c r="AP282">
        <f t="shared" si="45"/>
        <v>-1</v>
      </c>
      <c r="AQ282">
        <f t="shared" si="46"/>
        <v>1</v>
      </c>
      <c r="AR282">
        <f t="shared" si="47"/>
        <v>-1</v>
      </c>
      <c r="AS282">
        <f t="shared" si="48"/>
        <v>-1</v>
      </c>
      <c r="AT282">
        <f t="shared" si="49"/>
        <v>-1</v>
      </c>
      <c r="AU282">
        <f t="shared" si="50"/>
        <v>-3.5</v>
      </c>
      <c r="AV282">
        <f>SUM(Table1[[#This Row],[Satis]:[29]])</f>
        <v>-4</v>
      </c>
      <c r="AW282">
        <f t="shared" si="51"/>
        <v>-3</v>
      </c>
      <c r="AX282">
        <f t="shared" si="52"/>
        <v>-2</v>
      </c>
      <c r="AY282">
        <f t="shared" si="53"/>
        <v>-3</v>
      </c>
      <c r="AZ282" t="str">
        <f t="shared" si="54"/>
        <v>Neutral TDP</v>
      </c>
    </row>
    <row r="283" spans="1:52" x14ac:dyDescent="0.3">
      <c r="A283" t="s">
        <v>1467</v>
      </c>
      <c r="B283" s="94">
        <v>46044</v>
      </c>
      <c r="C283" t="s">
        <v>1468</v>
      </c>
      <c r="D283" t="s">
        <v>1469</v>
      </c>
      <c r="E283" t="s">
        <v>1470</v>
      </c>
      <c r="F283" t="s">
        <v>240</v>
      </c>
      <c r="G283" t="s">
        <v>39</v>
      </c>
      <c r="H283" t="s">
        <v>1471</v>
      </c>
      <c r="I283" t="s">
        <v>59</v>
      </c>
      <c r="J283" t="s">
        <v>71</v>
      </c>
      <c r="K283" t="s">
        <v>214</v>
      </c>
      <c r="L283" t="s">
        <v>62</v>
      </c>
      <c r="M283" t="s">
        <v>51</v>
      </c>
      <c r="N283" t="s">
        <v>63</v>
      </c>
      <c r="O283" t="s">
        <v>1472</v>
      </c>
      <c r="P283">
        <v>8374715677</v>
      </c>
      <c r="Q283" t="s">
        <v>54</v>
      </c>
      <c r="R283" t="s">
        <v>73</v>
      </c>
      <c r="S283" t="s">
        <v>43</v>
      </c>
      <c r="T283" t="s">
        <v>43</v>
      </c>
      <c r="U283" t="s">
        <v>90</v>
      </c>
      <c r="V283" t="s">
        <v>91</v>
      </c>
      <c r="W283" t="s">
        <v>5042</v>
      </c>
      <c r="X283" t="s">
        <v>91</v>
      </c>
      <c r="Y283" t="s">
        <v>46</v>
      </c>
      <c r="Z283" t="s">
        <v>47</v>
      </c>
      <c r="AA283" t="s">
        <v>48</v>
      </c>
      <c r="AB283" t="s">
        <v>49</v>
      </c>
      <c r="AC283" t="s">
        <v>49</v>
      </c>
      <c r="AD283" t="s">
        <v>1270</v>
      </c>
      <c r="AE283" t="s">
        <v>185</v>
      </c>
      <c r="AF283" t="s">
        <v>1341</v>
      </c>
      <c r="AG283" t="s">
        <v>196</v>
      </c>
      <c r="AH283" s="93">
        <f>VLOOKUP(Table1[[#This Row],[Caste]],Factor!$H$1:$K$13,4,0)</f>
        <v>1.1461625511156397</v>
      </c>
      <c r="AI28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83">
        <f>Table1[[#This Row],[Factor_1]]*Table1[[#This Row],[2024 Factor]]</f>
        <v>0.77721139583220644</v>
      </c>
      <c r="AK283">
        <f>VLOOKUP(Table1[[#This Row],[Q18: Gender]],Factor!$A$33:$E$35,5,0)</f>
        <v>0.85034013605442171</v>
      </c>
      <c r="AL283">
        <f>VLOOKUP(Table1[[#This Row],[Taluka]],Factor!$A$42:$G$46,7,0)</f>
        <v>1.1213131007097483</v>
      </c>
      <c r="AM283">
        <f>VLOOKUP(Table1[[#This Row],[Caste]]&amp;Table1[[#This Row],[Q18: Gender]],Factor!$W$1:$X$23,2,0)</f>
        <v>0.71995135120329123</v>
      </c>
      <c r="AN283">
        <f>VLOOKUP(Table1[[#This Row],[Taluka]]&amp;Table1[[#This Row],[Caste]]&amp;Table1[[#This Row],[Q18: Gender]],Factor!$AK$4:$AL$93,2,0)</f>
        <v>1.3370299504035861</v>
      </c>
      <c r="AO283">
        <f t="shared" si="44"/>
        <v>-1</v>
      </c>
      <c r="AP283">
        <f t="shared" si="45"/>
        <v>1</v>
      </c>
      <c r="AQ283">
        <f t="shared" si="46"/>
        <v>1</v>
      </c>
      <c r="AR283">
        <f t="shared" si="47"/>
        <v>1</v>
      </c>
      <c r="AS283">
        <f t="shared" si="48"/>
        <v>-1</v>
      </c>
      <c r="AT283">
        <f t="shared" si="49"/>
        <v>-1</v>
      </c>
      <c r="AU283">
        <f t="shared" si="50"/>
        <v>0.5</v>
      </c>
      <c r="AV283">
        <f>SUM(Table1[[#This Row],[Satis]:[29]])</f>
        <v>0</v>
      </c>
      <c r="AW283">
        <f t="shared" si="51"/>
        <v>-1</v>
      </c>
      <c r="AX283">
        <f t="shared" si="52"/>
        <v>0</v>
      </c>
      <c r="AY283">
        <f t="shared" si="53"/>
        <v>-3</v>
      </c>
      <c r="AZ283" t="str">
        <f t="shared" si="54"/>
        <v>Neutral TDP</v>
      </c>
    </row>
    <row r="284" spans="1:52" x14ac:dyDescent="0.3">
      <c r="A284" t="s">
        <v>1751</v>
      </c>
      <c r="B284" s="94">
        <v>46044</v>
      </c>
      <c r="C284" t="s">
        <v>1752</v>
      </c>
      <c r="D284" t="s">
        <v>1753</v>
      </c>
      <c r="E284" t="s">
        <v>1489</v>
      </c>
      <c r="F284" t="s">
        <v>935</v>
      </c>
      <c r="G284" t="s">
        <v>39</v>
      </c>
      <c r="H284" t="s">
        <v>1754</v>
      </c>
      <c r="I284" s="112" t="s">
        <v>70</v>
      </c>
      <c r="J284" t="s">
        <v>219</v>
      </c>
      <c r="K284" t="s">
        <v>224</v>
      </c>
      <c r="L284" t="s">
        <v>170</v>
      </c>
      <c r="M284" t="s">
        <v>51</v>
      </c>
      <c r="N284" t="s">
        <v>162</v>
      </c>
      <c r="O284" t="s">
        <v>1755</v>
      </c>
      <c r="P284">
        <v>9989977611</v>
      </c>
      <c r="Q284" t="s">
        <v>54</v>
      </c>
      <c r="R284" t="s">
        <v>61</v>
      </c>
      <c r="S284" t="s">
        <v>43</v>
      </c>
      <c r="T284" t="s">
        <v>43</v>
      </c>
      <c r="U284" t="s">
        <v>44</v>
      </c>
      <c r="V284" t="s">
        <v>45</v>
      </c>
      <c r="W284" t="s">
        <v>5087</v>
      </c>
      <c r="X284" t="s">
        <v>45</v>
      </c>
      <c r="Y284" t="s">
        <v>716</v>
      </c>
      <c r="Z284" t="s">
        <v>47</v>
      </c>
      <c r="AA284" t="s">
        <v>691</v>
      </c>
      <c r="AB284" t="s">
        <v>49</v>
      </c>
      <c r="AC284" t="s">
        <v>49</v>
      </c>
      <c r="AD284" t="s">
        <v>1270</v>
      </c>
      <c r="AE284" t="s">
        <v>1271</v>
      </c>
      <c r="AF284" t="s">
        <v>1756</v>
      </c>
      <c r="AG284" t="s">
        <v>196</v>
      </c>
      <c r="AH284" s="93">
        <f>VLOOKUP(Table1[[#This Row],[Caste]],Factor!$H$1:$K$13,4,0)</f>
        <v>1.3836274505214585</v>
      </c>
      <c r="AI284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284">
        <f>Table1[[#This Row],[Factor_1]]*Table1[[#This Row],[2024 Factor]]</f>
        <v>0.71381514912952693</v>
      </c>
      <c r="AK284">
        <f>VLOOKUP(Table1[[#This Row],[Q18: Gender]],Factor!$A$33:$E$35,5,0)</f>
        <v>0.85034013605442171</v>
      </c>
      <c r="AL284">
        <f>VLOOKUP(Table1[[#This Row],[Taluka]],Factor!$A$42:$G$46,7,0)</f>
        <v>1.147984664167413</v>
      </c>
      <c r="AM284">
        <f>VLOOKUP(Table1[[#This Row],[Caste]]&amp;Table1[[#This Row],[Q18: Gender]],Factor!$W$1:$X$23,2,0)</f>
        <v>1.0790228998469584</v>
      </c>
      <c r="AN284">
        <f>VLOOKUP(Table1[[#This Row],[Taluka]]&amp;Table1[[#This Row],[Caste]]&amp;Table1[[#This Row],[Q18: Gender]],Factor!$AK$4:$AL$93,2,0)</f>
        <v>1.1572915102003449</v>
      </c>
      <c r="AO284">
        <f t="shared" si="44"/>
        <v>-1</v>
      </c>
      <c r="AP284">
        <f t="shared" si="45"/>
        <v>-1</v>
      </c>
      <c r="AQ284">
        <f t="shared" si="46"/>
        <v>-1</v>
      </c>
      <c r="AR284">
        <f t="shared" si="47"/>
        <v>-1</v>
      </c>
      <c r="AS284">
        <f t="shared" si="48"/>
        <v>-1</v>
      </c>
      <c r="AT284">
        <f t="shared" si="49"/>
        <v>-1</v>
      </c>
      <c r="AU284">
        <f t="shared" si="50"/>
        <v>-5.5</v>
      </c>
      <c r="AV284">
        <f>SUM(Table1[[#This Row],[Satis]:[29]])</f>
        <v>-6</v>
      </c>
      <c r="AW284">
        <f t="shared" si="51"/>
        <v>-5</v>
      </c>
      <c r="AX284">
        <f t="shared" si="52"/>
        <v>-4</v>
      </c>
      <c r="AY284">
        <f t="shared" si="53"/>
        <v>-3</v>
      </c>
      <c r="AZ284" t="str">
        <f t="shared" si="54"/>
        <v>TDP HardCore</v>
      </c>
    </row>
    <row r="285" spans="1:52" x14ac:dyDescent="0.3">
      <c r="A285" t="s">
        <v>1572</v>
      </c>
      <c r="B285" s="94">
        <v>46044</v>
      </c>
      <c r="C285" t="s">
        <v>1573</v>
      </c>
      <c r="D285" t="s">
        <v>1574</v>
      </c>
      <c r="E285" t="s">
        <v>1575</v>
      </c>
      <c r="F285" t="s">
        <v>240</v>
      </c>
      <c r="G285" t="s">
        <v>39</v>
      </c>
      <c r="H285" t="s">
        <v>1576</v>
      </c>
      <c r="I285" s="112" t="s">
        <v>145</v>
      </c>
      <c r="J285" t="s">
        <v>71</v>
      </c>
      <c r="K285" t="s">
        <v>214</v>
      </c>
      <c r="L285" t="s">
        <v>50</v>
      </c>
      <c r="M285" t="s">
        <v>51</v>
      </c>
      <c r="N285" t="s">
        <v>63</v>
      </c>
      <c r="O285" t="s">
        <v>249</v>
      </c>
      <c r="P285">
        <v>7997812381</v>
      </c>
      <c r="Q285" t="s">
        <v>54</v>
      </c>
      <c r="R285" t="s">
        <v>61</v>
      </c>
      <c r="S285" t="s">
        <v>43</v>
      </c>
      <c r="T285" t="s">
        <v>43</v>
      </c>
      <c r="U285" t="s">
        <v>44</v>
      </c>
      <c r="V285" t="s">
        <v>45</v>
      </c>
      <c r="W285" t="s">
        <v>5096</v>
      </c>
      <c r="X285" t="s">
        <v>45</v>
      </c>
      <c r="Y285" t="s">
        <v>46</v>
      </c>
      <c r="Z285" t="s">
        <v>47</v>
      </c>
      <c r="AA285" t="s">
        <v>48</v>
      </c>
      <c r="AB285" t="s">
        <v>49</v>
      </c>
      <c r="AC285" t="s">
        <v>49</v>
      </c>
      <c r="AD285" t="s">
        <v>1270</v>
      </c>
      <c r="AE285" t="s">
        <v>185</v>
      </c>
      <c r="AF285" t="s">
        <v>1577</v>
      </c>
      <c r="AG285" t="s">
        <v>196</v>
      </c>
      <c r="AH285" s="93">
        <f>VLOOKUP(Table1[[#This Row],[Caste]],Factor!$H$1:$K$13,4,0)</f>
        <v>1.8452248965186235</v>
      </c>
      <c r="AI28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85">
        <f>Table1[[#This Row],[Factor_1]]*Table1[[#This Row],[2024 Factor]]</f>
        <v>1.5651283704851411</v>
      </c>
      <c r="AK285">
        <f>VLOOKUP(Table1[[#This Row],[Q18: Gender]],Factor!$A$33:$E$35,5,0)</f>
        <v>0.85034013605442171</v>
      </c>
      <c r="AL285">
        <f>VLOOKUP(Table1[[#This Row],[Taluka]],Factor!$A$42:$G$46,7,0)</f>
        <v>1.1213131007097483</v>
      </c>
      <c r="AM285">
        <f>VLOOKUP(Table1[[#This Row],[Caste]]&amp;Table1[[#This Row],[Q18: Gender]],Factor!$W$1:$X$23,2,0)</f>
        <v>1.4498195615503471</v>
      </c>
      <c r="AN285">
        <f>VLOOKUP(Table1[[#This Row],[Taluka]]&amp;Table1[[#This Row],[Caste]]&amp;Table1[[#This Row],[Q18: Gender]],Factor!$AK$4:$AL$93,2,0)</f>
        <v>0.97867240415506407</v>
      </c>
      <c r="AO285">
        <f t="shared" si="44"/>
        <v>-1</v>
      </c>
      <c r="AP285">
        <f t="shared" si="45"/>
        <v>-1</v>
      </c>
      <c r="AQ285">
        <f t="shared" si="46"/>
        <v>-1</v>
      </c>
      <c r="AR285">
        <f t="shared" si="47"/>
        <v>-1</v>
      </c>
      <c r="AS285">
        <f t="shared" si="48"/>
        <v>-1</v>
      </c>
      <c r="AT285">
        <f t="shared" si="49"/>
        <v>-1</v>
      </c>
      <c r="AU285">
        <f t="shared" si="50"/>
        <v>-5.5</v>
      </c>
      <c r="AV285">
        <f>SUM(Table1[[#This Row],[Satis]:[29]])</f>
        <v>-6</v>
      </c>
      <c r="AW285">
        <f t="shared" si="51"/>
        <v>-5</v>
      </c>
      <c r="AX285">
        <f t="shared" si="52"/>
        <v>-4</v>
      </c>
      <c r="AY285">
        <f t="shared" si="53"/>
        <v>-3</v>
      </c>
      <c r="AZ285" t="str">
        <f t="shared" si="54"/>
        <v>TDP HardCore</v>
      </c>
    </row>
    <row r="286" spans="1:52" x14ac:dyDescent="0.3">
      <c r="A286" t="s">
        <v>1649</v>
      </c>
      <c r="B286" s="94">
        <v>46044</v>
      </c>
      <c r="C286" t="s">
        <v>1650</v>
      </c>
      <c r="D286" t="s">
        <v>1651</v>
      </c>
      <c r="E286" t="s">
        <v>1427</v>
      </c>
      <c r="F286" t="s">
        <v>935</v>
      </c>
      <c r="G286" t="s">
        <v>39</v>
      </c>
      <c r="H286" t="s">
        <v>1652</v>
      </c>
      <c r="I286" t="s">
        <v>36</v>
      </c>
      <c r="J286" t="s">
        <v>219</v>
      </c>
      <c r="K286" t="s">
        <v>225</v>
      </c>
      <c r="L286" t="s">
        <v>161</v>
      </c>
      <c r="M286" t="s">
        <v>51</v>
      </c>
      <c r="N286" t="s">
        <v>162</v>
      </c>
      <c r="O286" t="s">
        <v>1653</v>
      </c>
      <c r="P286">
        <v>8179832477</v>
      </c>
      <c r="Q286" t="s">
        <v>54</v>
      </c>
      <c r="R286" t="s">
        <v>132</v>
      </c>
      <c r="S286" t="s">
        <v>43</v>
      </c>
      <c r="T286" t="s">
        <v>43</v>
      </c>
      <c r="U286" t="s">
        <v>44</v>
      </c>
      <c r="V286" t="s">
        <v>91</v>
      </c>
      <c r="W286" t="s">
        <v>5062</v>
      </c>
      <c r="X286" t="s">
        <v>45</v>
      </c>
      <c r="Y286" t="s">
        <v>46</v>
      </c>
      <c r="Z286" t="s">
        <v>47</v>
      </c>
      <c r="AA286" t="s">
        <v>48</v>
      </c>
      <c r="AB286" t="s">
        <v>49</v>
      </c>
      <c r="AC286" t="s">
        <v>49</v>
      </c>
      <c r="AD286" t="s">
        <v>1270</v>
      </c>
      <c r="AE286" t="s">
        <v>185</v>
      </c>
      <c r="AF286" t="s">
        <v>185</v>
      </c>
      <c r="AG286" t="s">
        <v>196</v>
      </c>
      <c r="AH286" s="93">
        <f>VLOOKUP(Table1[[#This Row],[Caste]],Factor!$H$1:$K$13,4,0)</f>
        <v>1.1705128247062893</v>
      </c>
      <c r="AI28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86">
        <f>Table1[[#This Row],[Factor_1]]*Table1[[#This Row],[2024 Factor]]</f>
        <v>0.86308903171383233</v>
      </c>
      <c r="AK286">
        <f>VLOOKUP(Table1[[#This Row],[Q18: Gender]],Factor!$A$33:$E$35,5,0)</f>
        <v>0.85034013605442171</v>
      </c>
      <c r="AL286">
        <f>VLOOKUP(Table1[[#This Row],[Taluka]],Factor!$A$42:$G$46,7,0)</f>
        <v>1.147984664167413</v>
      </c>
      <c r="AM286">
        <f>VLOOKUP(Table1[[#This Row],[Caste]]&amp;Table1[[#This Row],[Q18: Gender]],Factor!$W$1:$X$23,2,0)</f>
        <v>0.79950206330384943</v>
      </c>
      <c r="AN286">
        <f>VLOOKUP(Table1[[#This Row],[Taluka]]&amp;Table1[[#This Row],[Caste]]&amp;Table1[[#This Row],[Q18: Gender]],Factor!$AK$4:$AL$93,2,0)</f>
        <v>0.92148737207359532</v>
      </c>
      <c r="AO286">
        <f t="shared" si="44"/>
        <v>-1</v>
      </c>
      <c r="AP286">
        <f t="shared" si="45"/>
        <v>-1</v>
      </c>
      <c r="AQ286">
        <f t="shared" si="46"/>
        <v>1</v>
      </c>
      <c r="AR286">
        <f t="shared" si="47"/>
        <v>-1</v>
      </c>
      <c r="AS286">
        <f t="shared" si="48"/>
        <v>-1</v>
      </c>
      <c r="AT286">
        <f t="shared" si="49"/>
        <v>-1</v>
      </c>
      <c r="AU286">
        <f t="shared" si="50"/>
        <v>-3.5</v>
      </c>
      <c r="AV286">
        <f>SUM(Table1[[#This Row],[Satis]:[29]])</f>
        <v>-4</v>
      </c>
      <c r="AW286">
        <f t="shared" si="51"/>
        <v>-3</v>
      </c>
      <c r="AX286">
        <f t="shared" si="52"/>
        <v>-2</v>
      </c>
      <c r="AY286">
        <f t="shared" si="53"/>
        <v>-3</v>
      </c>
      <c r="AZ286" t="str">
        <f t="shared" si="54"/>
        <v>Neutral TDP</v>
      </c>
    </row>
    <row r="287" spans="1:52" x14ac:dyDescent="0.3">
      <c r="A287" t="s">
        <v>1934</v>
      </c>
      <c r="B287" s="94">
        <v>46044</v>
      </c>
      <c r="C287" t="s">
        <v>1935</v>
      </c>
      <c r="D287" t="s">
        <v>1656</v>
      </c>
      <c r="E287" t="s">
        <v>1647</v>
      </c>
      <c r="F287" t="s">
        <v>69</v>
      </c>
      <c r="G287" t="s">
        <v>39</v>
      </c>
      <c r="H287" t="s">
        <v>1936</v>
      </c>
      <c r="I287" t="s">
        <v>70</v>
      </c>
      <c r="J287" t="s">
        <v>219</v>
      </c>
      <c r="K287" t="s">
        <v>223</v>
      </c>
      <c r="L287" t="s">
        <v>451</v>
      </c>
      <c r="M287" t="s">
        <v>51</v>
      </c>
      <c r="N287" t="s">
        <v>52</v>
      </c>
      <c r="O287" t="s">
        <v>1658</v>
      </c>
      <c r="P287">
        <v>9999999999</v>
      </c>
      <c r="Q287" t="s">
        <v>445</v>
      </c>
      <c r="R287" t="s">
        <v>132</v>
      </c>
      <c r="S287" t="s">
        <v>89</v>
      </c>
      <c r="T287" t="s">
        <v>89</v>
      </c>
      <c r="U287" t="s">
        <v>90</v>
      </c>
      <c r="V287" t="s">
        <v>91</v>
      </c>
      <c r="W287" t="s">
        <v>5067</v>
      </c>
      <c r="X287" t="s">
        <v>91</v>
      </c>
      <c r="Y287" t="s">
        <v>638</v>
      </c>
      <c r="Z287" t="s">
        <v>92</v>
      </c>
      <c r="AA287" t="s">
        <v>92</v>
      </c>
      <c r="AB287" t="s">
        <v>147</v>
      </c>
      <c r="AC287" t="s">
        <v>94</v>
      </c>
      <c r="AD287" t="s">
        <v>1270</v>
      </c>
      <c r="AE287" t="s">
        <v>185</v>
      </c>
      <c r="AF287">
        <v>0</v>
      </c>
      <c r="AG287" t="s">
        <v>196</v>
      </c>
      <c r="AH287" s="93">
        <f>VLOOKUP(Table1[[#This Row],[Caste]],Factor!$H$1:$K$13,4,0)</f>
        <v>1.3836274505214585</v>
      </c>
      <c r="AI287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287">
        <f>Table1[[#This Row],[Factor_1]]*Table1[[#This Row],[2024 Factor]]</f>
        <v>3.4809023142961388</v>
      </c>
      <c r="AK287">
        <f>VLOOKUP(Table1[[#This Row],[Q18: Gender]],Factor!$A$33:$E$35,5,0)</f>
        <v>2.1645021645021645</v>
      </c>
      <c r="AL287">
        <f>VLOOKUP(Table1[[#This Row],[Taluka]],Factor!$A$42:$G$46,7,0)</f>
        <v>1.147984664167413</v>
      </c>
      <c r="AM287">
        <f>VLOOKUP(Table1[[#This Row],[Caste]]&amp;Table1[[#This Row],[Q18: Gender]],Factor!$W$1:$X$23,2,0)</f>
        <v>1.9278542477265657</v>
      </c>
      <c r="AN287">
        <f>VLOOKUP(Table1[[#This Row],[Taluka]]&amp;Table1[[#This Row],[Caste]]&amp;Table1[[#This Row],[Q18: Gender]],Factor!$AK$4:$AL$93,2,0)</f>
        <v>3.2048072590163397</v>
      </c>
      <c r="AO287">
        <f t="shared" si="44"/>
        <v>1</v>
      </c>
      <c r="AP287">
        <f t="shared" si="45"/>
        <v>1</v>
      </c>
      <c r="AQ287">
        <f t="shared" si="46"/>
        <v>1</v>
      </c>
      <c r="AR287">
        <f t="shared" si="47"/>
        <v>1</v>
      </c>
      <c r="AS287">
        <f t="shared" si="48"/>
        <v>1</v>
      </c>
      <c r="AT287">
        <f t="shared" si="49"/>
        <v>1</v>
      </c>
      <c r="AU287">
        <f t="shared" si="50"/>
        <v>5.5</v>
      </c>
      <c r="AV287">
        <f>SUM(Table1[[#This Row],[Satis]:[29]])</f>
        <v>6</v>
      </c>
      <c r="AW287">
        <f t="shared" si="51"/>
        <v>5</v>
      </c>
      <c r="AX287">
        <f t="shared" si="52"/>
        <v>4</v>
      </c>
      <c r="AY287">
        <f t="shared" si="53"/>
        <v>3</v>
      </c>
      <c r="AZ287" t="str">
        <f t="shared" si="54"/>
        <v>YSRCP HardCore</v>
      </c>
    </row>
    <row r="288" spans="1:52" x14ac:dyDescent="0.3">
      <c r="A288" t="s">
        <v>1767</v>
      </c>
      <c r="B288" s="94">
        <v>46044</v>
      </c>
      <c r="C288" t="s">
        <v>1768</v>
      </c>
      <c r="D288" t="s">
        <v>1769</v>
      </c>
      <c r="E288" t="s">
        <v>1770</v>
      </c>
      <c r="F288" t="s">
        <v>935</v>
      </c>
      <c r="G288" t="s">
        <v>39</v>
      </c>
      <c r="H288" t="s">
        <v>1771</v>
      </c>
      <c r="I288" t="s">
        <v>70</v>
      </c>
      <c r="J288" s="112" t="s">
        <v>203</v>
      </c>
      <c r="K288" s="112" t="s">
        <v>205</v>
      </c>
      <c r="L288" t="s">
        <v>62</v>
      </c>
      <c r="M288" t="s">
        <v>443</v>
      </c>
      <c r="N288" t="s">
        <v>63</v>
      </c>
      <c r="O288" t="s">
        <v>1772</v>
      </c>
      <c r="P288">
        <v>9502156394</v>
      </c>
      <c r="Q288" t="s">
        <v>445</v>
      </c>
      <c r="R288" t="s">
        <v>139</v>
      </c>
      <c r="S288" t="s">
        <v>88</v>
      </c>
      <c r="T288" t="s">
        <v>43</v>
      </c>
      <c r="U288" t="s">
        <v>90</v>
      </c>
      <c r="V288" t="s">
        <v>91</v>
      </c>
      <c r="W288" t="s">
        <v>5055</v>
      </c>
      <c r="X288" t="s">
        <v>91</v>
      </c>
      <c r="Y288" t="s">
        <v>46</v>
      </c>
      <c r="Z288" t="s">
        <v>92</v>
      </c>
      <c r="AA288" t="s">
        <v>92</v>
      </c>
      <c r="AB288" t="s">
        <v>93</v>
      </c>
      <c r="AC288" t="s">
        <v>94</v>
      </c>
      <c r="AD288" t="s">
        <v>1270</v>
      </c>
      <c r="AE288" t="s">
        <v>189</v>
      </c>
      <c r="AF288" t="s">
        <v>1773</v>
      </c>
      <c r="AG288" t="s">
        <v>196</v>
      </c>
      <c r="AH288" s="93">
        <f>VLOOKUP(Table1[[#This Row],[Caste]],Factor!$H$1:$K$13,4,0)</f>
        <v>1.3836274505214585</v>
      </c>
      <c r="AI288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288">
        <f>Table1[[#This Row],[Factor_1]]*Table1[[#This Row],[2024 Factor]]</f>
        <v>3.4809023142961388</v>
      </c>
      <c r="AK288">
        <f>VLOOKUP(Table1[[#This Row],[Q18: Gender]],Factor!$A$33:$E$35,5,0)</f>
        <v>2.1645021645021645</v>
      </c>
      <c r="AL288">
        <f>VLOOKUP(Table1[[#This Row],[Taluka]],Factor!$A$42:$G$46,7,0)</f>
        <v>1.9264642089343564</v>
      </c>
      <c r="AM288">
        <f>VLOOKUP(Table1[[#This Row],[Caste]]&amp;Table1[[#This Row],[Q18: Gender]],Factor!$W$1:$X$23,2,0)</f>
        <v>1.9278542477265657</v>
      </c>
      <c r="AN288">
        <f>VLOOKUP(Table1[[#This Row],[Taluka]]&amp;Table1[[#This Row],[Caste]]&amp;Table1[[#This Row],[Q18: Gender]],Factor!$AK$4:$AL$93,2,0)</f>
        <v>4.0768956513699193</v>
      </c>
      <c r="AO288">
        <f t="shared" si="44"/>
        <v>-1</v>
      </c>
      <c r="AP288">
        <f t="shared" si="45"/>
        <v>1</v>
      </c>
      <c r="AQ288">
        <f t="shared" si="46"/>
        <v>1</v>
      </c>
      <c r="AR288">
        <f t="shared" si="47"/>
        <v>1</v>
      </c>
      <c r="AS288">
        <f t="shared" si="48"/>
        <v>1</v>
      </c>
      <c r="AT288">
        <f t="shared" si="49"/>
        <v>1</v>
      </c>
      <c r="AU288">
        <f t="shared" si="50"/>
        <v>3.5</v>
      </c>
      <c r="AV288">
        <f>SUM(Table1[[#This Row],[Satis]:[29]])</f>
        <v>4</v>
      </c>
      <c r="AW288">
        <f t="shared" si="51"/>
        <v>3</v>
      </c>
      <c r="AX288">
        <f t="shared" si="52"/>
        <v>4</v>
      </c>
      <c r="AY288">
        <f t="shared" si="53"/>
        <v>2</v>
      </c>
      <c r="AZ288" t="str">
        <f t="shared" si="54"/>
        <v>YSRCP Sympathiser</v>
      </c>
    </row>
    <row r="289" spans="1:52" x14ac:dyDescent="0.3">
      <c r="A289" t="s">
        <v>1774</v>
      </c>
      <c r="B289" s="94">
        <v>46044</v>
      </c>
      <c r="C289" t="s">
        <v>1775</v>
      </c>
      <c r="D289" t="s">
        <v>1776</v>
      </c>
      <c r="E289" t="s">
        <v>1777</v>
      </c>
      <c r="F289" t="s">
        <v>935</v>
      </c>
      <c r="G289" t="s">
        <v>39</v>
      </c>
      <c r="H289" t="s">
        <v>1778</v>
      </c>
      <c r="I289" t="s">
        <v>59</v>
      </c>
      <c r="J289" t="s">
        <v>219</v>
      </c>
      <c r="K289" t="s">
        <v>224</v>
      </c>
      <c r="L289" t="s">
        <v>451</v>
      </c>
      <c r="M289" t="s">
        <v>51</v>
      </c>
      <c r="N289" t="s">
        <v>63</v>
      </c>
      <c r="O289" t="s">
        <v>1779</v>
      </c>
      <c r="P289">
        <v>8897629404</v>
      </c>
      <c r="Q289" t="s">
        <v>445</v>
      </c>
      <c r="R289" t="s">
        <v>139</v>
      </c>
      <c r="S289" t="s">
        <v>43</v>
      </c>
      <c r="T289" t="s">
        <v>43</v>
      </c>
      <c r="U289" t="s">
        <v>44</v>
      </c>
      <c r="V289" t="s">
        <v>45</v>
      </c>
      <c r="W289" t="s">
        <v>5055</v>
      </c>
      <c r="X289" t="s">
        <v>45</v>
      </c>
      <c r="Y289" t="s">
        <v>46</v>
      </c>
      <c r="Z289" t="s">
        <v>47</v>
      </c>
      <c r="AA289" t="s">
        <v>48</v>
      </c>
      <c r="AB289" t="s">
        <v>49</v>
      </c>
      <c r="AC289" t="s">
        <v>49</v>
      </c>
      <c r="AD289" t="s">
        <v>1279</v>
      </c>
      <c r="AE289" t="s">
        <v>1250</v>
      </c>
      <c r="AF289" t="s">
        <v>1614</v>
      </c>
      <c r="AG289" t="s">
        <v>498</v>
      </c>
      <c r="AH289" s="93">
        <f>VLOOKUP(Table1[[#This Row],[Caste]],Factor!$H$1:$K$13,4,0)</f>
        <v>1.1461625511156397</v>
      </c>
      <c r="AI28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89">
        <f>Table1[[#This Row],[Factor_1]]*Table1[[#This Row],[2024 Factor]]</f>
        <v>3.0326483876590018</v>
      </c>
      <c r="AK289">
        <f>VLOOKUP(Table1[[#This Row],[Q18: Gender]],Factor!$A$33:$E$35,5,0)</f>
        <v>2.1645021645021645</v>
      </c>
      <c r="AL289">
        <f>VLOOKUP(Table1[[#This Row],[Taluka]],Factor!$A$42:$G$46,7,0)</f>
        <v>1.147984664167413</v>
      </c>
      <c r="AM289">
        <f>VLOOKUP(Table1[[#This Row],[Caste]]&amp;Table1[[#This Row],[Q18: Gender]],Factor!$W$1:$X$23,2,0)</f>
        <v>2.8092219390089208</v>
      </c>
      <c r="AN289">
        <f>VLOOKUP(Table1[[#This Row],[Taluka]]&amp;Table1[[#This Row],[Caste]]&amp;Table1[[#This Row],[Q18: Gender]],Factor!$AK$4:$AL$93,2,0)</f>
        <v>2.2934724643212636</v>
      </c>
      <c r="AO289">
        <f t="shared" si="44"/>
        <v>-1</v>
      </c>
      <c r="AP289">
        <f t="shared" si="45"/>
        <v>-1</v>
      </c>
      <c r="AQ289">
        <f t="shared" si="46"/>
        <v>-1</v>
      </c>
      <c r="AR289">
        <f t="shared" si="47"/>
        <v>-1</v>
      </c>
      <c r="AS289">
        <f t="shared" si="48"/>
        <v>-1</v>
      </c>
      <c r="AT289">
        <f t="shared" si="49"/>
        <v>-1</v>
      </c>
      <c r="AU289">
        <f t="shared" si="50"/>
        <v>-5.5</v>
      </c>
      <c r="AV289">
        <f>SUM(Table1[[#This Row],[Satis]:[29]])</f>
        <v>-6</v>
      </c>
      <c r="AW289">
        <f t="shared" si="51"/>
        <v>-5</v>
      </c>
      <c r="AX289">
        <f t="shared" si="52"/>
        <v>-4</v>
      </c>
      <c r="AY289">
        <f t="shared" si="53"/>
        <v>-3</v>
      </c>
      <c r="AZ289" t="str">
        <f t="shared" si="54"/>
        <v>TDP HardCore</v>
      </c>
    </row>
    <row r="290" spans="1:52" x14ac:dyDescent="0.3">
      <c r="A290" t="s">
        <v>1780</v>
      </c>
      <c r="B290" s="94">
        <v>46044</v>
      </c>
      <c r="C290" t="s">
        <v>1781</v>
      </c>
      <c r="D290" t="s">
        <v>1782</v>
      </c>
      <c r="E290" t="s">
        <v>1783</v>
      </c>
      <c r="F290" t="s">
        <v>69</v>
      </c>
      <c r="G290" t="s">
        <v>39</v>
      </c>
      <c r="H290" t="s">
        <v>1784</v>
      </c>
      <c r="I290" t="s">
        <v>36</v>
      </c>
      <c r="J290" t="s">
        <v>219</v>
      </c>
      <c r="K290" t="s">
        <v>221</v>
      </c>
      <c r="L290" t="s">
        <v>62</v>
      </c>
      <c r="M290" t="s">
        <v>51</v>
      </c>
      <c r="N290" t="s">
        <v>52</v>
      </c>
      <c r="O290" t="s">
        <v>1785</v>
      </c>
      <c r="P290">
        <v>9999999999</v>
      </c>
      <c r="Q290" t="s">
        <v>54</v>
      </c>
      <c r="R290" t="s">
        <v>73</v>
      </c>
      <c r="S290" t="s">
        <v>89</v>
      </c>
      <c r="T290" t="s">
        <v>43</v>
      </c>
      <c r="U290" t="s">
        <v>90</v>
      </c>
      <c r="V290" t="s">
        <v>91</v>
      </c>
      <c r="W290" t="s">
        <v>5085</v>
      </c>
      <c r="X290" t="s">
        <v>45</v>
      </c>
      <c r="Y290" t="s">
        <v>46</v>
      </c>
      <c r="Z290" t="s">
        <v>92</v>
      </c>
      <c r="AA290" t="s">
        <v>48</v>
      </c>
      <c r="AB290" t="s">
        <v>49</v>
      </c>
      <c r="AC290" t="s">
        <v>49</v>
      </c>
      <c r="AD290" t="s">
        <v>1552</v>
      </c>
      <c r="AE290" t="s">
        <v>1271</v>
      </c>
      <c r="AF290" t="s">
        <v>1256</v>
      </c>
      <c r="AG290" t="s">
        <v>196</v>
      </c>
      <c r="AH290" s="93">
        <f>VLOOKUP(Table1[[#This Row],[Caste]],Factor!$H$1:$K$13,4,0)</f>
        <v>1.1705128247062893</v>
      </c>
      <c r="AI29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90">
        <f>Table1[[#This Row],[Factor_1]]*Table1[[#This Row],[2024 Factor]]</f>
        <v>0.86308903171383233</v>
      </c>
      <c r="AK290">
        <f>VLOOKUP(Table1[[#This Row],[Q18: Gender]],Factor!$A$33:$E$35,5,0)</f>
        <v>0.85034013605442171</v>
      </c>
      <c r="AL290">
        <f>VLOOKUP(Table1[[#This Row],[Taluka]],Factor!$A$42:$G$46,7,0)</f>
        <v>1.147984664167413</v>
      </c>
      <c r="AM290">
        <f>VLOOKUP(Table1[[#This Row],[Caste]]&amp;Table1[[#This Row],[Q18: Gender]],Factor!$W$1:$X$23,2,0)</f>
        <v>0.79950206330384943</v>
      </c>
      <c r="AN290">
        <f>VLOOKUP(Table1[[#This Row],[Taluka]]&amp;Table1[[#This Row],[Caste]]&amp;Table1[[#This Row],[Q18: Gender]],Factor!$AK$4:$AL$93,2,0)</f>
        <v>0.92148737207359532</v>
      </c>
      <c r="AO290">
        <f t="shared" si="44"/>
        <v>-1</v>
      </c>
      <c r="AP290">
        <f t="shared" si="45"/>
        <v>1</v>
      </c>
      <c r="AQ290">
        <f t="shared" si="46"/>
        <v>1</v>
      </c>
      <c r="AR290">
        <f t="shared" si="47"/>
        <v>-1</v>
      </c>
      <c r="AS290">
        <f t="shared" si="48"/>
        <v>-1</v>
      </c>
      <c r="AT290">
        <f t="shared" si="49"/>
        <v>1</v>
      </c>
      <c r="AU290">
        <f t="shared" si="50"/>
        <v>0.5</v>
      </c>
      <c r="AV290">
        <f>SUM(Table1[[#This Row],[Satis]:[29]])</f>
        <v>0</v>
      </c>
      <c r="AW290">
        <f t="shared" si="51"/>
        <v>-1</v>
      </c>
      <c r="AX290">
        <f t="shared" si="52"/>
        <v>0</v>
      </c>
      <c r="AY290" t="str">
        <f t="shared" si="53"/>
        <v>ND</v>
      </c>
      <c r="AZ290" t="str">
        <f t="shared" si="54"/>
        <v>ND</v>
      </c>
    </row>
    <row r="291" spans="1:52" x14ac:dyDescent="0.3">
      <c r="A291" t="s">
        <v>1410</v>
      </c>
      <c r="B291" s="94">
        <v>46044</v>
      </c>
      <c r="C291" t="s">
        <v>1411</v>
      </c>
      <c r="D291" t="s">
        <v>1344</v>
      </c>
      <c r="E291" t="s">
        <v>1345</v>
      </c>
      <c r="F291" t="s">
        <v>935</v>
      </c>
      <c r="G291" t="s">
        <v>39</v>
      </c>
      <c r="H291" t="s">
        <v>1412</v>
      </c>
      <c r="I291" t="s">
        <v>228</v>
      </c>
      <c r="J291" t="s">
        <v>219</v>
      </c>
      <c r="K291" t="s">
        <v>224</v>
      </c>
      <c r="L291" t="s">
        <v>62</v>
      </c>
      <c r="M291" t="s">
        <v>51</v>
      </c>
      <c r="N291" t="s">
        <v>63</v>
      </c>
      <c r="O291" t="s">
        <v>1347</v>
      </c>
      <c r="P291">
        <v>9573127664</v>
      </c>
      <c r="Q291" t="s">
        <v>54</v>
      </c>
      <c r="R291" t="s">
        <v>139</v>
      </c>
      <c r="S291" t="s">
        <v>88</v>
      </c>
      <c r="T291" t="s">
        <v>43</v>
      </c>
      <c r="U291" t="s">
        <v>44</v>
      </c>
      <c r="V291" t="s">
        <v>45</v>
      </c>
      <c r="W291" t="s">
        <v>5062</v>
      </c>
      <c r="X291" t="s">
        <v>45</v>
      </c>
      <c r="Y291" t="s">
        <v>46</v>
      </c>
      <c r="Z291" t="s">
        <v>92</v>
      </c>
      <c r="AA291" t="s">
        <v>92</v>
      </c>
      <c r="AB291" t="s">
        <v>93</v>
      </c>
      <c r="AC291" t="s">
        <v>94</v>
      </c>
      <c r="AD291" t="s">
        <v>1279</v>
      </c>
      <c r="AE291" t="s">
        <v>185</v>
      </c>
      <c r="AF291">
        <v>0</v>
      </c>
      <c r="AG291" t="s">
        <v>196</v>
      </c>
      <c r="AH291" s="93">
        <f>VLOOKUP(Table1[[#This Row],[Caste]],Factor!$H$1:$K$13,4,0)</f>
        <v>0.80207032429970992</v>
      </c>
      <c r="AI291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291">
        <f>Table1[[#This Row],[Factor_1]]*Table1[[#This Row],[2024 Factor]]</f>
        <v>1.0971251128803523</v>
      </c>
      <c r="AK291">
        <f>VLOOKUP(Table1[[#This Row],[Q18: Gender]],Factor!$A$33:$E$35,5,0)</f>
        <v>0.85034013605442171</v>
      </c>
      <c r="AL291">
        <f>VLOOKUP(Table1[[#This Row],[Taluka]],Factor!$A$42:$G$46,7,0)</f>
        <v>1.147984664167413</v>
      </c>
      <c r="AM291">
        <f>VLOOKUP(Table1[[#This Row],[Caste]]&amp;Table1[[#This Row],[Q18: Gender]],Factor!$W$1:$X$23,2,0)</f>
        <v>0.60762903356038633</v>
      </c>
      <c r="AN291">
        <f>VLOOKUP(Table1[[#This Row],[Taluka]]&amp;Table1[[#This Row],[Caste]]&amp;Table1[[#This Row],[Q18: Gender]],Factor!$AK$4:$AL$93,2,0)</f>
        <v>1.1555593620092124</v>
      </c>
      <c r="AO291">
        <f t="shared" si="44"/>
        <v>-1</v>
      </c>
      <c r="AP291">
        <f t="shared" si="45"/>
        <v>-1</v>
      </c>
      <c r="AQ291">
        <f t="shared" si="46"/>
        <v>-1</v>
      </c>
      <c r="AR291">
        <f t="shared" si="47"/>
        <v>-1</v>
      </c>
      <c r="AS291">
        <f t="shared" si="48"/>
        <v>1</v>
      </c>
      <c r="AT291">
        <f t="shared" si="49"/>
        <v>1</v>
      </c>
      <c r="AU291">
        <f t="shared" si="50"/>
        <v>-2.5</v>
      </c>
      <c r="AV291">
        <f>SUM(Table1[[#This Row],[Satis]:[29]])</f>
        <v>-2</v>
      </c>
      <c r="AW291">
        <f t="shared" si="51"/>
        <v>-1</v>
      </c>
      <c r="AX291">
        <f t="shared" si="52"/>
        <v>0</v>
      </c>
      <c r="AY291">
        <f t="shared" si="53"/>
        <v>2</v>
      </c>
      <c r="AZ291" t="str">
        <f t="shared" si="54"/>
        <v>Neutral YSRCP</v>
      </c>
    </row>
    <row r="292" spans="1:52" x14ac:dyDescent="0.3">
      <c r="A292" t="s">
        <v>1473</v>
      </c>
      <c r="B292" s="94">
        <v>46044</v>
      </c>
      <c r="C292" t="s">
        <v>1474</v>
      </c>
      <c r="D292" t="s">
        <v>1344</v>
      </c>
      <c r="E292" t="s">
        <v>1345</v>
      </c>
      <c r="F292" t="s">
        <v>935</v>
      </c>
      <c r="G292" t="s">
        <v>39</v>
      </c>
      <c r="H292" t="s">
        <v>1475</v>
      </c>
      <c r="I292" t="s">
        <v>228</v>
      </c>
      <c r="J292" t="s">
        <v>219</v>
      </c>
      <c r="K292" t="s">
        <v>224</v>
      </c>
      <c r="L292" t="s">
        <v>62</v>
      </c>
      <c r="M292" t="s">
        <v>51</v>
      </c>
      <c r="N292" t="s">
        <v>63</v>
      </c>
      <c r="O292" t="s">
        <v>1347</v>
      </c>
      <c r="P292">
        <v>9573127664</v>
      </c>
      <c r="Q292" t="s">
        <v>54</v>
      </c>
      <c r="R292" t="s">
        <v>139</v>
      </c>
      <c r="S292" t="s">
        <v>88</v>
      </c>
      <c r="T292" t="s">
        <v>43</v>
      </c>
      <c r="U292" t="s">
        <v>44</v>
      </c>
      <c r="V292" t="s">
        <v>45</v>
      </c>
      <c r="W292" t="s">
        <v>5062</v>
      </c>
      <c r="X292" t="s">
        <v>45</v>
      </c>
      <c r="Y292" t="s">
        <v>46</v>
      </c>
      <c r="Z292" t="s">
        <v>92</v>
      </c>
      <c r="AA292" t="s">
        <v>92</v>
      </c>
      <c r="AB292" t="s">
        <v>93</v>
      </c>
      <c r="AC292" t="s">
        <v>94</v>
      </c>
      <c r="AD292" t="s">
        <v>1270</v>
      </c>
      <c r="AE292" t="s">
        <v>185</v>
      </c>
      <c r="AF292">
        <v>0</v>
      </c>
      <c r="AG292" t="s">
        <v>196</v>
      </c>
      <c r="AH292" s="93">
        <f>VLOOKUP(Table1[[#This Row],[Caste]],Factor!$H$1:$K$13,4,0)</f>
        <v>0.80207032429970992</v>
      </c>
      <c r="AI292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292">
        <f>Table1[[#This Row],[Factor_1]]*Table1[[#This Row],[2024 Factor]]</f>
        <v>1.0971251128803523</v>
      </c>
      <c r="AK292">
        <f>VLOOKUP(Table1[[#This Row],[Q18: Gender]],Factor!$A$33:$E$35,5,0)</f>
        <v>0.85034013605442171</v>
      </c>
      <c r="AL292">
        <f>VLOOKUP(Table1[[#This Row],[Taluka]],Factor!$A$42:$G$46,7,0)</f>
        <v>1.147984664167413</v>
      </c>
      <c r="AM292">
        <f>VLOOKUP(Table1[[#This Row],[Caste]]&amp;Table1[[#This Row],[Q18: Gender]],Factor!$W$1:$X$23,2,0)</f>
        <v>0.60762903356038633</v>
      </c>
      <c r="AN292">
        <f>VLOOKUP(Table1[[#This Row],[Taluka]]&amp;Table1[[#This Row],[Caste]]&amp;Table1[[#This Row],[Q18: Gender]],Factor!$AK$4:$AL$93,2,0)</f>
        <v>1.1555593620092124</v>
      </c>
      <c r="AO292">
        <f t="shared" si="44"/>
        <v>-1</v>
      </c>
      <c r="AP292">
        <f t="shared" si="45"/>
        <v>-1</v>
      </c>
      <c r="AQ292">
        <f t="shared" si="46"/>
        <v>-1</v>
      </c>
      <c r="AR292">
        <f t="shared" si="47"/>
        <v>-1</v>
      </c>
      <c r="AS292">
        <f t="shared" si="48"/>
        <v>1</v>
      </c>
      <c r="AT292">
        <f t="shared" si="49"/>
        <v>1</v>
      </c>
      <c r="AU292">
        <f t="shared" si="50"/>
        <v>-2.5</v>
      </c>
      <c r="AV292">
        <f>SUM(Table1[[#This Row],[Satis]:[29]])</f>
        <v>-2</v>
      </c>
      <c r="AW292">
        <f t="shared" si="51"/>
        <v>-1</v>
      </c>
      <c r="AX292">
        <f t="shared" si="52"/>
        <v>0</v>
      </c>
      <c r="AY292">
        <f t="shared" si="53"/>
        <v>2</v>
      </c>
      <c r="AZ292" t="str">
        <f t="shared" si="54"/>
        <v>Neutral YSRCP</v>
      </c>
    </row>
    <row r="293" spans="1:52" x14ac:dyDescent="0.3">
      <c r="A293" t="s">
        <v>1796</v>
      </c>
      <c r="B293" s="94">
        <v>46044</v>
      </c>
      <c r="C293" t="s">
        <v>1797</v>
      </c>
      <c r="D293" t="s">
        <v>1798</v>
      </c>
      <c r="E293" t="s">
        <v>1799</v>
      </c>
      <c r="F293" t="s">
        <v>935</v>
      </c>
      <c r="G293" t="s">
        <v>39</v>
      </c>
      <c r="H293" t="s">
        <v>1800</v>
      </c>
      <c r="I293" t="s">
        <v>59</v>
      </c>
      <c r="J293" t="s">
        <v>219</v>
      </c>
      <c r="K293" t="s">
        <v>224</v>
      </c>
      <c r="L293" t="s">
        <v>82</v>
      </c>
      <c r="M293" t="s">
        <v>51</v>
      </c>
      <c r="N293" t="s">
        <v>52</v>
      </c>
      <c r="O293" t="s">
        <v>1801</v>
      </c>
      <c r="P293">
        <v>9963751850</v>
      </c>
      <c r="Q293" t="s">
        <v>54</v>
      </c>
      <c r="R293" t="s">
        <v>61</v>
      </c>
      <c r="S293" t="s">
        <v>43</v>
      </c>
      <c r="T293" t="s">
        <v>43</v>
      </c>
      <c r="U293" t="s">
        <v>44</v>
      </c>
      <c r="V293" t="s">
        <v>45</v>
      </c>
      <c r="W293" t="s">
        <v>5049</v>
      </c>
      <c r="X293" t="s">
        <v>45</v>
      </c>
      <c r="Y293" t="s">
        <v>46</v>
      </c>
      <c r="Z293" t="s">
        <v>47</v>
      </c>
      <c r="AA293" t="s">
        <v>48</v>
      </c>
      <c r="AB293" t="s">
        <v>49</v>
      </c>
      <c r="AC293" t="s">
        <v>49</v>
      </c>
      <c r="AD293" t="s">
        <v>1279</v>
      </c>
      <c r="AE293" t="s">
        <v>1250</v>
      </c>
      <c r="AF293" t="s">
        <v>1614</v>
      </c>
      <c r="AG293" t="s">
        <v>498</v>
      </c>
      <c r="AH293" s="93">
        <f>VLOOKUP(Table1[[#This Row],[Caste]],Factor!$H$1:$K$13,4,0)</f>
        <v>1.1461625511156397</v>
      </c>
      <c r="AI29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93">
        <f>Table1[[#This Row],[Factor_1]]*Table1[[#This Row],[2024 Factor]]</f>
        <v>0.77721139583220644</v>
      </c>
      <c r="AK293">
        <f>VLOOKUP(Table1[[#This Row],[Q18: Gender]],Factor!$A$33:$E$35,5,0)</f>
        <v>0.85034013605442171</v>
      </c>
      <c r="AL293">
        <f>VLOOKUP(Table1[[#This Row],[Taluka]],Factor!$A$42:$G$46,7,0)</f>
        <v>1.147984664167413</v>
      </c>
      <c r="AM293">
        <f>VLOOKUP(Table1[[#This Row],[Caste]]&amp;Table1[[#This Row],[Q18: Gender]],Factor!$W$1:$X$23,2,0)</f>
        <v>0.71995135120329123</v>
      </c>
      <c r="AN293">
        <f>VLOOKUP(Table1[[#This Row],[Taluka]]&amp;Table1[[#This Row],[Caste]]&amp;Table1[[#This Row],[Q18: Gender]],Factor!$AK$4:$AL$93,2,0)</f>
        <v>0.54319084681293095</v>
      </c>
      <c r="AO293">
        <f t="shared" si="44"/>
        <v>-1</v>
      </c>
      <c r="AP293">
        <f t="shared" si="45"/>
        <v>-1</v>
      </c>
      <c r="AQ293">
        <f t="shared" si="46"/>
        <v>-1</v>
      </c>
      <c r="AR293">
        <f t="shared" si="47"/>
        <v>-1</v>
      </c>
      <c r="AS293">
        <f t="shared" si="48"/>
        <v>-1</v>
      </c>
      <c r="AT293">
        <f t="shared" si="49"/>
        <v>-1</v>
      </c>
      <c r="AU293">
        <f t="shared" si="50"/>
        <v>-5.5</v>
      </c>
      <c r="AV293">
        <f>SUM(Table1[[#This Row],[Satis]:[29]])</f>
        <v>-6</v>
      </c>
      <c r="AW293">
        <f t="shared" si="51"/>
        <v>-5</v>
      </c>
      <c r="AX293">
        <f t="shared" si="52"/>
        <v>-4</v>
      </c>
      <c r="AY293">
        <f t="shared" si="53"/>
        <v>-3</v>
      </c>
      <c r="AZ293" t="str">
        <f t="shared" si="54"/>
        <v>TDP HardCore</v>
      </c>
    </row>
    <row r="294" spans="1:52" x14ac:dyDescent="0.3">
      <c r="A294" t="s">
        <v>1802</v>
      </c>
      <c r="B294" s="94">
        <v>46044</v>
      </c>
      <c r="C294" t="s">
        <v>1803</v>
      </c>
      <c r="D294" t="s">
        <v>1804</v>
      </c>
      <c r="E294" t="s">
        <v>1805</v>
      </c>
      <c r="F294" t="s">
        <v>69</v>
      </c>
      <c r="G294" t="s">
        <v>39</v>
      </c>
      <c r="H294" t="s">
        <v>1806</v>
      </c>
      <c r="I294" t="s">
        <v>59</v>
      </c>
      <c r="J294" t="s">
        <v>219</v>
      </c>
      <c r="K294" t="s">
        <v>223</v>
      </c>
      <c r="L294" t="s">
        <v>62</v>
      </c>
      <c r="M294" t="s">
        <v>51</v>
      </c>
      <c r="N294" t="s">
        <v>107</v>
      </c>
      <c r="O294" t="s">
        <v>1807</v>
      </c>
      <c r="P294">
        <v>9000226300</v>
      </c>
      <c r="Q294" t="s">
        <v>54</v>
      </c>
      <c r="R294" t="s">
        <v>73</v>
      </c>
      <c r="S294" t="s">
        <v>43</v>
      </c>
      <c r="T294" t="s">
        <v>43</v>
      </c>
      <c r="U294" t="s">
        <v>44</v>
      </c>
      <c r="V294" t="s">
        <v>45</v>
      </c>
      <c r="W294" t="s">
        <v>5084</v>
      </c>
      <c r="X294" t="s">
        <v>45</v>
      </c>
      <c r="Y294" t="s">
        <v>46</v>
      </c>
      <c r="Z294" t="s">
        <v>47</v>
      </c>
      <c r="AA294" t="s">
        <v>48</v>
      </c>
      <c r="AB294" t="s">
        <v>49</v>
      </c>
      <c r="AC294" t="s">
        <v>49</v>
      </c>
      <c r="AD294" t="s">
        <v>1279</v>
      </c>
      <c r="AE294" t="s">
        <v>1271</v>
      </c>
      <c r="AF294" t="s">
        <v>1808</v>
      </c>
      <c r="AG294" t="s">
        <v>196</v>
      </c>
      <c r="AH294" s="93">
        <f>VLOOKUP(Table1[[#This Row],[Caste]],Factor!$H$1:$K$13,4,0)</f>
        <v>1.1461625511156397</v>
      </c>
      <c r="AI29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94">
        <f>Table1[[#This Row],[Factor_1]]*Table1[[#This Row],[2024 Factor]]</f>
        <v>0.77721139583220644</v>
      </c>
      <c r="AK294">
        <f>VLOOKUP(Table1[[#This Row],[Q18: Gender]],Factor!$A$33:$E$35,5,0)</f>
        <v>0.85034013605442171</v>
      </c>
      <c r="AL294">
        <f>VLOOKUP(Table1[[#This Row],[Taluka]],Factor!$A$42:$G$46,7,0)</f>
        <v>1.147984664167413</v>
      </c>
      <c r="AM294">
        <f>VLOOKUP(Table1[[#This Row],[Caste]]&amp;Table1[[#This Row],[Q18: Gender]],Factor!$W$1:$X$23,2,0)</f>
        <v>0.71995135120329123</v>
      </c>
      <c r="AN294">
        <f>VLOOKUP(Table1[[#This Row],[Taluka]]&amp;Table1[[#This Row],[Caste]]&amp;Table1[[#This Row],[Q18: Gender]],Factor!$AK$4:$AL$93,2,0)</f>
        <v>0.54319084681293095</v>
      </c>
      <c r="AO294">
        <f t="shared" si="44"/>
        <v>-1</v>
      </c>
      <c r="AP294">
        <f t="shared" si="45"/>
        <v>-1</v>
      </c>
      <c r="AQ294">
        <f t="shared" si="46"/>
        <v>-1</v>
      </c>
      <c r="AR294">
        <f t="shared" si="47"/>
        <v>-1</v>
      </c>
      <c r="AS294">
        <f t="shared" si="48"/>
        <v>-1</v>
      </c>
      <c r="AT294">
        <f t="shared" si="49"/>
        <v>-1</v>
      </c>
      <c r="AU294">
        <f t="shared" si="50"/>
        <v>-5.5</v>
      </c>
      <c r="AV294">
        <f>SUM(Table1[[#This Row],[Satis]:[29]])</f>
        <v>-6</v>
      </c>
      <c r="AW294">
        <f t="shared" si="51"/>
        <v>-5</v>
      </c>
      <c r="AX294">
        <f t="shared" si="52"/>
        <v>-4</v>
      </c>
      <c r="AY294">
        <f t="shared" si="53"/>
        <v>-3</v>
      </c>
      <c r="AZ294" t="str">
        <f t="shared" si="54"/>
        <v>TDP HardCore</v>
      </c>
    </row>
    <row r="295" spans="1:52" x14ac:dyDescent="0.3">
      <c r="A295" t="s">
        <v>1809</v>
      </c>
      <c r="B295" s="94">
        <v>46044</v>
      </c>
      <c r="C295" t="s">
        <v>1810</v>
      </c>
      <c r="D295" t="s">
        <v>1811</v>
      </c>
      <c r="E295" t="s">
        <v>1812</v>
      </c>
      <c r="F295" t="s">
        <v>935</v>
      </c>
      <c r="G295" t="s">
        <v>39</v>
      </c>
      <c r="H295" t="s">
        <v>1813</v>
      </c>
      <c r="I295" t="s">
        <v>70</v>
      </c>
      <c r="J295" t="s">
        <v>219</v>
      </c>
      <c r="K295" t="s">
        <v>224</v>
      </c>
      <c r="L295" t="s">
        <v>82</v>
      </c>
      <c r="M295" t="s">
        <v>51</v>
      </c>
      <c r="N295" t="s">
        <v>52</v>
      </c>
      <c r="O295" t="s">
        <v>1814</v>
      </c>
      <c r="P295">
        <v>9573591160</v>
      </c>
      <c r="Q295" t="s">
        <v>54</v>
      </c>
      <c r="R295" t="s">
        <v>61</v>
      </c>
      <c r="S295" t="s">
        <v>88</v>
      </c>
      <c r="T295" t="s">
        <v>89</v>
      </c>
      <c r="U295" t="s">
        <v>44</v>
      </c>
      <c r="V295" t="s">
        <v>91</v>
      </c>
      <c r="W295" t="s">
        <v>5087</v>
      </c>
      <c r="X295" t="s">
        <v>45</v>
      </c>
      <c r="Y295" t="s">
        <v>46</v>
      </c>
      <c r="Z295" t="s">
        <v>47</v>
      </c>
      <c r="AA295" t="s">
        <v>48</v>
      </c>
      <c r="AB295" t="s">
        <v>49</v>
      </c>
      <c r="AC295" t="s">
        <v>49</v>
      </c>
      <c r="AD295" t="s">
        <v>1279</v>
      </c>
      <c r="AE295" t="s">
        <v>1271</v>
      </c>
      <c r="AF295" t="s">
        <v>1815</v>
      </c>
      <c r="AG295" t="s">
        <v>196</v>
      </c>
      <c r="AH295" s="93">
        <f>VLOOKUP(Table1[[#This Row],[Caste]],Factor!$H$1:$K$13,4,0)</f>
        <v>1.3836274505214585</v>
      </c>
      <c r="AI29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95">
        <f>Table1[[#This Row],[Factor_1]]*Table1[[#This Row],[2024 Factor]]</f>
        <v>1.1648410586678206</v>
      </c>
      <c r="AK295">
        <f>VLOOKUP(Table1[[#This Row],[Q18: Gender]],Factor!$A$33:$E$35,5,0)</f>
        <v>0.85034013605442171</v>
      </c>
      <c r="AL295">
        <f>VLOOKUP(Table1[[#This Row],[Taluka]],Factor!$A$42:$G$46,7,0)</f>
        <v>1.147984664167413</v>
      </c>
      <c r="AM295">
        <f>VLOOKUP(Table1[[#This Row],[Caste]]&amp;Table1[[#This Row],[Q18: Gender]],Factor!$W$1:$X$23,2,0)</f>
        <v>1.0790228998469584</v>
      </c>
      <c r="AN295">
        <f>VLOOKUP(Table1[[#This Row],[Taluka]]&amp;Table1[[#This Row],[Caste]]&amp;Table1[[#This Row],[Q18: Gender]],Factor!$AK$4:$AL$93,2,0)</f>
        <v>1.1572915102003449</v>
      </c>
      <c r="AO295">
        <f t="shared" si="44"/>
        <v>1</v>
      </c>
      <c r="AP295">
        <f t="shared" si="45"/>
        <v>-1</v>
      </c>
      <c r="AQ295">
        <f t="shared" si="46"/>
        <v>1</v>
      </c>
      <c r="AR295">
        <f t="shared" si="47"/>
        <v>-1</v>
      </c>
      <c r="AS295">
        <f t="shared" si="48"/>
        <v>-1</v>
      </c>
      <c r="AT295">
        <f t="shared" si="49"/>
        <v>-1</v>
      </c>
      <c r="AU295">
        <f t="shared" si="50"/>
        <v>-1.5</v>
      </c>
      <c r="AV295">
        <f>SUM(Table1[[#This Row],[Satis]:[29]])</f>
        <v>-2</v>
      </c>
      <c r="AW295">
        <f t="shared" si="51"/>
        <v>-1</v>
      </c>
      <c r="AX295">
        <f t="shared" si="52"/>
        <v>-2</v>
      </c>
      <c r="AY295">
        <f t="shared" si="53"/>
        <v>-2</v>
      </c>
      <c r="AZ295" t="str">
        <f t="shared" si="54"/>
        <v>Neutral TDP</v>
      </c>
    </row>
    <row r="296" spans="1:52" x14ac:dyDescent="0.3">
      <c r="A296" t="s">
        <v>1578</v>
      </c>
      <c r="B296" s="94">
        <v>46044</v>
      </c>
      <c r="C296" t="s">
        <v>1579</v>
      </c>
      <c r="D296" t="s">
        <v>1580</v>
      </c>
      <c r="E296" t="s">
        <v>1581</v>
      </c>
      <c r="F296" t="s">
        <v>69</v>
      </c>
      <c r="G296" t="s">
        <v>39</v>
      </c>
      <c r="H296" t="s">
        <v>1582</v>
      </c>
      <c r="I296" t="s">
        <v>59</v>
      </c>
      <c r="J296" t="s">
        <v>219</v>
      </c>
      <c r="K296" t="s">
        <v>221</v>
      </c>
      <c r="L296" t="s">
        <v>82</v>
      </c>
      <c r="M296" t="s">
        <v>51</v>
      </c>
      <c r="N296" t="s">
        <v>107</v>
      </c>
      <c r="O296" t="s">
        <v>1583</v>
      </c>
      <c r="P296">
        <v>9999999999</v>
      </c>
      <c r="Q296" t="s">
        <v>54</v>
      </c>
      <c r="R296" t="s">
        <v>61</v>
      </c>
      <c r="S296" t="s">
        <v>89</v>
      </c>
      <c r="T296" t="s">
        <v>43</v>
      </c>
      <c r="U296" t="s">
        <v>44</v>
      </c>
      <c r="V296" t="s">
        <v>45</v>
      </c>
      <c r="W296" t="s">
        <v>5051</v>
      </c>
      <c r="X296" t="s">
        <v>45</v>
      </c>
      <c r="Y296" t="s">
        <v>46</v>
      </c>
      <c r="Z296" t="s">
        <v>47</v>
      </c>
      <c r="AA296" t="s">
        <v>48</v>
      </c>
      <c r="AB296" t="s">
        <v>49</v>
      </c>
      <c r="AC296" t="s">
        <v>49</v>
      </c>
      <c r="AD296" t="s">
        <v>1279</v>
      </c>
      <c r="AE296" t="s">
        <v>185</v>
      </c>
      <c r="AF296" t="s">
        <v>1280</v>
      </c>
      <c r="AG296" t="s">
        <v>196</v>
      </c>
      <c r="AH296" s="93">
        <f>VLOOKUP(Table1[[#This Row],[Caste]],Factor!$H$1:$K$13,4,0)</f>
        <v>1.1461625511156397</v>
      </c>
      <c r="AI29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96">
        <f>Table1[[#This Row],[Factor_1]]*Table1[[#This Row],[2024 Factor]]</f>
        <v>0.77721139583220644</v>
      </c>
      <c r="AK296">
        <f>VLOOKUP(Table1[[#This Row],[Q18: Gender]],Factor!$A$33:$E$35,5,0)</f>
        <v>0.85034013605442171</v>
      </c>
      <c r="AL296">
        <f>VLOOKUP(Table1[[#This Row],[Taluka]],Factor!$A$42:$G$46,7,0)</f>
        <v>1.147984664167413</v>
      </c>
      <c r="AM296">
        <f>VLOOKUP(Table1[[#This Row],[Caste]]&amp;Table1[[#This Row],[Q18: Gender]],Factor!$W$1:$X$23,2,0)</f>
        <v>0.71995135120329123</v>
      </c>
      <c r="AN296">
        <f>VLOOKUP(Table1[[#This Row],[Taluka]]&amp;Table1[[#This Row],[Caste]]&amp;Table1[[#This Row],[Q18: Gender]],Factor!$AK$4:$AL$93,2,0)</f>
        <v>0.54319084681293095</v>
      </c>
      <c r="AO296">
        <f t="shared" si="44"/>
        <v>-1</v>
      </c>
      <c r="AP296">
        <f t="shared" si="45"/>
        <v>-1</v>
      </c>
      <c r="AQ296">
        <f t="shared" si="46"/>
        <v>-1</v>
      </c>
      <c r="AR296">
        <f t="shared" si="47"/>
        <v>-1</v>
      </c>
      <c r="AS296">
        <f t="shared" si="48"/>
        <v>-1</v>
      </c>
      <c r="AT296">
        <f t="shared" si="49"/>
        <v>-1</v>
      </c>
      <c r="AU296">
        <f t="shared" si="50"/>
        <v>-5.5</v>
      </c>
      <c r="AV296">
        <f>SUM(Table1[[#This Row],[Satis]:[29]])</f>
        <v>-6</v>
      </c>
      <c r="AW296">
        <f t="shared" si="51"/>
        <v>-5</v>
      </c>
      <c r="AX296">
        <f t="shared" si="52"/>
        <v>-4</v>
      </c>
      <c r="AY296">
        <f t="shared" si="53"/>
        <v>-3</v>
      </c>
      <c r="AZ296" t="str">
        <f t="shared" si="54"/>
        <v>TDP HardCore</v>
      </c>
    </row>
    <row r="297" spans="1:52" x14ac:dyDescent="0.3">
      <c r="A297" t="s">
        <v>1601</v>
      </c>
      <c r="B297" s="94">
        <v>46044</v>
      </c>
      <c r="C297" t="s">
        <v>1602</v>
      </c>
      <c r="D297" t="s">
        <v>1603</v>
      </c>
      <c r="E297" t="s">
        <v>1604</v>
      </c>
      <c r="F297" t="s">
        <v>240</v>
      </c>
      <c r="G297" t="s">
        <v>39</v>
      </c>
      <c r="H297" t="s">
        <v>1605</v>
      </c>
      <c r="I297" t="s">
        <v>36</v>
      </c>
      <c r="J297" t="s">
        <v>71</v>
      </c>
      <c r="K297" t="s">
        <v>214</v>
      </c>
      <c r="L297" t="s">
        <v>62</v>
      </c>
      <c r="M297" t="s">
        <v>51</v>
      </c>
      <c r="N297" t="s">
        <v>63</v>
      </c>
      <c r="O297" t="s">
        <v>1606</v>
      </c>
      <c r="P297">
        <v>9133151994</v>
      </c>
      <c r="Q297" t="s">
        <v>54</v>
      </c>
      <c r="R297" t="s">
        <v>73</v>
      </c>
      <c r="S297" t="s">
        <v>43</v>
      </c>
      <c r="T297" t="s">
        <v>43</v>
      </c>
      <c r="U297" t="s">
        <v>44</v>
      </c>
      <c r="V297" t="s">
        <v>45</v>
      </c>
      <c r="W297" t="s">
        <v>5058</v>
      </c>
      <c r="X297" t="s">
        <v>45</v>
      </c>
      <c r="Y297" t="s">
        <v>46</v>
      </c>
      <c r="Z297" t="s">
        <v>47</v>
      </c>
      <c r="AA297" t="s">
        <v>48</v>
      </c>
      <c r="AB297" t="s">
        <v>49</v>
      </c>
      <c r="AC297" t="s">
        <v>49</v>
      </c>
      <c r="AD297" t="s">
        <v>1270</v>
      </c>
      <c r="AE297" t="s">
        <v>185</v>
      </c>
      <c r="AF297" t="s">
        <v>1607</v>
      </c>
      <c r="AG297" t="s">
        <v>196</v>
      </c>
      <c r="AH297" s="93">
        <f>VLOOKUP(Table1[[#This Row],[Caste]],Factor!$H$1:$K$13,4,0)</f>
        <v>1.1705128247062893</v>
      </c>
      <c r="AI29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97">
        <f>Table1[[#This Row],[Factor_1]]*Table1[[#This Row],[2024 Factor]]</f>
        <v>0.86308903171383233</v>
      </c>
      <c r="AK297">
        <f>VLOOKUP(Table1[[#This Row],[Q18: Gender]],Factor!$A$33:$E$35,5,0)</f>
        <v>0.85034013605442171</v>
      </c>
      <c r="AL297">
        <f>VLOOKUP(Table1[[#This Row],[Taluka]],Factor!$A$42:$G$46,7,0)</f>
        <v>1.1213131007097483</v>
      </c>
      <c r="AM297">
        <f>VLOOKUP(Table1[[#This Row],[Caste]]&amp;Table1[[#This Row],[Q18: Gender]],Factor!$W$1:$X$23,2,0)</f>
        <v>0.79950206330384943</v>
      </c>
      <c r="AN297">
        <f>VLOOKUP(Table1[[#This Row],[Taluka]]&amp;Table1[[#This Row],[Caste]]&amp;Table1[[#This Row],[Q18: Gender]],Factor!$AK$4:$AL$93,2,0)</f>
        <v>0.7401439088249181</v>
      </c>
      <c r="AO297">
        <f t="shared" si="44"/>
        <v>-1</v>
      </c>
      <c r="AP297">
        <f t="shared" si="45"/>
        <v>-1</v>
      </c>
      <c r="AQ297">
        <f t="shared" si="46"/>
        <v>-1</v>
      </c>
      <c r="AR297">
        <f t="shared" si="47"/>
        <v>-1</v>
      </c>
      <c r="AS297">
        <f t="shared" si="48"/>
        <v>-1</v>
      </c>
      <c r="AT297">
        <f t="shared" si="49"/>
        <v>-1</v>
      </c>
      <c r="AU297">
        <f t="shared" si="50"/>
        <v>-5.5</v>
      </c>
      <c r="AV297">
        <f>SUM(Table1[[#This Row],[Satis]:[29]])</f>
        <v>-6</v>
      </c>
      <c r="AW297">
        <f t="shared" si="51"/>
        <v>-5</v>
      </c>
      <c r="AX297">
        <f t="shared" si="52"/>
        <v>-4</v>
      </c>
      <c r="AY297">
        <f t="shared" si="53"/>
        <v>-3</v>
      </c>
      <c r="AZ297" t="str">
        <f t="shared" si="54"/>
        <v>TDP HardCore</v>
      </c>
    </row>
    <row r="298" spans="1:52" x14ac:dyDescent="0.3">
      <c r="A298" t="s">
        <v>1349</v>
      </c>
      <c r="B298" s="94">
        <v>46044</v>
      </c>
      <c r="C298" t="s">
        <v>1350</v>
      </c>
      <c r="D298" t="s">
        <v>1351</v>
      </c>
      <c r="E298" t="s">
        <v>1352</v>
      </c>
      <c r="F298" t="s">
        <v>69</v>
      </c>
      <c r="G298" t="s">
        <v>39</v>
      </c>
      <c r="H298" t="s">
        <v>1353</v>
      </c>
      <c r="I298" t="s">
        <v>59</v>
      </c>
      <c r="J298" t="s">
        <v>219</v>
      </c>
      <c r="K298" t="s">
        <v>221</v>
      </c>
      <c r="L298" t="s">
        <v>82</v>
      </c>
      <c r="M298" t="s">
        <v>51</v>
      </c>
      <c r="N298" t="s">
        <v>52</v>
      </c>
      <c r="O298" t="s">
        <v>1354</v>
      </c>
      <c r="P298">
        <v>9000259567</v>
      </c>
      <c r="Q298" t="s">
        <v>54</v>
      </c>
      <c r="R298" t="s">
        <v>61</v>
      </c>
      <c r="S298" t="s">
        <v>89</v>
      </c>
      <c r="T298" t="s">
        <v>43</v>
      </c>
      <c r="U298" t="s">
        <v>44</v>
      </c>
      <c r="V298" t="s">
        <v>45</v>
      </c>
      <c r="W298" t="s">
        <v>5085</v>
      </c>
      <c r="X298" t="s">
        <v>45</v>
      </c>
      <c r="Y298" t="s">
        <v>46</v>
      </c>
      <c r="Z298" t="s">
        <v>47</v>
      </c>
      <c r="AA298" t="s">
        <v>48</v>
      </c>
      <c r="AB298" t="s">
        <v>49</v>
      </c>
      <c r="AC298" t="s">
        <v>49</v>
      </c>
      <c r="AD298" t="s">
        <v>1279</v>
      </c>
      <c r="AE298" t="s">
        <v>185</v>
      </c>
      <c r="AF298" t="s">
        <v>1355</v>
      </c>
      <c r="AG298" t="s">
        <v>196</v>
      </c>
      <c r="AH298" s="93">
        <f>VLOOKUP(Table1[[#This Row],[Caste]],Factor!$H$1:$K$13,4,0)</f>
        <v>1.1461625511156397</v>
      </c>
      <c r="AI29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98">
        <f>Table1[[#This Row],[Factor_1]]*Table1[[#This Row],[2024 Factor]]</f>
        <v>0.77721139583220644</v>
      </c>
      <c r="AK298">
        <f>VLOOKUP(Table1[[#This Row],[Q18: Gender]],Factor!$A$33:$E$35,5,0)</f>
        <v>0.85034013605442171</v>
      </c>
      <c r="AL298">
        <f>VLOOKUP(Table1[[#This Row],[Taluka]],Factor!$A$42:$G$46,7,0)</f>
        <v>1.147984664167413</v>
      </c>
      <c r="AM298">
        <f>VLOOKUP(Table1[[#This Row],[Caste]]&amp;Table1[[#This Row],[Q18: Gender]],Factor!$W$1:$X$23,2,0)</f>
        <v>0.71995135120329123</v>
      </c>
      <c r="AN298">
        <f>VLOOKUP(Table1[[#This Row],[Taluka]]&amp;Table1[[#This Row],[Caste]]&amp;Table1[[#This Row],[Q18: Gender]],Factor!$AK$4:$AL$93,2,0)</f>
        <v>0.54319084681293095</v>
      </c>
      <c r="AO298">
        <f t="shared" si="44"/>
        <v>-1</v>
      </c>
      <c r="AP298">
        <f t="shared" si="45"/>
        <v>-1</v>
      </c>
      <c r="AQ298">
        <f t="shared" si="46"/>
        <v>-1</v>
      </c>
      <c r="AR298">
        <f t="shared" si="47"/>
        <v>-1</v>
      </c>
      <c r="AS298">
        <f t="shared" si="48"/>
        <v>-1</v>
      </c>
      <c r="AT298">
        <f t="shared" si="49"/>
        <v>-1</v>
      </c>
      <c r="AU298">
        <f t="shared" si="50"/>
        <v>-5.5</v>
      </c>
      <c r="AV298">
        <f>SUM(Table1[[#This Row],[Satis]:[29]])</f>
        <v>-6</v>
      </c>
      <c r="AW298">
        <f t="shared" si="51"/>
        <v>-5</v>
      </c>
      <c r="AX298">
        <f t="shared" si="52"/>
        <v>-4</v>
      </c>
      <c r="AY298">
        <f t="shared" si="53"/>
        <v>-3</v>
      </c>
      <c r="AZ298" t="str">
        <f t="shared" si="54"/>
        <v>TDP HardCore</v>
      </c>
    </row>
    <row r="299" spans="1:52" x14ac:dyDescent="0.3">
      <c r="A299" t="s">
        <v>1476</v>
      </c>
      <c r="B299" s="94">
        <v>46044</v>
      </c>
      <c r="C299" t="s">
        <v>1477</v>
      </c>
      <c r="D299" t="s">
        <v>1478</v>
      </c>
      <c r="E299" t="s">
        <v>1359</v>
      </c>
      <c r="F299" t="s">
        <v>69</v>
      </c>
      <c r="G299" t="s">
        <v>39</v>
      </c>
      <c r="H299" t="s">
        <v>1479</v>
      </c>
      <c r="I299" t="s">
        <v>59</v>
      </c>
      <c r="J299" t="s">
        <v>219</v>
      </c>
      <c r="K299" t="s">
        <v>221</v>
      </c>
      <c r="L299" t="s">
        <v>50</v>
      </c>
      <c r="M299" t="s">
        <v>51</v>
      </c>
      <c r="N299" t="s">
        <v>52</v>
      </c>
      <c r="O299" t="s">
        <v>542</v>
      </c>
      <c r="P299">
        <v>9849706357</v>
      </c>
      <c r="Q299" t="s">
        <v>54</v>
      </c>
      <c r="R299" t="s">
        <v>61</v>
      </c>
      <c r="S299" t="s">
        <v>43</v>
      </c>
      <c r="T299" t="s">
        <v>43</v>
      </c>
      <c r="U299" t="s">
        <v>44</v>
      </c>
      <c r="V299" t="s">
        <v>45</v>
      </c>
      <c r="W299" t="s">
        <v>5067</v>
      </c>
      <c r="X299" t="s">
        <v>45</v>
      </c>
      <c r="Y299" t="s">
        <v>46</v>
      </c>
      <c r="Z299" t="s">
        <v>47</v>
      </c>
      <c r="AA299" t="s">
        <v>48</v>
      </c>
      <c r="AB299" t="s">
        <v>49</v>
      </c>
      <c r="AC299" t="s">
        <v>49</v>
      </c>
      <c r="AD299" t="s">
        <v>1270</v>
      </c>
      <c r="AE299" t="s">
        <v>185</v>
      </c>
      <c r="AF299" t="s">
        <v>1341</v>
      </c>
      <c r="AG299" t="s">
        <v>196</v>
      </c>
      <c r="AH299" s="93">
        <f>VLOOKUP(Table1[[#This Row],[Caste]],Factor!$H$1:$K$13,4,0)</f>
        <v>1.1461625511156397</v>
      </c>
      <c r="AI29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299">
        <f>Table1[[#This Row],[Factor_1]]*Table1[[#This Row],[2024 Factor]]</f>
        <v>0.77721139583220644</v>
      </c>
      <c r="AK299">
        <f>VLOOKUP(Table1[[#This Row],[Q18: Gender]],Factor!$A$33:$E$35,5,0)</f>
        <v>0.85034013605442171</v>
      </c>
      <c r="AL299">
        <f>VLOOKUP(Table1[[#This Row],[Taluka]],Factor!$A$42:$G$46,7,0)</f>
        <v>1.147984664167413</v>
      </c>
      <c r="AM299">
        <f>VLOOKUP(Table1[[#This Row],[Caste]]&amp;Table1[[#This Row],[Q18: Gender]],Factor!$W$1:$X$23,2,0)</f>
        <v>0.71995135120329123</v>
      </c>
      <c r="AN299">
        <f>VLOOKUP(Table1[[#This Row],[Taluka]]&amp;Table1[[#This Row],[Caste]]&amp;Table1[[#This Row],[Q18: Gender]],Factor!$AK$4:$AL$93,2,0)</f>
        <v>0.54319084681293095</v>
      </c>
      <c r="AO299">
        <f t="shared" si="44"/>
        <v>-1</v>
      </c>
      <c r="AP299">
        <f t="shared" si="45"/>
        <v>-1</v>
      </c>
      <c r="AQ299">
        <f t="shared" si="46"/>
        <v>-1</v>
      </c>
      <c r="AR299">
        <f t="shared" si="47"/>
        <v>-1</v>
      </c>
      <c r="AS299">
        <f t="shared" si="48"/>
        <v>-1</v>
      </c>
      <c r="AT299">
        <f t="shared" si="49"/>
        <v>-1</v>
      </c>
      <c r="AU299">
        <f t="shared" si="50"/>
        <v>-5.5</v>
      </c>
      <c r="AV299">
        <f>SUM(Table1[[#This Row],[Satis]:[29]])</f>
        <v>-6</v>
      </c>
      <c r="AW299">
        <f t="shared" si="51"/>
        <v>-5</v>
      </c>
      <c r="AX299">
        <f t="shared" si="52"/>
        <v>-4</v>
      </c>
      <c r="AY299">
        <f t="shared" si="53"/>
        <v>-3</v>
      </c>
      <c r="AZ299" t="str">
        <f t="shared" si="54"/>
        <v>TDP HardCore</v>
      </c>
    </row>
    <row r="300" spans="1:52" x14ac:dyDescent="0.3">
      <c r="A300" t="s">
        <v>1835</v>
      </c>
      <c r="B300" s="94">
        <v>46044</v>
      </c>
      <c r="C300" t="s">
        <v>1836</v>
      </c>
      <c r="D300" t="s">
        <v>1837</v>
      </c>
      <c r="E300" t="s">
        <v>1838</v>
      </c>
      <c r="F300" t="s">
        <v>69</v>
      </c>
      <c r="G300" t="s">
        <v>39</v>
      </c>
      <c r="H300" t="s">
        <v>1839</v>
      </c>
      <c r="I300" t="s">
        <v>168</v>
      </c>
      <c r="J300" t="s">
        <v>219</v>
      </c>
      <c r="K300" t="s">
        <v>223</v>
      </c>
      <c r="L300" t="s">
        <v>161</v>
      </c>
      <c r="M300" t="s">
        <v>51</v>
      </c>
      <c r="N300" t="s">
        <v>52</v>
      </c>
      <c r="O300" t="s">
        <v>1502</v>
      </c>
      <c r="P300">
        <v>9959404233</v>
      </c>
      <c r="Q300" t="s">
        <v>54</v>
      </c>
      <c r="R300" t="s">
        <v>73</v>
      </c>
      <c r="S300" t="s">
        <v>43</v>
      </c>
      <c r="T300" t="s">
        <v>43</v>
      </c>
      <c r="U300" t="s">
        <v>44</v>
      </c>
      <c r="V300" t="s">
        <v>45</v>
      </c>
      <c r="W300" t="s">
        <v>5061</v>
      </c>
      <c r="X300" t="s">
        <v>45</v>
      </c>
      <c r="Y300" t="s">
        <v>46</v>
      </c>
      <c r="Z300" t="s">
        <v>47</v>
      </c>
      <c r="AA300" t="s">
        <v>48</v>
      </c>
      <c r="AB300" t="s">
        <v>49</v>
      </c>
      <c r="AC300" t="s">
        <v>49</v>
      </c>
      <c r="AD300" t="s">
        <v>1270</v>
      </c>
      <c r="AE300" t="s">
        <v>1271</v>
      </c>
      <c r="AF300" t="s">
        <v>1840</v>
      </c>
      <c r="AG300" t="s">
        <v>196</v>
      </c>
      <c r="AH300" s="93">
        <f>VLOOKUP(Table1[[#This Row],[Caste]],Factor!$H$1:$K$13,4,0)</f>
        <v>1.0478809952686368</v>
      </c>
      <c r="AI30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00">
        <f>Table1[[#This Row],[Factor_1]]*Table1[[#This Row],[2024 Factor]]</f>
        <v>0.8266624780172348</v>
      </c>
      <c r="AK300">
        <f>VLOOKUP(Table1[[#This Row],[Q18: Gender]],Factor!$A$33:$E$35,5,0)</f>
        <v>0.85034013605442171</v>
      </c>
      <c r="AL300">
        <f>VLOOKUP(Table1[[#This Row],[Taluka]],Factor!$A$42:$G$46,7,0)</f>
        <v>1.147984664167413</v>
      </c>
      <c r="AM300">
        <f>VLOOKUP(Table1[[#This Row],[Caste]]&amp;Table1[[#This Row],[Q18: Gender]],Factor!$W$1:$X$23,2,0)</f>
        <v>0.7657591888501577</v>
      </c>
      <c r="AN300">
        <f>VLOOKUP(Table1[[#This Row],[Taluka]]&amp;Table1[[#This Row],[Caste]]&amp;Table1[[#This Row],[Q18: Gender]],Factor!$AK$4:$AL$93,2,0)</f>
        <v>0.71710935112881979</v>
      </c>
      <c r="AO300">
        <f t="shared" si="44"/>
        <v>-1</v>
      </c>
      <c r="AP300">
        <f t="shared" si="45"/>
        <v>-1</v>
      </c>
      <c r="AQ300">
        <f t="shared" si="46"/>
        <v>-1</v>
      </c>
      <c r="AR300">
        <f t="shared" si="47"/>
        <v>-1</v>
      </c>
      <c r="AS300">
        <f t="shared" si="48"/>
        <v>-1</v>
      </c>
      <c r="AT300">
        <f t="shared" si="49"/>
        <v>-1</v>
      </c>
      <c r="AU300">
        <f t="shared" si="50"/>
        <v>-5.5</v>
      </c>
      <c r="AV300">
        <f>SUM(Table1[[#This Row],[Satis]:[29]])</f>
        <v>-6</v>
      </c>
      <c r="AW300">
        <f t="shared" si="51"/>
        <v>-5</v>
      </c>
      <c r="AX300">
        <f t="shared" si="52"/>
        <v>-4</v>
      </c>
      <c r="AY300">
        <f t="shared" si="53"/>
        <v>-3</v>
      </c>
      <c r="AZ300" t="str">
        <f t="shared" si="54"/>
        <v>TDP HardCore</v>
      </c>
    </row>
    <row r="301" spans="1:52" x14ac:dyDescent="0.3">
      <c r="A301" t="s">
        <v>1841</v>
      </c>
      <c r="B301" s="94">
        <v>46044</v>
      </c>
      <c r="C301" t="s">
        <v>1842</v>
      </c>
      <c r="D301" t="s">
        <v>1843</v>
      </c>
      <c r="E301" t="s">
        <v>1383</v>
      </c>
      <c r="F301" t="s">
        <v>69</v>
      </c>
      <c r="G301" t="s">
        <v>39</v>
      </c>
      <c r="H301" t="s">
        <v>1844</v>
      </c>
      <c r="I301" t="s">
        <v>228</v>
      </c>
      <c r="J301" t="s">
        <v>219</v>
      </c>
      <c r="K301" t="s">
        <v>223</v>
      </c>
      <c r="L301" t="s">
        <v>82</v>
      </c>
      <c r="M301" t="s">
        <v>443</v>
      </c>
      <c r="N301" t="s">
        <v>63</v>
      </c>
      <c r="O301" t="s">
        <v>1845</v>
      </c>
      <c r="P301">
        <v>9999999999</v>
      </c>
      <c r="Q301" t="s">
        <v>445</v>
      </c>
      <c r="R301" t="s">
        <v>73</v>
      </c>
      <c r="S301" t="s">
        <v>43</v>
      </c>
      <c r="T301" t="s">
        <v>43</v>
      </c>
      <c r="U301" t="s">
        <v>44</v>
      </c>
      <c r="V301" t="s">
        <v>45</v>
      </c>
      <c r="W301" t="s">
        <v>5080</v>
      </c>
      <c r="X301" t="s">
        <v>45</v>
      </c>
      <c r="Y301" t="s">
        <v>46</v>
      </c>
      <c r="Z301" t="s">
        <v>47</v>
      </c>
      <c r="AA301" t="s">
        <v>48</v>
      </c>
      <c r="AB301" t="s">
        <v>49</v>
      </c>
      <c r="AC301" t="s">
        <v>49</v>
      </c>
      <c r="AD301" t="s">
        <v>1270</v>
      </c>
      <c r="AE301" t="s">
        <v>1271</v>
      </c>
      <c r="AF301" t="s">
        <v>1846</v>
      </c>
      <c r="AG301" t="s">
        <v>196</v>
      </c>
      <c r="AH301" s="93">
        <f>VLOOKUP(Table1[[#This Row],[Caste]],Factor!$H$1:$K$13,4,0)</f>
        <v>0.80207032429970992</v>
      </c>
      <c r="AI30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01">
        <f>Table1[[#This Row],[Factor_1]]*Table1[[#This Row],[2024 Factor]]</f>
        <v>1.2733258158237817</v>
      </c>
      <c r="AK301">
        <f>VLOOKUP(Table1[[#This Row],[Q18: Gender]],Factor!$A$33:$E$35,5,0)</f>
        <v>2.1645021645021645</v>
      </c>
      <c r="AL301">
        <f>VLOOKUP(Table1[[#This Row],[Taluka]],Factor!$A$42:$G$46,7,0)</f>
        <v>1.147984664167413</v>
      </c>
      <c r="AM301">
        <f>VLOOKUP(Table1[[#This Row],[Caste]]&amp;Table1[[#This Row],[Q18: Gender]],Factor!$W$1:$X$23,2,0)</f>
        <v>1.1795151827936912</v>
      </c>
      <c r="AN301">
        <f>VLOOKUP(Table1[[#This Row],[Taluka]]&amp;Table1[[#This Row],[Caste]]&amp;Table1[[#This Row],[Q18: Gender]],Factor!$AK$4:$AL$93,2,0)</f>
        <v>1.9259322700153538</v>
      </c>
      <c r="AO301">
        <f t="shared" si="44"/>
        <v>-1</v>
      </c>
      <c r="AP301">
        <f t="shared" si="45"/>
        <v>-1</v>
      </c>
      <c r="AQ301">
        <f t="shared" si="46"/>
        <v>-1</v>
      </c>
      <c r="AR301">
        <f t="shared" si="47"/>
        <v>-1</v>
      </c>
      <c r="AS301">
        <f t="shared" si="48"/>
        <v>-1</v>
      </c>
      <c r="AT301">
        <f t="shared" si="49"/>
        <v>-1</v>
      </c>
      <c r="AU301">
        <f t="shared" si="50"/>
        <v>-5.5</v>
      </c>
      <c r="AV301">
        <f>SUM(Table1[[#This Row],[Satis]:[29]])</f>
        <v>-6</v>
      </c>
      <c r="AW301">
        <f t="shared" si="51"/>
        <v>-5</v>
      </c>
      <c r="AX301">
        <f t="shared" si="52"/>
        <v>-4</v>
      </c>
      <c r="AY301">
        <f t="shared" si="53"/>
        <v>-3</v>
      </c>
      <c r="AZ301" t="str">
        <f t="shared" si="54"/>
        <v>TDP HardCore</v>
      </c>
    </row>
    <row r="302" spans="1:52" x14ac:dyDescent="0.3">
      <c r="A302" t="s">
        <v>1847</v>
      </c>
      <c r="B302" s="94">
        <v>46044</v>
      </c>
      <c r="C302" t="s">
        <v>1848</v>
      </c>
      <c r="D302" t="s">
        <v>1849</v>
      </c>
      <c r="E302" t="s">
        <v>1850</v>
      </c>
      <c r="F302" t="s">
        <v>935</v>
      </c>
      <c r="G302" t="s">
        <v>39</v>
      </c>
      <c r="H302" t="s">
        <v>1851</v>
      </c>
      <c r="I302" t="s">
        <v>145</v>
      </c>
      <c r="J302" t="s">
        <v>219</v>
      </c>
      <c r="K302" t="s">
        <v>224</v>
      </c>
      <c r="L302" t="s">
        <v>62</v>
      </c>
      <c r="M302" t="s">
        <v>51</v>
      </c>
      <c r="N302" t="s">
        <v>63</v>
      </c>
      <c r="O302" t="s">
        <v>1852</v>
      </c>
      <c r="P302">
        <v>9542466474</v>
      </c>
      <c r="Q302" t="s">
        <v>54</v>
      </c>
      <c r="R302" t="s">
        <v>139</v>
      </c>
      <c r="S302" t="s">
        <v>43</v>
      </c>
      <c r="T302" t="s">
        <v>43</v>
      </c>
      <c r="U302" t="s">
        <v>44</v>
      </c>
      <c r="V302" t="s">
        <v>45</v>
      </c>
      <c r="W302" t="s">
        <v>5062</v>
      </c>
      <c r="X302" t="s">
        <v>45</v>
      </c>
      <c r="Y302" t="s">
        <v>46</v>
      </c>
      <c r="Z302" t="s">
        <v>47</v>
      </c>
      <c r="AA302" t="s">
        <v>48</v>
      </c>
      <c r="AB302" t="s">
        <v>49</v>
      </c>
      <c r="AC302" t="s">
        <v>49</v>
      </c>
      <c r="AD302" t="s">
        <v>1270</v>
      </c>
      <c r="AE302" t="s">
        <v>1250</v>
      </c>
      <c r="AF302" t="s">
        <v>1853</v>
      </c>
      <c r="AG302" t="s">
        <v>498</v>
      </c>
      <c r="AH302" s="93">
        <f>VLOOKUP(Table1[[#This Row],[Caste]],Factor!$H$1:$K$13,4,0)</f>
        <v>1.8452248965186235</v>
      </c>
      <c r="AI30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02">
        <f>Table1[[#This Row],[Factor_1]]*Table1[[#This Row],[2024 Factor]]</f>
        <v>1.5651283704851411</v>
      </c>
      <c r="AK302">
        <f>VLOOKUP(Table1[[#This Row],[Q18: Gender]],Factor!$A$33:$E$35,5,0)</f>
        <v>0.85034013605442171</v>
      </c>
      <c r="AL302">
        <f>VLOOKUP(Table1[[#This Row],[Taluka]],Factor!$A$42:$G$46,7,0)</f>
        <v>1.147984664167413</v>
      </c>
      <c r="AM302">
        <f>VLOOKUP(Table1[[#This Row],[Caste]]&amp;Table1[[#This Row],[Q18: Gender]],Factor!$W$1:$X$23,2,0)</f>
        <v>1.4498195615503471</v>
      </c>
      <c r="AN302">
        <f>VLOOKUP(Table1[[#This Row],[Taluka]]&amp;Table1[[#This Row],[Caste]]&amp;Table1[[#This Row],[Q18: Gender]],Factor!$AK$4:$AL$93,2,0)</f>
        <v>2.9242991836792998</v>
      </c>
      <c r="AO302">
        <f t="shared" si="44"/>
        <v>-1</v>
      </c>
      <c r="AP302">
        <f t="shared" si="45"/>
        <v>-1</v>
      </c>
      <c r="AQ302">
        <f t="shared" si="46"/>
        <v>-1</v>
      </c>
      <c r="AR302">
        <f t="shared" si="47"/>
        <v>-1</v>
      </c>
      <c r="AS302">
        <f t="shared" si="48"/>
        <v>-1</v>
      </c>
      <c r="AT302">
        <f t="shared" si="49"/>
        <v>-1</v>
      </c>
      <c r="AU302">
        <f t="shared" si="50"/>
        <v>-5.5</v>
      </c>
      <c r="AV302">
        <f>SUM(Table1[[#This Row],[Satis]:[29]])</f>
        <v>-6</v>
      </c>
      <c r="AW302">
        <f t="shared" si="51"/>
        <v>-5</v>
      </c>
      <c r="AX302">
        <f t="shared" si="52"/>
        <v>-4</v>
      </c>
      <c r="AY302">
        <f t="shared" si="53"/>
        <v>-3</v>
      </c>
      <c r="AZ302" t="str">
        <f t="shared" si="54"/>
        <v>TDP HardCore</v>
      </c>
    </row>
    <row r="303" spans="1:52" x14ac:dyDescent="0.3">
      <c r="A303" t="s">
        <v>1854</v>
      </c>
      <c r="B303" s="94">
        <v>46044</v>
      </c>
      <c r="C303" t="s">
        <v>1855</v>
      </c>
      <c r="D303" t="s">
        <v>1856</v>
      </c>
      <c r="E303" t="s">
        <v>1857</v>
      </c>
      <c r="F303" t="s">
        <v>69</v>
      </c>
      <c r="G303" t="s">
        <v>39</v>
      </c>
      <c r="H303" t="s">
        <v>1858</v>
      </c>
      <c r="I303" t="s">
        <v>227</v>
      </c>
      <c r="J303" t="s">
        <v>219</v>
      </c>
      <c r="K303" t="s">
        <v>223</v>
      </c>
      <c r="L303" t="s">
        <v>62</v>
      </c>
      <c r="M303" t="s">
        <v>51</v>
      </c>
      <c r="N303" t="s">
        <v>63</v>
      </c>
      <c r="O303" t="s">
        <v>1859</v>
      </c>
      <c r="P303">
        <v>9059004877</v>
      </c>
      <c r="Q303" t="s">
        <v>445</v>
      </c>
      <c r="R303" t="s">
        <v>61</v>
      </c>
      <c r="S303" t="s">
        <v>43</v>
      </c>
      <c r="T303" t="s">
        <v>43</v>
      </c>
      <c r="U303" t="s">
        <v>44</v>
      </c>
      <c r="V303" t="s">
        <v>91</v>
      </c>
      <c r="W303" t="s">
        <v>74</v>
      </c>
      <c r="X303" t="s">
        <v>45</v>
      </c>
      <c r="Y303" t="s">
        <v>638</v>
      </c>
      <c r="Z303" t="s">
        <v>92</v>
      </c>
      <c r="AA303" t="s">
        <v>48</v>
      </c>
      <c r="AB303" t="s">
        <v>49</v>
      </c>
      <c r="AC303" t="s">
        <v>49</v>
      </c>
      <c r="AD303" t="s">
        <v>1279</v>
      </c>
      <c r="AE303" t="s">
        <v>1271</v>
      </c>
      <c r="AF303" t="s">
        <v>1860</v>
      </c>
      <c r="AG303" t="s">
        <v>196</v>
      </c>
      <c r="AH303" s="93">
        <f>VLOOKUP(Table1[[#This Row],[Caste]],Factor!$H$1:$K$13,4,0)</f>
        <v>1.2612194085121222</v>
      </c>
      <c r="AI30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03">
        <f>Table1[[#This Row],[Factor_1]]*Table1[[#This Row],[2024 Factor]]</f>
        <v>2.6155674106916162</v>
      </c>
      <c r="AK303">
        <f>VLOOKUP(Table1[[#This Row],[Q18: Gender]],Factor!$A$33:$E$35,5,0)</f>
        <v>2.1645021645021645</v>
      </c>
      <c r="AL303">
        <f>VLOOKUP(Table1[[#This Row],[Taluka]],Factor!$A$42:$G$46,7,0)</f>
        <v>1.147984664167413</v>
      </c>
      <c r="AM303">
        <f>VLOOKUP(Table1[[#This Row],[Caste]]&amp;Table1[[#This Row],[Q18: Gender]],Factor!$W$1:$X$23,2,0)</f>
        <v>2.4228688637206557</v>
      </c>
      <c r="AN303">
        <f>VLOOKUP(Table1[[#This Row],[Taluka]]&amp;Table1[[#This Row],[Caste]]&amp;Table1[[#This Row],[Q18: Gender]],Factor!$AK$4:$AL$93,2,0)</f>
        <v>2.2107623881946901</v>
      </c>
      <c r="AO303">
        <f t="shared" si="44"/>
        <v>-1</v>
      </c>
      <c r="AP303">
        <f t="shared" si="45"/>
        <v>-1</v>
      </c>
      <c r="AQ303">
        <f t="shared" si="46"/>
        <v>1</v>
      </c>
      <c r="AR303">
        <f t="shared" si="47"/>
        <v>-1</v>
      </c>
      <c r="AS303">
        <f t="shared" si="48"/>
        <v>-1</v>
      </c>
      <c r="AT303">
        <f t="shared" si="49"/>
        <v>1</v>
      </c>
      <c r="AU303">
        <f t="shared" si="50"/>
        <v>-1.5</v>
      </c>
      <c r="AV303">
        <f>SUM(Table1[[#This Row],[Satis]:[29]])</f>
        <v>-2</v>
      </c>
      <c r="AW303">
        <f t="shared" si="51"/>
        <v>-1</v>
      </c>
      <c r="AX303">
        <f t="shared" si="52"/>
        <v>0</v>
      </c>
      <c r="AY303" t="str">
        <f t="shared" si="53"/>
        <v>ND</v>
      </c>
      <c r="AZ303" t="str">
        <f t="shared" si="54"/>
        <v>ND</v>
      </c>
    </row>
    <row r="304" spans="1:52" x14ac:dyDescent="0.3">
      <c r="A304" t="s">
        <v>1659</v>
      </c>
      <c r="B304" s="94">
        <v>46044</v>
      </c>
      <c r="C304" t="s">
        <v>1660</v>
      </c>
      <c r="D304" t="s">
        <v>1661</v>
      </c>
      <c r="E304" t="s">
        <v>1662</v>
      </c>
      <c r="F304" t="s">
        <v>240</v>
      </c>
      <c r="G304" t="s">
        <v>39</v>
      </c>
      <c r="H304" t="s">
        <v>1663</v>
      </c>
      <c r="I304" t="s">
        <v>159</v>
      </c>
      <c r="J304" t="s">
        <v>71</v>
      </c>
      <c r="K304" t="s">
        <v>214</v>
      </c>
      <c r="L304" t="s">
        <v>62</v>
      </c>
      <c r="M304" t="s">
        <v>51</v>
      </c>
      <c r="N304" t="s">
        <v>107</v>
      </c>
      <c r="O304" t="s">
        <v>1664</v>
      </c>
      <c r="P304">
        <v>9999999999</v>
      </c>
      <c r="Q304" t="s">
        <v>54</v>
      </c>
      <c r="R304" t="s">
        <v>73</v>
      </c>
      <c r="S304" t="s">
        <v>43</v>
      </c>
      <c r="T304" t="s">
        <v>43</v>
      </c>
      <c r="U304" t="s">
        <v>44</v>
      </c>
      <c r="V304" t="s">
        <v>45</v>
      </c>
      <c r="W304" t="s">
        <v>5041</v>
      </c>
      <c r="X304" t="s">
        <v>45</v>
      </c>
      <c r="Y304" t="s">
        <v>46</v>
      </c>
      <c r="Z304" t="s">
        <v>47</v>
      </c>
      <c r="AA304" t="s">
        <v>48</v>
      </c>
      <c r="AB304" t="s">
        <v>49</v>
      </c>
      <c r="AC304" t="s">
        <v>49</v>
      </c>
      <c r="AD304" t="s">
        <v>1270</v>
      </c>
      <c r="AE304" t="s">
        <v>185</v>
      </c>
      <c r="AF304" t="s">
        <v>185</v>
      </c>
      <c r="AG304" t="s">
        <v>196</v>
      </c>
      <c r="AH304" s="93">
        <f>VLOOKUP(Table1[[#This Row],[Caste]],Factor!$H$1:$K$13,4,0)</f>
        <v>2.1852575402829908</v>
      </c>
      <c r="AI30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04">
        <f>Table1[[#This Row],[Factor_1]]*Table1[[#This Row],[2024 Factor]]</f>
        <v>1.7037641797963405</v>
      </c>
      <c r="AK304">
        <f>VLOOKUP(Table1[[#This Row],[Q18: Gender]],Factor!$A$33:$E$35,5,0)</f>
        <v>0.85034013605442171</v>
      </c>
      <c r="AL304">
        <f>VLOOKUP(Table1[[#This Row],[Taluka]],Factor!$A$42:$G$46,7,0)</f>
        <v>1.1213131007097483</v>
      </c>
      <c r="AM304">
        <f>VLOOKUP(Table1[[#This Row],[Caste]]&amp;Table1[[#This Row],[Q18: Gender]],Factor!$W$1:$X$23,2,0)</f>
        <v>1.5782415568710491</v>
      </c>
      <c r="AN304">
        <f>VLOOKUP(Table1[[#This Row],[Taluka]]&amp;Table1[[#This Row],[Caste]]&amp;Table1[[#This Row],[Q18: Gender]],Factor!$AK$4:$AL$93,2,0)</f>
        <v>4.1092502122930199</v>
      </c>
      <c r="AO304">
        <f t="shared" si="44"/>
        <v>-1</v>
      </c>
      <c r="AP304">
        <f t="shared" si="45"/>
        <v>-1</v>
      </c>
      <c r="AQ304">
        <f t="shared" si="46"/>
        <v>-1</v>
      </c>
      <c r="AR304">
        <f t="shared" si="47"/>
        <v>-1</v>
      </c>
      <c r="AS304">
        <f t="shared" si="48"/>
        <v>-1</v>
      </c>
      <c r="AT304">
        <f t="shared" si="49"/>
        <v>-1</v>
      </c>
      <c r="AU304">
        <f t="shared" si="50"/>
        <v>-5.5</v>
      </c>
      <c r="AV304">
        <f>SUM(Table1[[#This Row],[Satis]:[29]])</f>
        <v>-6</v>
      </c>
      <c r="AW304">
        <f t="shared" si="51"/>
        <v>-5</v>
      </c>
      <c r="AX304">
        <f t="shared" si="52"/>
        <v>-4</v>
      </c>
      <c r="AY304">
        <f t="shared" si="53"/>
        <v>-3</v>
      </c>
      <c r="AZ304" t="str">
        <f t="shared" si="54"/>
        <v>TDP HardCore</v>
      </c>
    </row>
    <row r="305" spans="1:52" x14ac:dyDescent="0.3">
      <c r="A305" t="s">
        <v>1709</v>
      </c>
      <c r="B305" s="94">
        <v>46044</v>
      </c>
      <c r="C305" t="s">
        <v>1710</v>
      </c>
      <c r="D305" t="s">
        <v>1711</v>
      </c>
      <c r="E305" t="s">
        <v>1712</v>
      </c>
      <c r="F305" t="s">
        <v>69</v>
      </c>
      <c r="G305" t="s">
        <v>39</v>
      </c>
      <c r="H305" t="s">
        <v>1713</v>
      </c>
      <c r="I305" t="s">
        <v>36</v>
      </c>
      <c r="J305" t="s">
        <v>219</v>
      </c>
      <c r="K305" t="s">
        <v>221</v>
      </c>
      <c r="L305" t="s">
        <v>82</v>
      </c>
      <c r="M305" t="s">
        <v>51</v>
      </c>
      <c r="N305" t="s">
        <v>52</v>
      </c>
      <c r="O305" t="s">
        <v>1714</v>
      </c>
      <c r="P305">
        <v>9705320967</v>
      </c>
      <c r="Q305" t="s">
        <v>54</v>
      </c>
      <c r="R305" t="s">
        <v>132</v>
      </c>
      <c r="S305" t="s">
        <v>43</v>
      </c>
      <c r="T305" t="s">
        <v>43</v>
      </c>
      <c r="U305" t="s">
        <v>90</v>
      </c>
      <c r="V305" t="s">
        <v>45</v>
      </c>
      <c r="W305" t="s">
        <v>5057</v>
      </c>
      <c r="X305" t="s">
        <v>45</v>
      </c>
      <c r="Y305" t="s">
        <v>46</v>
      </c>
      <c r="Z305" t="s">
        <v>47</v>
      </c>
      <c r="AA305" t="s">
        <v>48</v>
      </c>
      <c r="AB305" t="s">
        <v>49</v>
      </c>
      <c r="AC305" t="s">
        <v>49</v>
      </c>
      <c r="AD305" t="s">
        <v>1279</v>
      </c>
      <c r="AE305" t="s">
        <v>185</v>
      </c>
      <c r="AF305" t="s">
        <v>1280</v>
      </c>
      <c r="AG305" t="s">
        <v>196</v>
      </c>
      <c r="AH305" s="93">
        <f>VLOOKUP(Table1[[#This Row],[Caste]],Factor!$H$1:$K$13,4,0)</f>
        <v>1.1705128247062893</v>
      </c>
      <c r="AI30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05">
        <f>Table1[[#This Row],[Factor_1]]*Table1[[#This Row],[2024 Factor]]</f>
        <v>0.86308903171383233</v>
      </c>
      <c r="AK305">
        <f>VLOOKUP(Table1[[#This Row],[Q18: Gender]],Factor!$A$33:$E$35,5,0)</f>
        <v>0.85034013605442171</v>
      </c>
      <c r="AL305">
        <f>VLOOKUP(Table1[[#This Row],[Taluka]],Factor!$A$42:$G$46,7,0)</f>
        <v>1.147984664167413</v>
      </c>
      <c r="AM305">
        <f>VLOOKUP(Table1[[#This Row],[Caste]]&amp;Table1[[#This Row],[Q18: Gender]],Factor!$W$1:$X$23,2,0)</f>
        <v>0.79950206330384943</v>
      </c>
      <c r="AN305">
        <f>VLOOKUP(Table1[[#This Row],[Taluka]]&amp;Table1[[#This Row],[Caste]]&amp;Table1[[#This Row],[Q18: Gender]],Factor!$AK$4:$AL$93,2,0)</f>
        <v>0.92148737207359532</v>
      </c>
      <c r="AO305">
        <f t="shared" si="44"/>
        <v>-1</v>
      </c>
      <c r="AP305">
        <f t="shared" si="45"/>
        <v>1</v>
      </c>
      <c r="AQ305">
        <f t="shared" si="46"/>
        <v>-1</v>
      </c>
      <c r="AR305">
        <f t="shared" si="47"/>
        <v>-1</v>
      </c>
      <c r="AS305">
        <f t="shared" si="48"/>
        <v>-1</v>
      </c>
      <c r="AT305">
        <f t="shared" si="49"/>
        <v>-1</v>
      </c>
      <c r="AU305">
        <f t="shared" si="50"/>
        <v>-3.5</v>
      </c>
      <c r="AV305">
        <f>SUM(Table1[[#This Row],[Satis]:[29]])</f>
        <v>-4</v>
      </c>
      <c r="AW305">
        <f t="shared" si="51"/>
        <v>-5</v>
      </c>
      <c r="AX305">
        <f t="shared" si="52"/>
        <v>-4</v>
      </c>
      <c r="AY305">
        <f t="shared" si="53"/>
        <v>-3</v>
      </c>
      <c r="AZ305" t="str">
        <f t="shared" si="54"/>
        <v>TDP Sympathiser</v>
      </c>
    </row>
    <row r="306" spans="1:52" x14ac:dyDescent="0.3">
      <c r="A306" t="s">
        <v>1870</v>
      </c>
      <c r="B306" s="94">
        <v>46044</v>
      </c>
      <c r="C306" t="s">
        <v>1871</v>
      </c>
      <c r="D306" t="s">
        <v>1872</v>
      </c>
      <c r="E306" t="s">
        <v>1345</v>
      </c>
      <c r="F306" t="s">
        <v>935</v>
      </c>
      <c r="G306" t="s">
        <v>39</v>
      </c>
      <c r="H306" t="s">
        <v>1873</v>
      </c>
      <c r="I306" t="s">
        <v>70</v>
      </c>
      <c r="J306" t="s">
        <v>219</v>
      </c>
      <c r="K306" t="s">
        <v>224</v>
      </c>
      <c r="L306" t="s">
        <v>62</v>
      </c>
      <c r="M306" t="s">
        <v>51</v>
      </c>
      <c r="N306" t="s">
        <v>63</v>
      </c>
      <c r="O306" t="s">
        <v>1874</v>
      </c>
      <c r="P306">
        <v>9502686241</v>
      </c>
      <c r="Q306" t="s">
        <v>445</v>
      </c>
      <c r="R306" t="s">
        <v>139</v>
      </c>
      <c r="S306" t="s">
        <v>43</v>
      </c>
      <c r="T306" t="s">
        <v>43</v>
      </c>
      <c r="U306" t="s">
        <v>44</v>
      </c>
      <c r="V306" t="s">
        <v>91</v>
      </c>
      <c r="W306" t="s">
        <v>5055</v>
      </c>
      <c r="X306" t="s">
        <v>45</v>
      </c>
      <c r="Y306" t="s">
        <v>46</v>
      </c>
      <c r="Z306" t="s">
        <v>47</v>
      </c>
      <c r="AA306" t="s">
        <v>48</v>
      </c>
      <c r="AB306" t="s">
        <v>49</v>
      </c>
      <c r="AC306" t="s">
        <v>49</v>
      </c>
      <c r="AD306" t="s">
        <v>1279</v>
      </c>
      <c r="AE306" t="s">
        <v>1250</v>
      </c>
      <c r="AF306" t="s">
        <v>1614</v>
      </c>
      <c r="AG306" t="s">
        <v>498</v>
      </c>
      <c r="AH306" s="93">
        <f>VLOOKUP(Table1[[#This Row],[Caste]],Factor!$H$1:$K$13,4,0)</f>
        <v>1.3836274505214585</v>
      </c>
      <c r="AI30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06">
        <f>Table1[[#This Row],[Factor_1]]*Table1[[#This Row],[2024 Factor]]</f>
        <v>2.0811826914865059</v>
      </c>
      <c r="AK306">
        <f>VLOOKUP(Table1[[#This Row],[Q18: Gender]],Factor!$A$33:$E$35,5,0)</f>
        <v>2.1645021645021645</v>
      </c>
      <c r="AL306">
        <f>VLOOKUP(Table1[[#This Row],[Taluka]],Factor!$A$42:$G$46,7,0)</f>
        <v>1.147984664167413</v>
      </c>
      <c r="AM306">
        <f>VLOOKUP(Table1[[#This Row],[Caste]]&amp;Table1[[#This Row],[Q18: Gender]],Factor!$W$1:$X$23,2,0)</f>
        <v>1.9278542477265657</v>
      </c>
      <c r="AN306">
        <f>VLOOKUP(Table1[[#This Row],[Taluka]]&amp;Table1[[#This Row],[Caste]]&amp;Table1[[#This Row],[Q18: Gender]],Factor!$AK$4:$AL$93,2,0)</f>
        <v>3.2048072590163397</v>
      </c>
      <c r="AO306">
        <f t="shared" si="44"/>
        <v>-1</v>
      </c>
      <c r="AP306">
        <f t="shared" si="45"/>
        <v>-1</v>
      </c>
      <c r="AQ306">
        <f t="shared" si="46"/>
        <v>1</v>
      </c>
      <c r="AR306">
        <f t="shared" si="47"/>
        <v>-1</v>
      </c>
      <c r="AS306">
        <f t="shared" si="48"/>
        <v>-1</v>
      </c>
      <c r="AT306">
        <f t="shared" si="49"/>
        <v>-1</v>
      </c>
      <c r="AU306">
        <f t="shared" si="50"/>
        <v>-3.5</v>
      </c>
      <c r="AV306">
        <f>SUM(Table1[[#This Row],[Satis]:[29]])</f>
        <v>-4</v>
      </c>
      <c r="AW306">
        <f t="shared" si="51"/>
        <v>-3</v>
      </c>
      <c r="AX306">
        <f t="shared" si="52"/>
        <v>-2</v>
      </c>
      <c r="AY306">
        <f t="shared" si="53"/>
        <v>-3</v>
      </c>
      <c r="AZ306" t="str">
        <f t="shared" si="54"/>
        <v>Neutral TDP</v>
      </c>
    </row>
    <row r="307" spans="1:52" x14ac:dyDescent="0.3">
      <c r="A307" t="s">
        <v>1763</v>
      </c>
      <c r="B307" s="94">
        <v>46044</v>
      </c>
      <c r="C307" t="s">
        <v>1710</v>
      </c>
      <c r="D307" t="s">
        <v>1711</v>
      </c>
      <c r="E307" t="s">
        <v>1712</v>
      </c>
      <c r="F307" t="s">
        <v>69</v>
      </c>
      <c r="G307" t="s">
        <v>39</v>
      </c>
      <c r="H307" t="s">
        <v>1764</v>
      </c>
      <c r="I307" t="s">
        <v>36</v>
      </c>
      <c r="J307" t="s">
        <v>219</v>
      </c>
      <c r="K307" t="s">
        <v>221</v>
      </c>
      <c r="L307" t="s">
        <v>82</v>
      </c>
      <c r="M307" t="s">
        <v>51</v>
      </c>
      <c r="N307" t="s">
        <v>52</v>
      </c>
      <c r="O307" t="s">
        <v>1714</v>
      </c>
      <c r="P307">
        <v>9705320967</v>
      </c>
      <c r="Q307" t="s">
        <v>54</v>
      </c>
      <c r="R307" t="s">
        <v>132</v>
      </c>
      <c r="S307" t="s">
        <v>43</v>
      </c>
      <c r="T307" t="s">
        <v>43</v>
      </c>
      <c r="U307" t="s">
        <v>90</v>
      </c>
      <c r="V307" t="s">
        <v>45</v>
      </c>
      <c r="W307" t="s">
        <v>5057</v>
      </c>
      <c r="X307" t="s">
        <v>45</v>
      </c>
      <c r="Y307" t="s">
        <v>46</v>
      </c>
      <c r="Z307" t="s">
        <v>47</v>
      </c>
      <c r="AA307" t="s">
        <v>48</v>
      </c>
      <c r="AB307" t="s">
        <v>49</v>
      </c>
      <c r="AC307" t="s">
        <v>49</v>
      </c>
      <c r="AD307" t="s">
        <v>1270</v>
      </c>
      <c r="AE307" t="s">
        <v>185</v>
      </c>
      <c r="AF307">
        <v>0</v>
      </c>
      <c r="AG307" t="s">
        <v>196</v>
      </c>
      <c r="AH307" s="93">
        <f>VLOOKUP(Table1[[#This Row],[Caste]],Factor!$H$1:$K$13,4,0)</f>
        <v>1.1705128247062893</v>
      </c>
      <c r="AI30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07">
        <f>Table1[[#This Row],[Factor_1]]*Table1[[#This Row],[2024 Factor]]</f>
        <v>0.86308903171383233</v>
      </c>
      <c r="AK307">
        <f>VLOOKUP(Table1[[#This Row],[Q18: Gender]],Factor!$A$33:$E$35,5,0)</f>
        <v>0.85034013605442171</v>
      </c>
      <c r="AL307">
        <f>VLOOKUP(Table1[[#This Row],[Taluka]],Factor!$A$42:$G$46,7,0)</f>
        <v>1.147984664167413</v>
      </c>
      <c r="AM307">
        <f>VLOOKUP(Table1[[#This Row],[Caste]]&amp;Table1[[#This Row],[Q18: Gender]],Factor!$W$1:$X$23,2,0)</f>
        <v>0.79950206330384943</v>
      </c>
      <c r="AN307">
        <f>VLOOKUP(Table1[[#This Row],[Taluka]]&amp;Table1[[#This Row],[Caste]]&amp;Table1[[#This Row],[Q18: Gender]],Factor!$AK$4:$AL$93,2,0)</f>
        <v>0.92148737207359532</v>
      </c>
      <c r="AO307">
        <f t="shared" si="44"/>
        <v>-1</v>
      </c>
      <c r="AP307">
        <f t="shared" si="45"/>
        <v>1</v>
      </c>
      <c r="AQ307">
        <f t="shared" si="46"/>
        <v>-1</v>
      </c>
      <c r="AR307">
        <f t="shared" si="47"/>
        <v>-1</v>
      </c>
      <c r="AS307">
        <f t="shared" si="48"/>
        <v>-1</v>
      </c>
      <c r="AT307">
        <f t="shared" si="49"/>
        <v>-1</v>
      </c>
      <c r="AU307">
        <f t="shared" si="50"/>
        <v>-3.5</v>
      </c>
      <c r="AV307">
        <f>SUM(Table1[[#This Row],[Satis]:[29]])</f>
        <v>-4</v>
      </c>
      <c r="AW307">
        <f t="shared" si="51"/>
        <v>-5</v>
      </c>
      <c r="AX307">
        <f t="shared" si="52"/>
        <v>-4</v>
      </c>
      <c r="AY307">
        <f t="shared" si="53"/>
        <v>-3</v>
      </c>
      <c r="AZ307" t="str">
        <f t="shared" si="54"/>
        <v>TDP Sympathiser</v>
      </c>
    </row>
    <row r="308" spans="1:52" x14ac:dyDescent="0.3">
      <c r="A308" t="s">
        <v>1861</v>
      </c>
      <c r="B308" s="94">
        <v>46044</v>
      </c>
      <c r="C308" t="s">
        <v>1862</v>
      </c>
      <c r="D308" t="s">
        <v>1711</v>
      </c>
      <c r="E308" t="s">
        <v>1712</v>
      </c>
      <c r="F308" t="s">
        <v>69</v>
      </c>
      <c r="G308" t="s">
        <v>39</v>
      </c>
      <c r="H308" t="s">
        <v>1863</v>
      </c>
      <c r="I308" t="s">
        <v>36</v>
      </c>
      <c r="J308" t="s">
        <v>219</v>
      </c>
      <c r="K308" t="s">
        <v>221</v>
      </c>
      <c r="L308" t="s">
        <v>82</v>
      </c>
      <c r="M308" t="s">
        <v>51</v>
      </c>
      <c r="N308" t="s">
        <v>52</v>
      </c>
      <c r="O308" t="s">
        <v>1714</v>
      </c>
      <c r="P308">
        <v>9705320967</v>
      </c>
      <c r="Q308" t="s">
        <v>54</v>
      </c>
      <c r="R308" t="s">
        <v>132</v>
      </c>
      <c r="S308" t="s">
        <v>43</v>
      </c>
      <c r="T308" t="s">
        <v>43</v>
      </c>
      <c r="U308" t="s">
        <v>90</v>
      </c>
      <c r="V308" t="s">
        <v>45</v>
      </c>
      <c r="W308" t="s">
        <v>5057</v>
      </c>
      <c r="X308" t="s">
        <v>45</v>
      </c>
      <c r="Y308" t="s">
        <v>46</v>
      </c>
      <c r="Z308" t="s">
        <v>47</v>
      </c>
      <c r="AA308" t="s">
        <v>48</v>
      </c>
      <c r="AB308" t="s">
        <v>49</v>
      </c>
      <c r="AC308" t="s">
        <v>49</v>
      </c>
      <c r="AD308" t="s">
        <v>1270</v>
      </c>
      <c r="AE308" t="s">
        <v>185</v>
      </c>
      <c r="AF308">
        <v>0</v>
      </c>
      <c r="AG308" t="s">
        <v>196</v>
      </c>
      <c r="AH308" s="93">
        <f>VLOOKUP(Table1[[#This Row],[Caste]],Factor!$H$1:$K$13,4,0)</f>
        <v>1.1705128247062893</v>
      </c>
      <c r="AI30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08">
        <f>Table1[[#This Row],[Factor_1]]*Table1[[#This Row],[2024 Factor]]</f>
        <v>0.86308903171383233</v>
      </c>
      <c r="AK308">
        <f>VLOOKUP(Table1[[#This Row],[Q18: Gender]],Factor!$A$33:$E$35,5,0)</f>
        <v>0.85034013605442171</v>
      </c>
      <c r="AL308">
        <f>VLOOKUP(Table1[[#This Row],[Taluka]],Factor!$A$42:$G$46,7,0)</f>
        <v>1.147984664167413</v>
      </c>
      <c r="AM308">
        <f>VLOOKUP(Table1[[#This Row],[Caste]]&amp;Table1[[#This Row],[Q18: Gender]],Factor!$W$1:$X$23,2,0)</f>
        <v>0.79950206330384943</v>
      </c>
      <c r="AN308">
        <f>VLOOKUP(Table1[[#This Row],[Taluka]]&amp;Table1[[#This Row],[Caste]]&amp;Table1[[#This Row],[Q18: Gender]],Factor!$AK$4:$AL$93,2,0)</f>
        <v>0.92148737207359532</v>
      </c>
      <c r="AO308">
        <f t="shared" si="44"/>
        <v>-1</v>
      </c>
      <c r="AP308">
        <f t="shared" si="45"/>
        <v>1</v>
      </c>
      <c r="AQ308">
        <f t="shared" si="46"/>
        <v>-1</v>
      </c>
      <c r="AR308">
        <f t="shared" si="47"/>
        <v>-1</v>
      </c>
      <c r="AS308">
        <f t="shared" si="48"/>
        <v>-1</v>
      </c>
      <c r="AT308">
        <f t="shared" si="49"/>
        <v>-1</v>
      </c>
      <c r="AU308">
        <f t="shared" si="50"/>
        <v>-3.5</v>
      </c>
      <c r="AV308">
        <f>SUM(Table1[[#This Row],[Satis]:[29]])</f>
        <v>-4</v>
      </c>
      <c r="AW308">
        <f t="shared" si="51"/>
        <v>-5</v>
      </c>
      <c r="AX308">
        <f t="shared" si="52"/>
        <v>-4</v>
      </c>
      <c r="AY308">
        <f t="shared" si="53"/>
        <v>-3</v>
      </c>
      <c r="AZ308" t="str">
        <f t="shared" si="54"/>
        <v>TDP Sympathiser</v>
      </c>
    </row>
    <row r="309" spans="1:52" x14ac:dyDescent="0.3">
      <c r="A309" t="s">
        <v>1356</v>
      </c>
      <c r="B309" s="94">
        <v>46044</v>
      </c>
      <c r="C309" t="s">
        <v>1357</v>
      </c>
      <c r="D309" t="s">
        <v>1358</v>
      </c>
      <c r="E309" t="s">
        <v>1359</v>
      </c>
      <c r="F309" t="s">
        <v>69</v>
      </c>
      <c r="G309" t="s">
        <v>39</v>
      </c>
      <c r="H309" t="s">
        <v>1360</v>
      </c>
      <c r="I309" t="s">
        <v>36</v>
      </c>
      <c r="J309" t="s">
        <v>219</v>
      </c>
      <c r="K309" t="s">
        <v>221</v>
      </c>
      <c r="L309" t="s">
        <v>62</v>
      </c>
      <c r="M309" t="s">
        <v>51</v>
      </c>
      <c r="N309" t="s">
        <v>52</v>
      </c>
      <c r="O309" t="s">
        <v>1361</v>
      </c>
      <c r="P309">
        <v>9676490463</v>
      </c>
      <c r="Q309" t="s">
        <v>54</v>
      </c>
      <c r="R309" t="s">
        <v>73</v>
      </c>
      <c r="S309" t="s">
        <v>43</v>
      </c>
      <c r="T309" t="s">
        <v>43</v>
      </c>
      <c r="U309" t="s">
        <v>90</v>
      </c>
      <c r="V309" t="s">
        <v>91</v>
      </c>
      <c r="W309" t="s">
        <v>5085</v>
      </c>
      <c r="X309" t="s">
        <v>45</v>
      </c>
      <c r="Y309" t="s">
        <v>46</v>
      </c>
      <c r="Z309" t="s">
        <v>47</v>
      </c>
      <c r="AA309" t="s">
        <v>48</v>
      </c>
      <c r="AB309" t="s">
        <v>49</v>
      </c>
      <c r="AC309" t="s">
        <v>49</v>
      </c>
      <c r="AD309" t="s">
        <v>1279</v>
      </c>
      <c r="AE309" t="s">
        <v>185</v>
      </c>
      <c r="AF309" t="s">
        <v>1280</v>
      </c>
      <c r="AG309" t="s">
        <v>196</v>
      </c>
      <c r="AH309" s="93">
        <f>VLOOKUP(Table1[[#This Row],[Caste]],Factor!$H$1:$K$13,4,0)</f>
        <v>1.1705128247062893</v>
      </c>
      <c r="AI30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09">
        <f>Table1[[#This Row],[Factor_1]]*Table1[[#This Row],[2024 Factor]]</f>
        <v>0.86308903171383233</v>
      </c>
      <c r="AK309">
        <f>VLOOKUP(Table1[[#This Row],[Q18: Gender]],Factor!$A$33:$E$35,5,0)</f>
        <v>0.85034013605442171</v>
      </c>
      <c r="AL309">
        <f>VLOOKUP(Table1[[#This Row],[Taluka]],Factor!$A$42:$G$46,7,0)</f>
        <v>1.147984664167413</v>
      </c>
      <c r="AM309">
        <f>VLOOKUP(Table1[[#This Row],[Caste]]&amp;Table1[[#This Row],[Q18: Gender]],Factor!$W$1:$X$23,2,0)</f>
        <v>0.79950206330384943</v>
      </c>
      <c r="AN309">
        <f>VLOOKUP(Table1[[#This Row],[Taluka]]&amp;Table1[[#This Row],[Caste]]&amp;Table1[[#This Row],[Q18: Gender]],Factor!$AK$4:$AL$93,2,0)</f>
        <v>0.92148737207359532</v>
      </c>
      <c r="AO309">
        <f t="shared" si="44"/>
        <v>-1</v>
      </c>
      <c r="AP309">
        <f t="shared" si="45"/>
        <v>1</v>
      </c>
      <c r="AQ309">
        <f t="shared" si="46"/>
        <v>1</v>
      </c>
      <c r="AR309">
        <f t="shared" si="47"/>
        <v>-1</v>
      </c>
      <c r="AS309">
        <f t="shared" si="48"/>
        <v>-1</v>
      </c>
      <c r="AT309">
        <f t="shared" si="49"/>
        <v>-1</v>
      </c>
      <c r="AU309">
        <f t="shared" si="50"/>
        <v>-1.5</v>
      </c>
      <c r="AV309">
        <f>SUM(Table1[[#This Row],[Satis]:[29]])</f>
        <v>-2</v>
      </c>
      <c r="AW309">
        <f t="shared" si="51"/>
        <v>-3</v>
      </c>
      <c r="AX309">
        <f t="shared" si="52"/>
        <v>-2</v>
      </c>
      <c r="AY309">
        <f t="shared" si="53"/>
        <v>-3</v>
      </c>
      <c r="AZ309" t="str">
        <f t="shared" si="54"/>
        <v>Neutral TDP</v>
      </c>
    </row>
    <row r="310" spans="1:52" x14ac:dyDescent="0.3">
      <c r="A310" t="s">
        <v>1906</v>
      </c>
      <c r="B310" s="94">
        <v>46044</v>
      </c>
      <c r="C310" t="s">
        <v>1357</v>
      </c>
      <c r="D310" t="s">
        <v>1358</v>
      </c>
      <c r="E310" t="s">
        <v>1359</v>
      </c>
      <c r="F310" t="s">
        <v>69</v>
      </c>
      <c r="G310" t="s">
        <v>39</v>
      </c>
      <c r="H310" t="s">
        <v>1907</v>
      </c>
      <c r="I310" t="s">
        <v>36</v>
      </c>
      <c r="J310" t="s">
        <v>219</v>
      </c>
      <c r="K310" t="s">
        <v>221</v>
      </c>
      <c r="L310" t="s">
        <v>62</v>
      </c>
      <c r="M310" t="s">
        <v>51</v>
      </c>
      <c r="N310" t="s">
        <v>52</v>
      </c>
      <c r="O310" t="s">
        <v>1361</v>
      </c>
      <c r="P310">
        <v>9676490463</v>
      </c>
      <c r="Q310" t="s">
        <v>54</v>
      </c>
      <c r="R310" t="s">
        <v>73</v>
      </c>
      <c r="S310" t="s">
        <v>43</v>
      </c>
      <c r="T310" t="s">
        <v>43</v>
      </c>
      <c r="U310" t="s">
        <v>90</v>
      </c>
      <c r="V310" t="s">
        <v>91</v>
      </c>
      <c r="W310" t="s">
        <v>5085</v>
      </c>
      <c r="X310" t="s">
        <v>45</v>
      </c>
      <c r="Y310" t="s">
        <v>46</v>
      </c>
      <c r="Z310" t="s">
        <v>47</v>
      </c>
      <c r="AA310" t="s">
        <v>48</v>
      </c>
      <c r="AB310" t="s">
        <v>49</v>
      </c>
      <c r="AC310" t="s">
        <v>49</v>
      </c>
      <c r="AD310" t="s">
        <v>1279</v>
      </c>
      <c r="AE310" t="s">
        <v>185</v>
      </c>
      <c r="AF310">
        <v>0</v>
      </c>
      <c r="AG310" t="s">
        <v>196</v>
      </c>
      <c r="AH310" s="93">
        <f>VLOOKUP(Table1[[#This Row],[Caste]],Factor!$H$1:$K$13,4,0)</f>
        <v>1.1705128247062893</v>
      </c>
      <c r="AI31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10">
        <f>Table1[[#This Row],[Factor_1]]*Table1[[#This Row],[2024 Factor]]</f>
        <v>0.86308903171383233</v>
      </c>
      <c r="AK310">
        <f>VLOOKUP(Table1[[#This Row],[Q18: Gender]],Factor!$A$33:$E$35,5,0)</f>
        <v>0.85034013605442171</v>
      </c>
      <c r="AL310">
        <f>VLOOKUP(Table1[[#This Row],[Taluka]],Factor!$A$42:$G$46,7,0)</f>
        <v>1.147984664167413</v>
      </c>
      <c r="AM310">
        <f>VLOOKUP(Table1[[#This Row],[Caste]]&amp;Table1[[#This Row],[Q18: Gender]],Factor!$W$1:$X$23,2,0)</f>
        <v>0.79950206330384943</v>
      </c>
      <c r="AN310">
        <f>VLOOKUP(Table1[[#This Row],[Taluka]]&amp;Table1[[#This Row],[Caste]]&amp;Table1[[#This Row],[Q18: Gender]],Factor!$AK$4:$AL$93,2,0)</f>
        <v>0.92148737207359532</v>
      </c>
      <c r="AO310">
        <f t="shared" si="44"/>
        <v>-1</v>
      </c>
      <c r="AP310">
        <f t="shared" si="45"/>
        <v>1</v>
      </c>
      <c r="AQ310">
        <f t="shared" si="46"/>
        <v>1</v>
      </c>
      <c r="AR310">
        <f t="shared" si="47"/>
        <v>-1</v>
      </c>
      <c r="AS310">
        <f t="shared" si="48"/>
        <v>-1</v>
      </c>
      <c r="AT310">
        <f t="shared" si="49"/>
        <v>-1</v>
      </c>
      <c r="AU310">
        <f t="shared" si="50"/>
        <v>-1.5</v>
      </c>
      <c r="AV310">
        <f>SUM(Table1[[#This Row],[Satis]:[29]])</f>
        <v>-2</v>
      </c>
      <c r="AW310">
        <f t="shared" si="51"/>
        <v>-3</v>
      </c>
      <c r="AX310">
        <f t="shared" si="52"/>
        <v>-2</v>
      </c>
      <c r="AY310">
        <f t="shared" si="53"/>
        <v>-3</v>
      </c>
      <c r="AZ310" t="str">
        <f t="shared" si="54"/>
        <v>Neutral TDP</v>
      </c>
    </row>
    <row r="311" spans="1:52" x14ac:dyDescent="0.3">
      <c r="A311" t="s">
        <v>1896</v>
      </c>
      <c r="B311" s="94">
        <v>46044</v>
      </c>
      <c r="C311" t="s">
        <v>1897</v>
      </c>
      <c r="D311" t="s">
        <v>1898</v>
      </c>
      <c r="E311" t="s">
        <v>1549</v>
      </c>
      <c r="F311" t="s">
        <v>935</v>
      </c>
      <c r="G311" t="s">
        <v>39</v>
      </c>
      <c r="H311" t="s">
        <v>1899</v>
      </c>
      <c r="I311" t="s">
        <v>227</v>
      </c>
      <c r="J311" t="s">
        <v>219</v>
      </c>
      <c r="K311" t="s">
        <v>224</v>
      </c>
      <c r="L311" t="s">
        <v>50</v>
      </c>
      <c r="M311" t="s">
        <v>51</v>
      </c>
      <c r="N311" t="s">
        <v>52</v>
      </c>
      <c r="O311" t="s">
        <v>1900</v>
      </c>
      <c r="P311">
        <v>9848962979</v>
      </c>
      <c r="Q311" t="s">
        <v>54</v>
      </c>
      <c r="R311" t="s">
        <v>61</v>
      </c>
      <c r="S311" t="s">
        <v>88</v>
      </c>
      <c r="T311" t="s">
        <v>43</v>
      </c>
      <c r="U311" t="s">
        <v>44</v>
      </c>
      <c r="V311" t="s">
        <v>45</v>
      </c>
      <c r="W311" t="s">
        <v>5050</v>
      </c>
      <c r="X311" t="s">
        <v>45</v>
      </c>
      <c r="Y311" t="s">
        <v>46</v>
      </c>
      <c r="Z311" t="s">
        <v>47</v>
      </c>
      <c r="AA311" t="s">
        <v>48</v>
      </c>
      <c r="AB311" t="s">
        <v>49</v>
      </c>
      <c r="AC311" t="s">
        <v>49</v>
      </c>
      <c r="AD311" t="s">
        <v>1279</v>
      </c>
      <c r="AE311" t="s">
        <v>1271</v>
      </c>
      <c r="AF311" t="s">
        <v>485</v>
      </c>
      <c r="AG311" t="s">
        <v>196</v>
      </c>
      <c r="AH311" s="93">
        <f>VLOOKUP(Table1[[#This Row],[Caste]],Factor!$H$1:$K$13,4,0)</f>
        <v>1.2612194085121222</v>
      </c>
      <c r="AI31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11">
        <f>Table1[[#This Row],[Factor_1]]*Table1[[#This Row],[2024 Factor]]</f>
        <v>0.92029223709519836</v>
      </c>
      <c r="AK311">
        <f>VLOOKUP(Table1[[#This Row],[Q18: Gender]],Factor!$A$33:$E$35,5,0)</f>
        <v>0.85034013605442171</v>
      </c>
      <c r="AL311">
        <f>VLOOKUP(Table1[[#This Row],[Taluka]],Factor!$A$42:$G$46,7,0)</f>
        <v>1.147984664167413</v>
      </c>
      <c r="AM311">
        <f>VLOOKUP(Table1[[#This Row],[Caste]]&amp;Table1[[#This Row],[Q18: Gender]],Factor!$W$1:$X$23,2,0)</f>
        <v>0.85249089649430487</v>
      </c>
      <c r="AN311">
        <f>VLOOKUP(Table1[[#This Row],[Taluka]]&amp;Table1[[#This Row],[Caste]]&amp;Table1[[#This Row],[Q18: Gender]],Factor!$AK$4:$AL$93,2,0)</f>
        <v>0.41451794778650441</v>
      </c>
      <c r="AO311">
        <f t="shared" si="44"/>
        <v>-1</v>
      </c>
      <c r="AP311">
        <f t="shared" si="45"/>
        <v>-1</v>
      </c>
      <c r="AQ311">
        <f t="shared" si="46"/>
        <v>-1</v>
      </c>
      <c r="AR311">
        <f t="shared" si="47"/>
        <v>-1</v>
      </c>
      <c r="AS311">
        <f t="shared" si="48"/>
        <v>-1</v>
      </c>
      <c r="AT311">
        <f t="shared" si="49"/>
        <v>-1</v>
      </c>
      <c r="AU311">
        <f t="shared" si="50"/>
        <v>-5.5</v>
      </c>
      <c r="AV311">
        <f>SUM(Table1[[#This Row],[Satis]:[29]])</f>
        <v>-6</v>
      </c>
      <c r="AW311">
        <f t="shared" si="51"/>
        <v>-5</v>
      </c>
      <c r="AX311">
        <f t="shared" si="52"/>
        <v>-4</v>
      </c>
      <c r="AY311">
        <f t="shared" si="53"/>
        <v>-3</v>
      </c>
      <c r="AZ311" t="str">
        <f t="shared" si="54"/>
        <v>TDP HardCore</v>
      </c>
    </row>
    <row r="312" spans="1:52" x14ac:dyDescent="0.3">
      <c r="A312" t="s">
        <v>1901</v>
      </c>
      <c r="B312" s="94">
        <v>46044</v>
      </c>
      <c r="C312" t="s">
        <v>1902</v>
      </c>
      <c r="D312" t="s">
        <v>1903</v>
      </c>
      <c r="E312" t="s">
        <v>1345</v>
      </c>
      <c r="F312" t="s">
        <v>935</v>
      </c>
      <c r="G312" t="s">
        <v>39</v>
      </c>
      <c r="H312" t="s">
        <v>1904</v>
      </c>
      <c r="I312" t="s">
        <v>59</v>
      </c>
      <c r="J312" t="s">
        <v>219</v>
      </c>
      <c r="K312" t="s">
        <v>224</v>
      </c>
      <c r="L312" t="s">
        <v>62</v>
      </c>
      <c r="M312" t="s">
        <v>51</v>
      </c>
      <c r="N312" t="s">
        <v>63</v>
      </c>
      <c r="O312" t="s">
        <v>1905</v>
      </c>
      <c r="P312">
        <v>7702524614</v>
      </c>
      <c r="Q312" t="s">
        <v>54</v>
      </c>
      <c r="R312" t="s">
        <v>139</v>
      </c>
      <c r="S312" t="s">
        <v>43</v>
      </c>
      <c r="T312" t="s">
        <v>43</v>
      </c>
      <c r="U312" t="s">
        <v>44</v>
      </c>
      <c r="V312" t="s">
        <v>45</v>
      </c>
      <c r="W312" t="s">
        <v>5087</v>
      </c>
      <c r="X312" t="s">
        <v>45</v>
      </c>
      <c r="Y312" t="s">
        <v>46</v>
      </c>
      <c r="Z312" t="s">
        <v>47</v>
      </c>
      <c r="AA312" t="s">
        <v>48</v>
      </c>
      <c r="AB312" t="s">
        <v>49</v>
      </c>
      <c r="AC312" t="s">
        <v>49</v>
      </c>
      <c r="AD312" t="s">
        <v>1279</v>
      </c>
      <c r="AE312" t="s">
        <v>1250</v>
      </c>
      <c r="AF312" t="s">
        <v>1403</v>
      </c>
      <c r="AG312" t="s">
        <v>498</v>
      </c>
      <c r="AH312" s="93">
        <f>VLOOKUP(Table1[[#This Row],[Caste]],Factor!$H$1:$K$13,4,0)</f>
        <v>1.1461625511156397</v>
      </c>
      <c r="AI31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12">
        <f>Table1[[#This Row],[Factor_1]]*Table1[[#This Row],[2024 Factor]]</f>
        <v>0.77721139583220644</v>
      </c>
      <c r="AK312">
        <f>VLOOKUP(Table1[[#This Row],[Q18: Gender]],Factor!$A$33:$E$35,5,0)</f>
        <v>0.85034013605442171</v>
      </c>
      <c r="AL312">
        <f>VLOOKUP(Table1[[#This Row],[Taluka]],Factor!$A$42:$G$46,7,0)</f>
        <v>1.147984664167413</v>
      </c>
      <c r="AM312">
        <f>VLOOKUP(Table1[[#This Row],[Caste]]&amp;Table1[[#This Row],[Q18: Gender]],Factor!$W$1:$X$23,2,0)</f>
        <v>0.71995135120329123</v>
      </c>
      <c r="AN312">
        <f>VLOOKUP(Table1[[#This Row],[Taluka]]&amp;Table1[[#This Row],[Caste]]&amp;Table1[[#This Row],[Q18: Gender]],Factor!$AK$4:$AL$93,2,0)</f>
        <v>0.54319084681293095</v>
      </c>
      <c r="AO312">
        <f t="shared" si="44"/>
        <v>-1</v>
      </c>
      <c r="AP312">
        <f t="shared" si="45"/>
        <v>-1</v>
      </c>
      <c r="AQ312">
        <f t="shared" si="46"/>
        <v>-1</v>
      </c>
      <c r="AR312">
        <f t="shared" si="47"/>
        <v>-1</v>
      </c>
      <c r="AS312">
        <f t="shared" si="48"/>
        <v>-1</v>
      </c>
      <c r="AT312">
        <f t="shared" si="49"/>
        <v>-1</v>
      </c>
      <c r="AU312">
        <f t="shared" si="50"/>
        <v>-5.5</v>
      </c>
      <c r="AV312">
        <f>SUM(Table1[[#This Row],[Satis]:[29]])</f>
        <v>-6</v>
      </c>
      <c r="AW312">
        <f t="shared" si="51"/>
        <v>-5</v>
      </c>
      <c r="AX312">
        <f t="shared" si="52"/>
        <v>-4</v>
      </c>
      <c r="AY312">
        <f t="shared" si="53"/>
        <v>-3</v>
      </c>
      <c r="AZ312" t="str">
        <f t="shared" si="54"/>
        <v>TDP HardCore</v>
      </c>
    </row>
    <row r="313" spans="1:52" x14ac:dyDescent="0.3">
      <c r="A313" t="s">
        <v>1943</v>
      </c>
      <c r="B313" s="94">
        <v>46044</v>
      </c>
      <c r="C313" t="s">
        <v>1357</v>
      </c>
      <c r="D313" t="s">
        <v>1358</v>
      </c>
      <c r="E313" t="s">
        <v>1359</v>
      </c>
      <c r="F313" t="s">
        <v>69</v>
      </c>
      <c r="G313" t="s">
        <v>39</v>
      </c>
      <c r="H313" t="s">
        <v>1944</v>
      </c>
      <c r="I313" t="s">
        <v>36</v>
      </c>
      <c r="J313" t="s">
        <v>219</v>
      </c>
      <c r="K313" t="s">
        <v>221</v>
      </c>
      <c r="L313" t="s">
        <v>62</v>
      </c>
      <c r="M313" t="s">
        <v>51</v>
      </c>
      <c r="N313" t="s">
        <v>52</v>
      </c>
      <c r="O313" t="s">
        <v>1361</v>
      </c>
      <c r="P313">
        <v>9676490463</v>
      </c>
      <c r="Q313" t="s">
        <v>54</v>
      </c>
      <c r="R313" t="s">
        <v>73</v>
      </c>
      <c r="S313" t="s">
        <v>43</v>
      </c>
      <c r="T313" t="s">
        <v>43</v>
      </c>
      <c r="U313" t="s">
        <v>90</v>
      </c>
      <c r="V313" t="s">
        <v>91</v>
      </c>
      <c r="W313" t="s">
        <v>5085</v>
      </c>
      <c r="X313" t="s">
        <v>45</v>
      </c>
      <c r="Y313" t="s">
        <v>46</v>
      </c>
      <c r="Z313" t="s">
        <v>47</v>
      </c>
      <c r="AA313" t="s">
        <v>48</v>
      </c>
      <c r="AB313" t="s">
        <v>49</v>
      </c>
      <c r="AC313" t="s">
        <v>49</v>
      </c>
      <c r="AD313" t="s">
        <v>1270</v>
      </c>
      <c r="AE313" t="s">
        <v>185</v>
      </c>
      <c r="AF313">
        <v>0</v>
      </c>
      <c r="AG313" t="s">
        <v>196</v>
      </c>
      <c r="AH313" s="93">
        <f>VLOOKUP(Table1[[#This Row],[Caste]],Factor!$H$1:$K$13,4,0)</f>
        <v>1.1705128247062893</v>
      </c>
      <c r="AI31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13">
        <f>Table1[[#This Row],[Factor_1]]*Table1[[#This Row],[2024 Factor]]</f>
        <v>0.86308903171383233</v>
      </c>
      <c r="AK313">
        <f>VLOOKUP(Table1[[#This Row],[Q18: Gender]],Factor!$A$33:$E$35,5,0)</f>
        <v>0.85034013605442171</v>
      </c>
      <c r="AL313">
        <f>VLOOKUP(Table1[[#This Row],[Taluka]],Factor!$A$42:$G$46,7,0)</f>
        <v>1.147984664167413</v>
      </c>
      <c r="AM313">
        <f>VLOOKUP(Table1[[#This Row],[Caste]]&amp;Table1[[#This Row],[Q18: Gender]],Factor!$W$1:$X$23,2,0)</f>
        <v>0.79950206330384943</v>
      </c>
      <c r="AN313">
        <f>VLOOKUP(Table1[[#This Row],[Taluka]]&amp;Table1[[#This Row],[Caste]]&amp;Table1[[#This Row],[Q18: Gender]],Factor!$AK$4:$AL$93,2,0)</f>
        <v>0.92148737207359532</v>
      </c>
      <c r="AO313">
        <f t="shared" si="44"/>
        <v>-1</v>
      </c>
      <c r="AP313">
        <f t="shared" si="45"/>
        <v>1</v>
      </c>
      <c r="AQ313">
        <f t="shared" si="46"/>
        <v>1</v>
      </c>
      <c r="AR313">
        <f t="shared" si="47"/>
        <v>-1</v>
      </c>
      <c r="AS313">
        <f t="shared" si="48"/>
        <v>-1</v>
      </c>
      <c r="AT313">
        <f t="shared" si="49"/>
        <v>-1</v>
      </c>
      <c r="AU313">
        <f t="shared" si="50"/>
        <v>-1.5</v>
      </c>
      <c r="AV313">
        <f>SUM(Table1[[#This Row],[Satis]:[29]])</f>
        <v>-2</v>
      </c>
      <c r="AW313">
        <f t="shared" si="51"/>
        <v>-3</v>
      </c>
      <c r="AX313">
        <f t="shared" si="52"/>
        <v>-2</v>
      </c>
      <c r="AY313">
        <f t="shared" si="53"/>
        <v>-3</v>
      </c>
      <c r="AZ313" t="str">
        <f t="shared" si="54"/>
        <v>Neutral TDP</v>
      </c>
    </row>
    <row r="314" spans="1:52" x14ac:dyDescent="0.3">
      <c r="A314" t="s">
        <v>1908</v>
      </c>
      <c r="B314" s="94">
        <v>46044</v>
      </c>
      <c r="C314" t="s">
        <v>1909</v>
      </c>
      <c r="D314" t="s">
        <v>1910</v>
      </c>
      <c r="E314" t="s">
        <v>1074</v>
      </c>
      <c r="F314" t="s">
        <v>935</v>
      </c>
      <c r="G314" t="s">
        <v>39</v>
      </c>
      <c r="H314" t="s">
        <v>1911</v>
      </c>
      <c r="I314" t="s">
        <v>70</v>
      </c>
      <c r="J314" s="112" t="s">
        <v>203</v>
      </c>
      <c r="K314" s="112" t="s">
        <v>205</v>
      </c>
      <c r="L314" t="s">
        <v>62</v>
      </c>
      <c r="M314" t="s">
        <v>443</v>
      </c>
      <c r="N314" t="s">
        <v>162</v>
      </c>
      <c r="O314" t="s">
        <v>1912</v>
      </c>
      <c r="P314">
        <v>9490635278</v>
      </c>
      <c r="Q314" t="s">
        <v>54</v>
      </c>
      <c r="R314" t="s">
        <v>139</v>
      </c>
      <c r="S314" t="s">
        <v>89</v>
      </c>
      <c r="T314" t="s">
        <v>89</v>
      </c>
      <c r="U314" t="s">
        <v>90</v>
      </c>
      <c r="V314" t="s">
        <v>91</v>
      </c>
      <c r="W314" t="s">
        <v>5058</v>
      </c>
      <c r="X314" t="s">
        <v>91</v>
      </c>
      <c r="Y314" t="s">
        <v>46</v>
      </c>
      <c r="Z314" t="s">
        <v>47</v>
      </c>
      <c r="AA314" t="s">
        <v>92</v>
      </c>
      <c r="AB314" t="s">
        <v>93</v>
      </c>
      <c r="AC314" t="s">
        <v>94</v>
      </c>
      <c r="AD314" t="s">
        <v>1279</v>
      </c>
      <c r="AE314" t="s">
        <v>189</v>
      </c>
      <c r="AF314" t="s">
        <v>1614</v>
      </c>
      <c r="AG314" t="s">
        <v>196</v>
      </c>
      <c r="AH314" s="93">
        <f>VLOOKUP(Table1[[#This Row],[Caste]],Factor!$H$1:$K$13,4,0)</f>
        <v>1.3836274505214585</v>
      </c>
      <c r="AI314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314">
        <f>Table1[[#This Row],[Factor_1]]*Table1[[#This Row],[2024 Factor]]</f>
        <v>1.9482662206881376</v>
      </c>
      <c r="AK314">
        <f>VLOOKUP(Table1[[#This Row],[Q18: Gender]],Factor!$A$33:$E$35,5,0)</f>
        <v>0.85034013605442171</v>
      </c>
      <c r="AL314">
        <f>VLOOKUP(Table1[[#This Row],[Taluka]],Factor!$A$42:$G$46,7,0)</f>
        <v>1.9264642089343564</v>
      </c>
      <c r="AM314">
        <f>VLOOKUP(Table1[[#This Row],[Caste]]&amp;Table1[[#This Row],[Q18: Gender]],Factor!$W$1:$X$23,2,0)</f>
        <v>1.0790228998469584</v>
      </c>
      <c r="AN314">
        <f>VLOOKUP(Table1[[#This Row],[Taluka]]&amp;Table1[[#This Row],[Caste]]&amp;Table1[[#This Row],[Q18: Gender]],Factor!$AK$4:$AL$93,2,0)</f>
        <v>2.1355167697651956</v>
      </c>
      <c r="AO314">
        <f t="shared" si="44"/>
        <v>1</v>
      </c>
      <c r="AP314">
        <f t="shared" si="45"/>
        <v>1</v>
      </c>
      <c r="AQ314">
        <f t="shared" si="46"/>
        <v>1</v>
      </c>
      <c r="AR314">
        <f t="shared" si="47"/>
        <v>1</v>
      </c>
      <c r="AS314">
        <f t="shared" si="48"/>
        <v>1</v>
      </c>
      <c r="AT314">
        <f t="shared" si="49"/>
        <v>-1</v>
      </c>
      <c r="AU314">
        <f t="shared" si="50"/>
        <v>3.5</v>
      </c>
      <c r="AV314">
        <f>SUM(Table1[[#This Row],[Satis]:[29]])</f>
        <v>4</v>
      </c>
      <c r="AW314">
        <f t="shared" si="51"/>
        <v>3</v>
      </c>
      <c r="AX314">
        <f t="shared" si="52"/>
        <v>2</v>
      </c>
      <c r="AY314" t="str">
        <f t="shared" si="53"/>
        <v>ND</v>
      </c>
      <c r="AZ314" t="str">
        <f t="shared" si="54"/>
        <v>ND</v>
      </c>
    </row>
    <row r="315" spans="1:52" x14ac:dyDescent="0.3">
      <c r="A315" t="s">
        <v>1480</v>
      </c>
      <c r="B315" s="94">
        <v>46044</v>
      </c>
      <c r="C315" t="s">
        <v>1481</v>
      </c>
      <c r="D315" t="s">
        <v>1482</v>
      </c>
      <c r="E315" t="s">
        <v>1483</v>
      </c>
      <c r="F315" t="s">
        <v>69</v>
      </c>
      <c r="G315" t="s">
        <v>39</v>
      </c>
      <c r="H315" t="s">
        <v>1484</v>
      </c>
      <c r="I315" t="s">
        <v>70</v>
      </c>
      <c r="J315" t="s">
        <v>219</v>
      </c>
      <c r="K315" t="s">
        <v>221</v>
      </c>
      <c r="L315" t="s">
        <v>50</v>
      </c>
      <c r="M315" t="s">
        <v>51</v>
      </c>
      <c r="N315" t="s">
        <v>52</v>
      </c>
      <c r="O315" t="s">
        <v>1485</v>
      </c>
      <c r="P315">
        <v>6301573136</v>
      </c>
      <c r="Q315" t="s">
        <v>54</v>
      </c>
      <c r="R315" t="s">
        <v>73</v>
      </c>
      <c r="S315" t="s">
        <v>89</v>
      </c>
      <c r="T315" t="s">
        <v>89</v>
      </c>
      <c r="U315" t="s">
        <v>90</v>
      </c>
      <c r="V315" t="s">
        <v>91</v>
      </c>
      <c r="W315" t="s">
        <v>5084</v>
      </c>
      <c r="X315" t="s">
        <v>91</v>
      </c>
      <c r="Y315" t="s">
        <v>46</v>
      </c>
      <c r="Z315" t="s">
        <v>92</v>
      </c>
      <c r="AA315" t="s">
        <v>92</v>
      </c>
      <c r="AB315" t="s">
        <v>93</v>
      </c>
      <c r="AC315" t="s">
        <v>94</v>
      </c>
      <c r="AD315" t="s">
        <v>1270</v>
      </c>
      <c r="AE315" t="s">
        <v>185</v>
      </c>
      <c r="AF315" t="s">
        <v>1341</v>
      </c>
      <c r="AG315" t="s">
        <v>196</v>
      </c>
      <c r="AH315" s="93">
        <f>VLOOKUP(Table1[[#This Row],[Caste]],Factor!$H$1:$K$13,4,0)</f>
        <v>1.3836274505214585</v>
      </c>
      <c r="AI315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315">
        <f>Table1[[#This Row],[Factor_1]]*Table1[[#This Row],[2024 Factor]]</f>
        <v>1.9482662206881376</v>
      </c>
      <c r="AK315">
        <f>VLOOKUP(Table1[[#This Row],[Q18: Gender]],Factor!$A$33:$E$35,5,0)</f>
        <v>0.85034013605442171</v>
      </c>
      <c r="AL315">
        <f>VLOOKUP(Table1[[#This Row],[Taluka]],Factor!$A$42:$G$46,7,0)</f>
        <v>1.147984664167413</v>
      </c>
      <c r="AM315">
        <f>VLOOKUP(Table1[[#This Row],[Caste]]&amp;Table1[[#This Row],[Q18: Gender]],Factor!$W$1:$X$23,2,0)</f>
        <v>1.0790228998469584</v>
      </c>
      <c r="AN315">
        <f>VLOOKUP(Table1[[#This Row],[Taluka]]&amp;Table1[[#This Row],[Caste]]&amp;Table1[[#This Row],[Q18: Gender]],Factor!$AK$4:$AL$93,2,0)</f>
        <v>1.1572915102003449</v>
      </c>
      <c r="AO315">
        <f t="shared" si="44"/>
        <v>1</v>
      </c>
      <c r="AP315">
        <f t="shared" si="45"/>
        <v>1</v>
      </c>
      <c r="AQ315">
        <f t="shared" si="46"/>
        <v>1</v>
      </c>
      <c r="AR315">
        <f t="shared" si="47"/>
        <v>1</v>
      </c>
      <c r="AS315">
        <f t="shared" si="48"/>
        <v>1</v>
      </c>
      <c r="AT315">
        <f t="shared" si="49"/>
        <v>1</v>
      </c>
      <c r="AU315">
        <f t="shared" si="50"/>
        <v>5.5</v>
      </c>
      <c r="AV315">
        <f>SUM(Table1[[#This Row],[Satis]:[29]])</f>
        <v>6</v>
      </c>
      <c r="AW315">
        <f t="shared" si="51"/>
        <v>5</v>
      </c>
      <c r="AX315">
        <f t="shared" si="52"/>
        <v>4</v>
      </c>
      <c r="AY315">
        <f t="shared" si="53"/>
        <v>3</v>
      </c>
      <c r="AZ315" t="str">
        <f t="shared" si="54"/>
        <v>YSRCP HardCore</v>
      </c>
    </row>
    <row r="316" spans="1:52" x14ac:dyDescent="0.3">
      <c r="A316" t="s">
        <v>1665</v>
      </c>
      <c r="B316" s="94">
        <v>46044</v>
      </c>
      <c r="C316" t="s">
        <v>1666</v>
      </c>
      <c r="D316" t="s">
        <v>1667</v>
      </c>
      <c r="E316" t="s">
        <v>1668</v>
      </c>
      <c r="F316" t="s">
        <v>69</v>
      </c>
      <c r="G316" t="s">
        <v>39</v>
      </c>
      <c r="H316" t="s">
        <v>1669</v>
      </c>
      <c r="I316" t="s">
        <v>59</v>
      </c>
      <c r="J316" t="s">
        <v>219</v>
      </c>
      <c r="K316" t="s">
        <v>221</v>
      </c>
      <c r="L316" t="s">
        <v>82</v>
      </c>
      <c r="M316" t="s">
        <v>51</v>
      </c>
      <c r="N316" t="s">
        <v>107</v>
      </c>
      <c r="O316" t="s">
        <v>406</v>
      </c>
      <c r="P316">
        <v>9999999999</v>
      </c>
      <c r="Q316" t="s">
        <v>445</v>
      </c>
      <c r="R316" t="s">
        <v>61</v>
      </c>
      <c r="S316" t="s">
        <v>89</v>
      </c>
      <c r="T316" t="s">
        <v>43</v>
      </c>
      <c r="U316" t="s">
        <v>44</v>
      </c>
      <c r="V316" t="s">
        <v>45</v>
      </c>
      <c r="W316" t="s">
        <v>5084</v>
      </c>
      <c r="X316" t="s">
        <v>45</v>
      </c>
      <c r="Y316" t="s">
        <v>46</v>
      </c>
      <c r="Z316" t="s">
        <v>47</v>
      </c>
      <c r="AA316" t="s">
        <v>48</v>
      </c>
      <c r="AB316" t="s">
        <v>49</v>
      </c>
      <c r="AC316" t="s">
        <v>49</v>
      </c>
      <c r="AD316" t="s">
        <v>1270</v>
      </c>
      <c r="AE316" t="s">
        <v>185</v>
      </c>
      <c r="AF316" t="s">
        <v>185</v>
      </c>
      <c r="AG316" t="s">
        <v>196</v>
      </c>
      <c r="AH316" s="93">
        <f>VLOOKUP(Table1[[#This Row],[Caste]],Factor!$H$1:$K$13,4,0)</f>
        <v>1.1461625511156397</v>
      </c>
      <c r="AI31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16">
        <f>Table1[[#This Row],[Factor_1]]*Table1[[#This Row],[2024 Factor]]</f>
        <v>3.0326483876590018</v>
      </c>
      <c r="AK316">
        <f>VLOOKUP(Table1[[#This Row],[Q18: Gender]],Factor!$A$33:$E$35,5,0)</f>
        <v>2.1645021645021645</v>
      </c>
      <c r="AL316">
        <f>VLOOKUP(Table1[[#This Row],[Taluka]],Factor!$A$42:$G$46,7,0)</f>
        <v>1.147984664167413</v>
      </c>
      <c r="AM316">
        <f>VLOOKUP(Table1[[#This Row],[Caste]]&amp;Table1[[#This Row],[Q18: Gender]],Factor!$W$1:$X$23,2,0)</f>
        <v>2.8092219390089208</v>
      </c>
      <c r="AN316">
        <f>VLOOKUP(Table1[[#This Row],[Taluka]]&amp;Table1[[#This Row],[Caste]]&amp;Table1[[#This Row],[Q18: Gender]],Factor!$AK$4:$AL$93,2,0)</f>
        <v>2.2934724643212636</v>
      </c>
      <c r="AO316">
        <f t="shared" si="44"/>
        <v>-1</v>
      </c>
      <c r="AP316">
        <f t="shared" si="45"/>
        <v>-1</v>
      </c>
      <c r="AQ316">
        <f t="shared" si="46"/>
        <v>-1</v>
      </c>
      <c r="AR316">
        <f t="shared" si="47"/>
        <v>-1</v>
      </c>
      <c r="AS316">
        <f t="shared" si="48"/>
        <v>-1</v>
      </c>
      <c r="AT316">
        <f t="shared" si="49"/>
        <v>-1</v>
      </c>
      <c r="AU316">
        <f t="shared" si="50"/>
        <v>-5.5</v>
      </c>
      <c r="AV316">
        <f>SUM(Table1[[#This Row],[Satis]:[29]])</f>
        <v>-6</v>
      </c>
      <c r="AW316">
        <f t="shared" si="51"/>
        <v>-5</v>
      </c>
      <c r="AX316">
        <f t="shared" si="52"/>
        <v>-4</v>
      </c>
      <c r="AY316">
        <f t="shared" si="53"/>
        <v>-3</v>
      </c>
      <c r="AZ316" t="str">
        <f t="shared" si="54"/>
        <v>TDP HardCore</v>
      </c>
    </row>
    <row r="317" spans="1:52" x14ac:dyDescent="0.3">
      <c r="A317" t="s">
        <v>1765</v>
      </c>
      <c r="B317" s="94">
        <v>46044</v>
      </c>
      <c r="C317" t="s">
        <v>1716</v>
      </c>
      <c r="D317" t="s">
        <v>1717</v>
      </c>
      <c r="E317" t="s">
        <v>1718</v>
      </c>
      <c r="F317" t="s">
        <v>935</v>
      </c>
      <c r="G317" t="s">
        <v>39</v>
      </c>
      <c r="H317" t="s">
        <v>1766</v>
      </c>
      <c r="I317" t="s">
        <v>227</v>
      </c>
      <c r="J317" t="s">
        <v>219</v>
      </c>
      <c r="K317" t="s">
        <v>224</v>
      </c>
      <c r="L317" t="s">
        <v>62</v>
      </c>
      <c r="M317" t="s">
        <v>51</v>
      </c>
      <c r="N317" t="s">
        <v>63</v>
      </c>
      <c r="O317" t="s">
        <v>1720</v>
      </c>
      <c r="P317">
        <v>9704515574</v>
      </c>
      <c r="Q317" t="s">
        <v>54</v>
      </c>
      <c r="R317" t="s">
        <v>61</v>
      </c>
      <c r="S317" t="s">
        <v>88</v>
      </c>
      <c r="T317" t="s">
        <v>89</v>
      </c>
      <c r="U317" t="s">
        <v>90</v>
      </c>
      <c r="V317" t="s">
        <v>91</v>
      </c>
      <c r="W317" t="s">
        <v>5096</v>
      </c>
      <c r="X317" t="s">
        <v>91</v>
      </c>
      <c r="Y317" t="s">
        <v>46</v>
      </c>
      <c r="Z317" t="s">
        <v>92</v>
      </c>
      <c r="AA317" t="s">
        <v>92</v>
      </c>
      <c r="AB317" t="s">
        <v>93</v>
      </c>
      <c r="AC317" t="s">
        <v>94</v>
      </c>
      <c r="AD317" t="s">
        <v>1270</v>
      </c>
      <c r="AE317" t="s">
        <v>185</v>
      </c>
      <c r="AF317">
        <v>0</v>
      </c>
      <c r="AG317" t="s">
        <v>196</v>
      </c>
      <c r="AH317" s="93">
        <f>VLOOKUP(Table1[[#This Row],[Caste]],Factor!$H$1:$K$13,4,0)</f>
        <v>1.2612194085121222</v>
      </c>
      <c r="AI317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317">
        <f>Table1[[#This Row],[Factor_1]]*Table1[[#This Row],[2024 Factor]]</f>
        <v>1.5392437151422549</v>
      </c>
      <c r="AK317">
        <f>VLOOKUP(Table1[[#This Row],[Q18: Gender]],Factor!$A$33:$E$35,5,0)</f>
        <v>0.85034013605442171</v>
      </c>
      <c r="AL317">
        <f>VLOOKUP(Table1[[#This Row],[Taluka]],Factor!$A$42:$G$46,7,0)</f>
        <v>1.147984664167413</v>
      </c>
      <c r="AM317">
        <f>VLOOKUP(Table1[[#This Row],[Caste]]&amp;Table1[[#This Row],[Q18: Gender]],Factor!$W$1:$X$23,2,0)</f>
        <v>0.85249089649430487</v>
      </c>
      <c r="AN317">
        <f>VLOOKUP(Table1[[#This Row],[Taluka]]&amp;Table1[[#This Row],[Caste]]&amp;Table1[[#This Row],[Q18: Gender]],Factor!$AK$4:$AL$93,2,0)</f>
        <v>0.41451794778650441</v>
      </c>
      <c r="AO317">
        <f t="shared" si="44"/>
        <v>1</v>
      </c>
      <c r="AP317">
        <f t="shared" si="45"/>
        <v>1</v>
      </c>
      <c r="AQ317">
        <f t="shared" si="46"/>
        <v>1</v>
      </c>
      <c r="AR317">
        <f t="shared" si="47"/>
        <v>1</v>
      </c>
      <c r="AS317">
        <f t="shared" si="48"/>
        <v>1</v>
      </c>
      <c r="AT317">
        <f t="shared" si="49"/>
        <v>1</v>
      </c>
      <c r="AU317">
        <f t="shared" si="50"/>
        <v>5.5</v>
      </c>
      <c r="AV317">
        <f>SUM(Table1[[#This Row],[Satis]:[29]])</f>
        <v>6</v>
      </c>
      <c r="AW317">
        <f t="shared" si="51"/>
        <v>5</v>
      </c>
      <c r="AX317">
        <f t="shared" si="52"/>
        <v>4</v>
      </c>
      <c r="AY317">
        <f t="shared" si="53"/>
        <v>3</v>
      </c>
      <c r="AZ317" t="str">
        <f t="shared" si="54"/>
        <v>YSRCP HardCore</v>
      </c>
    </row>
    <row r="318" spans="1:52" x14ac:dyDescent="0.3">
      <c r="A318" t="s">
        <v>1816</v>
      </c>
      <c r="B318" s="94">
        <v>46044</v>
      </c>
      <c r="C318" t="s">
        <v>1817</v>
      </c>
      <c r="D318" t="s">
        <v>1717</v>
      </c>
      <c r="E318" t="s">
        <v>1718</v>
      </c>
      <c r="F318" t="s">
        <v>935</v>
      </c>
      <c r="G318" t="s">
        <v>39</v>
      </c>
      <c r="H318" t="s">
        <v>1818</v>
      </c>
      <c r="I318" t="s">
        <v>227</v>
      </c>
      <c r="J318" t="s">
        <v>219</v>
      </c>
      <c r="K318" t="s">
        <v>224</v>
      </c>
      <c r="L318" t="s">
        <v>62</v>
      </c>
      <c r="M318" t="s">
        <v>51</v>
      </c>
      <c r="N318" t="s">
        <v>63</v>
      </c>
      <c r="O318" t="s">
        <v>1720</v>
      </c>
      <c r="P318">
        <v>9704515574</v>
      </c>
      <c r="Q318" t="s">
        <v>54</v>
      </c>
      <c r="R318" t="s">
        <v>61</v>
      </c>
      <c r="S318" t="s">
        <v>88</v>
      </c>
      <c r="T318" t="s">
        <v>89</v>
      </c>
      <c r="U318" t="s">
        <v>90</v>
      </c>
      <c r="V318" t="s">
        <v>91</v>
      </c>
      <c r="W318" t="s">
        <v>5096</v>
      </c>
      <c r="X318" t="s">
        <v>91</v>
      </c>
      <c r="Y318" t="s">
        <v>46</v>
      </c>
      <c r="Z318" t="s">
        <v>92</v>
      </c>
      <c r="AA318" t="s">
        <v>92</v>
      </c>
      <c r="AB318" t="s">
        <v>93</v>
      </c>
      <c r="AC318" t="s">
        <v>94</v>
      </c>
      <c r="AD318" t="s">
        <v>1279</v>
      </c>
      <c r="AE318" t="s">
        <v>185</v>
      </c>
      <c r="AF318">
        <v>0</v>
      </c>
      <c r="AG318" t="s">
        <v>196</v>
      </c>
      <c r="AH318" s="93">
        <f>VLOOKUP(Table1[[#This Row],[Caste]],Factor!$H$1:$K$13,4,0)</f>
        <v>1.2612194085121222</v>
      </c>
      <c r="AI318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318">
        <f>Table1[[#This Row],[Factor_1]]*Table1[[#This Row],[2024 Factor]]</f>
        <v>1.5392437151422549</v>
      </c>
      <c r="AK318">
        <f>VLOOKUP(Table1[[#This Row],[Q18: Gender]],Factor!$A$33:$E$35,5,0)</f>
        <v>0.85034013605442171</v>
      </c>
      <c r="AL318">
        <f>VLOOKUP(Table1[[#This Row],[Taluka]],Factor!$A$42:$G$46,7,0)</f>
        <v>1.147984664167413</v>
      </c>
      <c r="AM318">
        <f>VLOOKUP(Table1[[#This Row],[Caste]]&amp;Table1[[#This Row],[Q18: Gender]],Factor!$W$1:$X$23,2,0)</f>
        <v>0.85249089649430487</v>
      </c>
      <c r="AN318">
        <f>VLOOKUP(Table1[[#This Row],[Taluka]]&amp;Table1[[#This Row],[Caste]]&amp;Table1[[#This Row],[Q18: Gender]],Factor!$AK$4:$AL$93,2,0)</f>
        <v>0.41451794778650441</v>
      </c>
      <c r="AO318">
        <f t="shared" si="44"/>
        <v>1</v>
      </c>
      <c r="AP318">
        <f t="shared" si="45"/>
        <v>1</v>
      </c>
      <c r="AQ318">
        <f t="shared" si="46"/>
        <v>1</v>
      </c>
      <c r="AR318">
        <f t="shared" si="47"/>
        <v>1</v>
      </c>
      <c r="AS318">
        <f t="shared" si="48"/>
        <v>1</v>
      </c>
      <c r="AT318">
        <f t="shared" si="49"/>
        <v>1</v>
      </c>
      <c r="AU318">
        <f t="shared" si="50"/>
        <v>5.5</v>
      </c>
      <c r="AV318">
        <f>SUM(Table1[[#This Row],[Satis]:[29]])</f>
        <v>6</v>
      </c>
      <c r="AW318">
        <f t="shared" si="51"/>
        <v>5</v>
      </c>
      <c r="AX318">
        <f t="shared" si="52"/>
        <v>4</v>
      </c>
      <c r="AY318">
        <f t="shared" si="53"/>
        <v>3</v>
      </c>
      <c r="AZ318" t="str">
        <f t="shared" si="54"/>
        <v>YSRCP HardCore</v>
      </c>
    </row>
    <row r="319" spans="1:52" x14ac:dyDescent="0.3">
      <c r="A319" t="s">
        <v>1864</v>
      </c>
      <c r="B319" s="94">
        <v>46044</v>
      </c>
      <c r="C319" t="s">
        <v>1865</v>
      </c>
      <c r="D319" t="s">
        <v>1866</v>
      </c>
      <c r="E319" t="s">
        <v>1352</v>
      </c>
      <c r="F319" t="s">
        <v>69</v>
      </c>
      <c r="G319" t="s">
        <v>39</v>
      </c>
      <c r="H319" t="s">
        <v>1867</v>
      </c>
      <c r="I319" t="s">
        <v>70</v>
      </c>
      <c r="J319" t="s">
        <v>219</v>
      </c>
      <c r="K319" t="s">
        <v>221</v>
      </c>
      <c r="L319" t="s">
        <v>75</v>
      </c>
      <c r="M319" t="s">
        <v>443</v>
      </c>
      <c r="N319" t="s">
        <v>63</v>
      </c>
      <c r="O319" t="s">
        <v>1868</v>
      </c>
      <c r="P319">
        <v>8247026002</v>
      </c>
      <c r="Q319" t="s">
        <v>445</v>
      </c>
      <c r="R319" t="s">
        <v>73</v>
      </c>
      <c r="S319" t="s">
        <v>89</v>
      </c>
      <c r="T319" t="s">
        <v>89</v>
      </c>
      <c r="U319" t="s">
        <v>90</v>
      </c>
      <c r="V319" t="s">
        <v>91</v>
      </c>
      <c r="W319" t="s">
        <v>5084</v>
      </c>
      <c r="X319" t="s">
        <v>91</v>
      </c>
      <c r="Y319" t="s">
        <v>46</v>
      </c>
      <c r="Z319" t="s">
        <v>92</v>
      </c>
      <c r="AA319" t="s">
        <v>92</v>
      </c>
      <c r="AB319" t="s">
        <v>93</v>
      </c>
      <c r="AC319" t="s">
        <v>94</v>
      </c>
      <c r="AD319" t="s">
        <v>1270</v>
      </c>
      <c r="AE319" t="s">
        <v>185</v>
      </c>
      <c r="AF319" t="s">
        <v>1869</v>
      </c>
      <c r="AG319" t="s">
        <v>196</v>
      </c>
      <c r="AH319" s="93">
        <f>VLOOKUP(Table1[[#This Row],[Caste]],Factor!$H$1:$K$13,4,0)</f>
        <v>1.3836274505214585</v>
      </c>
      <c r="AI319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319">
        <f>Table1[[#This Row],[Factor_1]]*Table1[[#This Row],[2024 Factor]]</f>
        <v>3.4809023142961388</v>
      </c>
      <c r="AK319">
        <f>VLOOKUP(Table1[[#This Row],[Q18: Gender]],Factor!$A$33:$E$35,5,0)</f>
        <v>2.1645021645021645</v>
      </c>
      <c r="AL319">
        <f>VLOOKUP(Table1[[#This Row],[Taluka]],Factor!$A$42:$G$46,7,0)</f>
        <v>1.147984664167413</v>
      </c>
      <c r="AM319">
        <f>VLOOKUP(Table1[[#This Row],[Caste]]&amp;Table1[[#This Row],[Q18: Gender]],Factor!$W$1:$X$23,2,0)</f>
        <v>1.9278542477265657</v>
      </c>
      <c r="AN319">
        <f>VLOOKUP(Table1[[#This Row],[Taluka]]&amp;Table1[[#This Row],[Caste]]&amp;Table1[[#This Row],[Q18: Gender]],Factor!$AK$4:$AL$93,2,0)</f>
        <v>3.2048072590163397</v>
      </c>
      <c r="AO319">
        <f t="shared" si="44"/>
        <v>1</v>
      </c>
      <c r="AP319">
        <f t="shared" si="45"/>
        <v>1</v>
      </c>
      <c r="AQ319">
        <f t="shared" si="46"/>
        <v>1</v>
      </c>
      <c r="AR319">
        <f t="shared" si="47"/>
        <v>1</v>
      </c>
      <c r="AS319">
        <f t="shared" si="48"/>
        <v>1</v>
      </c>
      <c r="AT319">
        <f t="shared" si="49"/>
        <v>1</v>
      </c>
      <c r="AU319">
        <f t="shared" si="50"/>
        <v>5.5</v>
      </c>
      <c r="AV319">
        <f>SUM(Table1[[#This Row],[Satis]:[29]])</f>
        <v>6</v>
      </c>
      <c r="AW319">
        <f t="shared" si="51"/>
        <v>5</v>
      </c>
      <c r="AX319">
        <f t="shared" si="52"/>
        <v>4</v>
      </c>
      <c r="AY319">
        <f t="shared" si="53"/>
        <v>3</v>
      </c>
      <c r="AZ319" t="str">
        <f t="shared" si="54"/>
        <v>YSRCP HardCore</v>
      </c>
    </row>
    <row r="320" spans="1:52" x14ac:dyDescent="0.3">
      <c r="A320" t="s">
        <v>1937</v>
      </c>
      <c r="B320" s="94">
        <v>46044</v>
      </c>
      <c r="C320" t="s">
        <v>1938</v>
      </c>
      <c r="D320" t="s">
        <v>1939</v>
      </c>
      <c r="E320" t="s">
        <v>1284</v>
      </c>
      <c r="F320" t="s">
        <v>69</v>
      </c>
      <c r="G320" t="s">
        <v>39</v>
      </c>
      <c r="H320" t="s">
        <v>1940</v>
      </c>
      <c r="I320" t="s">
        <v>229</v>
      </c>
      <c r="J320" t="s">
        <v>219</v>
      </c>
      <c r="K320" t="s">
        <v>223</v>
      </c>
      <c r="L320" t="s">
        <v>75</v>
      </c>
      <c r="M320" t="s">
        <v>51</v>
      </c>
      <c r="N320" t="s">
        <v>63</v>
      </c>
      <c r="O320" t="s">
        <v>1941</v>
      </c>
      <c r="P320">
        <v>9999999999</v>
      </c>
      <c r="Q320" t="s">
        <v>445</v>
      </c>
      <c r="R320" t="s">
        <v>73</v>
      </c>
      <c r="S320" t="s">
        <v>43</v>
      </c>
      <c r="T320" t="s">
        <v>43</v>
      </c>
      <c r="U320" t="s">
        <v>90</v>
      </c>
      <c r="V320" t="s">
        <v>45</v>
      </c>
      <c r="W320" t="s">
        <v>5083</v>
      </c>
      <c r="X320" t="s">
        <v>45</v>
      </c>
      <c r="Y320" t="s">
        <v>46</v>
      </c>
      <c r="Z320" t="s">
        <v>47</v>
      </c>
      <c r="AA320" t="s">
        <v>48</v>
      </c>
      <c r="AB320" t="s">
        <v>49</v>
      </c>
      <c r="AC320" t="s">
        <v>49</v>
      </c>
      <c r="AD320" t="s">
        <v>1279</v>
      </c>
      <c r="AE320" t="s">
        <v>1271</v>
      </c>
      <c r="AF320" t="s">
        <v>1942</v>
      </c>
      <c r="AG320" t="s">
        <v>196</v>
      </c>
      <c r="AH320" s="93">
        <f>VLOOKUP(Table1[[#This Row],[Caste]],Factor!$H$1:$K$13,4,0)</f>
        <v>1.1209668980183516</v>
      </c>
      <c r="AI32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20">
        <f>Table1[[#This Row],[Factor_1]]*Table1[[#This Row],[2024 Factor]]</f>
        <v>1.4370186848956754</v>
      </c>
      <c r="AK320">
        <f>VLOOKUP(Table1[[#This Row],[Q18: Gender]],Factor!$A$33:$E$35,5,0)</f>
        <v>2.1645021645021645</v>
      </c>
      <c r="AL320">
        <f>VLOOKUP(Table1[[#This Row],[Taluka]],Factor!$A$42:$G$46,7,0)</f>
        <v>1.147984664167413</v>
      </c>
      <c r="AM320">
        <f>VLOOKUP(Table1[[#This Row],[Caste]]&amp;Table1[[#This Row],[Q18: Gender]],Factor!$W$1:$X$23,2,0)</f>
        <v>1.3311481913967924</v>
      </c>
      <c r="AN320">
        <f>VLOOKUP(Table1[[#This Row],[Taluka]]&amp;Table1[[#This Row],[Caste]]&amp;Table1[[#This Row],[Q18: Gender]],Factor!$AK$4:$AL$93,2,0)</f>
        <v>0.51141675343184545</v>
      </c>
      <c r="AO320">
        <f t="shared" si="44"/>
        <v>-1</v>
      </c>
      <c r="AP320">
        <f t="shared" si="45"/>
        <v>1</v>
      </c>
      <c r="AQ320">
        <f t="shared" si="46"/>
        <v>-1</v>
      </c>
      <c r="AR320">
        <f t="shared" si="47"/>
        <v>-1</v>
      </c>
      <c r="AS320">
        <f t="shared" si="48"/>
        <v>-1</v>
      </c>
      <c r="AT320">
        <f t="shared" si="49"/>
        <v>-1</v>
      </c>
      <c r="AU320">
        <f t="shared" si="50"/>
        <v>-3.5</v>
      </c>
      <c r="AV320">
        <f>SUM(Table1[[#This Row],[Satis]:[29]])</f>
        <v>-4</v>
      </c>
      <c r="AW320">
        <f t="shared" si="51"/>
        <v>-5</v>
      </c>
      <c r="AX320">
        <f t="shared" si="52"/>
        <v>-4</v>
      </c>
      <c r="AY320">
        <f t="shared" si="53"/>
        <v>-3</v>
      </c>
      <c r="AZ320" t="str">
        <f t="shared" si="54"/>
        <v>TDP Sympathiser</v>
      </c>
    </row>
    <row r="321" spans="1:52" x14ac:dyDescent="0.3">
      <c r="A321" t="s">
        <v>1362</v>
      </c>
      <c r="B321" s="94">
        <v>46044</v>
      </c>
      <c r="C321" t="s">
        <v>1363</v>
      </c>
      <c r="D321" t="s">
        <v>1364</v>
      </c>
      <c r="E321" t="s">
        <v>1352</v>
      </c>
      <c r="F321" t="s">
        <v>69</v>
      </c>
      <c r="G321" t="s">
        <v>39</v>
      </c>
      <c r="H321" t="s">
        <v>1365</v>
      </c>
      <c r="I321" t="s">
        <v>59</v>
      </c>
      <c r="J321" t="s">
        <v>219</v>
      </c>
      <c r="K321" t="s">
        <v>221</v>
      </c>
      <c r="L321" t="s">
        <v>62</v>
      </c>
      <c r="M321" t="s">
        <v>51</v>
      </c>
      <c r="N321" t="s">
        <v>63</v>
      </c>
      <c r="O321" t="s">
        <v>1366</v>
      </c>
      <c r="P321">
        <v>9999999999</v>
      </c>
      <c r="Q321" t="s">
        <v>54</v>
      </c>
      <c r="R321" t="s">
        <v>132</v>
      </c>
      <c r="S321" t="s">
        <v>43</v>
      </c>
      <c r="T321" t="s">
        <v>43</v>
      </c>
      <c r="U321" t="s">
        <v>44</v>
      </c>
      <c r="V321" t="s">
        <v>45</v>
      </c>
      <c r="W321" t="s">
        <v>5085</v>
      </c>
      <c r="X321" t="s">
        <v>45</v>
      </c>
      <c r="Y321" t="s">
        <v>46</v>
      </c>
      <c r="Z321" t="s">
        <v>47</v>
      </c>
      <c r="AA321" t="s">
        <v>48</v>
      </c>
      <c r="AB321" t="s">
        <v>49</v>
      </c>
      <c r="AC321" t="s">
        <v>49</v>
      </c>
      <c r="AD321" t="s">
        <v>1279</v>
      </c>
      <c r="AE321" t="s">
        <v>185</v>
      </c>
      <c r="AF321" t="s">
        <v>1280</v>
      </c>
      <c r="AG321" t="s">
        <v>196</v>
      </c>
      <c r="AH321" s="93">
        <f>VLOOKUP(Table1[[#This Row],[Caste]],Factor!$H$1:$K$13,4,0)</f>
        <v>1.1461625511156397</v>
      </c>
      <c r="AI32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21">
        <f>Table1[[#This Row],[Factor_1]]*Table1[[#This Row],[2024 Factor]]</f>
        <v>0.77721139583220644</v>
      </c>
      <c r="AK321">
        <f>VLOOKUP(Table1[[#This Row],[Q18: Gender]],Factor!$A$33:$E$35,5,0)</f>
        <v>0.85034013605442171</v>
      </c>
      <c r="AL321">
        <f>VLOOKUP(Table1[[#This Row],[Taluka]],Factor!$A$42:$G$46,7,0)</f>
        <v>1.147984664167413</v>
      </c>
      <c r="AM321">
        <f>VLOOKUP(Table1[[#This Row],[Caste]]&amp;Table1[[#This Row],[Q18: Gender]],Factor!$W$1:$X$23,2,0)</f>
        <v>0.71995135120329123</v>
      </c>
      <c r="AN321">
        <f>VLOOKUP(Table1[[#This Row],[Taluka]]&amp;Table1[[#This Row],[Caste]]&amp;Table1[[#This Row],[Q18: Gender]],Factor!$AK$4:$AL$93,2,0)</f>
        <v>0.54319084681293095</v>
      </c>
      <c r="AO321">
        <f t="shared" si="44"/>
        <v>-1</v>
      </c>
      <c r="AP321">
        <f t="shared" si="45"/>
        <v>-1</v>
      </c>
      <c r="AQ321">
        <f t="shared" si="46"/>
        <v>-1</v>
      </c>
      <c r="AR321">
        <f t="shared" si="47"/>
        <v>-1</v>
      </c>
      <c r="AS321">
        <f t="shared" si="48"/>
        <v>-1</v>
      </c>
      <c r="AT321">
        <f t="shared" si="49"/>
        <v>-1</v>
      </c>
      <c r="AU321">
        <f t="shared" si="50"/>
        <v>-5.5</v>
      </c>
      <c r="AV321">
        <f>SUM(Table1[[#This Row],[Satis]:[29]])</f>
        <v>-6</v>
      </c>
      <c r="AW321">
        <f t="shared" si="51"/>
        <v>-5</v>
      </c>
      <c r="AX321">
        <f t="shared" si="52"/>
        <v>-4</v>
      </c>
      <c r="AY321">
        <f t="shared" si="53"/>
        <v>-3</v>
      </c>
      <c r="AZ321" t="str">
        <f t="shared" si="54"/>
        <v>TDP HardCore</v>
      </c>
    </row>
    <row r="322" spans="1:52" x14ac:dyDescent="0.3">
      <c r="A322" t="s">
        <v>1945</v>
      </c>
      <c r="B322" s="94">
        <v>46044</v>
      </c>
      <c r="C322" t="s">
        <v>1946</v>
      </c>
      <c r="D322" t="s">
        <v>1947</v>
      </c>
      <c r="E322" t="s">
        <v>1668</v>
      </c>
      <c r="F322" t="s">
        <v>69</v>
      </c>
      <c r="G322" t="s">
        <v>39</v>
      </c>
      <c r="H322" t="s">
        <v>1948</v>
      </c>
      <c r="I322" t="s">
        <v>59</v>
      </c>
      <c r="J322" t="s">
        <v>219</v>
      </c>
      <c r="K322" t="s">
        <v>221</v>
      </c>
      <c r="L322" t="s">
        <v>62</v>
      </c>
      <c r="M322" t="s">
        <v>51</v>
      </c>
      <c r="N322" t="s">
        <v>52</v>
      </c>
      <c r="O322" t="s">
        <v>406</v>
      </c>
      <c r="P322">
        <v>9999999999</v>
      </c>
      <c r="Q322" t="s">
        <v>54</v>
      </c>
      <c r="R322" t="s">
        <v>139</v>
      </c>
      <c r="S322" t="s">
        <v>43</v>
      </c>
      <c r="T322" t="s">
        <v>43</v>
      </c>
      <c r="U322" t="s">
        <v>44</v>
      </c>
      <c r="V322" t="s">
        <v>91</v>
      </c>
      <c r="W322" t="s">
        <v>5085</v>
      </c>
      <c r="X322" t="s">
        <v>45</v>
      </c>
      <c r="Y322" t="s">
        <v>46</v>
      </c>
      <c r="Z322" t="s">
        <v>47</v>
      </c>
      <c r="AA322" t="s">
        <v>48</v>
      </c>
      <c r="AB322" t="s">
        <v>49</v>
      </c>
      <c r="AC322" t="s">
        <v>49</v>
      </c>
      <c r="AD322" t="s">
        <v>1270</v>
      </c>
      <c r="AE322" t="s">
        <v>185</v>
      </c>
      <c r="AF322" t="s">
        <v>1949</v>
      </c>
      <c r="AG322" t="s">
        <v>196</v>
      </c>
      <c r="AH322" s="93">
        <f>VLOOKUP(Table1[[#This Row],[Caste]],Factor!$H$1:$K$13,4,0)</f>
        <v>1.1461625511156397</v>
      </c>
      <c r="AI32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22">
        <f>Table1[[#This Row],[Factor_1]]*Table1[[#This Row],[2024 Factor]]</f>
        <v>0.77721139583220644</v>
      </c>
      <c r="AK322">
        <f>VLOOKUP(Table1[[#This Row],[Q18: Gender]],Factor!$A$33:$E$35,5,0)</f>
        <v>0.85034013605442171</v>
      </c>
      <c r="AL322">
        <f>VLOOKUP(Table1[[#This Row],[Taluka]],Factor!$A$42:$G$46,7,0)</f>
        <v>1.147984664167413</v>
      </c>
      <c r="AM322">
        <f>VLOOKUP(Table1[[#This Row],[Caste]]&amp;Table1[[#This Row],[Q18: Gender]],Factor!$W$1:$X$23,2,0)</f>
        <v>0.71995135120329123</v>
      </c>
      <c r="AN322">
        <f>VLOOKUP(Table1[[#This Row],[Taluka]]&amp;Table1[[#This Row],[Caste]]&amp;Table1[[#This Row],[Q18: Gender]],Factor!$AK$4:$AL$93,2,0)</f>
        <v>0.54319084681293095</v>
      </c>
      <c r="AO322">
        <f t="shared" ref="AO322:AO385" si="55">IF(T322="బాగుంది",-1,1)</f>
        <v>-1</v>
      </c>
      <c r="AP322">
        <f t="shared" ref="AP322:AP385" si="56">IF(U322="అమలవడం లేదు",1,-1)</f>
        <v>-1</v>
      </c>
      <c r="AQ322">
        <f t="shared" ref="AQ322:AQ385" si="57">IF(V322="జగన్ మోహన్ రెడ్డి గారు",1,-1)</f>
        <v>1</v>
      </c>
      <c r="AR322">
        <f t="shared" ref="AR322:AR385" si="58">IF(X322="జగన్ మోహన్ రెడ్డి గారు",1,-1)</f>
        <v>-1</v>
      </c>
      <c r="AS322">
        <f t="shared" ref="AS322:AS385" si="59">IF(AA322="YSRCP (వైఎస్‌ఆర్‌సీపీ)",1,-1)</f>
        <v>-1</v>
      </c>
      <c r="AT322">
        <f t="shared" ref="AT322:AT385" si="60">IF(Z322="YSRCP (వైఎస్‌ఆర్‌సీపీ)",1,-1)</f>
        <v>-1</v>
      </c>
      <c r="AU322">
        <f t="shared" ref="AU322:AU385" si="61">AO322+AP322+AQ322+AR322+(0.5*AS322)+AT322</f>
        <v>-3.5</v>
      </c>
      <c r="AV322">
        <f>SUM(Table1[[#This Row],[Satis]:[29]])</f>
        <v>-4</v>
      </c>
      <c r="AW322">
        <f t="shared" ref="AW322:AW385" si="62">AO322+AQ322+AR322+AS322+AT322</f>
        <v>-3</v>
      </c>
      <c r="AX322">
        <f t="shared" ref="AX322:AX385" si="63">AQ322+AR322+AS322+AT322</f>
        <v>-2</v>
      </c>
      <c r="AY322">
        <f t="shared" ref="AY322:AY385" si="64">IF(AND(AO322=1,AS322=1,AT322=1),3,IF(AND(AO322=-1,AS322=-1,AT322=-1),-3,IF(AND(AO322=1,AS322=-1,AT322=1),2,IF(AND(AO322=-1,AS322=1,AT322=-1),-2,IF(AND(AS322=1,AT322=1),2,IF(AND(AS322=-1,AT322=-1),-2,"ND"))))))</f>
        <v>-3</v>
      </c>
      <c r="AZ322" t="str">
        <f t="shared" ref="AZ322:AZ385" si="65">IFERROR(IF(AV322=6,"YSRCP HardCore",IF(AV322=-6,"TDP HardCore",IF(AW322&gt;=4,"YSRCP Sympathiser",IF(AW322&lt;=-4,"TDP Sympathiser",IF(AX322&gt;=3,"YSRCP Sympathiser",IF(AX322&lt;=-3,"TDP Sympathiser",IF(AY322="ND","ND",IF(AY322&gt;=2,"Neutral YSRCP",IF(AY322&lt;=-2,"Neutral TDP",0))))))))),"ND")</f>
        <v>Neutral TDP</v>
      </c>
    </row>
    <row r="323" spans="1:52" x14ac:dyDescent="0.3">
      <c r="A323" t="s">
        <v>1950</v>
      </c>
      <c r="B323" s="94">
        <v>46044</v>
      </c>
      <c r="C323" t="s">
        <v>1951</v>
      </c>
      <c r="D323" t="s">
        <v>1952</v>
      </c>
      <c r="E323" t="s">
        <v>1953</v>
      </c>
      <c r="F323" t="s">
        <v>935</v>
      </c>
      <c r="G323" t="s">
        <v>39</v>
      </c>
      <c r="H323" t="s">
        <v>1954</v>
      </c>
      <c r="I323" t="s">
        <v>227</v>
      </c>
      <c r="J323" t="s">
        <v>219</v>
      </c>
      <c r="K323" t="s">
        <v>224</v>
      </c>
      <c r="L323" t="s">
        <v>50</v>
      </c>
      <c r="M323" t="s">
        <v>51</v>
      </c>
      <c r="N323" t="s">
        <v>63</v>
      </c>
      <c r="O323" t="s">
        <v>1955</v>
      </c>
      <c r="P323">
        <v>9963751860</v>
      </c>
      <c r="Q323" t="s">
        <v>54</v>
      </c>
      <c r="R323" t="s">
        <v>61</v>
      </c>
      <c r="S323" t="s">
        <v>43</v>
      </c>
      <c r="T323" t="s">
        <v>43</v>
      </c>
      <c r="U323" t="s">
        <v>44</v>
      </c>
      <c r="V323" t="s">
        <v>45</v>
      </c>
      <c r="W323" t="s">
        <v>5055</v>
      </c>
      <c r="X323" t="s">
        <v>45</v>
      </c>
      <c r="Y323" t="s">
        <v>46</v>
      </c>
      <c r="Z323" t="s">
        <v>47</v>
      </c>
      <c r="AA323" t="s">
        <v>48</v>
      </c>
      <c r="AB323" t="s">
        <v>49</v>
      </c>
      <c r="AC323" t="s">
        <v>49</v>
      </c>
      <c r="AD323" t="s">
        <v>1279</v>
      </c>
      <c r="AE323" t="s">
        <v>1250</v>
      </c>
      <c r="AF323" t="s">
        <v>1614</v>
      </c>
      <c r="AG323" t="s">
        <v>498</v>
      </c>
      <c r="AH323" s="93">
        <f>VLOOKUP(Table1[[#This Row],[Caste]],Factor!$H$1:$K$13,4,0)</f>
        <v>1.2612194085121222</v>
      </c>
      <c r="AI32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23">
        <f>Table1[[#This Row],[Factor_1]]*Table1[[#This Row],[2024 Factor]]</f>
        <v>0.92029223709519836</v>
      </c>
      <c r="AK323">
        <f>VLOOKUP(Table1[[#This Row],[Q18: Gender]],Factor!$A$33:$E$35,5,0)</f>
        <v>0.85034013605442171</v>
      </c>
      <c r="AL323">
        <f>VLOOKUP(Table1[[#This Row],[Taluka]],Factor!$A$42:$G$46,7,0)</f>
        <v>1.147984664167413</v>
      </c>
      <c r="AM323">
        <f>VLOOKUP(Table1[[#This Row],[Caste]]&amp;Table1[[#This Row],[Q18: Gender]],Factor!$W$1:$X$23,2,0)</f>
        <v>0.85249089649430487</v>
      </c>
      <c r="AN323">
        <f>VLOOKUP(Table1[[#This Row],[Taluka]]&amp;Table1[[#This Row],[Caste]]&amp;Table1[[#This Row],[Q18: Gender]],Factor!$AK$4:$AL$93,2,0)</f>
        <v>0.41451794778650441</v>
      </c>
      <c r="AO323">
        <f t="shared" si="55"/>
        <v>-1</v>
      </c>
      <c r="AP323">
        <f t="shared" si="56"/>
        <v>-1</v>
      </c>
      <c r="AQ323">
        <f t="shared" si="57"/>
        <v>-1</v>
      </c>
      <c r="AR323">
        <f t="shared" si="58"/>
        <v>-1</v>
      </c>
      <c r="AS323">
        <f t="shared" si="59"/>
        <v>-1</v>
      </c>
      <c r="AT323">
        <f t="shared" si="60"/>
        <v>-1</v>
      </c>
      <c r="AU323">
        <f t="shared" si="61"/>
        <v>-5.5</v>
      </c>
      <c r="AV323">
        <f>SUM(Table1[[#This Row],[Satis]:[29]])</f>
        <v>-6</v>
      </c>
      <c r="AW323">
        <f t="shared" si="62"/>
        <v>-5</v>
      </c>
      <c r="AX323">
        <f t="shared" si="63"/>
        <v>-4</v>
      </c>
      <c r="AY323">
        <f t="shared" si="64"/>
        <v>-3</v>
      </c>
      <c r="AZ323" t="str">
        <f t="shared" si="65"/>
        <v>TDP HardCore</v>
      </c>
    </row>
    <row r="324" spans="1:52" x14ac:dyDescent="0.3">
      <c r="A324" t="s">
        <v>1621</v>
      </c>
      <c r="B324" s="94">
        <v>46044</v>
      </c>
      <c r="C324" t="s">
        <v>1622</v>
      </c>
      <c r="D324" t="s">
        <v>1623</v>
      </c>
      <c r="E324" t="s">
        <v>1359</v>
      </c>
      <c r="F324" t="s">
        <v>69</v>
      </c>
      <c r="G324" t="s">
        <v>39</v>
      </c>
      <c r="H324" t="s">
        <v>1624</v>
      </c>
      <c r="I324" t="s">
        <v>59</v>
      </c>
      <c r="J324" t="s">
        <v>219</v>
      </c>
      <c r="K324" t="s">
        <v>221</v>
      </c>
      <c r="L324" t="s">
        <v>75</v>
      </c>
      <c r="M324" t="s">
        <v>51</v>
      </c>
      <c r="N324" t="s">
        <v>162</v>
      </c>
      <c r="O324" t="s">
        <v>1625</v>
      </c>
      <c r="P324">
        <v>9999999999</v>
      </c>
      <c r="Q324" t="s">
        <v>54</v>
      </c>
      <c r="R324" t="s">
        <v>73</v>
      </c>
      <c r="S324" t="s">
        <v>43</v>
      </c>
      <c r="T324" t="s">
        <v>43</v>
      </c>
      <c r="U324" t="s">
        <v>44</v>
      </c>
      <c r="V324" t="s">
        <v>45</v>
      </c>
      <c r="W324" t="s">
        <v>74</v>
      </c>
      <c r="X324" t="s">
        <v>45</v>
      </c>
      <c r="Y324" t="s">
        <v>46</v>
      </c>
      <c r="Z324" t="s">
        <v>47</v>
      </c>
      <c r="AA324" t="s">
        <v>48</v>
      </c>
      <c r="AB324" t="s">
        <v>49</v>
      </c>
      <c r="AC324" t="s">
        <v>49</v>
      </c>
      <c r="AD324" t="s">
        <v>1279</v>
      </c>
      <c r="AE324" t="s">
        <v>185</v>
      </c>
      <c r="AF324" t="s">
        <v>1280</v>
      </c>
      <c r="AG324" t="s">
        <v>196</v>
      </c>
      <c r="AH324" s="93">
        <f>VLOOKUP(Table1[[#This Row],[Caste]],Factor!$H$1:$K$13,4,0)</f>
        <v>1.1461625511156397</v>
      </c>
      <c r="AI32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24">
        <f>Table1[[#This Row],[Factor_1]]*Table1[[#This Row],[2024 Factor]]</f>
        <v>0.77721139583220644</v>
      </c>
      <c r="AK324">
        <f>VLOOKUP(Table1[[#This Row],[Q18: Gender]],Factor!$A$33:$E$35,5,0)</f>
        <v>0.85034013605442171</v>
      </c>
      <c r="AL324">
        <f>VLOOKUP(Table1[[#This Row],[Taluka]],Factor!$A$42:$G$46,7,0)</f>
        <v>1.147984664167413</v>
      </c>
      <c r="AM324">
        <f>VLOOKUP(Table1[[#This Row],[Caste]]&amp;Table1[[#This Row],[Q18: Gender]],Factor!$W$1:$X$23,2,0)</f>
        <v>0.71995135120329123</v>
      </c>
      <c r="AN324">
        <f>VLOOKUP(Table1[[#This Row],[Taluka]]&amp;Table1[[#This Row],[Caste]]&amp;Table1[[#This Row],[Q18: Gender]],Factor!$AK$4:$AL$93,2,0)</f>
        <v>0.54319084681293095</v>
      </c>
      <c r="AO324">
        <f t="shared" si="55"/>
        <v>-1</v>
      </c>
      <c r="AP324">
        <f t="shared" si="56"/>
        <v>-1</v>
      </c>
      <c r="AQ324">
        <f t="shared" si="57"/>
        <v>-1</v>
      </c>
      <c r="AR324">
        <f t="shared" si="58"/>
        <v>-1</v>
      </c>
      <c r="AS324">
        <f t="shared" si="59"/>
        <v>-1</v>
      </c>
      <c r="AT324">
        <f t="shared" si="60"/>
        <v>-1</v>
      </c>
      <c r="AU324">
        <f t="shared" si="61"/>
        <v>-5.5</v>
      </c>
      <c r="AV324">
        <f>SUM(Table1[[#This Row],[Satis]:[29]])</f>
        <v>-6</v>
      </c>
      <c r="AW324">
        <f t="shared" si="62"/>
        <v>-5</v>
      </c>
      <c r="AX324">
        <f t="shared" si="63"/>
        <v>-4</v>
      </c>
      <c r="AY324">
        <f t="shared" si="64"/>
        <v>-3</v>
      </c>
      <c r="AZ324" t="str">
        <f t="shared" si="65"/>
        <v>TDP HardCore</v>
      </c>
    </row>
    <row r="325" spans="1:52" x14ac:dyDescent="0.3">
      <c r="A325" t="s">
        <v>1960</v>
      </c>
      <c r="B325" s="94">
        <v>46044</v>
      </c>
      <c r="C325" t="s">
        <v>1961</v>
      </c>
      <c r="D325" t="s">
        <v>1962</v>
      </c>
      <c r="E325" t="s">
        <v>1701</v>
      </c>
      <c r="F325" t="s">
        <v>935</v>
      </c>
      <c r="G325" t="s">
        <v>39</v>
      </c>
      <c r="H325" t="s">
        <v>1963</v>
      </c>
      <c r="I325" t="s">
        <v>227</v>
      </c>
      <c r="J325" t="s">
        <v>219</v>
      </c>
      <c r="K325" t="s">
        <v>224</v>
      </c>
      <c r="L325" t="s">
        <v>50</v>
      </c>
      <c r="M325" t="s">
        <v>51</v>
      </c>
      <c r="N325" t="s">
        <v>63</v>
      </c>
      <c r="O325" t="s">
        <v>1964</v>
      </c>
      <c r="P325">
        <v>9849448571</v>
      </c>
      <c r="Q325" t="s">
        <v>54</v>
      </c>
      <c r="R325" t="s">
        <v>132</v>
      </c>
      <c r="S325" t="s">
        <v>43</v>
      </c>
      <c r="T325" t="s">
        <v>43</v>
      </c>
      <c r="U325" t="s">
        <v>44</v>
      </c>
      <c r="V325" t="s">
        <v>91</v>
      </c>
      <c r="W325" t="s">
        <v>5062</v>
      </c>
      <c r="X325" t="s">
        <v>45</v>
      </c>
      <c r="Y325" t="s">
        <v>46</v>
      </c>
      <c r="Z325" t="s">
        <v>47</v>
      </c>
      <c r="AA325" t="s">
        <v>48</v>
      </c>
      <c r="AB325" t="s">
        <v>49</v>
      </c>
      <c r="AC325" t="s">
        <v>49</v>
      </c>
      <c r="AD325" t="s">
        <v>1552</v>
      </c>
      <c r="AE325" t="s">
        <v>1250</v>
      </c>
      <c r="AF325" t="s">
        <v>1965</v>
      </c>
      <c r="AG325" t="s">
        <v>498</v>
      </c>
      <c r="AH325" s="93">
        <f>VLOOKUP(Table1[[#This Row],[Caste]],Factor!$H$1:$K$13,4,0)</f>
        <v>1.2612194085121222</v>
      </c>
      <c r="AI32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25">
        <f>Table1[[#This Row],[Factor_1]]*Table1[[#This Row],[2024 Factor]]</f>
        <v>0.92029223709519836</v>
      </c>
      <c r="AK325">
        <f>VLOOKUP(Table1[[#This Row],[Q18: Gender]],Factor!$A$33:$E$35,5,0)</f>
        <v>0.85034013605442171</v>
      </c>
      <c r="AL325">
        <f>VLOOKUP(Table1[[#This Row],[Taluka]],Factor!$A$42:$G$46,7,0)</f>
        <v>1.147984664167413</v>
      </c>
      <c r="AM325">
        <f>VLOOKUP(Table1[[#This Row],[Caste]]&amp;Table1[[#This Row],[Q18: Gender]],Factor!$W$1:$X$23,2,0)</f>
        <v>0.85249089649430487</v>
      </c>
      <c r="AN325">
        <f>VLOOKUP(Table1[[#This Row],[Taluka]]&amp;Table1[[#This Row],[Caste]]&amp;Table1[[#This Row],[Q18: Gender]],Factor!$AK$4:$AL$93,2,0)</f>
        <v>0.41451794778650441</v>
      </c>
      <c r="AO325">
        <f t="shared" si="55"/>
        <v>-1</v>
      </c>
      <c r="AP325">
        <f t="shared" si="56"/>
        <v>-1</v>
      </c>
      <c r="AQ325">
        <f t="shared" si="57"/>
        <v>1</v>
      </c>
      <c r="AR325">
        <f t="shared" si="58"/>
        <v>-1</v>
      </c>
      <c r="AS325">
        <f t="shared" si="59"/>
        <v>-1</v>
      </c>
      <c r="AT325">
        <f t="shared" si="60"/>
        <v>-1</v>
      </c>
      <c r="AU325">
        <f t="shared" si="61"/>
        <v>-3.5</v>
      </c>
      <c r="AV325">
        <f>SUM(Table1[[#This Row],[Satis]:[29]])</f>
        <v>-4</v>
      </c>
      <c r="AW325">
        <f t="shared" si="62"/>
        <v>-3</v>
      </c>
      <c r="AX325">
        <f t="shared" si="63"/>
        <v>-2</v>
      </c>
      <c r="AY325">
        <f t="shared" si="64"/>
        <v>-3</v>
      </c>
      <c r="AZ325" t="str">
        <f t="shared" si="65"/>
        <v>Neutral TDP</v>
      </c>
    </row>
    <row r="326" spans="1:52" x14ac:dyDescent="0.3">
      <c r="A326" t="s">
        <v>1966</v>
      </c>
      <c r="B326" s="94">
        <v>46044</v>
      </c>
      <c r="C326" t="s">
        <v>1967</v>
      </c>
      <c r="D326" t="s">
        <v>1968</v>
      </c>
      <c r="E326" t="s">
        <v>1427</v>
      </c>
      <c r="F326" t="s">
        <v>935</v>
      </c>
      <c r="G326" t="s">
        <v>39</v>
      </c>
      <c r="H326" t="s">
        <v>1969</v>
      </c>
      <c r="I326" t="s">
        <v>36</v>
      </c>
      <c r="J326" t="s">
        <v>219</v>
      </c>
      <c r="K326" t="s">
        <v>224</v>
      </c>
      <c r="L326" t="s">
        <v>50</v>
      </c>
      <c r="M326" t="s">
        <v>51</v>
      </c>
      <c r="N326" t="s">
        <v>52</v>
      </c>
      <c r="O326" t="s">
        <v>1970</v>
      </c>
      <c r="P326">
        <v>9866603431</v>
      </c>
      <c r="Q326" t="s">
        <v>54</v>
      </c>
      <c r="R326" t="s">
        <v>132</v>
      </c>
      <c r="S326" t="s">
        <v>89</v>
      </c>
      <c r="T326" t="s">
        <v>43</v>
      </c>
      <c r="U326" t="s">
        <v>44</v>
      </c>
      <c r="V326" t="s">
        <v>91</v>
      </c>
      <c r="W326" t="s">
        <v>5055</v>
      </c>
      <c r="X326" t="s">
        <v>45</v>
      </c>
      <c r="Y326" t="s">
        <v>46</v>
      </c>
      <c r="Z326" t="s">
        <v>92</v>
      </c>
      <c r="AA326" t="s">
        <v>48</v>
      </c>
      <c r="AB326" t="s">
        <v>49</v>
      </c>
      <c r="AC326" t="s">
        <v>49</v>
      </c>
      <c r="AD326" t="s">
        <v>1552</v>
      </c>
      <c r="AE326" t="s">
        <v>1250</v>
      </c>
      <c r="AF326" t="s">
        <v>1971</v>
      </c>
      <c r="AG326" t="s">
        <v>498</v>
      </c>
      <c r="AH326" s="93">
        <f>VLOOKUP(Table1[[#This Row],[Caste]],Factor!$H$1:$K$13,4,0)</f>
        <v>1.1705128247062893</v>
      </c>
      <c r="AI32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26">
        <f>Table1[[#This Row],[Factor_1]]*Table1[[#This Row],[2024 Factor]]</f>
        <v>0.86308903171383233</v>
      </c>
      <c r="AK326">
        <f>VLOOKUP(Table1[[#This Row],[Q18: Gender]],Factor!$A$33:$E$35,5,0)</f>
        <v>0.85034013605442171</v>
      </c>
      <c r="AL326">
        <f>VLOOKUP(Table1[[#This Row],[Taluka]],Factor!$A$42:$G$46,7,0)</f>
        <v>1.147984664167413</v>
      </c>
      <c r="AM326">
        <f>VLOOKUP(Table1[[#This Row],[Caste]]&amp;Table1[[#This Row],[Q18: Gender]],Factor!$W$1:$X$23,2,0)</f>
        <v>0.79950206330384943</v>
      </c>
      <c r="AN326">
        <f>VLOOKUP(Table1[[#This Row],[Taluka]]&amp;Table1[[#This Row],[Caste]]&amp;Table1[[#This Row],[Q18: Gender]],Factor!$AK$4:$AL$93,2,0)</f>
        <v>0.92148737207359532</v>
      </c>
      <c r="AO326">
        <f t="shared" si="55"/>
        <v>-1</v>
      </c>
      <c r="AP326">
        <f t="shared" si="56"/>
        <v>-1</v>
      </c>
      <c r="AQ326">
        <f t="shared" si="57"/>
        <v>1</v>
      </c>
      <c r="AR326">
        <f t="shared" si="58"/>
        <v>-1</v>
      </c>
      <c r="AS326">
        <f t="shared" si="59"/>
        <v>-1</v>
      </c>
      <c r="AT326">
        <f t="shared" si="60"/>
        <v>1</v>
      </c>
      <c r="AU326">
        <f t="shared" si="61"/>
        <v>-1.5</v>
      </c>
      <c r="AV326">
        <f>SUM(Table1[[#This Row],[Satis]:[29]])</f>
        <v>-2</v>
      </c>
      <c r="AW326">
        <f t="shared" si="62"/>
        <v>-1</v>
      </c>
      <c r="AX326">
        <f t="shared" si="63"/>
        <v>0</v>
      </c>
      <c r="AY326" t="str">
        <f t="shared" si="64"/>
        <v>ND</v>
      </c>
      <c r="AZ326" t="str">
        <f t="shared" si="65"/>
        <v>ND</v>
      </c>
    </row>
    <row r="327" spans="1:52" x14ac:dyDescent="0.3">
      <c r="A327" t="s">
        <v>1670</v>
      </c>
      <c r="B327" s="94">
        <v>46044</v>
      </c>
      <c r="C327" t="s">
        <v>1671</v>
      </c>
      <c r="D327" t="s">
        <v>1672</v>
      </c>
      <c r="E327" t="s">
        <v>1549</v>
      </c>
      <c r="F327" t="s">
        <v>935</v>
      </c>
      <c r="G327" t="s">
        <v>39</v>
      </c>
      <c r="H327" t="s">
        <v>1673</v>
      </c>
      <c r="I327" t="s">
        <v>70</v>
      </c>
      <c r="J327" t="s">
        <v>219</v>
      </c>
      <c r="K327" t="s">
        <v>224</v>
      </c>
      <c r="L327" t="s">
        <v>62</v>
      </c>
      <c r="M327" t="s">
        <v>443</v>
      </c>
      <c r="N327" t="s">
        <v>52</v>
      </c>
      <c r="O327" t="s">
        <v>1674</v>
      </c>
      <c r="P327">
        <v>9866331541</v>
      </c>
      <c r="Q327" t="s">
        <v>54</v>
      </c>
      <c r="R327" t="s">
        <v>139</v>
      </c>
      <c r="S327" t="s">
        <v>43</v>
      </c>
      <c r="T327" t="s">
        <v>43</v>
      </c>
      <c r="U327" t="s">
        <v>44</v>
      </c>
      <c r="V327" t="s">
        <v>91</v>
      </c>
      <c r="W327" t="s">
        <v>5055</v>
      </c>
      <c r="X327" t="s">
        <v>91</v>
      </c>
      <c r="Y327" t="s">
        <v>46</v>
      </c>
      <c r="Z327" t="s">
        <v>47</v>
      </c>
      <c r="AA327" t="s">
        <v>92</v>
      </c>
      <c r="AB327" t="s">
        <v>93</v>
      </c>
      <c r="AC327" t="s">
        <v>94</v>
      </c>
      <c r="AD327" t="s">
        <v>1270</v>
      </c>
      <c r="AE327" t="s">
        <v>185</v>
      </c>
      <c r="AF327" t="s">
        <v>185</v>
      </c>
      <c r="AG327" t="s">
        <v>196</v>
      </c>
      <c r="AH327" s="93">
        <f>VLOOKUP(Table1[[#This Row],[Caste]],Factor!$H$1:$K$13,4,0)</f>
        <v>1.3836274505214585</v>
      </c>
      <c r="AI327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327">
        <f>Table1[[#This Row],[Factor_1]]*Table1[[#This Row],[2024 Factor]]</f>
        <v>1.9482662206881376</v>
      </c>
      <c r="AK327">
        <f>VLOOKUP(Table1[[#This Row],[Q18: Gender]],Factor!$A$33:$E$35,5,0)</f>
        <v>0.85034013605442171</v>
      </c>
      <c r="AL327">
        <f>VLOOKUP(Table1[[#This Row],[Taluka]],Factor!$A$42:$G$46,7,0)</f>
        <v>1.147984664167413</v>
      </c>
      <c r="AM327">
        <f>VLOOKUP(Table1[[#This Row],[Caste]]&amp;Table1[[#This Row],[Q18: Gender]],Factor!$W$1:$X$23,2,0)</f>
        <v>1.0790228998469584</v>
      </c>
      <c r="AN327">
        <f>VLOOKUP(Table1[[#This Row],[Taluka]]&amp;Table1[[#This Row],[Caste]]&amp;Table1[[#This Row],[Q18: Gender]],Factor!$AK$4:$AL$93,2,0)</f>
        <v>1.1572915102003449</v>
      </c>
      <c r="AO327">
        <f t="shared" si="55"/>
        <v>-1</v>
      </c>
      <c r="AP327">
        <f t="shared" si="56"/>
        <v>-1</v>
      </c>
      <c r="AQ327">
        <f t="shared" si="57"/>
        <v>1</v>
      </c>
      <c r="AR327">
        <f t="shared" si="58"/>
        <v>1</v>
      </c>
      <c r="AS327">
        <f t="shared" si="59"/>
        <v>1</v>
      </c>
      <c r="AT327">
        <f t="shared" si="60"/>
        <v>-1</v>
      </c>
      <c r="AU327">
        <f t="shared" si="61"/>
        <v>-0.5</v>
      </c>
      <c r="AV327">
        <f>SUM(Table1[[#This Row],[Satis]:[29]])</f>
        <v>0</v>
      </c>
      <c r="AW327">
        <f t="shared" si="62"/>
        <v>1</v>
      </c>
      <c r="AX327">
        <f t="shared" si="63"/>
        <v>2</v>
      </c>
      <c r="AY327">
        <f t="shared" si="64"/>
        <v>-2</v>
      </c>
      <c r="AZ327" t="str">
        <f t="shared" si="65"/>
        <v>Neutral TDP</v>
      </c>
    </row>
    <row r="328" spans="1:52" x14ac:dyDescent="0.3">
      <c r="A328" t="s">
        <v>1913</v>
      </c>
      <c r="B328" s="94">
        <v>46044</v>
      </c>
      <c r="C328" t="s">
        <v>1914</v>
      </c>
      <c r="D328" t="s">
        <v>1915</v>
      </c>
      <c r="E328" t="s">
        <v>1197</v>
      </c>
      <c r="F328" t="s">
        <v>69</v>
      </c>
      <c r="G328" t="s">
        <v>39</v>
      </c>
      <c r="H328" t="s">
        <v>1916</v>
      </c>
      <c r="I328" t="s">
        <v>70</v>
      </c>
      <c r="J328" t="s">
        <v>219</v>
      </c>
      <c r="K328" t="s">
        <v>221</v>
      </c>
      <c r="L328" t="s">
        <v>82</v>
      </c>
      <c r="M328" t="s">
        <v>51</v>
      </c>
      <c r="N328" t="s">
        <v>63</v>
      </c>
      <c r="O328" t="s">
        <v>1917</v>
      </c>
      <c r="P328">
        <v>9999999999</v>
      </c>
      <c r="Q328" t="s">
        <v>445</v>
      </c>
      <c r="R328" t="s">
        <v>73</v>
      </c>
      <c r="S328" t="s">
        <v>43</v>
      </c>
      <c r="T328" t="s">
        <v>89</v>
      </c>
      <c r="U328" t="s">
        <v>90</v>
      </c>
      <c r="V328" t="s">
        <v>91</v>
      </c>
      <c r="W328" t="s">
        <v>5084</v>
      </c>
      <c r="X328" t="s">
        <v>91</v>
      </c>
      <c r="Y328" t="s">
        <v>46</v>
      </c>
      <c r="Z328" t="s">
        <v>92</v>
      </c>
      <c r="AA328" t="s">
        <v>92</v>
      </c>
      <c r="AB328" t="s">
        <v>93</v>
      </c>
      <c r="AC328" t="s">
        <v>94</v>
      </c>
      <c r="AD328" t="s">
        <v>1270</v>
      </c>
      <c r="AE328" t="s">
        <v>185</v>
      </c>
      <c r="AF328" t="s">
        <v>185</v>
      </c>
      <c r="AG328" t="s">
        <v>196</v>
      </c>
      <c r="AH328" s="93">
        <f>VLOOKUP(Table1[[#This Row],[Caste]],Factor!$H$1:$K$13,4,0)</f>
        <v>1.3836274505214585</v>
      </c>
      <c r="AI328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328">
        <f>Table1[[#This Row],[Factor_1]]*Table1[[#This Row],[2024 Factor]]</f>
        <v>3.4809023142961388</v>
      </c>
      <c r="AK328">
        <f>VLOOKUP(Table1[[#This Row],[Q18: Gender]],Factor!$A$33:$E$35,5,0)</f>
        <v>2.1645021645021645</v>
      </c>
      <c r="AL328">
        <f>VLOOKUP(Table1[[#This Row],[Taluka]],Factor!$A$42:$G$46,7,0)</f>
        <v>1.147984664167413</v>
      </c>
      <c r="AM328">
        <f>VLOOKUP(Table1[[#This Row],[Caste]]&amp;Table1[[#This Row],[Q18: Gender]],Factor!$W$1:$X$23,2,0)</f>
        <v>1.9278542477265657</v>
      </c>
      <c r="AN328">
        <f>VLOOKUP(Table1[[#This Row],[Taluka]]&amp;Table1[[#This Row],[Caste]]&amp;Table1[[#This Row],[Q18: Gender]],Factor!$AK$4:$AL$93,2,0)</f>
        <v>3.2048072590163397</v>
      </c>
      <c r="AO328">
        <f t="shared" si="55"/>
        <v>1</v>
      </c>
      <c r="AP328">
        <f t="shared" si="56"/>
        <v>1</v>
      </c>
      <c r="AQ328">
        <f t="shared" si="57"/>
        <v>1</v>
      </c>
      <c r="AR328">
        <f t="shared" si="58"/>
        <v>1</v>
      </c>
      <c r="AS328">
        <f t="shared" si="59"/>
        <v>1</v>
      </c>
      <c r="AT328">
        <f t="shared" si="60"/>
        <v>1</v>
      </c>
      <c r="AU328">
        <f t="shared" si="61"/>
        <v>5.5</v>
      </c>
      <c r="AV328">
        <f>SUM(Table1[[#This Row],[Satis]:[29]])</f>
        <v>6</v>
      </c>
      <c r="AW328">
        <f t="shared" si="62"/>
        <v>5</v>
      </c>
      <c r="AX328">
        <f t="shared" si="63"/>
        <v>4</v>
      </c>
      <c r="AY328">
        <f t="shared" si="64"/>
        <v>3</v>
      </c>
      <c r="AZ328" t="str">
        <f t="shared" si="65"/>
        <v>YSRCP HardCore</v>
      </c>
    </row>
    <row r="329" spans="1:52" x14ac:dyDescent="0.3">
      <c r="A329" t="s">
        <v>1492</v>
      </c>
      <c r="B329" s="94">
        <v>46044</v>
      </c>
      <c r="C329" t="s">
        <v>1493</v>
      </c>
      <c r="D329" t="s">
        <v>1494</v>
      </c>
      <c r="E329" t="s">
        <v>1495</v>
      </c>
      <c r="F329" t="s">
        <v>69</v>
      </c>
      <c r="G329" t="s">
        <v>39</v>
      </c>
      <c r="H329" t="s">
        <v>1496</v>
      </c>
      <c r="I329" t="s">
        <v>70</v>
      </c>
      <c r="J329" t="s">
        <v>219</v>
      </c>
      <c r="K329" t="s">
        <v>221</v>
      </c>
      <c r="L329" t="s">
        <v>62</v>
      </c>
      <c r="M329" t="s">
        <v>443</v>
      </c>
      <c r="N329" t="s">
        <v>63</v>
      </c>
      <c r="O329" t="s">
        <v>1497</v>
      </c>
      <c r="P329">
        <v>9177495701</v>
      </c>
      <c r="Q329" t="s">
        <v>54</v>
      </c>
      <c r="R329" t="s">
        <v>73</v>
      </c>
      <c r="S329" t="s">
        <v>89</v>
      </c>
      <c r="T329" t="s">
        <v>89</v>
      </c>
      <c r="U329" t="s">
        <v>90</v>
      </c>
      <c r="V329" t="s">
        <v>91</v>
      </c>
      <c r="W329" t="s">
        <v>5085</v>
      </c>
      <c r="X329" t="s">
        <v>91</v>
      </c>
      <c r="Y329" t="s">
        <v>46</v>
      </c>
      <c r="Z329" t="s">
        <v>92</v>
      </c>
      <c r="AA329" t="s">
        <v>92</v>
      </c>
      <c r="AB329" t="s">
        <v>93</v>
      </c>
      <c r="AC329" t="s">
        <v>94</v>
      </c>
      <c r="AD329" t="s">
        <v>1279</v>
      </c>
      <c r="AE329" t="s">
        <v>185</v>
      </c>
      <c r="AF329" t="s">
        <v>1280</v>
      </c>
      <c r="AG329" t="s">
        <v>196</v>
      </c>
      <c r="AH329" s="93">
        <f>VLOOKUP(Table1[[#This Row],[Caste]],Factor!$H$1:$K$13,4,0)</f>
        <v>1.3836274505214585</v>
      </c>
      <c r="AI329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329">
        <f>Table1[[#This Row],[Factor_1]]*Table1[[#This Row],[2024 Factor]]</f>
        <v>1.9482662206881376</v>
      </c>
      <c r="AK329">
        <f>VLOOKUP(Table1[[#This Row],[Q18: Gender]],Factor!$A$33:$E$35,5,0)</f>
        <v>0.85034013605442171</v>
      </c>
      <c r="AL329">
        <f>VLOOKUP(Table1[[#This Row],[Taluka]],Factor!$A$42:$G$46,7,0)</f>
        <v>1.147984664167413</v>
      </c>
      <c r="AM329">
        <f>VLOOKUP(Table1[[#This Row],[Caste]]&amp;Table1[[#This Row],[Q18: Gender]],Factor!$W$1:$X$23,2,0)</f>
        <v>1.0790228998469584</v>
      </c>
      <c r="AN329">
        <f>VLOOKUP(Table1[[#This Row],[Taluka]]&amp;Table1[[#This Row],[Caste]]&amp;Table1[[#This Row],[Q18: Gender]],Factor!$AK$4:$AL$93,2,0)</f>
        <v>1.1572915102003449</v>
      </c>
      <c r="AO329">
        <f t="shared" si="55"/>
        <v>1</v>
      </c>
      <c r="AP329">
        <f t="shared" si="56"/>
        <v>1</v>
      </c>
      <c r="AQ329">
        <f t="shared" si="57"/>
        <v>1</v>
      </c>
      <c r="AR329">
        <f t="shared" si="58"/>
        <v>1</v>
      </c>
      <c r="AS329">
        <f t="shared" si="59"/>
        <v>1</v>
      </c>
      <c r="AT329">
        <f t="shared" si="60"/>
        <v>1</v>
      </c>
      <c r="AU329">
        <f t="shared" si="61"/>
        <v>5.5</v>
      </c>
      <c r="AV329">
        <f>SUM(Table1[[#This Row],[Satis]:[29]])</f>
        <v>6</v>
      </c>
      <c r="AW329">
        <f t="shared" si="62"/>
        <v>5</v>
      </c>
      <c r="AX329">
        <f t="shared" si="63"/>
        <v>4</v>
      </c>
      <c r="AY329">
        <f t="shared" si="64"/>
        <v>3</v>
      </c>
      <c r="AZ329" t="str">
        <f t="shared" si="65"/>
        <v>YSRCP HardCore</v>
      </c>
    </row>
    <row r="330" spans="1:52" x14ac:dyDescent="0.3">
      <c r="A330" t="s">
        <v>1729</v>
      </c>
      <c r="B330" s="94">
        <v>46044</v>
      </c>
      <c r="C330" t="s">
        <v>1730</v>
      </c>
      <c r="D330" t="s">
        <v>1731</v>
      </c>
      <c r="E330" t="s">
        <v>1495</v>
      </c>
      <c r="F330" t="s">
        <v>69</v>
      </c>
      <c r="G330" t="s">
        <v>39</v>
      </c>
      <c r="H330" t="s">
        <v>1732</v>
      </c>
      <c r="I330" t="s">
        <v>59</v>
      </c>
      <c r="J330" t="s">
        <v>219</v>
      </c>
      <c r="K330" t="s">
        <v>221</v>
      </c>
      <c r="L330" t="s">
        <v>75</v>
      </c>
      <c r="M330" t="s">
        <v>51</v>
      </c>
      <c r="N330" t="s">
        <v>162</v>
      </c>
      <c r="O330" t="s">
        <v>1733</v>
      </c>
      <c r="P330">
        <v>8247676059</v>
      </c>
      <c r="Q330" t="s">
        <v>445</v>
      </c>
      <c r="R330" t="s">
        <v>132</v>
      </c>
      <c r="S330" t="s">
        <v>43</v>
      </c>
      <c r="T330" t="s">
        <v>43</v>
      </c>
      <c r="U330" t="s">
        <v>44</v>
      </c>
      <c r="V330" t="s">
        <v>45</v>
      </c>
      <c r="W330" t="s">
        <v>5085</v>
      </c>
      <c r="X330" t="s">
        <v>45</v>
      </c>
      <c r="Y330" t="s">
        <v>46</v>
      </c>
      <c r="Z330" t="s">
        <v>47</v>
      </c>
      <c r="AA330" t="s">
        <v>48</v>
      </c>
      <c r="AB330" t="s">
        <v>49</v>
      </c>
      <c r="AC330" t="s">
        <v>49</v>
      </c>
      <c r="AD330" t="s">
        <v>1270</v>
      </c>
      <c r="AE330" t="s">
        <v>185</v>
      </c>
      <c r="AF330" t="s">
        <v>1734</v>
      </c>
      <c r="AG330" t="s">
        <v>196</v>
      </c>
      <c r="AH330" s="93">
        <f>VLOOKUP(Table1[[#This Row],[Caste]],Factor!$H$1:$K$13,4,0)</f>
        <v>1.1461625511156397</v>
      </c>
      <c r="AI33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30">
        <f>Table1[[#This Row],[Factor_1]]*Table1[[#This Row],[2024 Factor]]</f>
        <v>3.0326483876590018</v>
      </c>
      <c r="AK330">
        <f>VLOOKUP(Table1[[#This Row],[Q18: Gender]],Factor!$A$33:$E$35,5,0)</f>
        <v>2.1645021645021645</v>
      </c>
      <c r="AL330">
        <f>VLOOKUP(Table1[[#This Row],[Taluka]],Factor!$A$42:$G$46,7,0)</f>
        <v>1.147984664167413</v>
      </c>
      <c r="AM330">
        <f>VLOOKUP(Table1[[#This Row],[Caste]]&amp;Table1[[#This Row],[Q18: Gender]],Factor!$W$1:$X$23,2,0)</f>
        <v>2.8092219390089208</v>
      </c>
      <c r="AN330">
        <f>VLOOKUP(Table1[[#This Row],[Taluka]]&amp;Table1[[#This Row],[Caste]]&amp;Table1[[#This Row],[Q18: Gender]],Factor!$AK$4:$AL$93,2,0)</f>
        <v>2.2934724643212636</v>
      </c>
      <c r="AO330">
        <f t="shared" si="55"/>
        <v>-1</v>
      </c>
      <c r="AP330">
        <f t="shared" si="56"/>
        <v>-1</v>
      </c>
      <c r="AQ330">
        <f t="shared" si="57"/>
        <v>-1</v>
      </c>
      <c r="AR330">
        <f t="shared" si="58"/>
        <v>-1</v>
      </c>
      <c r="AS330">
        <f t="shared" si="59"/>
        <v>-1</v>
      </c>
      <c r="AT330">
        <f t="shared" si="60"/>
        <v>-1</v>
      </c>
      <c r="AU330">
        <f t="shared" si="61"/>
        <v>-5.5</v>
      </c>
      <c r="AV330">
        <f>SUM(Table1[[#This Row],[Satis]:[29]])</f>
        <v>-6</v>
      </c>
      <c r="AW330">
        <f t="shared" si="62"/>
        <v>-5</v>
      </c>
      <c r="AX330">
        <f t="shared" si="63"/>
        <v>-4</v>
      </c>
      <c r="AY330">
        <f t="shared" si="64"/>
        <v>-3</v>
      </c>
      <c r="AZ330" t="str">
        <f t="shared" si="65"/>
        <v>TDP HardCore</v>
      </c>
    </row>
    <row r="331" spans="1:52" x14ac:dyDescent="0.3">
      <c r="A331" t="s">
        <v>1990</v>
      </c>
      <c r="B331" s="94">
        <v>46044</v>
      </c>
      <c r="C331" t="s">
        <v>1988</v>
      </c>
      <c r="D331" t="s">
        <v>1991</v>
      </c>
      <c r="E331" t="s">
        <v>1992</v>
      </c>
      <c r="F331" t="s">
        <v>69</v>
      </c>
      <c r="G331" t="s">
        <v>39</v>
      </c>
      <c r="H331" t="s">
        <v>1993</v>
      </c>
      <c r="I331" t="s">
        <v>59</v>
      </c>
      <c r="J331" t="s">
        <v>219</v>
      </c>
      <c r="K331" t="s">
        <v>223</v>
      </c>
      <c r="L331" t="s">
        <v>82</v>
      </c>
      <c r="M331" t="s">
        <v>51</v>
      </c>
      <c r="N331" t="s">
        <v>107</v>
      </c>
      <c r="O331" t="s">
        <v>1994</v>
      </c>
      <c r="P331">
        <v>9999999999</v>
      </c>
      <c r="Q331" t="s">
        <v>54</v>
      </c>
      <c r="R331" t="s">
        <v>132</v>
      </c>
      <c r="S331" t="s">
        <v>89</v>
      </c>
      <c r="T331" t="s">
        <v>43</v>
      </c>
      <c r="U331" t="s">
        <v>90</v>
      </c>
      <c r="V331" t="s">
        <v>91</v>
      </c>
      <c r="W331" t="s">
        <v>5085</v>
      </c>
      <c r="X331" t="s">
        <v>91</v>
      </c>
      <c r="Y331" t="s">
        <v>46</v>
      </c>
      <c r="Z331" t="s">
        <v>92</v>
      </c>
      <c r="AA331" t="s">
        <v>92</v>
      </c>
      <c r="AB331" t="s">
        <v>147</v>
      </c>
      <c r="AC331" t="s">
        <v>94</v>
      </c>
      <c r="AD331" t="s">
        <v>1552</v>
      </c>
      <c r="AE331" t="s">
        <v>185</v>
      </c>
      <c r="AF331" t="s">
        <v>1995</v>
      </c>
      <c r="AG331" t="s">
        <v>196</v>
      </c>
      <c r="AH331" s="93">
        <f>VLOOKUP(Table1[[#This Row],[Caste]],Factor!$H$1:$K$13,4,0)</f>
        <v>1.1461625511156397</v>
      </c>
      <c r="AI331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331">
        <f>Table1[[#This Row],[Factor_1]]*Table1[[#This Row],[2024 Factor]]</f>
        <v>1.2999324650914248</v>
      </c>
      <c r="AK331">
        <f>VLOOKUP(Table1[[#This Row],[Q18: Gender]],Factor!$A$33:$E$35,5,0)</f>
        <v>0.85034013605442171</v>
      </c>
      <c r="AL331">
        <f>VLOOKUP(Table1[[#This Row],[Taluka]],Factor!$A$42:$G$46,7,0)</f>
        <v>1.147984664167413</v>
      </c>
      <c r="AM331">
        <f>VLOOKUP(Table1[[#This Row],[Caste]]&amp;Table1[[#This Row],[Q18: Gender]],Factor!$W$1:$X$23,2,0)</f>
        <v>0.71995135120329123</v>
      </c>
      <c r="AN331">
        <f>VLOOKUP(Table1[[#This Row],[Taluka]]&amp;Table1[[#This Row],[Caste]]&amp;Table1[[#This Row],[Q18: Gender]],Factor!$AK$4:$AL$93,2,0)</f>
        <v>0.54319084681293095</v>
      </c>
      <c r="AO331">
        <f t="shared" si="55"/>
        <v>-1</v>
      </c>
      <c r="AP331">
        <f t="shared" si="56"/>
        <v>1</v>
      </c>
      <c r="AQ331">
        <f t="shared" si="57"/>
        <v>1</v>
      </c>
      <c r="AR331">
        <f t="shared" si="58"/>
        <v>1</v>
      </c>
      <c r="AS331">
        <f t="shared" si="59"/>
        <v>1</v>
      </c>
      <c r="AT331">
        <f t="shared" si="60"/>
        <v>1</v>
      </c>
      <c r="AU331">
        <f t="shared" si="61"/>
        <v>3.5</v>
      </c>
      <c r="AV331">
        <f>SUM(Table1[[#This Row],[Satis]:[29]])</f>
        <v>4</v>
      </c>
      <c r="AW331">
        <f t="shared" si="62"/>
        <v>3</v>
      </c>
      <c r="AX331">
        <f t="shared" si="63"/>
        <v>4</v>
      </c>
      <c r="AY331">
        <f t="shared" si="64"/>
        <v>2</v>
      </c>
      <c r="AZ331" t="str">
        <f t="shared" si="65"/>
        <v>YSRCP Sympathiser</v>
      </c>
    </row>
    <row r="332" spans="1:52" x14ac:dyDescent="0.3">
      <c r="A332" t="s">
        <v>1996</v>
      </c>
      <c r="B332" s="94">
        <v>46044</v>
      </c>
      <c r="C332" t="s">
        <v>1997</v>
      </c>
      <c r="D332" t="s">
        <v>1998</v>
      </c>
      <c r="E332" t="s">
        <v>1701</v>
      </c>
      <c r="F332" t="s">
        <v>935</v>
      </c>
      <c r="G332" t="s">
        <v>39</v>
      </c>
      <c r="H332" t="s">
        <v>1999</v>
      </c>
      <c r="I332" t="s">
        <v>145</v>
      </c>
      <c r="J332" t="s">
        <v>219</v>
      </c>
      <c r="K332" t="s">
        <v>224</v>
      </c>
      <c r="L332" t="s">
        <v>62</v>
      </c>
      <c r="M332" t="s">
        <v>51</v>
      </c>
      <c r="N332" t="s">
        <v>63</v>
      </c>
      <c r="O332" t="s">
        <v>2000</v>
      </c>
      <c r="P332">
        <v>9849265187</v>
      </c>
      <c r="Q332" t="s">
        <v>54</v>
      </c>
      <c r="R332" t="s">
        <v>132</v>
      </c>
      <c r="S332" t="s">
        <v>89</v>
      </c>
      <c r="T332" t="s">
        <v>43</v>
      </c>
      <c r="U332" t="s">
        <v>90</v>
      </c>
      <c r="V332" t="s">
        <v>91</v>
      </c>
      <c r="W332" t="s">
        <v>5050</v>
      </c>
      <c r="X332" t="s">
        <v>91</v>
      </c>
      <c r="Y332" t="s">
        <v>46</v>
      </c>
      <c r="Z332" t="s">
        <v>92</v>
      </c>
      <c r="AA332" t="s">
        <v>48</v>
      </c>
      <c r="AB332" t="s">
        <v>49</v>
      </c>
      <c r="AC332" t="s">
        <v>49</v>
      </c>
      <c r="AD332" t="s">
        <v>1552</v>
      </c>
      <c r="AE332" t="s">
        <v>1250</v>
      </c>
      <c r="AF332" t="s">
        <v>2001</v>
      </c>
      <c r="AG332" t="s">
        <v>498</v>
      </c>
      <c r="AH332" s="93">
        <f>VLOOKUP(Table1[[#This Row],[Caste]],Factor!$H$1:$K$13,4,0)</f>
        <v>1.8452248965186235</v>
      </c>
      <c r="AI33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32">
        <f>Table1[[#This Row],[Factor_1]]*Table1[[#This Row],[2024 Factor]]</f>
        <v>1.5651283704851411</v>
      </c>
      <c r="AK332">
        <f>VLOOKUP(Table1[[#This Row],[Q18: Gender]],Factor!$A$33:$E$35,5,0)</f>
        <v>0.85034013605442171</v>
      </c>
      <c r="AL332">
        <f>VLOOKUP(Table1[[#This Row],[Taluka]],Factor!$A$42:$G$46,7,0)</f>
        <v>1.147984664167413</v>
      </c>
      <c r="AM332">
        <f>VLOOKUP(Table1[[#This Row],[Caste]]&amp;Table1[[#This Row],[Q18: Gender]],Factor!$W$1:$X$23,2,0)</f>
        <v>1.4498195615503471</v>
      </c>
      <c r="AN332">
        <f>VLOOKUP(Table1[[#This Row],[Taluka]]&amp;Table1[[#This Row],[Caste]]&amp;Table1[[#This Row],[Q18: Gender]],Factor!$AK$4:$AL$93,2,0)</f>
        <v>2.9242991836792998</v>
      </c>
      <c r="AO332">
        <f t="shared" si="55"/>
        <v>-1</v>
      </c>
      <c r="AP332">
        <f t="shared" si="56"/>
        <v>1</v>
      </c>
      <c r="AQ332">
        <f t="shared" si="57"/>
        <v>1</v>
      </c>
      <c r="AR332">
        <f t="shared" si="58"/>
        <v>1</v>
      </c>
      <c r="AS332">
        <f t="shared" si="59"/>
        <v>-1</v>
      </c>
      <c r="AT332">
        <f t="shared" si="60"/>
        <v>1</v>
      </c>
      <c r="AU332">
        <f t="shared" si="61"/>
        <v>2.5</v>
      </c>
      <c r="AV332">
        <f>SUM(Table1[[#This Row],[Satis]:[29]])</f>
        <v>2</v>
      </c>
      <c r="AW332">
        <f t="shared" si="62"/>
        <v>1</v>
      </c>
      <c r="AX332">
        <f t="shared" si="63"/>
        <v>2</v>
      </c>
      <c r="AY332" t="str">
        <f t="shared" si="64"/>
        <v>ND</v>
      </c>
      <c r="AZ332" t="str">
        <f t="shared" si="65"/>
        <v>ND</v>
      </c>
    </row>
    <row r="333" spans="1:52" x14ac:dyDescent="0.3">
      <c r="A333" t="s">
        <v>2002</v>
      </c>
      <c r="B333" s="94">
        <v>46044</v>
      </c>
      <c r="C333" t="s">
        <v>2003</v>
      </c>
      <c r="D333" t="s">
        <v>2004</v>
      </c>
      <c r="E333" t="s">
        <v>2005</v>
      </c>
      <c r="F333" t="s">
        <v>69</v>
      </c>
      <c r="G333" t="s">
        <v>39</v>
      </c>
      <c r="H333" t="s">
        <v>2006</v>
      </c>
      <c r="I333" t="s">
        <v>59</v>
      </c>
      <c r="J333" t="s">
        <v>219</v>
      </c>
      <c r="K333" t="s">
        <v>223</v>
      </c>
      <c r="L333" t="s">
        <v>62</v>
      </c>
      <c r="M333" t="s">
        <v>51</v>
      </c>
      <c r="N333" t="s">
        <v>107</v>
      </c>
      <c r="O333" t="s">
        <v>2007</v>
      </c>
      <c r="P333">
        <v>9999999999</v>
      </c>
      <c r="Q333" t="s">
        <v>54</v>
      </c>
      <c r="R333" t="s">
        <v>73</v>
      </c>
      <c r="S333" t="s">
        <v>89</v>
      </c>
      <c r="T333" t="s">
        <v>43</v>
      </c>
      <c r="U333" t="s">
        <v>90</v>
      </c>
      <c r="V333" t="s">
        <v>45</v>
      </c>
      <c r="W333" t="s">
        <v>5084</v>
      </c>
      <c r="X333" t="s">
        <v>45</v>
      </c>
      <c r="Y333" t="s">
        <v>46</v>
      </c>
      <c r="Z333" t="s">
        <v>47</v>
      </c>
      <c r="AA333" t="s">
        <v>48</v>
      </c>
      <c r="AB333" t="s">
        <v>49</v>
      </c>
      <c r="AC333" t="s">
        <v>49</v>
      </c>
      <c r="AD333" t="s">
        <v>1552</v>
      </c>
      <c r="AE333" t="s">
        <v>185</v>
      </c>
      <c r="AF333" t="s">
        <v>2008</v>
      </c>
      <c r="AG333" t="s">
        <v>196</v>
      </c>
      <c r="AH333" s="93">
        <f>VLOOKUP(Table1[[#This Row],[Caste]],Factor!$H$1:$K$13,4,0)</f>
        <v>1.1461625511156397</v>
      </c>
      <c r="AI33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33">
        <f>Table1[[#This Row],[Factor_1]]*Table1[[#This Row],[2024 Factor]]</f>
        <v>0.77721139583220644</v>
      </c>
      <c r="AK333">
        <f>VLOOKUP(Table1[[#This Row],[Q18: Gender]],Factor!$A$33:$E$35,5,0)</f>
        <v>0.85034013605442171</v>
      </c>
      <c r="AL333">
        <f>VLOOKUP(Table1[[#This Row],[Taluka]],Factor!$A$42:$G$46,7,0)</f>
        <v>1.147984664167413</v>
      </c>
      <c r="AM333">
        <f>VLOOKUP(Table1[[#This Row],[Caste]]&amp;Table1[[#This Row],[Q18: Gender]],Factor!$W$1:$X$23,2,0)</f>
        <v>0.71995135120329123</v>
      </c>
      <c r="AN333">
        <f>VLOOKUP(Table1[[#This Row],[Taluka]]&amp;Table1[[#This Row],[Caste]]&amp;Table1[[#This Row],[Q18: Gender]],Factor!$AK$4:$AL$93,2,0)</f>
        <v>0.54319084681293095</v>
      </c>
      <c r="AO333">
        <f t="shared" si="55"/>
        <v>-1</v>
      </c>
      <c r="AP333">
        <f t="shared" si="56"/>
        <v>1</v>
      </c>
      <c r="AQ333">
        <f t="shared" si="57"/>
        <v>-1</v>
      </c>
      <c r="AR333">
        <f t="shared" si="58"/>
        <v>-1</v>
      </c>
      <c r="AS333">
        <f t="shared" si="59"/>
        <v>-1</v>
      </c>
      <c r="AT333">
        <f t="shared" si="60"/>
        <v>-1</v>
      </c>
      <c r="AU333">
        <f t="shared" si="61"/>
        <v>-3.5</v>
      </c>
      <c r="AV333">
        <f>SUM(Table1[[#This Row],[Satis]:[29]])</f>
        <v>-4</v>
      </c>
      <c r="AW333">
        <f t="shared" si="62"/>
        <v>-5</v>
      </c>
      <c r="AX333">
        <f t="shared" si="63"/>
        <v>-4</v>
      </c>
      <c r="AY333">
        <f t="shared" si="64"/>
        <v>-3</v>
      </c>
      <c r="AZ333" t="str">
        <f t="shared" si="65"/>
        <v>TDP Sympathiser</v>
      </c>
    </row>
    <row r="334" spans="1:52" x14ac:dyDescent="0.3">
      <c r="A334" t="s">
        <v>1826</v>
      </c>
      <c r="B334" s="94">
        <v>46044</v>
      </c>
      <c r="C334" t="s">
        <v>1827</v>
      </c>
      <c r="D334" t="s">
        <v>1828</v>
      </c>
      <c r="E334" t="s">
        <v>1783</v>
      </c>
      <c r="F334" t="s">
        <v>69</v>
      </c>
      <c r="G334" t="s">
        <v>39</v>
      </c>
      <c r="H334" t="s">
        <v>1829</v>
      </c>
      <c r="I334" t="s">
        <v>59</v>
      </c>
      <c r="J334" t="s">
        <v>219</v>
      </c>
      <c r="K334" t="s">
        <v>221</v>
      </c>
      <c r="L334" t="s">
        <v>50</v>
      </c>
      <c r="M334" t="s">
        <v>51</v>
      </c>
      <c r="N334" t="s">
        <v>63</v>
      </c>
      <c r="O334" t="s">
        <v>284</v>
      </c>
      <c r="P334">
        <v>9999999999</v>
      </c>
      <c r="Q334" t="s">
        <v>54</v>
      </c>
      <c r="R334" t="s">
        <v>73</v>
      </c>
      <c r="S334" t="s">
        <v>43</v>
      </c>
      <c r="T334" t="s">
        <v>89</v>
      </c>
      <c r="U334" t="s">
        <v>44</v>
      </c>
      <c r="V334" t="s">
        <v>91</v>
      </c>
      <c r="W334" t="s">
        <v>5040</v>
      </c>
      <c r="X334" t="s">
        <v>45</v>
      </c>
      <c r="Y334" t="s">
        <v>46</v>
      </c>
      <c r="Z334" t="s">
        <v>47</v>
      </c>
      <c r="AA334" t="s">
        <v>48</v>
      </c>
      <c r="AB334" t="s">
        <v>49</v>
      </c>
      <c r="AC334" t="s">
        <v>49</v>
      </c>
      <c r="AD334" t="s">
        <v>1270</v>
      </c>
      <c r="AE334" t="s">
        <v>185</v>
      </c>
      <c r="AF334" t="s">
        <v>185</v>
      </c>
      <c r="AG334" t="s">
        <v>196</v>
      </c>
      <c r="AH334" s="93">
        <f>VLOOKUP(Table1[[#This Row],[Caste]],Factor!$H$1:$K$13,4,0)</f>
        <v>1.1461625511156397</v>
      </c>
      <c r="AI33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34">
        <f>Table1[[#This Row],[Factor_1]]*Table1[[#This Row],[2024 Factor]]</f>
        <v>0.77721139583220644</v>
      </c>
      <c r="AK334">
        <f>VLOOKUP(Table1[[#This Row],[Q18: Gender]],Factor!$A$33:$E$35,5,0)</f>
        <v>0.85034013605442171</v>
      </c>
      <c r="AL334">
        <f>VLOOKUP(Table1[[#This Row],[Taluka]],Factor!$A$42:$G$46,7,0)</f>
        <v>1.147984664167413</v>
      </c>
      <c r="AM334">
        <f>VLOOKUP(Table1[[#This Row],[Caste]]&amp;Table1[[#This Row],[Q18: Gender]],Factor!$W$1:$X$23,2,0)</f>
        <v>0.71995135120329123</v>
      </c>
      <c r="AN334">
        <f>VLOOKUP(Table1[[#This Row],[Taluka]]&amp;Table1[[#This Row],[Caste]]&amp;Table1[[#This Row],[Q18: Gender]],Factor!$AK$4:$AL$93,2,0)</f>
        <v>0.54319084681293095</v>
      </c>
      <c r="AO334">
        <f t="shared" si="55"/>
        <v>1</v>
      </c>
      <c r="AP334">
        <f t="shared" si="56"/>
        <v>-1</v>
      </c>
      <c r="AQ334">
        <f t="shared" si="57"/>
        <v>1</v>
      </c>
      <c r="AR334">
        <f t="shared" si="58"/>
        <v>-1</v>
      </c>
      <c r="AS334">
        <f t="shared" si="59"/>
        <v>-1</v>
      </c>
      <c r="AT334">
        <f t="shared" si="60"/>
        <v>-1</v>
      </c>
      <c r="AU334">
        <f t="shared" si="61"/>
        <v>-1.5</v>
      </c>
      <c r="AV334">
        <f>SUM(Table1[[#This Row],[Satis]:[29]])</f>
        <v>-2</v>
      </c>
      <c r="AW334">
        <f t="shared" si="62"/>
        <v>-1</v>
      </c>
      <c r="AX334">
        <f t="shared" si="63"/>
        <v>-2</v>
      </c>
      <c r="AY334">
        <f t="shared" si="64"/>
        <v>-2</v>
      </c>
      <c r="AZ334" t="str">
        <f t="shared" si="65"/>
        <v>Neutral TDP</v>
      </c>
    </row>
    <row r="335" spans="1:52" x14ac:dyDescent="0.3">
      <c r="A335" t="s">
        <v>2016</v>
      </c>
      <c r="B335" s="94">
        <v>46044</v>
      </c>
      <c r="C335" t="s">
        <v>2017</v>
      </c>
      <c r="D335" t="s">
        <v>2018</v>
      </c>
      <c r="E335" t="s">
        <v>2019</v>
      </c>
      <c r="F335" t="s">
        <v>69</v>
      </c>
      <c r="G335" t="s">
        <v>39</v>
      </c>
      <c r="H335" t="s">
        <v>2020</v>
      </c>
      <c r="I335" t="s">
        <v>59</v>
      </c>
      <c r="J335" t="s">
        <v>219</v>
      </c>
      <c r="K335" t="s">
        <v>223</v>
      </c>
      <c r="L335" t="s">
        <v>75</v>
      </c>
      <c r="M335" t="s">
        <v>51</v>
      </c>
      <c r="N335" t="s">
        <v>52</v>
      </c>
      <c r="O335" t="s">
        <v>2021</v>
      </c>
      <c r="P335">
        <v>9492451117</v>
      </c>
      <c r="Q335" t="s">
        <v>54</v>
      </c>
      <c r="R335" t="s">
        <v>132</v>
      </c>
      <c r="S335" t="s">
        <v>89</v>
      </c>
      <c r="T335" t="s">
        <v>43</v>
      </c>
      <c r="U335" t="s">
        <v>90</v>
      </c>
      <c r="V335" t="s">
        <v>91</v>
      </c>
      <c r="W335" t="s">
        <v>5093</v>
      </c>
      <c r="X335" t="s">
        <v>91</v>
      </c>
      <c r="Y335" t="s">
        <v>638</v>
      </c>
      <c r="Z335" t="s">
        <v>92</v>
      </c>
      <c r="AA335" t="s">
        <v>92</v>
      </c>
      <c r="AB335" t="s">
        <v>93</v>
      </c>
      <c r="AC335" t="s">
        <v>94</v>
      </c>
      <c r="AD335" t="s">
        <v>1552</v>
      </c>
      <c r="AE335" t="s">
        <v>1271</v>
      </c>
      <c r="AF335" t="s">
        <v>2022</v>
      </c>
      <c r="AG335" t="s">
        <v>196</v>
      </c>
      <c r="AH335" s="93">
        <f>VLOOKUP(Table1[[#This Row],[Caste]],Factor!$H$1:$K$13,4,0)</f>
        <v>1.1461625511156397</v>
      </c>
      <c r="AI335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335">
        <f>Table1[[#This Row],[Factor_1]]*Table1[[#This Row],[2024 Factor]]</f>
        <v>1.2999324650914248</v>
      </c>
      <c r="AK335">
        <f>VLOOKUP(Table1[[#This Row],[Q18: Gender]],Factor!$A$33:$E$35,5,0)</f>
        <v>0.85034013605442171</v>
      </c>
      <c r="AL335">
        <f>VLOOKUP(Table1[[#This Row],[Taluka]],Factor!$A$42:$G$46,7,0)</f>
        <v>1.147984664167413</v>
      </c>
      <c r="AM335">
        <f>VLOOKUP(Table1[[#This Row],[Caste]]&amp;Table1[[#This Row],[Q18: Gender]],Factor!$W$1:$X$23,2,0)</f>
        <v>0.71995135120329123</v>
      </c>
      <c r="AN335">
        <f>VLOOKUP(Table1[[#This Row],[Taluka]]&amp;Table1[[#This Row],[Caste]]&amp;Table1[[#This Row],[Q18: Gender]],Factor!$AK$4:$AL$93,2,0)</f>
        <v>0.54319084681293095</v>
      </c>
      <c r="AO335">
        <f t="shared" si="55"/>
        <v>-1</v>
      </c>
      <c r="AP335">
        <f t="shared" si="56"/>
        <v>1</v>
      </c>
      <c r="AQ335">
        <f t="shared" si="57"/>
        <v>1</v>
      </c>
      <c r="AR335">
        <f t="shared" si="58"/>
        <v>1</v>
      </c>
      <c r="AS335">
        <f t="shared" si="59"/>
        <v>1</v>
      </c>
      <c r="AT335">
        <f t="shared" si="60"/>
        <v>1</v>
      </c>
      <c r="AU335">
        <f t="shared" si="61"/>
        <v>3.5</v>
      </c>
      <c r="AV335">
        <f>SUM(Table1[[#This Row],[Satis]:[29]])</f>
        <v>4</v>
      </c>
      <c r="AW335">
        <f t="shared" si="62"/>
        <v>3</v>
      </c>
      <c r="AX335">
        <f t="shared" si="63"/>
        <v>4</v>
      </c>
      <c r="AY335">
        <f t="shared" si="64"/>
        <v>2</v>
      </c>
      <c r="AZ335" t="str">
        <f t="shared" si="65"/>
        <v>YSRCP Sympathiser</v>
      </c>
    </row>
    <row r="336" spans="1:52" x14ac:dyDescent="0.3">
      <c r="A336" t="s">
        <v>2023</v>
      </c>
      <c r="B336" s="94">
        <v>46044</v>
      </c>
      <c r="C336" t="s">
        <v>2024</v>
      </c>
      <c r="D336" t="s">
        <v>2025</v>
      </c>
      <c r="E336" t="s">
        <v>2026</v>
      </c>
      <c r="F336" t="s">
        <v>935</v>
      </c>
      <c r="G336" t="s">
        <v>39</v>
      </c>
      <c r="H336" t="s">
        <v>2027</v>
      </c>
      <c r="I336" s="112" t="s">
        <v>168</v>
      </c>
      <c r="J336" t="s">
        <v>219</v>
      </c>
      <c r="K336" t="s">
        <v>224</v>
      </c>
      <c r="L336" t="s">
        <v>75</v>
      </c>
      <c r="M336" t="s">
        <v>51</v>
      </c>
      <c r="N336" t="s">
        <v>63</v>
      </c>
      <c r="O336" t="s">
        <v>2028</v>
      </c>
      <c r="P336">
        <v>8143783383</v>
      </c>
      <c r="Q336" t="s">
        <v>54</v>
      </c>
      <c r="R336" t="s">
        <v>132</v>
      </c>
      <c r="S336" t="s">
        <v>43</v>
      </c>
      <c r="T336" t="s">
        <v>43</v>
      </c>
      <c r="U336" t="s">
        <v>44</v>
      </c>
      <c r="V336" t="s">
        <v>45</v>
      </c>
      <c r="W336" t="s">
        <v>5078</v>
      </c>
      <c r="X336" t="s">
        <v>45</v>
      </c>
      <c r="Y336" t="s">
        <v>46</v>
      </c>
      <c r="Z336" t="s">
        <v>47</v>
      </c>
      <c r="AA336" t="s">
        <v>48</v>
      </c>
      <c r="AB336" t="s">
        <v>49</v>
      </c>
      <c r="AC336" t="s">
        <v>49</v>
      </c>
      <c r="AD336" t="s">
        <v>1552</v>
      </c>
      <c r="AE336" t="s">
        <v>1271</v>
      </c>
      <c r="AF336" t="s">
        <v>2029</v>
      </c>
      <c r="AG336" t="s">
        <v>196</v>
      </c>
      <c r="AH336" s="93">
        <f>VLOOKUP(Table1[[#This Row],[Caste]],Factor!$H$1:$K$13,4,0)</f>
        <v>1.0478809952686368</v>
      </c>
      <c r="AI33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36">
        <f>Table1[[#This Row],[Factor_1]]*Table1[[#This Row],[2024 Factor]]</f>
        <v>0.8266624780172348</v>
      </c>
      <c r="AK336">
        <f>VLOOKUP(Table1[[#This Row],[Q18: Gender]],Factor!$A$33:$E$35,5,0)</f>
        <v>0.85034013605442171</v>
      </c>
      <c r="AL336">
        <f>VLOOKUP(Table1[[#This Row],[Taluka]],Factor!$A$42:$G$46,7,0)</f>
        <v>1.147984664167413</v>
      </c>
      <c r="AM336">
        <f>VLOOKUP(Table1[[#This Row],[Caste]]&amp;Table1[[#This Row],[Q18: Gender]],Factor!$W$1:$X$23,2,0)</f>
        <v>0.7657591888501577</v>
      </c>
      <c r="AN336">
        <f>VLOOKUP(Table1[[#This Row],[Taluka]]&amp;Table1[[#This Row],[Caste]]&amp;Table1[[#This Row],[Q18: Gender]],Factor!$AK$4:$AL$93,2,0)</f>
        <v>0.71710935112881979</v>
      </c>
      <c r="AO336">
        <f t="shared" si="55"/>
        <v>-1</v>
      </c>
      <c r="AP336">
        <f t="shared" si="56"/>
        <v>-1</v>
      </c>
      <c r="AQ336">
        <f t="shared" si="57"/>
        <v>-1</v>
      </c>
      <c r="AR336">
        <f t="shared" si="58"/>
        <v>-1</v>
      </c>
      <c r="AS336">
        <f t="shared" si="59"/>
        <v>-1</v>
      </c>
      <c r="AT336">
        <f t="shared" si="60"/>
        <v>-1</v>
      </c>
      <c r="AU336">
        <f t="shared" si="61"/>
        <v>-5.5</v>
      </c>
      <c r="AV336">
        <f>SUM(Table1[[#This Row],[Satis]:[29]])</f>
        <v>-6</v>
      </c>
      <c r="AW336">
        <f t="shared" si="62"/>
        <v>-5</v>
      </c>
      <c r="AX336">
        <f t="shared" si="63"/>
        <v>-4</v>
      </c>
      <c r="AY336">
        <f t="shared" si="64"/>
        <v>-3</v>
      </c>
      <c r="AZ336" t="str">
        <f t="shared" si="65"/>
        <v>TDP HardCore</v>
      </c>
    </row>
    <row r="337" spans="1:52" x14ac:dyDescent="0.3">
      <c r="A337" t="s">
        <v>1875</v>
      </c>
      <c r="B337" s="94">
        <v>46044</v>
      </c>
      <c r="C337" t="s">
        <v>1876</v>
      </c>
      <c r="D337" t="s">
        <v>1877</v>
      </c>
      <c r="E337" t="s">
        <v>1783</v>
      </c>
      <c r="F337" t="s">
        <v>69</v>
      </c>
      <c r="G337" t="s">
        <v>39</v>
      </c>
      <c r="H337" t="s">
        <v>1878</v>
      </c>
      <c r="I337" t="s">
        <v>59</v>
      </c>
      <c r="J337" t="s">
        <v>219</v>
      </c>
      <c r="K337" t="s">
        <v>221</v>
      </c>
      <c r="L337" t="s">
        <v>62</v>
      </c>
      <c r="M337" t="s">
        <v>51</v>
      </c>
      <c r="N337" t="s">
        <v>107</v>
      </c>
      <c r="O337" t="s">
        <v>1879</v>
      </c>
      <c r="P337">
        <v>9999999999</v>
      </c>
      <c r="Q337" t="s">
        <v>54</v>
      </c>
      <c r="R337" t="s">
        <v>132</v>
      </c>
      <c r="S337" t="s">
        <v>89</v>
      </c>
      <c r="T337" t="s">
        <v>89</v>
      </c>
      <c r="U337" t="s">
        <v>90</v>
      </c>
      <c r="V337" t="s">
        <v>91</v>
      </c>
      <c r="W337" t="s">
        <v>5080</v>
      </c>
      <c r="X337" t="s">
        <v>45</v>
      </c>
      <c r="Y337" t="s">
        <v>46</v>
      </c>
      <c r="Z337" t="s">
        <v>47</v>
      </c>
      <c r="AA337" t="s">
        <v>48</v>
      </c>
      <c r="AB337" t="s">
        <v>49</v>
      </c>
      <c r="AC337" t="s">
        <v>49</v>
      </c>
      <c r="AD337" t="s">
        <v>1279</v>
      </c>
      <c r="AE337" t="s">
        <v>185</v>
      </c>
      <c r="AF337" t="s">
        <v>1280</v>
      </c>
      <c r="AG337" t="s">
        <v>196</v>
      </c>
      <c r="AH337" s="93">
        <f>VLOOKUP(Table1[[#This Row],[Caste]],Factor!$H$1:$K$13,4,0)</f>
        <v>1.1461625511156397</v>
      </c>
      <c r="AI33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37">
        <f>Table1[[#This Row],[Factor_1]]*Table1[[#This Row],[2024 Factor]]</f>
        <v>0.77721139583220644</v>
      </c>
      <c r="AK337">
        <f>VLOOKUP(Table1[[#This Row],[Q18: Gender]],Factor!$A$33:$E$35,5,0)</f>
        <v>0.85034013605442171</v>
      </c>
      <c r="AL337">
        <f>VLOOKUP(Table1[[#This Row],[Taluka]],Factor!$A$42:$G$46,7,0)</f>
        <v>1.147984664167413</v>
      </c>
      <c r="AM337">
        <f>VLOOKUP(Table1[[#This Row],[Caste]]&amp;Table1[[#This Row],[Q18: Gender]],Factor!$W$1:$X$23,2,0)</f>
        <v>0.71995135120329123</v>
      </c>
      <c r="AN337">
        <f>VLOOKUP(Table1[[#This Row],[Taluka]]&amp;Table1[[#This Row],[Caste]]&amp;Table1[[#This Row],[Q18: Gender]],Factor!$AK$4:$AL$93,2,0)</f>
        <v>0.54319084681293095</v>
      </c>
      <c r="AO337">
        <f t="shared" si="55"/>
        <v>1</v>
      </c>
      <c r="AP337">
        <f t="shared" si="56"/>
        <v>1</v>
      </c>
      <c r="AQ337">
        <f t="shared" si="57"/>
        <v>1</v>
      </c>
      <c r="AR337">
        <f t="shared" si="58"/>
        <v>-1</v>
      </c>
      <c r="AS337">
        <f t="shared" si="59"/>
        <v>-1</v>
      </c>
      <c r="AT337">
        <f t="shared" si="60"/>
        <v>-1</v>
      </c>
      <c r="AU337">
        <f t="shared" si="61"/>
        <v>0.5</v>
      </c>
      <c r="AV337">
        <f>SUM(Table1[[#This Row],[Satis]:[29]])</f>
        <v>0</v>
      </c>
      <c r="AW337">
        <f t="shared" si="62"/>
        <v>-1</v>
      </c>
      <c r="AX337">
        <f t="shared" si="63"/>
        <v>-2</v>
      </c>
      <c r="AY337">
        <f t="shared" si="64"/>
        <v>-2</v>
      </c>
      <c r="AZ337" t="str">
        <f t="shared" si="65"/>
        <v>Neutral TDP</v>
      </c>
    </row>
    <row r="338" spans="1:52" x14ac:dyDescent="0.3">
      <c r="A338" t="s">
        <v>1918</v>
      </c>
      <c r="B338" s="94">
        <v>46044</v>
      </c>
      <c r="C338" t="s">
        <v>1919</v>
      </c>
      <c r="D338" t="s">
        <v>1920</v>
      </c>
      <c r="E338" t="s">
        <v>1495</v>
      </c>
      <c r="F338" t="s">
        <v>69</v>
      </c>
      <c r="G338" t="s">
        <v>39</v>
      </c>
      <c r="H338" t="s">
        <v>1921</v>
      </c>
      <c r="I338" t="s">
        <v>59</v>
      </c>
      <c r="J338" t="s">
        <v>219</v>
      </c>
      <c r="K338" t="s">
        <v>221</v>
      </c>
      <c r="L338" t="s">
        <v>82</v>
      </c>
      <c r="M338" t="s">
        <v>51</v>
      </c>
      <c r="N338" t="s">
        <v>107</v>
      </c>
      <c r="O338" t="s">
        <v>1922</v>
      </c>
      <c r="P338">
        <v>9999999999</v>
      </c>
      <c r="Q338" t="s">
        <v>54</v>
      </c>
      <c r="R338" t="s">
        <v>132</v>
      </c>
      <c r="S338" t="s">
        <v>89</v>
      </c>
      <c r="T338" t="s">
        <v>43</v>
      </c>
      <c r="U338" t="s">
        <v>90</v>
      </c>
      <c r="V338" t="s">
        <v>45</v>
      </c>
      <c r="W338" t="s">
        <v>5046</v>
      </c>
      <c r="X338" t="s">
        <v>45</v>
      </c>
      <c r="Y338" t="s">
        <v>46</v>
      </c>
      <c r="Z338" t="s">
        <v>47</v>
      </c>
      <c r="AA338" t="s">
        <v>48</v>
      </c>
      <c r="AB338" t="s">
        <v>49</v>
      </c>
      <c r="AC338" t="s">
        <v>49</v>
      </c>
      <c r="AD338" t="s">
        <v>1270</v>
      </c>
      <c r="AE338" t="s">
        <v>185</v>
      </c>
      <c r="AF338" t="s">
        <v>185</v>
      </c>
      <c r="AG338" t="s">
        <v>196</v>
      </c>
      <c r="AH338" s="93">
        <f>VLOOKUP(Table1[[#This Row],[Caste]],Factor!$H$1:$K$13,4,0)</f>
        <v>1.1461625511156397</v>
      </c>
      <c r="AI33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38">
        <f>Table1[[#This Row],[Factor_1]]*Table1[[#This Row],[2024 Factor]]</f>
        <v>0.77721139583220644</v>
      </c>
      <c r="AK338">
        <f>VLOOKUP(Table1[[#This Row],[Q18: Gender]],Factor!$A$33:$E$35,5,0)</f>
        <v>0.85034013605442171</v>
      </c>
      <c r="AL338">
        <f>VLOOKUP(Table1[[#This Row],[Taluka]],Factor!$A$42:$G$46,7,0)</f>
        <v>1.147984664167413</v>
      </c>
      <c r="AM338">
        <f>VLOOKUP(Table1[[#This Row],[Caste]]&amp;Table1[[#This Row],[Q18: Gender]],Factor!$W$1:$X$23,2,0)</f>
        <v>0.71995135120329123</v>
      </c>
      <c r="AN338">
        <f>VLOOKUP(Table1[[#This Row],[Taluka]]&amp;Table1[[#This Row],[Caste]]&amp;Table1[[#This Row],[Q18: Gender]],Factor!$AK$4:$AL$93,2,0)</f>
        <v>0.54319084681293095</v>
      </c>
      <c r="AO338">
        <f t="shared" si="55"/>
        <v>-1</v>
      </c>
      <c r="AP338">
        <f t="shared" si="56"/>
        <v>1</v>
      </c>
      <c r="AQ338">
        <f t="shared" si="57"/>
        <v>-1</v>
      </c>
      <c r="AR338">
        <f t="shared" si="58"/>
        <v>-1</v>
      </c>
      <c r="AS338">
        <f t="shared" si="59"/>
        <v>-1</v>
      </c>
      <c r="AT338">
        <f t="shared" si="60"/>
        <v>-1</v>
      </c>
      <c r="AU338">
        <f t="shared" si="61"/>
        <v>-3.5</v>
      </c>
      <c r="AV338">
        <f>SUM(Table1[[#This Row],[Satis]:[29]])</f>
        <v>-4</v>
      </c>
      <c r="AW338">
        <f t="shared" si="62"/>
        <v>-5</v>
      </c>
      <c r="AX338">
        <f t="shared" si="63"/>
        <v>-4</v>
      </c>
      <c r="AY338">
        <f t="shared" si="64"/>
        <v>-3</v>
      </c>
      <c r="AZ338" t="str">
        <f t="shared" si="65"/>
        <v>TDP Sympathiser</v>
      </c>
    </row>
    <row r="339" spans="1:52" x14ac:dyDescent="0.3">
      <c r="A339" t="s">
        <v>2041</v>
      </c>
      <c r="B339" s="94">
        <v>46044</v>
      </c>
      <c r="C339" t="s">
        <v>2042</v>
      </c>
      <c r="D339" t="s">
        <v>2043</v>
      </c>
      <c r="E339" t="s">
        <v>1647</v>
      </c>
      <c r="F339" t="s">
        <v>69</v>
      </c>
      <c r="G339" t="s">
        <v>39</v>
      </c>
      <c r="H339" t="s">
        <v>2044</v>
      </c>
      <c r="I339" t="s">
        <v>59</v>
      </c>
      <c r="J339" t="s">
        <v>219</v>
      </c>
      <c r="K339" t="s">
        <v>223</v>
      </c>
      <c r="L339" t="s">
        <v>62</v>
      </c>
      <c r="M339" t="s">
        <v>51</v>
      </c>
      <c r="N339" t="s">
        <v>52</v>
      </c>
      <c r="O339" t="s">
        <v>1879</v>
      </c>
      <c r="P339">
        <v>9866960822</v>
      </c>
      <c r="Q339" t="s">
        <v>54</v>
      </c>
      <c r="R339" t="s">
        <v>73</v>
      </c>
      <c r="S339" t="s">
        <v>43</v>
      </c>
      <c r="T339" t="s">
        <v>43</v>
      </c>
      <c r="U339" t="s">
        <v>44</v>
      </c>
      <c r="V339" t="s">
        <v>45</v>
      </c>
      <c r="W339" t="s">
        <v>5075</v>
      </c>
      <c r="X339" t="s">
        <v>45</v>
      </c>
      <c r="Y339" t="s">
        <v>46</v>
      </c>
      <c r="Z339" t="s">
        <v>47</v>
      </c>
      <c r="AA339" t="s">
        <v>48</v>
      </c>
      <c r="AB339" t="s">
        <v>49</v>
      </c>
      <c r="AC339" t="s">
        <v>49</v>
      </c>
      <c r="AD339" t="s">
        <v>1552</v>
      </c>
      <c r="AE339" t="s">
        <v>1271</v>
      </c>
      <c r="AF339" t="s">
        <v>2045</v>
      </c>
      <c r="AG339" t="s">
        <v>196</v>
      </c>
      <c r="AH339" s="93">
        <f>VLOOKUP(Table1[[#This Row],[Caste]],Factor!$H$1:$K$13,4,0)</f>
        <v>1.1461625511156397</v>
      </c>
      <c r="AI33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39">
        <f>Table1[[#This Row],[Factor_1]]*Table1[[#This Row],[2024 Factor]]</f>
        <v>0.77721139583220644</v>
      </c>
      <c r="AK339">
        <f>VLOOKUP(Table1[[#This Row],[Q18: Gender]],Factor!$A$33:$E$35,5,0)</f>
        <v>0.85034013605442171</v>
      </c>
      <c r="AL339">
        <f>VLOOKUP(Table1[[#This Row],[Taluka]],Factor!$A$42:$G$46,7,0)</f>
        <v>1.147984664167413</v>
      </c>
      <c r="AM339">
        <f>VLOOKUP(Table1[[#This Row],[Caste]]&amp;Table1[[#This Row],[Q18: Gender]],Factor!$W$1:$X$23,2,0)</f>
        <v>0.71995135120329123</v>
      </c>
      <c r="AN339">
        <f>VLOOKUP(Table1[[#This Row],[Taluka]]&amp;Table1[[#This Row],[Caste]]&amp;Table1[[#This Row],[Q18: Gender]],Factor!$AK$4:$AL$93,2,0)</f>
        <v>0.54319084681293095</v>
      </c>
      <c r="AO339">
        <f t="shared" si="55"/>
        <v>-1</v>
      </c>
      <c r="AP339">
        <f t="shared" si="56"/>
        <v>-1</v>
      </c>
      <c r="AQ339">
        <f t="shared" si="57"/>
        <v>-1</v>
      </c>
      <c r="AR339">
        <f t="shared" si="58"/>
        <v>-1</v>
      </c>
      <c r="AS339">
        <f t="shared" si="59"/>
        <v>-1</v>
      </c>
      <c r="AT339">
        <f t="shared" si="60"/>
        <v>-1</v>
      </c>
      <c r="AU339">
        <f t="shared" si="61"/>
        <v>-5.5</v>
      </c>
      <c r="AV339">
        <f>SUM(Table1[[#This Row],[Satis]:[29]])</f>
        <v>-6</v>
      </c>
      <c r="AW339">
        <f t="shared" si="62"/>
        <v>-5</v>
      </c>
      <c r="AX339">
        <f t="shared" si="63"/>
        <v>-4</v>
      </c>
      <c r="AY339">
        <f t="shared" si="64"/>
        <v>-3</v>
      </c>
      <c r="AZ339" t="str">
        <f t="shared" si="65"/>
        <v>TDP HardCore</v>
      </c>
    </row>
    <row r="340" spans="1:52" x14ac:dyDescent="0.3">
      <c r="A340" t="s">
        <v>1956</v>
      </c>
      <c r="B340" s="94">
        <v>46044</v>
      </c>
      <c r="C340" t="s">
        <v>1957</v>
      </c>
      <c r="D340" t="s">
        <v>1958</v>
      </c>
      <c r="E340" t="s">
        <v>1783</v>
      </c>
      <c r="F340" t="s">
        <v>69</v>
      </c>
      <c r="G340" t="s">
        <v>39</v>
      </c>
      <c r="H340" t="s">
        <v>1959</v>
      </c>
      <c r="I340" t="s">
        <v>70</v>
      </c>
      <c r="J340" t="s">
        <v>219</v>
      </c>
      <c r="K340" t="s">
        <v>221</v>
      </c>
      <c r="L340" t="s">
        <v>62</v>
      </c>
      <c r="M340" t="s">
        <v>443</v>
      </c>
      <c r="N340" t="s">
        <v>52</v>
      </c>
      <c r="O340" t="s">
        <v>1438</v>
      </c>
      <c r="P340">
        <v>9999999999</v>
      </c>
      <c r="Q340" t="s">
        <v>54</v>
      </c>
      <c r="R340" t="s">
        <v>61</v>
      </c>
      <c r="S340" t="s">
        <v>89</v>
      </c>
      <c r="T340" t="s">
        <v>43</v>
      </c>
      <c r="U340" t="s">
        <v>90</v>
      </c>
      <c r="V340" t="s">
        <v>91</v>
      </c>
      <c r="W340" t="s">
        <v>5085</v>
      </c>
      <c r="X340" t="s">
        <v>45</v>
      </c>
      <c r="Y340" t="s">
        <v>46</v>
      </c>
      <c r="Z340" t="s">
        <v>47</v>
      </c>
      <c r="AA340" t="s">
        <v>48</v>
      </c>
      <c r="AB340" t="s">
        <v>49</v>
      </c>
      <c r="AC340" t="s">
        <v>49</v>
      </c>
      <c r="AD340" t="s">
        <v>1279</v>
      </c>
      <c r="AE340" t="s">
        <v>185</v>
      </c>
      <c r="AF340" t="s">
        <v>1280</v>
      </c>
      <c r="AG340" t="s">
        <v>196</v>
      </c>
      <c r="AH340" s="93">
        <f>VLOOKUP(Table1[[#This Row],[Caste]],Factor!$H$1:$K$13,4,0)</f>
        <v>1.3836274505214585</v>
      </c>
      <c r="AI34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40">
        <f>Table1[[#This Row],[Factor_1]]*Table1[[#This Row],[2024 Factor]]</f>
        <v>1.1648410586678206</v>
      </c>
      <c r="AK340">
        <f>VLOOKUP(Table1[[#This Row],[Q18: Gender]],Factor!$A$33:$E$35,5,0)</f>
        <v>0.85034013605442171</v>
      </c>
      <c r="AL340">
        <f>VLOOKUP(Table1[[#This Row],[Taluka]],Factor!$A$42:$G$46,7,0)</f>
        <v>1.147984664167413</v>
      </c>
      <c r="AM340">
        <f>VLOOKUP(Table1[[#This Row],[Caste]]&amp;Table1[[#This Row],[Q18: Gender]],Factor!$W$1:$X$23,2,0)</f>
        <v>1.0790228998469584</v>
      </c>
      <c r="AN340">
        <f>VLOOKUP(Table1[[#This Row],[Taluka]]&amp;Table1[[#This Row],[Caste]]&amp;Table1[[#This Row],[Q18: Gender]],Factor!$AK$4:$AL$93,2,0)</f>
        <v>1.1572915102003449</v>
      </c>
      <c r="AO340">
        <f t="shared" si="55"/>
        <v>-1</v>
      </c>
      <c r="AP340">
        <f t="shared" si="56"/>
        <v>1</v>
      </c>
      <c r="AQ340">
        <f t="shared" si="57"/>
        <v>1</v>
      </c>
      <c r="AR340">
        <f t="shared" si="58"/>
        <v>-1</v>
      </c>
      <c r="AS340">
        <f t="shared" si="59"/>
        <v>-1</v>
      </c>
      <c r="AT340">
        <f t="shared" si="60"/>
        <v>-1</v>
      </c>
      <c r="AU340">
        <f t="shared" si="61"/>
        <v>-1.5</v>
      </c>
      <c r="AV340">
        <f>SUM(Table1[[#This Row],[Satis]:[29]])</f>
        <v>-2</v>
      </c>
      <c r="AW340">
        <f t="shared" si="62"/>
        <v>-3</v>
      </c>
      <c r="AX340">
        <f t="shared" si="63"/>
        <v>-2</v>
      </c>
      <c r="AY340">
        <f t="shared" si="64"/>
        <v>-3</v>
      </c>
      <c r="AZ340" t="str">
        <f t="shared" si="65"/>
        <v>Neutral TDP</v>
      </c>
    </row>
    <row r="341" spans="1:52" x14ac:dyDescent="0.3">
      <c r="A341" t="s">
        <v>2052</v>
      </c>
      <c r="B341" s="94">
        <v>46044</v>
      </c>
      <c r="C341" t="s">
        <v>2053</v>
      </c>
      <c r="D341" t="s">
        <v>2054</v>
      </c>
      <c r="E341" t="s">
        <v>2055</v>
      </c>
      <c r="F341" t="s">
        <v>69</v>
      </c>
      <c r="G341" t="s">
        <v>39</v>
      </c>
      <c r="H341" t="s">
        <v>2056</v>
      </c>
      <c r="I341" t="s">
        <v>229</v>
      </c>
      <c r="J341" t="s">
        <v>219</v>
      </c>
      <c r="K341" t="s">
        <v>223</v>
      </c>
      <c r="L341" t="s">
        <v>62</v>
      </c>
      <c r="M341" t="s">
        <v>51</v>
      </c>
      <c r="N341" t="s">
        <v>107</v>
      </c>
      <c r="O341" t="s">
        <v>2057</v>
      </c>
      <c r="P341">
        <v>9959775430</v>
      </c>
      <c r="Q341" t="s">
        <v>54</v>
      </c>
      <c r="R341" t="s">
        <v>132</v>
      </c>
      <c r="S341" t="s">
        <v>89</v>
      </c>
      <c r="T341" t="s">
        <v>43</v>
      </c>
      <c r="U341" t="s">
        <v>90</v>
      </c>
      <c r="V341" t="s">
        <v>45</v>
      </c>
      <c r="W341" t="s">
        <v>5061</v>
      </c>
      <c r="X341" t="s">
        <v>45</v>
      </c>
      <c r="Y341" t="s">
        <v>46</v>
      </c>
      <c r="Z341" t="s">
        <v>47</v>
      </c>
      <c r="AA341" t="s">
        <v>48</v>
      </c>
      <c r="AB341" t="s">
        <v>49</v>
      </c>
      <c r="AC341" t="s">
        <v>49</v>
      </c>
      <c r="AD341" t="s">
        <v>1552</v>
      </c>
      <c r="AE341" t="s">
        <v>1271</v>
      </c>
      <c r="AF341" t="s">
        <v>2058</v>
      </c>
      <c r="AG341" t="s">
        <v>196</v>
      </c>
      <c r="AH341" s="93">
        <f>VLOOKUP(Table1[[#This Row],[Caste]],Factor!$H$1:$K$13,4,0)</f>
        <v>1.1209668980183516</v>
      </c>
      <c r="AI34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41">
        <f>Table1[[#This Row],[Factor_1]]*Table1[[#This Row],[2024 Factor]]</f>
        <v>1.0451044981059459</v>
      </c>
      <c r="AK341">
        <f>VLOOKUP(Table1[[#This Row],[Q18: Gender]],Factor!$A$33:$E$35,5,0)</f>
        <v>0.85034013605442171</v>
      </c>
      <c r="AL341">
        <f>VLOOKUP(Table1[[#This Row],[Taluka]],Factor!$A$42:$G$46,7,0)</f>
        <v>1.147984664167413</v>
      </c>
      <c r="AM341">
        <f>VLOOKUP(Table1[[#This Row],[Caste]]&amp;Table1[[#This Row],[Q18: Gender]],Factor!$W$1:$X$23,2,0)</f>
        <v>0.96810777556130356</v>
      </c>
      <c r="AN341">
        <f>VLOOKUP(Table1[[#This Row],[Taluka]]&amp;Table1[[#This Row],[Caste]]&amp;Table1[[#This Row],[Q18: Gender]],Factor!$AK$4:$AL$93,2,0)</f>
        <v>0.30685005205910726</v>
      </c>
      <c r="AO341">
        <f t="shared" si="55"/>
        <v>-1</v>
      </c>
      <c r="AP341">
        <f t="shared" si="56"/>
        <v>1</v>
      </c>
      <c r="AQ341">
        <f t="shared" si="57"/>
        <v>-1</v>
      </c>
      <c r="AR341">
        <f t="shared" si="58"/>
        <v>-1</v>
      </c>
      <c r="AS341">
        <f t="shared" si="59"/>
        <v>-1</v>
      </c>
      <c r="AT341">
        <f t="shared" si="60"/>
        <v>-1</v>
      </c>
      <c r="AU341">
        <f t="shared" si="61"/>
        <v>-3.5</v>
      </c>
      <c r="AV341">
        <f>SUM(Table1[[#This Row],[Satis]:[29]])</f>
        <v>-4</v>
      </c>
      <c r="AW341">
        <f t="shared" si="62"/>
        <v>-5</v>
      </c>
      <c r="AX341">
        <f t="shared" si="63"/>
        <v>-4</v>
      </c>
      <c r="AY341">
        <f t="shared" si="64"/>
        <v>-3</v>
      </c>
      <c r="AZ341" t="str">
        <f t="shared" si="65"/>
        <v>TDP Sympathiser</v>
      </c>
    </row>
    <row r="342" spans="1:52" x14ac:dyDescent="0.3">
      <c r="A342" t="s">
        <v>1498</v>
      </c>
      <c r="B342" s="94">
        <v>46044</v>
      </c>
      <c r="C342" t="s">
        <v>1499</v>
      </c>
      <c r="D342" t="s">
        <v>1500</v>
      </c>
      <c r="E342" t="s">
        <v>1495</v>
      </c>
      <c r="F342" t="s">
        <v>69</v>
      </c>
      <c r="G342" t="s">
        <v>39</v>
      </c>
      <c r="H342" t="s">
        <v>1501</v>
      </c>
      <c r="I342" t="s">
        <v>59</v>
      </c>
      <c r="J342" t="s">
        <v>219</v>
      </c>
      <c r="K342" t="s">
        <v>221</v>
      </c>
      <c r="L342" t="s">
        <v>82</v>
      </c>
      <c r="M342" t="s">
        <v>51</v>
      </c>
      <c r="N342" t="s">
        <v>52</v>
      </c>
      <c r="O342" t="s">
        <v>1502</v>
      </c>
      <c r="P342">
        <v>9999999999</v>
      </c>
      <c r="Q342" t="s">
        <v>54</v>
      </c>
      <c r="R342" t="s">
        <v>73</v>
      </c>
      <c r="S342" t="s">
        <v>43</v>
      </c>
      <c r="T342" t="s">
        <v>43</v>
      </c>
      <c r="U342" t="s">
        <v>44</v>
      </c>
      <c r="V342" t="s">
        <v>45</v>
      </c>
      <c r="W342" t="s">
        <v>5047</v>
      </c>
      <c r="X342" t="s">
        <v>45</v>
      </c>
      <c r="Y342" t="s">
        <v>46</v>
      </c>
      <c r="Z342" t="s">
        <v>47</v>
      </c>
      <c r="AA342" t="s">
        <v>48</v>
      </c>
      <c r="AB342" t="s">
        <v>49</v>
      </c>
      <c r="AC342" t="s">
        <v>49</v>
      </c>
      <c r="AD342" t="s">
        <v>1270</v>
      </c>
      <c r="AE342" t="s">
        <v>185</v>
      </c>
      <c r="AF342" t="s">
        <v>185</v>
      </c>
      <c r="AG342" t="s">
        <v>196</v>
      </c>
      <c r="AH342" s="93">
        <f>VLOOKUP(Table1[[#This Row],[Caste]],Factor!$H$1:$K$13,4,0)</f>
        <v>1.1461625511156397</v>
      </c>
      <c r="AI34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42">
        <f>Table1[[#This Row],[Factor_1]]*Table1[[#This Row],[2024 Factor]]</f>
        <v>0.77721139583220644</v>
      </c>
      <c r="AK342">
        <f>VLOOKUP(Table1[[#This Row],[Q18: Gender]],Factor!$A$33:$E$35,5,0)</f>
        <v>0.85034013605442171</v>
      </c>
      <c r="AL342">
        <f>VLOOKUP(Table1[[#This Row],[Taluka]],Factor!$A$42:$G$46,7,0)</f>
        <v>1.147984664167413</v>
      </c>
      <c r="AM342">
        <f>VLOOKUP(Table1[[#This Row],[Caste]]&amp;Table1[[#This Row],[Q18: Gender]],Factor!$W$1:$X$23,2,0)</f>
        <v>0.71995135120329123</v>
      </c>
      <c r="AN342">
        <f>VLOOKUP(Table1[[#This Row],[Taluka]]&amp;Table1[[#This Row],[Caste]]&amp;Table1[[#This Row],[Q18: Gender]],Factor!$AK$4:$AL$93,2,0)</f>
        <v>0.54319084681293095</v>
      </c>
      <c r="AO342">
        <f t="shared" si="55"/>
        <v>-1</v>
      </c>
      <c r="AP342">
        <f t="shared" si="56"/>
        <v>-1</v>
      </c>
      <c r="AQ342">
        <f t="shared" si="57"/>
        <v>-1</v>
      </c>
      <c r="AR342">
        <f t="shared" si="58"/>
        <v>-1</v>
      </c>
      <c r="AS342">
        <f t="shared" si="59"/>
        <v>-1</v>
      </c>
      <c r="AT342">
        <f t="shared" si="60"/>
        <v>-1</v>
      </c>
      <c r="AU342">
        <f t="shared" si="61"/>
        <v>-5.5</v>
      </c>
      <c r="AV342">
        <f>SUM(Table1[[#This Row],[Satis]:[29]])</f>
        <v>-6</v>
      </c>
      <c r="AW342">
        <f t="shared" si="62"/>
        <v>-5</v>
      </c>
      <c r="AX342">
        <f t="shared" si="63"/>
        <v>-4</v>
      </c>
      <c r="AY342">
        <f t="shared" si="64"/>
        <v>-3</v>
      </c>
      <c r="AZ342" t="str">
        <f t="shared" si="65"/>
        <v>TDP HardCore</v>
      </c>
    </row>
    <row r="343" spans="1:52" x14ac:dyDescent="0.3">
      <c r="A343" t="s">
        <v>1633</v>
      </c>
      <c r="B343" s="94">
        <v>46044</v>
      </c>
      <c r="C343" t="s">
        <v>1634</v>
      </c>
      <c r="D343" t="s">
        <v>1635</v>
      </c>
      <c r="E343" t="s">
        <v>1636</v>
      </c>
      <c r="F343" t="s">
        <v>69</v>
      </c>
      <c r="G343" t="s">
        <v>39</v>
      </c>
      <c r="H343" t="s">
        <v>1637</v>
      </c>
      <c r="I343" t="s">
        <v>59</v>
      </c>
      <c r="J343" t="s">
        <v>219</v>
      </c>
      <c r="K343" t="s">
        <v>221</v>
      </c>
      <c r="L343" t="s">
        <v>82</v>
      </c>
      <c r="M343" t="s">
        <v>51</v>
      </c>
      <c r="N343" t="s">
        <v>107</v>
      </c>
      <c r="O343" t="s">
        <v>1638</v>
      </c>
      <c r="P343">
        <v>7731922178</v>
      </c>
      <c r="Q343" t="s">
        <v>54</v>
      </c>
      <c r="R343" t="s">
        <v>73</v>
      </c>
      <c r="S343" t="s">
        <v>89</v>
      </c>
      <c r="T343" t="s">
        <v>43</v>
      </c>
      <c r="U343" t="s">
        <v>44</v>
      </c>
      <c r="V343" t="s">
        <v>45</v>
      </c>
      <c r="W343" t="s">
        <v>5087</v>
      </c>
      <c r="X343" t="s">
        <v>45</v>
      </c>
      <c r="Y343" t="s">
        <v>46</v>
      </c>
      <c r="Z343" t="s">
        <v>47</v>
      </c>
      <c r="AA343" t="s">
        <v>48</v>
      </c>
      <c r="AB343" t="s">
        <v>49</v>
      </c>
      <c r="AC343" t="s">
        <v>49</v>
      </c>
      <c r="AD343" t="s">
        <v>1279</v>
      </c>
      <c r="AE343" t="s">
        <v>185</v>
      </c>
      <c r="AF343" t="s">
        <v>1280</v>
      </c>
      <c r="AG343" t="s">
        <v>196</v>
      </c>
      <c r="AH343" s="93">
        <f>VLOOKUP(Table1[[#This Row],[Caste]],Factor!$H$1:$K$13,4,0)</f>
        <v>1.1461625511156397</v>
      </c>
      <c r="AI34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43">
        <f>Table1[[#This Row],[Factor_1]]*Table1[[#This Row],[2024 Factor]]</f>
        <v>0.77721139583220644</v>
      </c>
      <c r="AK343">
        <f>VLOOKUP(Table1[[#This Row],[Q18: Gender]],Factor!$A$33:$E$35,5,0)</f>
        <v>0.85034013605442171</v>
      </c>
      <c r="AL343">
        <f>VLOOKUP(Table1[[#This Row],[Taluka]],Factor!$A$42:$G$46,7,0)</f>
        <v>1.147984664167413</v>
      </c>
      <c r="AM343">
        <f>VLOOKUP(Table1[[#This Row],[Caste]]&amp;Table1[[#This Row],[Q18: Gender]],Factor!$W$1:$X$23,2,0)</f>
        <v>0.71995135120329123</v>
      </c>
      <c r="AN343">
        <f>VLOOKUP(Table1[[#This Row],[Taluka]]&amp;Table1[[#This Row],[Caste]]&amp;Table1[[#This Row],[Q18: Gender]],Factor!$AK$4:$AL$93,2,0)</f>
        <v>0.54319084681293095</v>
      </c>
      <c r="AO343">
        <f t="shared" si="55"/>
        <v>-1</v>
      </c>
      <c r="AP343">
        <f t="shared" si="56"/>
        <v>-1</v>
      </c>
      <c r="AQ343">
        <f t="shared" si="57"/>
        <v>-1</v>
      </c>
      <c r="AR343">
        <f t="shared" si="58"/>
        <v>-1</v>
      </c>
      <c r="AS343">
        <f t="shared" si="59"/>
        <v>-1</v>
      </c>
      <c r="AT343">
        <f t="shared" si="60"/>
        <v>-1</v>
      </c>
      <c r="AU343">
        <f t="shared" si="61"/>
        <v>-5.5</v>
      </c>
      <c r="AV343">
        <f>SUM(Table1[[#This Row],[Satis]:[29]])</f>
        <v>-6</v>
      </c>
      <c r="AW343">
        <f t="shared" si="62"/>
        <v>-5</v>
      </c>
      <c r="AX343">
        <f t="shared" si="63"/>
        <v>-4</v>
      </c>
      <c r="AY343">
        <f t="shared" si="64"/>
        <v>-3</v>
      </c>
      <c r="AZ343" t="str">
        <f t="shared" si="65"/>
        <v>TDP HardCore</v>
      </c>
    </row>
    <row r="344" spans="1:52" x14ac:dyDescent="0.3">
      <c r="A344" t="s">
        <v>1681</v>
      </c>
      <c r="B344" s="94">
        <v>46044</v>
      </c>
      <c r="C344" t="s">
        <v>1682</v>
      </c>
      <c r="D344" t="s">
        <v>1683</v>
      </c>
      <c r="E344" t="s">
        <v>1684</v>
      </c>
      <c r="F344" t="s">
        <v>69</v>
      </c>
      <c r="G344" t="s">
        <v>39</v>
      </c>
      <c r="H344" t="s">
        <v>1685</v>
      </c>
      <c r="I344" t="s">
        <v>59</v>
      </c>
      <c r="J344" t="s">
        <v>219</v>
      </c>
      <c r="K344" t="s">
        <v>221</v>
      </c>
      <c r="L344" t="s">
        <v>50</v>
      </c>
      <c r="M344" t="s">
        <v>51</v>
      </c>
      <c r="N344" t="s">
        <v>107</v>
      </c>
      <c r="O344" t="s">
        <v>406</v>
      </c>
      <c r="P344">
        <v>9999999999</v>
      </c>
      <c r="Q344" t="s">
        <v>54</v>
      </c>
      <c r="R344" t="s">
        <v>73</v>
      </c>
      <c r="S344" t="s">
        <v>43</v>
      </c>
      <c r="T344" t="s">
        <v>43</v>
      </c>
      <c r="U344" t="s">
        <v>44</v>
      </c>
      <c r="V344" t="s">
        <v>45</v>
      </c>
      <c r="W344" t="s">
        <v>5080</v>
      </c>
      <c r="X344" t="s">
        <v>45</v>
      </c>
      <c r="Y344" t="s">
        <v>46</v>
      </c>
      <c r="Z344" t="s">
        <v>47</v>
      </c>
      <c r="AA344" t="s">
        <v>48</v>
      </c>
      <c r="AB344" t="s">
        <v>49</v>
      </c>
      <c r="AC344" t="s">
        <v>49</v>
      </c>
      <c r="AD344" t="s">
        <v>1270</v>
      </c>
      <c r="AE344" t="s">
        <v>185</v>
      </c>
      <c r="AF344" t="s">
        <v>1686</v>
      </c>
      <c r="AG344" t="s">
        <v>196</v>
      </c>
      <c r="AH344" s="93">
        <f>VLOOKUP(Table1[[#This Row],[Caste]],Factor!$H$1:$K$13,4,0)</f>
        <v>1.1461625511156397</v>
      </c>
      <c r="AI34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44">
        <f>Table1[[#This Row],[Factor_1]]*Table1[[#This Row],[2024 Factor]]</f>
        <v>0.77721139583220644</v>
      </c>
      <c r="AK344">
        <f>VLOOKUP(Table1[[#This Row],[Q18: Gender]],Factor!$A$33:$E$35,5,0)</f>
        <v>0.85034013605442171</v>
      </c>
      <c r="AL344">
        <f>VLOOKUP(Table1[[#This Row],[Taluka]],Factor!$A$42:$G$46,7,0)</f>
        <v>1.147984664167413</v>
      </c>
      <c r="AM344">
        <f>VLOOKUP(Table1[[#This Row],[Caste]]&amp;Table1[[#This Row],[Q18: Gender]],Factor!$W$1:$X$23,2,0)</f>
        <v>0.71995135120329123</v>
      </c>
      <c r="AN344">
        <f>VLOOKUP(Table1[[#This Row],[Taluka]]&amp;Table1[[#This Row],[Caste]]&amp;Table1[[#This Row],[Q18: Gender]],Factor!$AK$4:$AL$93,2,0)</f>
        <v>0.54319084681293095</v>
      </c>
      <c r="AO344">
        <f t="shared" si="55"/>
        <v>-1</v>
      </c>
      <c r="AP344">
        <f t="shared" si="56"/>
        <v>-1</v>
      </c>
      <c r="AQ344">
        <f t="shared" si="57"/>
        <v>-1</v>
      </c>
      <c r="AR344">
        <f t="shared" si="58"/>
        <v>-1</v>
      </c>
      <c r="AS344">
        <f t="shared" si="59"/>
        <v>-1</v>
      </c>
      <c r="AT344">
        <f t="shared" si="60"/>
        <v>-1</v>
      </c>
      <c r="AU344">
        <f t="shared" si="61"/>
        <v>-5.5</v>
      </c>
      <c r="AV344">
        <f>SUM(Table1[[#This Row],[Satis]:[29]])</f>
        <v>-6</v>
      </c>
      <c r="AW344">
        <f t="shared" si="62"/>
        <v>-5</v>
      </c>
      <c r="AX344">
        <f t="shared" si="63"/>
        <v>-4</v>
      </c>
      <c r="AY344">
        <f t="shared" si="64"/>
        <v>-3</v>
      </c>
      <c r="AZ344" t="str">
        <f t="shared" si="65"/>
        <v>TDP HardCore</v>
      </c>
    </row>
    <row r="345" spans="1:52" x14ac:dyDescent="0.3">
      <c r="A345" t="s">
        <v>2076</v>
      </c>
      <c r="B345" s="94">
        <v>46044</v>
      </c>
      <c r="C345" t="s">
        <v>2077</v>
      </c>
      <c r="D345" t="s">
        <v>2078</v>
      </c>
      <c r="E345" t="s">
        <v>1521</v>
      </c>
      <c r="F345" t="s">
        <v>935</v>
      </c>
      <c r="G345" t="s">
        <v>39</v>
      </c>
      <c r="H345" t="s">
        <v>2079</v>
      </c>
      <c r="I345" t="s">
        <v>36</v>
      </c>
      <c r="J345" t="s">
        <v>219</v>
      </c>
      <c r="K345" t="s">
        <v>224</v>
      </c>
      <c r="L345" t="s">
        <v>62</v>
      </c>
      <c r="M345" t="s">
        <v>51</v>
      </c>
      <c r="N345" t="s">
        <v>63</v>
      </c>
      <c r="O345" t="s">
        <v>278</v>
      </c>
      <c r="P345">
        <v>9701086442</v>
      </c>
      <c r="Q345" t="s">
        <v>54</v>
      </c>
      <c r="R345" t="s">
        <v>132</v>
      </c>
      <c r="S345" t="s">
        <v>43</v>
      </c>
      <c r="T345" t="s">
        <v>43</v>
      </c>
      <c r="U345" t="s">
        <v>44</v>
      </c>
      <c r="V345" t="s">
        <v>45</v>
      </c>
      <c r="W345" t="s">
        <v>5056</v>
      </c>
      <c r="X345" t="s">
        <v>45</v>
      </c>
      <c r="Y345" t="s">
        <v>46</v>
      </c>
      <c r="Z345" t="s">
        <v>47</v>
      </c>
      <c r="AA345" t="s">
        <v>48</v>
      </c>
      <c r="AB345" t="s">
        <v>49</v>
      </c>
      <c r="AC345" t="s">
        <v>49</v>
      </c>
      <c r="AD345" t="s">
        <v>1552</v>
      </c>
      <c r="AE345" t="s">
        <v>1250</v>
      </c>
      <c r="AF345" t="s">
        <v>2080</v>
      </c>
      <c r="AG345" t="s">
        <v>498</v>
      </c>
      <c r="AH345" s="93">
        <f>VLOOKUP(Table1[[#This Row],[Caste]],Factor!$H$1:$K$13,4,0)</f>
        <v>1.1705128247062893</v>
      </c>
      <c r="AI34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45">
        <f>Table1[[#This Row],[Factor_1]]*Table1[[#This Row],[2024 Factor]]</f>
        <v>0.86308903171383233</v>
      </c>
      <c r="AK345">
        <f>VLOOKUP(Table1[[#This Row],[Q18: Gender]],Factor!$A$33:$E$35,5,0)</f>
        <v>0.85034013605442171</v>
      </c>
      <c r="AL345">
        <f>VLOOKUP(Table1[[#This Row],[Taluka]],Factor!$A$42:$G$46,7,0)</f>
        <v>1.147984664167413</v>
      </c>
      <c r="AM345">
        <f>VLOOKUP(Table1[[#This Row],[Caste]]&amp;Table1[[#This Row],[Q18: Gender]],Factor!$W$1:$X$23,2,0)</f>
        <v>0.79950206330384943</v>
      </c>
      <c r="AN345">
        <f>VLOOKUP(Table1[[#This Row],[Taluka]]&amp;Table1[[#This Row],[Caste]]&amp;Table1[[#This Row],[Q18: Gender]],Factor!$AK$4:$AL$93,2,0)</f>
        <v>0.92148737207359532</v>
      </c>
      <c r="AO345">
        <f t="shared" si="55"/>
        <v>-1</v>
      </c>
      <c r="AP345">
        <f t="shared" si="56"/>
        <v>-1</v>
      </c>
      <c r="AQ345">
        <f t="shared" si="57"/>
        <v>-1</v>
      </c>
      <c r="AR345">
        <f t="shared" si="58"/>
        <v>-1</v>
      </c>
      <c r="AS345">
        <f t="shared" si="59"/>
        <v>-1</v>
      </c>
      <c r="AT345">
        <f t="shared" si="60"/>
        <v>-1</v>
      </c>
      <c r="AU345">
        <f t="shared" si="61"/>
        <v>-5.5</v>
      </c>
      <c r="AV345">
        <f>SUM(Table1[[#This Row],[Satis]:[29]])</f>
        <v>-6</v>
      </c>
      <c r="AW345">
        <f t="shared" si="62"/>
        <v>-5</v>
      </c>
      <c r="AX345">
        <f t="shared" si="63"/>
        <v>-4</v>
      </c>
      <c r="AY345">
        <f t="shared" si="64"/>
        <v>-3</v>
      </c>
      <c r="AZ345" t="str">
        <f t="shared" si="65"/>
        <v>TDP HardCore</v>
      </c>
    </row>
    <row r="346" spans="1:52" x14ac:dyDescent="0.3">
      <c r="A346" t="s">
        <v>1830</v>
      </c>
      <c r="B346" s="94">
        <v>46044</v>
      </c>
      <c r="C346" t="s">
        <v>1831</v>
      </c>
      <c r="D346" t="s">
        <v>1832</v>
      </c>
      <c r="E346" t="s">
        <v>1636</v>
      </c>
      <c r="F346" t="s">
        <v>69</v>
      </c>
      <c r="G346" t="s">
        <v>39</v>
      </c>
      <c r="H346" t="s">
        <v>1833</v>
      </c>
      <c r="I346" t="s">
        <v>70</v>
      </c>
      <c r="J346" t="s">
        <v>219</v>
      </c>
      <c r="K346" t="s">
        <v>221</v>
      </c>
      <c r="L346" t="s">
        <v>62</v>
      </c>
      <c r="M346" t="s">
        <v>443</v>
      </c>
      <c r="N346" t="s">
        <v>52</v>
      </c>
      <c r="O346" t="s">
        <v>1834</v>
      </c>
      <c r="P346">
        <v>9177817586</v>
      </c>
      <c r="Q346" t="s">
        <v>54</v>
      </c>
      <c r="R346" t="s">
        <v>61</v>
      </c>
      <c r="S346" t="s">
        <v>89</v>
      </c>
      <c r="T346" t="s">
        <v>89</v>
      </c>
      <c r="U346" t="s">
        <v>90</v>
      </c>
      <c r="V346" t="s">
        <v>91</v>
      </c>
      <c r="W346" t="s">
        <v>5046</v>
      </c>
      <c r="X346" t="s">
        <v>91</v>
      </c>
      <c r="Y346" t="s">
        <v>46</v>
      </c>
      <c r="Z346" t="s">
        <v>92</v>
      </c>
      <c r="AA346" t="s">
        <v>92</v>
      </c>
      <c r="AB346" t="s">
        <v>93</v>
      </c>
      <c r="AC346" t="s">
        <v>94</v>
      </c>
      <c r="AD346" t="s">
        <v>1270</v>
      </c>
      <c r="AE346" t="s">
        <v>185</v>
      </c>
      <c r="AF346" t="s">
        <v>185</v>
      </c>
      <c r="AG346" t="s">
        <v>196</v>
      </c>
      <c r="AH346" s="93">
        <f>VLOOKUP(Table1[[#This Row],[Caste]],Factor!$H$1:$K$13,4,0)</f>
        <v>1.3836274505214585</v>
      </c>
      <c r="AI346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346">
        <f>Table1[[#This Row],[Factor_1]]*Table1[[#This Row],[2024 Factor]]</f>
        <v>1.9482662206881376</v>
      </c>
      <c r="AK346">
        <f>VLOOKUP(Table1[[#This Row],[Q18: Gender]],Factor!$A$33:$E$35,5,0)</f>
        <v>0.85034013605442171</v>
      </c>
      <c r="AL346">
        <f>VLOOKUP(Table1[[#This Row],[Taluka]],Factor!$A$42:$G$46,7,0)</f>
        <v>1.147984664167413</v>
      </c>
      <c r="AM346">
        <f>VLOOKUP(Table1[[#This Row],[Caste]]&amp;Table1[[#This Row],[Q18: Gender]],Factor!$W$1:$X$23,2,0)</f>
        <v>1.0790228998469584</v>
      </c>
      <c r="AN346">
        <f>VLOOKUP(Table1[[#This Row],[Taluka]]&amp;Table1[[#This Row],[Caste]]&amp;Table1[[#This Row],[Q18: Gender]],Factor!$AK$4:$AL$93,2,0)</f>
        <v>1.1572915102003449</v>
      </c>
      <c r="AO346">
        <f t="shared" si="55"/>
        <v>1</v>
      </c>
      <c r="AP346">
        <f t="shared" si="56"/>
        <v>1</v>
      </c>
      <c r="AQ346">
        <f t="shared" si="57"/>
        <v>1</v>
      </c>
      <c r="AR346">
        <f t="shared" si="58"/>
        <v>1</v>
      </c>
      <c r="AS346">
        <f t="shared" si="59"/>
        <v>1</v>
      </c>
      <c r="AT346">
        <f t="shared" si="60"/>
        <v>1</v>
      </c>
      <c r="AU346">
        <f t="shared" si="61"/>
        <v>5.5</v>
      </c>
      <c r="AV346">
        <f>SUM(Table1[[#This Row],[Satis]:[29]])</f>
        <v>6</v>
      </c>
      <c r="AW346">
        <f t="shared" si="62"/>
        <v>5</v>
      </c>
      <c r="AX346">
        <f t="shared" si="63"/>
        <v>4</v>
      </c>
      <c r="AY346">
        <f t="shared" si="64"/>
        <v>3</v>
      </c>
      <c r="AZ346" t="str">
        <f t="shared" si="65"/>
        <v>YSRCP HardCore</v>
      </c>
    </row>
    <row r="347" spans="1:52" x14ac:dyDescent="0.3">
      <c r="A347" t="s">
        <v>1880</v>
      </c>
      <c r="B347" s="94">
        <v>46044</v>
      </c>
      <c r="C347" t="s">
        <v>1881</v>
      </c>
      <c r="D347" t="s">
        <v>1882</v>
      </c>
      <c r="E347" t="s">
        <v>1883</v>
      </c>
      <c r="F347" t="s">
        <v>69</v>
      </c>
      <c r="G347" t="s">
        <v>39</v>
      </c>
      <c r="H347" t="s">
        <v>1884</v>
      </c>
      <c r="I347" t="s">
        <v>70</v>
      </c>
      <c r="J347" t="s">
        <v>219</v>
      </c>
      <c r="K347" t="s">
        <v>221</v>
      </c>
      <c r="L347" t="s">
        <v>75</v>
      </c>
      <c r="M347" t="s">
        <v>51</v>
      </c>
      <c r="N347" t="s">
        <v>63</v>
      </c>
      <c r="O347" t="s">
        <v>1885</v>
      </c>
      <c r="P347">
        <v>9999999999</v>
      </c>
      <c r="Q347" t="s">
        <v>54</v>
      </c>
      <c r="R347" t="s">
        <v>61</v>
      </c>
      <c r="S347" t="s">
        <v>43</v>
      </c>
      <c r="T347" t="s">
        <v>43</v>
      </c>
      <c r="U347" t="s">
        <v>44</v>
      </c>
      <c r="V347" t="s">
        <v>45</v>
      </c>
      <c r="W347" t="s">
        <v>5056</v>
      </c>
      <c r="X347" t="s">
        <v>45</v>
      </c>
      <c r="Y347" t="s">
        <v>46</v>
      </c>
      <c r="Z347" t="s">
        <v>47</v>
      </c>
      <c r="AA347" t="s">
        <v>48</v>
      </c>
      <c r="AB347" t="s">
        <v>49</v>
      </c>
      <c r="AC347" t="s">
        <v>49</v>
      </c>
      <c r="AD347" t="s">
        <v>1552</v>
      </c>
      <c r="AE347" t="s">
        <v>185</v>
      </c>
      <c r="AF347">
        <v>0</v>
      </c>
      <c r="AG347" t="s">
        <v>196</v>
      </c>
      <c r="AH347" s="93">
        <f>VLOOKUP(Table1[[#This Row],[Caste]],Factor!$H$1:$K$13,4,0)</f>
        <v>1.3836274505214585</v>
      </c>
      <c r="AI34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47">
        <f>Table1[[#This Row],[Factor_1]]*Table1[[#This Row],[2024 Factor]]</f>
        <v>1.1648410586678206</v>
      </c>
      <c r="AK347">
        <f>VLOOKUP(Table1[[#This Row],[Q18: Gender]],Factor!$A$33:$E$35,5,0)</f>
        <v>0.85034013605442171</v>
      </c>
      <c r="AL347">
        <f>VLOOKUP(Table1[[#This Row],[Taluka]],Factor!$A$42:$G$46,7,0)</f>
        <v>1.147984664167413</v>
      </c>
      <c r="AM347">
        <f>VLOOKUP(Table1[[#This Row],[Caste]]&amp;Table1[[#This Row],[Q18: Gender]],Factor!$W$1:$X$23,2,0)</f>
        <v>1.0790228998469584</v>
      </c>
      <c r="AN347">
        <f>VLOOKUP(Table1[[#This Row],[Taluka]]&amp;Table1[[#This Row],[Caste]]&amp;Table1[[#This Row],[Q18: Gender]],Factor!$AK$4:$AL$93,2,0)</f>
        <v>1.1572915102003449</v>
      </c>
      <c r="AO347">
        <f t="shared" si="55"/>
        <v>-1</v>
      </c>
      <c r="AP347">
        <f t="shared" si="56"/>
        <v>-1</v>
      </c>
      <c r="AQ347">
        <f t="shared" si="57"/>
        <v>-1</v>
      </c>
      <c r="AR347">
        <f t="shared" si="58"/>
        <v>-1</v>
      </c>
      <c r="AS347">
        <f t="shared" si="59"/>
        <v>-1</v>
      </c>
      <c r="AT347">
        <f t="shared" si="60"/>
        <v>-1</v>
      </c>
      <c r="AU347">
        <f t="shared" si="61"/>
        <v>-5.5</v>
      </c>
      <c r="AV347">
        <f>SUM(Table1[[#This Row],[Satis]:[29]])</f>
        <v>-6</v>
      </c>
      <c r="AW347">
        <f t="shared" si="62"/>
        <v>-5</v>
      </c>
      <c r="AX347">
        <f t="shared" si="63"/>
        <v>-4</v>
      </c>
      <c r="AY347">
        <f t="shared" si="64"/>
        <v>-3</v>
      </c>
      <c r="AZ347" t="str">
        <f t="shared" si="65"/>
        <v>TDP HardCore</v>
      </c>
    </row>
    <row r="348" spans="1:52" x14ac:dyDescent="0.3">
      <c r="A348" t="s">
        <v>2090</v>
      </c>
      <c r="B348" s="94">
        <v>46044</v>
      </c>
      <c r="C348" t="s">
        <v>2091</v>
      </c>
      <c r="D348" t="s">
        <v>2092</v>
      </c>
      <c r="E348" t="s">
        <v>1850</v>
      </c>
      <c r="F348" t="s">
        <v>935</v>
      </c>
      <c r="G348" t="s">
        <v>39</v>
      </c>
      <c r="H348" t="s">
        <v>2093</v>
      </c>
      <c r="I348" t="s">
        <v>227</v>
      </c>
      <c r="J348" t="s">
        <v>219</v>
      </c>
      <c r="K348" t="s">
        <v>224</v>
      </c>
      <c r="L348" t="s">
        <v>451</v>
      </c>
      <c r="M348" t="s">
        <v>51</v>
      </c>
      <c r="N348" t="s">
        <v>63</v>
      </c>
      <c r="O348" t="s">
        <v>2094</v>
      </c>
      <c r="P348">
        <v>7989531195</v>
      </c>
      <c r="Q348" t="s">
        <v>445</v>
      </c>
      <c r="R348" t="s">
        <v>61</v>
      </c>
      <c r="S348" t="s">
        <v>43</v>
      </c>
      <c r="T348" t="s">
        <v>43</v>
      </c>
      <c r="U348" t="s">
        <v>44</v>
      </c>
      <c r="V348" t="s">
        <v>45</v>
      </c>
      <c r="W348" t="s">
        <v>5050</v>
      </c>
      <c r="X348" t="s">
        <v>45</v>
      </c>
      <c r="Y348" t="s">
        <v>46</v>
      </c>
      <c r="Z348" t="s">
        <v>47</v>
      </c>
      <c r="AA348" t="s">
        <v>48</v>
      </c>
      <c r="AB348" t="s">
        <v>49</v>
      </c>
      <c r="AC348" t="s">
        <v>49</v>
      </c>
      <c r="AD348" t="s">
        <v>1279</v>
      </c>
      <c r="AE348" t="s">
        <v>1250</v>
      </c>
      <c r="AF348" t="s">
        <v>1614</v>
      </c>
      <c r="AG348" t="s">
        <v>498</v>
      </c>
      <c r="AH348" s="93">
        <f>VLOOKUP(Table1[[#This Row],[Caste]],Factor!$H$1:$K$13,4,0)</f>
        <v>1.2612194085121222</v>
      </c>
      <c r="AI34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48">
        <f>Table1[[#This Row],[Factor_1]]*Table1[[#This Row],[2024 Factor]]</f>
        <v>2.6155674106916162</v>
      </c>
      <c r="AK348">
        <f>VLOOKUP(Table1[[#This Row],[Q18: Gender]],Factor!$A$33:$E$35,5,0)</f>
        <v>2.1645021645021645</v>
      </c>
      <c r="AL348">
        <f>VLOOKUP(Table1[[#This Row],[Taluka]],Factor!$A$42:$G$46,7,0)</f>
        <v>1.147984664167413</v>
      </c>
      <c r="AM348">
        <f>VLOOKUP(Table1[[#This Row],[Caste]]&amp;Table1[[#This Row],[Q18: Gender]],Factor!$W$1:$X$23,2,0)</f>
        <v>2.4228688637206557</v>
      </c>
      <c r="AN348">
        <f>VLOOKUP(Table1[[#This Row],[Taluka]]&amp;Table1[[#This Row],[Caste]]&amp;Table1[[#This Row],[Q18: Gender]],Factor!$AK$4:$AL$93,2,0)</f>
        <v>2.2107623881946901</v>
      </c>
      <c r="AO348">
        <f t="shared" si="55"/>
        <v>-1</v>
      </c>
      <c r="AP348">
        <f t="shared" si="56"/>
        <v>-1</v>
      </c>
      <c r="AQ348">
        <f t="shared" si="57"/>
        <v>-1</v>
      </c>
      <c r="AR348">
        <f t="shared" si="58"/>
        <v>-1</v>
      </c>
      <c r="AS348">
        <f t="shared" si="59"/>
        <v>-1</v>
      </c>
      <c r="AT348">
        <f t="shared" si="60"/>
        <v>-1</v>
      </c>
      <c r="AU348">
        <f t="shared" si="61"/>
        <v>-5.5</v>
      </c>
      <c r="AV348">
        <f>SUM(Table1[[#This Row],[Satis]:[29]])</f>
        <v>-6</v>
      </c>
      <c r="AW348">
        <f t="shared" si="62"/>
        <v>-5</v>
      </c>
      <c r="AX348">
        <f t="shared" si="63"/>
        <v>-4</v>
      </c>
      <c r="AY348">
        <f t="shared" si="64"/>
        <v>-3</v>
      </c>
      <c r="AZ348" t="str">
        <f t="shared" si="65"/>
        <v>TDP HardCore</v>
      </c>
    </row>
    <row r="349" spans="1:52" x14ac:dyDescent="0.3">
      <c r="A349" t="s">
        <v>2437</v>
      </c>
      <c r="B349" s="94">
        <v>46045</v>
      </c>
      <c r="C349" t="s">
        <v>2438</v>
      </c>
      <c r="D349" t="s">
        <v>2439</v>
      </c>
      <c r="E349" t="s">
        <v>2440</v>
      </c>
      <c r="F349" t="s">
        <v>240</v>
      </c>
      <c r="G349" t="s">
        <v>39</v>
      </c>
      <c r="H349" t="s">
        <v>2441</v>
      </c>
      <c r="I349" t="s">
        <v>228</v>
      </c>
      <c r="J349" t="s">
        <v>71</v>
      </c>
      <c r="K349" t="s">
        <v>214</v>
      </c>
      <c r="L349" t="s">
        <v>62</v>
      </c>
      <c r="M349" t="s">
        <v>51</v>
      </c>
      <c r="N349" t="s">
        <v>63</v>
      </c>
      <c r="O349" t="s">
        <v>2442</v>
      </c>
      <c r="P349">
        <v>8886098544</v>
      </c>
      <c r="Q349" t="s">
        <v>54</v>
      </c>
      <c r="R349" t="s">
        <v>132</v>
      </c>
      <c r="S349" t="s">
        <v>43</v>
      </c>
      <c r="T349" t="s">
        <v>43</v>
      </c>
      <c r="U349" t="s">
        <v>44</v>
      </c>
      <c r="V349" t="s">
        <v>45</v>
      </c>
      <c r="W349" t="s">
        <v>5087</v>
      </c>
      <c r="X349" t="s">
        <v>45</v>
      </c>
      <c r="Y349" t="s">
        <v>46</v>
      </c>
      <c r="Z349" t="s">
        <v>47</v>
      </c>
      <c r="AA349" t="s">
        <v>48</v>
      </c>
      <c r="AB349" t="s">
        <v>49</v>
      </c>
      <c r="AC349" t="s">
        <v>49</v>
      </c>
      <c r="AD349" t="s">
        <v>481</v>
      </c>
      <c r="AE349" t="s">
        <v>185</v>
      </c>
      <c r="AF349">
        <v>0</v>
      </c>
      <c r="AG349" t="s">
        <v>196</v>
      </c>
      <c r="AH349" s="93">
        <f>VLOOKUP(Table1[[#This Row],[Caste]],Factor!$H$1:$K$13,4,0)</f>
        <v>0.80207032429970992</v>
      </c>
      <c r="AI34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49">
        <f>Table1[[#This Row],[Factor_1]]*Table1[[#This Row],[2024 Factor]]</f>
        <v>0.65595572330316032</v>
      </c>
      <c r="AK349">
        <f>VLOOKUP(Table1[[#This Row],[Q18: Gender]],Factor!$A$33:$E$35,5,0)</f>
        <v>0.85034013605442171</v>
      </c>
      <c r="AL349">
        <f>VLOOKUP(Table1[[#This Row],[Taluka]],Factor!$A$42:$G$46,7,0)</f>
        <v>1.1213131007097483</v>
      </c>
      <c r="AM349">
        <f>VLOOKUP(Table1[[#This Row],[Caste]]&amp;Table1[[#This Row],[Q18: Gender]],Factor!$W$1:$X$23,2,0)</f>
        <v>0.60762903356038633</v>
      </c>
      <c r="AN349">
        <f>VLOOKUP(Table1[[#This Row],[Taluka]]&amp;Table1[[#This Row],[Caste]]&amp;Table1[[#This Row],[Q18: Gender]],Factor!$AK$4:$AL$93,2,0)</f>
        <v>0.38672994380094594</v>
      </c>
      <c r="AO349">
        <f t="shared" si="55"/>
        <v>-1</v>
      </c>
      <c r="AP349">
        <f t="shared" si="56"/>
        <v>-1</v>
      </c>
      <c r="AQ349">
        <f t="shared" si="57"/>
        <v>-1</v>
      </c>
      <c r="AR349">
        <f t="shared" si="58"/>
        <v>-1</v>
      </c>
      <c r="AS349">
        <f t="shared" si="59"/>
        <v>-1</v>
      </c>
      <c r="AT349">
        <f t="shared" si="60"/>
        <v>-1</v>
      </c>
      <c r="AU349">
        <f t="shared" si="61"/>
        <v>-5.5</v>
      </c>
      <c r="AV349">
        <f>SUM(Table1[[#This Row],[Satis]:[29]])</f>
        <v>-6</v>
      </c>
      <c r="AW349">
        <f t="shared" si="62"/>
        <v>-5</v>
      </c>
      <c r="AX349">
        <f t="shared" si="63"/>
        <v>-4</v>
      </c>
      <c r="AY349">
        <f t="shared" si="64"/>
        <v>-3</v>
      </c>
      <c r="AZ349" t="str">
        <f t="shared" si="65"/>
        <v>TDP HardCore</v>
      </c>
    </row>
    <row r="350" spans="1:52" x14ac:dyDescent="0.3">
      <c r="A350" t="s">
        <v>2105</v>
      </c>
      <c r="B350" s="94">
        <v>46045</v>
      </c>
      <c r="C350" t="s">
        <v>2106</v>
      </c>
      <c r="D350" t="s">
        <v>2107</v>
      </c>
      <c r="E350" t="s">
        <v>2108</v>
      </c>
      <c r="F350" t="s">
        <v>240</v>
      </c>
      <c r="G350" t="s">
        <v>39</v>
      </c>
      <c r="H350" t="s">
        <v>2109</v>
      </c>
      <c r="I350" t="s">
        <v>36</v>
      </c>
      <c r="J350" t="s">
        <v>71</v>
      </c>
      <c r="K350" t="s">
        <v>214</v>
      </c>
      <c r="L350" t="s">
        <v>75</v>
      </c>
      <c r="M350" t="s">
        <v>51</v>
      </c>
      <c r="N350" t="s">
        <v>63</v>
      </c>
      <c r="O350" t="s">
        <v>2110</v>
      </c>
      <c r="P350">
        <v>9908133189</v>
      </c>
      <c r="Q350" t="s">
        <v>445</v>
      </c>
      <c r="R350" t="s">
        <v>61</v>
      </c>
      <c r="S350" t="s">
        <v>43</v>
      </c>
      <c r="T350" t="s">
        <v>43</v>
      </c>
      <c r="U350" t="s">
        <v>90</v>
      </c>
      <c r="V350" t="s">
        <v>45</v>
      </c>
      <c r="W350" t="s">
        <v>5064</v>
      </c>
      <c r="X350" t="s">
        <v>45</v>
      </c>
      <c r="Y350" t="s">
        <v>46</v>
      </c>
      <c r="Z350" t="s">
        <v>47</v>
      </c>
      <c r="AA350" t="s">
        <v>48</v>
      </c>
      <c r="AB350" t="s">
        <v>49</v>
      </c>
      <c r="AC350" t="s">
        <v>49</v>
      </c>
      <c r="AD350" t="s">
        <v>481</v>
      </c>
      <c r="AE350" t="s">
        <v>185</v>
      </c>
      <c r="AF350" t="s">
        <v>1290</v>
      </c>
      <c r="AG350" t="s">
        <v>196</v>
      </c>
      <c r="AH350" s="93">
        <f>VLOOKUP(Table1[[#This Row],[Caste]],Factor!$H$1:$K$13,4,0)</f>
        <v>1.1705128247062893</v>
      </c>
      <c r="AI35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50">
        <f>Table1[[#This Row],[Factor_1]]*Table1[[#This Row],[2024 Factor]]</f>
        <v>2.3577066232182737</v>
      </c>
      <c r="AK350">
        <f>VLOOKUP(Table1[[#This Row],[Q18: Gender]],Factor!$A$33:$E$35,5,0)</f>
        <v>2.1645021645021645</v>
      </c>
      <c r="AL350">
        <f>VLOOKUP(Table1[[#This Row],[Taluka]],Factor!$A$42:$G$46,7,0)</f>
        <v>1.1213131007097483</v>
      </c>
      <c r="AM350">
        <f>VLOOKUP(Table1[[#This Row],[Caste]]&amp;Table1[[#This Row],[Q18: Gender]],Factor!$W$1:$X$23,2,0)</f>
        <v>2.1840056363422229</v>
      </c>
      <c r="AN350">
        <f>VLOOKUP(Table1[[#This Row],[Taluka]]&amp;Table1[[#This Row],[Caste]]&amp;Table1[[#This Row],[Q18: Gender]],Factor!$AK$4:$AL$93,2,0)</f>
        <v>0.95944580773600496</v>
      </c>
      <c r="AO350">
        <f t="shared" si="55"/>
        <v>-1</v>
      </c>
      <c r="AP350">
        <f t="shared" si="56"/>
        <v>1</v>
      </c>
      <c r="AQ350">
        <f t="shared" si="57"/>
        <v>-1</v>
      </c>
      <c r="AR350">
        <f t="shared" si="58"/>
        <v>-1</v>
      </c>
      <c r="AS350">
        <f t="shared" si="59"/>
        <v>-1</v>
      </c>
      <c r="AT350">
        <f t="shared" si="60"/>
        <v>-1</v>
      </c>
      <c r="AU350">
        <f t="shared" si="61"/>
        <v>-3.5</v>
      </c>
      <c r="AV350">
        <f>SUM(Table1[[#This Row],[Satis]:[29]])</f>
        <v>-4</v>
      </c>
      <c r="AW350">
        <f t="shared" si="62"/>
        <v>-5</v>
      </c>
      <c r="AX350">
        <f t="shared" si="63"/>
        <v>-4</v>
      </c>
      <c r="AY350">
        <f t="shared" si="64"/>
        <v>-3</v>
      </c>
      <c r="AZ350" t="str">
        <f t="shared" si="65"/>
        <v>TDP Sympathiser</v>
      </c>
    </row>
    <row r="351" spans="1:52" x14ac:dyDescent="0.3">
      <c r="A351" t="s">
        <v>2200</v>
      </c>
      <c r="B351" s="94">
        <v>46045</v>
      </c>
      <c r="C351" t="s">
        <v>2201</v>
      </c>
      <c r="D351" t="s">
        <v>2202</v>
      </c>
      <c r="E351" t="s">
        <v>1515</v>
      </c>
      <c r="F351" t="s">
        <v>240</v>
      </c>
      <c r="G351" t="s">
        <v>39</v>
      </c>
      <c r="H351" t="s">
        <v>2203</v>
      </c>
      <c r="I351" t="s">
        <v>36</v>
      </c>
      <c r="J351" t="s">
        <v>71</v>
      </c>
      <c r="K351" t="s">
        <v>214</v>
      </c>
      <c r="L351" t="s">
        <v>62</v>
      </c>
      <c r="M351" t="s">
        <v>51</v>
      </c>
      <c r="N351" t="s">
        <v>63</v>
      </c>
      <c r="O351" t="s">
        <v>1912</v>
      </c>
      <c r="P351">
        <v>7997841231</v>
      </c>
      <c r="Q351" t="s">
        <v>54</v>
      </c>
      <c r="R351" t="s">
        <v>2116</v>
      </c>
      <c r="S351" t="s">
        <v>43</v>
      </c>
      <c r="T351" t="s">
        <v>43</v>
      </c>
      <c r="U351" t="s">
        <v>44</v>
      </c>
      <c r="V351" t="s">
        <v>45</v>
      </c>
      <c r="W351" t="s">
        <v>5056</v>
      </c>
      <c r="X351" t="s">
        <v>45</v>
      </c>
      <c r="Y351" t="s">
        <v>46</v>
      </c>
      <c r="Z351" t="s">
        <v>47</v>
      </c>
      <c r="AA351" t="s">
        <v>48</v>
      </c>
      <c r="AB351" t="s">
        <v>49</v>
      </c>
      <c r="AC351" t="s">
        <v>49</v>
      </c>
      <c r="AD351" t="s">
        <v>481</v>
      </c>
      <c r="AE351" t="s">
        <v>185</v>
      </c>
      <c r="AF351" t="s">
        <v>1341</v>
      </c>
      <c r="AG351" t="s">
        <v>196</v>
      </c>
      <c r="AH351" s="93">
        <f>VLOOKUP(Table1[[#This Row],[Caste]],Factor!$H$1:$K$13,4,0)</f>
        <v>1.1705128247062893</v>
      </c>
      <c r="AI35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51">
        <f>Table1[[#This Row],[Factor_1]]*Table1[[#This Row],[2024 Factor]]</f>
        <v>0.86308903171383233</v>
      </c>
      <c r="AK351">
        <f>VLOOKUP(Table1[[#This Row],[Q18: Gender]],Factor!$A$33:$E$35,5,0)</f>
        <v>0.85034013605442171</v>
      </c>
      <c r="AL351">
        <f>VLOOKUP(Table1[[#This Row],[Taluka]],Factor!$A$42:$G$46,7,0)</f>
        <v>1.1213131007097483</v>
      </c>
      <c r="AM351">
        <f>VLOOKUP(Table1[[#This Row],[Caste]]&amp;Table1[[#This Row],[Q18: Gender]],Factor!$W$1:$X$23,2,0)</f>
        <v>0.79950206330384943</v>
      </c>
      <c r="AN351">
        <f>VLOOKUP(Table1[[#This Row],[Taluka]]&amp;Table1[[#This Row],[Caste]]&amp;Table1[[#This Row],[Q18: Gender]],Factor!$AK$4:$AL$93,2,0)</f>
        <v>0.7401439088249181</v>
      </c>
      <c r="AO351">
        <f t="shared" si="55"/>
        <v>-1</v>
      </c>
      <c r="AP351">
        <f t="shared" si="56"/>
        <v>-1</v>
      </c>
      <c r="AQ351">
        <f t="shared" si="57"/>
        <v>-1</v>
      </c>
      <c r="AR351">
        <f t="shared" si="58"/>
        <v>-1</v>
      </c>
      <c r="AS351">
        <f t="shared" si="59"/>
        <v>-1</v>
      </c>
      <c r="AT351">
        <f t="shared" si="60"/>
        <v>-1</v>
      </c>
      <c r="AU351">
        <f t="shared" si="61"/>
        <v>-5.5</v>
      </c>
      <c r="AV351">
        <f>SUM(Table1[[#This Row],[Satis]:[29]])</f>
        <v>-6</v>
      </c>
      <c r="AW351">
        <f t="shared" si="62"/>
        <v>-5</v>
      </c>
      <c r="AX351">
        <f t="shared" si="63"/>
        <v>-4</v>
      </c>
      <c r="AY351">
        <f t="shared" si="64"/>
        <v>-3</v>
      </c>
      <c r="AZ351" t="str">
        <f t="shared" si="65"/>
        <v>TDP HardCore</v>
      </c>
    </row>
    <row r="352" spans="1:52" x14ac:dyDescent="0.3">
      <c r="A352" t="s">
        <v>2298</v>
      </c>
      <c r="B352" s="94">
        <v>46045</v>
      </c>
      <c r="C352" t="s">
        <v>2299</v>
      </c>
      <c r="D352" t="s">
        <v>2300</v>
      </c>
      <c r="E352" t="s">
        <v>530</v>
      </c>
      <c r="F352" t="s">
        <v>935</v>
      </c>
      <c r="G352" t="s">
        <v>39</v>
      </c>
      <c r="H352" t="s">
        <v>2301</v>
      </c>
      <c r="I352" t="s">
        <v>70</v>
      </c>
      <c r="J352" t="s">
        <v>219</v>
      </c>
      <c r="K352" t="s">
        <v>224</v>
      </c>
      <c r="L352" t="s">
        <v>62</v>
      </c>
      <c r="M352" t="s">
        <v>51</v>
      </c>
      <c r="N352" t="s">
        <v>63</v>
      </c>
      <c r="O352" t="s">
        <v>2302</v>
      </c>
      <c r="P352">
        <v>9000000000</v>
      </c>
      <c r="Q352" t="s">
        <v>54</v>
      </c>
      <c r="R352" t="s">
        <v>2116</v>
      </c>
      <c r="S352" t="s">
        <v>43</v>
      </c>
      <c r="T352" t="s">
        <v>43</v>
      </c>
      <c r="U352" t="s">
        <v>44</v>
      </c>
      <c r="V352" t="s">
        <v>91</v>
      </c>
      <c r="W352" t="s">
        <v>5055</v>
      </c>
      <c r="X352" t="s">
        <v>45</v>
      </c>
      <c r="Y352" t="s">
        <v>46</v>
      </c>
      <c r="Z352" t="s">
        <v>92</v>
      </c>
      <c r="AA352" t="s">
        <v>92</v>
      </c>
      <c r="AB352" t="s">
        <v>93</v>
      </c>
      <c r="AC352" t="s">
        <v>94</v>
      </c>
      <c r="AD352" t="s">
        <v>494</v>
      </c>
      <c r="AE352" t="s">
        <v>185</v>
      </c>
      <c r="AF352">
        <v>0</v>
      </c>
      <c r="AG352" t="s">
        <v>196</v>
      </c>
      <c r="AH352" s="93">
        <f>VLOOKUP(Table1[[#This Row],[Caste]],Factor!$H$1:$K$13,4,0)</f>
        <v>1.3836274505214585</v>
      </c>
      <c r="AI352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352">
        <f>Table1[[#This Row],[Factor_1]]*Table1[[#This Row],[2024 Factor]]</f>
        <v>1.9482662206881376</v>
      </c>
      <c r="AK352">
        <f>VLOOKUP(Table1[[#This Row],[Q18: Gender]],Factor!$A$33:$E$35,5,0)</f>
        <v>0.85034013605442171</v>
      </c>
      <c r="AL352">
        <f>VLOOKUP(Table1[[#This Row],[Taluka]],Factor!$A$42:$G$46,7,0)</f>
        <v>1.147984664167413</v>
      </c>
      <c r="AM352">
        <f>VLOOKUP(Table1[[#This Row],[Caste]]&amp;Table1[[#This Row],[Q18: Gender]],Factor!$W$1:$X$23,2,0)</f>
        <v>1.0790228998469584</v>
      </c>
      <c r="AN352">
        <f>VLOOKUP(Table1[[#This Row],[Taluka]]&amp;Table1[[#This Row],[Caste]]&amp;Table1[[#This Row],[Q18: Gender]],Factor!$AK$4:$AL$93,2,0)</f>
        <v>1.1572915102003449</v>
      </c>
      <c r="AO352">
        <f t="shared" si="55"/>
        <v>-1</v>
      </c>
      <c r="AP352">
        <f t="shared" si="56"/>
        <v>-1</v>
      </c>
      <c r="AQ352">
        <f t="shared" si="57"/>
        <v>1</v>
      </c>
      <c r="AR352">
        <f t="shared" si="58"/>
        <v>-1</v>
      </c>
      <c r="AS352">
        <f t="shared" si="59"/>
        <v>1</v>
      </c>
      <c r="AT352">
        <f t="shared" si="60"/>
        <v>1</v>
      </c>
      <c r="AU352">
        <f t="shared" si="61"/>
        <v>-0.5</v>
      </c>
      <c r="AV352">
        <f>SUM(Table1[[#This Row],[Satis]:[29]])</f>
        <v>0</v>
      </c>
      <c r="AW352">
        <f t="shared" si="62"/>
        <v>1</v>
      </c>
      <c r="AX352">
        <f t="shared" si="63"/>
        <v>2</v>
      </c>
      <c r="AY352">
        <f t="shared" si="64"/>
        <v>2</v>
      </c>
      <c r="AZ352" t="str">
        <f t="shared" si="65"/>
        <v>Neutral YSRCP</v>
      </c>
    </row>
    <row r="353" spans="1:52" x14ac:dyDescent="0.3">
      <c r="A353" t="s">
        <v>2129</v>
      </c>
      <c r="B353" s="94">
        <v>46045</v>
      </c>
      <c r="C353" t="s">
        <v>2130</v>
      </c>
      <c r="D353" t="s">
        <v>2131</v>
      </c>
      <c r="E353" t="s">
        <v>1370</v>
      </c>
      <c r="F353" t="s">
        <v>69</v>
      </c>
      <c r="G353" t="s">
        <v>39</v>
      </c>
      <c r="H353" t="s">
        <v>2132</v>
      </c>
      <c r="I353" t="s">
        <v>70</v>
      </c>
      <c r="J353" t="s">
        <v>219</v>
      </c>
      <c r="K353" t="s">
        <v>221</v>
      </c>
      <c r="L353" t="s">
        <v>75</v>
      </c>
      <c r="M353" t="s">
        <v>51</v>
      </c>
      <c r="N353" t="s">
        <v>63</v>
      </c>
      <c r="O353" t="s">
        <v>2133</v>
      </c>
      <c r="P353">
        <v>9866178869</v>
      </c>
      <c r="Q353" t="s">
        <v>54</v>
      </c>
      <c r="R353" t="s">
        <v>132</v>
      </c>
      <c r="S353" t="s">
        <v>89</v>
      </c>
      <c r="T353" t="s">
        <v>89</v>
      </c>
      <c r="U353" t="s">
        <v>44</v>
      </c>
      <c r="V353" t="s">
        <v>45</v>
      </c>
      <c r="W353" t="s">
        <v>5046</v>
      </c>
      <c r="X353" t="s">
        <v>45</v>
      </c>
      <c r="Y353" t="s">
        <v>46</v>
      </c>
      <c r="Z353" t="s">
        <v>47</v>
      </c>
      <c r="AA353" t="s">
        <v>48</v>
      </c>
      <c r="AB353" t="s">
        <v>49</v>
      </c>
      <c r="AC353" t="s">
        <v>49</v>
      </c>
      <c r="AD353" t="s">
        <v>494</v>
      </c>
      <c r="AE353" t="s">
        <v>185</v>
      </c>
      <c r="AF353" t="s">
        <v>2971</v>
      </c>
      <c r="AG353" t="s">
        <v>196</v>
      </c>
      <c r="AH353" s="93">
        <f>VLOOKUP(Table1[[#This Row],[Caste]],Factor!$H$1:$K$13,4,0)</f>
        <v>1.3836274505214585</v>
      </c>
      <c r="AI35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53">
        <f>Table1[[#This Row],[Factor_1]]*Table1[[#This Row],[2024 Factor]]</f>
        <v>1.1648410586678206</v>
      </c>
      <c r="AK353">
        <f>VLOOKUP(Table1[[#This Row],[Q18: Gender]],Factor!$A$33:$E$35,5,0)</f>
        <v>0.85034013605442171</v>
      </c>
      <c r="AL353">
        <f>VLOOKUP(Table1[[#This Row],[Taluka]],Factor!$A$42:$G$46,7,0)</f>
        <v>1.147984664167413</v>
      </c>
      <c r="AM353">
        <f>VLOOKUP(Table1[[#This Row],[Caste]]&amp;Table1[[#This Row],[Q18: Gender]],Factor!$W$1:$X$23,2,0)</f>
        <v>1.0790228998469584</v>
      </c>
      <c r="AN353">
        <f>VLOOKUP(Table1[[#This Row],[Taluka]]&amp;Table1[[#This Row],[Caste]]&amp;Table1[[#This Row],[Q18: Gender]],Factor!$AK$4:$AL$93,2,0)</f>
        <v>1.1572915102003449</v>
      </c>
      <c r="AO353">
        <f t="shared" si="55"/>
        <v>1</v>
      </c>
      <c r="AP353">
        <f t="shared" si="56"/>
        <v>-1</v>
      </c>
      <c r="AQ353">
        <f t="shared" si="57"/>
        <v>-1</v>
      </c>
      <c r="AR353">
        <f t="shared" si="58"/>
        <v>-1</v>
      </c>
      <c r="AS353">
        <f t="shared" si="59"/>
        <v>-1</v>
      </c>
      <c r="AT353">
        <f t="shared" si="60"/>
        <v>-1</v>
      </c>
      <c r="AU353">
        <f t="shared" si="61"/>
        <v>-3.5</v>
      </c>
      <c r="AV353">
        <f>SUM(Table1[[#This Row],[Satis]:[29]])</f>
        <v>-4</v>
      </c>
      <c r="AW353">
        <f t="shared" si="62"/>
        <v>-3</v>
      </c>
      <c r="AX353">
        <f t="shared" si="63"/>
        <v>-4</v>
      </c>
      <c r="AY353">
        <f t="shared" si="64"/>
        <v>-2</v>
      </c>
      <c r="AZ353" t="str">
        <f t="shared" si="65"/>
        <v>TDP Sympathiser</v>
      </c>
    </row>
    <row r="354" spans="1:52" x14ac:dyDescent="0.3">
      <c r="A354" t="s">
        <v>2344</v>
      </c>
      <c r="B354" s="94">
        <v>46045</v>
      </c>
      <c r="C354" t="s">
        <v>2345</v>
      </c>
      <c r="D354" t="s">
        <v>2346</v>
      </c>
      <c r="E354" t="s">
        <v>2347</v>
      </c>
      <c r="F354" t="s">
        <v>240</v>
      </c>
      <c r="G354" t="s">
        <v>39</v>
      </c>
      <c r="H354" t="s">
        <v>2348</v>
      </c>
      <c r="I354" t="s">
        <v>145</v>
      </c>
      <c r="J354" t="s">
        <v>71</v>
      </c>
      <c r="K354" t="s">
        <v>214</v>
      </c>
      <c r="L354" t="s">
        <v>75</v>
      </c>
      <c r="M354" t="s">
        <v>51</v>
      </c>
      <c r="N354" t="s">
        <v>63</v>
      </c>
      <c r="O354" t="s">
        <v>2349</v>
      </c>
      <c r="P354">
        <v>8106390677</v>
      </c>
      <c r="Q354" t="s">
        <v>445</v>
      </c>
      <c r="R354" t="s">
        <v>2116</v>
      </c>
      <c r="S354" t="s">
        <v>43</v>
      </c>
      <c r="T354" t="s">
        <v>43</v>
      </c>
      <c r="U354" t="s">
        <v>44</v>
      </c>
      <c r="V354" t="s">
        <v>45</v>
      </c>
      <c r="W354" t="s">
        <v>5055</v>
      </c>
      <c r="X354" t="s">
        <v>91</v>
      </c>
      <c r="Y354" t="s">
        <v>46</v>
      </c>
      <c r="Z354" t="s">
        <v>92</v>
      </c>
      <c r="AA354" t="s">
        <v>48</v>
      </c>
      <c r="AB354" t="s">
        <v>49</v>
      </c>
      <c r="AC354" t="s">
        <v>49</v>
      </c>
      <c r="AD354" t="s">
        <v>481</v>
      </c>
      <c r="AE354" t="s">
        <v>185</v>
      </c>
      <c r="AF354">
        <v>0</v>
      </c>
      <c r="AG354" t="s">
        <v>196</v>
      </c>
      <c r="AH354" s="93">
        <f>VLOOKUP(Table1[[#This Row],[Caste]],Factor!$H$1:$K$13,4,0)</f>
        <v>1.8452248965186235</v>
      </c>
      <c r="AI35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54">
        <f>Table1[[#This Row],[Factor_1]]*Table1[[#This Row],[2024 Factor]]</f>
        <v>2.738974648348997</v>
      </c>
      <c r="AK354">
        <f>VLOOKUP(Table1[[#This Row],[Q18: Gender]],Factor!$A$33:$E$35,5,0)</f>
        <v>2.1645021645021645</v>
      </c>
      <c r="AL354">
        <f>VLOOKUP(Table1[[#This Row],[Taluka]],Factor!$A$42:$G$46,7,0)</f>
        <v>1.1213131007097483</v>
      </c>
      <c r="AM354">
        <f>VLOOKUP(Table1[[#This Row],[Caste]]&amp;Table1[[#This Row],[Q18: Gender]],Factor!$W$1:$X$23,2,0)</f>
        <v>2.5371842327131073</v>
      </c>
      <c r="AN354">
        <f>VLOOKUP(Table1[[#This Row],[Taluka]]&amp;Table1[[#This Row],[Caste]]&amp;Table1[[#This Row],[Q18: Gender]],Factor!$AK$4:$AL$93,2,0)</f>
        <v>1.4680086062325961</v>
      </c>
      <c r="AO354">
        <f t="shared" si="55"/>
        <v>-1</v>
      </c>
      <c r="AP354">
        <f t="shared" si="56"/>
        <v>-1</v>
      </c>
      <c r="AQ354">
        <f t="shared" si="57"/>
        <v>-1</v>
      </c>
      <c r="AR354">
        <f t="shared" si="58"/>
        <v>1</v>
      </c>
      <c r="AS354">
        <f t="shared" si="59"/>
        <v>-1</v>
      </c>
      <c r="AT354">
        <f t="shared" si="60"/>
        <v>1</v>
      </c>
      <c r="AU354">
        <f t="shared" si="61"/>
        <v>-1.5</v>
      </c>
      <c r="AV354">
        <f>SUM(Table1[[#This Row],[Satis]:[29]])</f>
        <v>-2</v>
      </c>
      <c r="AW354">
        <f t="shared" si="62"/>
        <v>-1</v>
      </c>
      <c r="AX354">
        <f t="shared" si="63"/>
        <v>0</v>
      </c>
      <c r="AY354" t="str">
        <f t="shared" si="64"/>
        <v>ND</v>
      </c>
      <c r="AZ354" t="str">
        <f t="shared" si="65"/>
        <v>ND</v>
      </c>
    </row>
    <row r="355" spans="1:52" x14ac:dyDescent="0.3">
      <c r="A355" t="s">
        <v>2139</v>
      </c>
      <c r="B355" s="94">
        <v>46045</v>
      </c>
      <c r="C355" t="s">
        <v>2140</v>
      </c>
      <c r="D355" t="s">
        <v>2141</v>
      </c>
      <c r="E355" t="s">
        <v>2142</v>
      </c>
      <c r="F355" t="s">
        <v>69</v>
      </c>
      <c r="G355" t="s">
        <v>39</v>
      </c>
      <c r="H355" t="s">
        <v>2143</v>
      </c>
      <c r="I355" t="s">
        <v>227</v>
      </c>
      <c r="J355" t="s">
        <v>219</v>
      </c>
      <c r="K355" t="s">
        <v>221</v>
      </c>
      <c r="L355" t="s">
        <v>50</v>
      </c>
      <c r="M355" t="s">
        <v>51</v>
      </c>
      <c r="N355" t="s">
        <v>52</v>
      </c>
      <c r="O355" t="s">
        <v>2144</v>
      </c>
      <c r="P355">
        <v>9999999999</v>
      </c>
      <c r="Q355" t="s">
        <v>54</v>
      </c>
      <c r="R355" t="s">
        <v>73</v>
      </c>
      <c r="S355" t="s">
        <v>43</v>
      </c>
      <c r="T355" t="s">
        <v>43</v>
      </c>
      <c r="U355" t="s">
        <v>44</v>
      </c>
      <c r="V355" t="s">
        <v>45</v>
      </c>
      <c r="W355" t="s">
        <v>5058</v>
      </c>
      <c r="X355" t="s">
        <v>45</v>
      </c>
      <c r="Y355" t="s">
        <v>46</v>
      </c>
      <c r="Z355" t="s">
        <v>47</v>
      </c>
      <c r="AA355" t="s">
        <v>48</v>
      </c>
      <c r="AB355" t="s">
        <v>49</v>
      </c>
      <c r="AC355" t="s">
        <v>49</v>
      </c>
      <c r="AD355" t="s">
        <v>481</v>
      </c>
      <c r="AE355" t="s">
        <v>189</v>
      </c>
      <c r="AF355" t="s">
        <v>2977</v>
      </c>
      <c r="AG355" t="s">
        <v>196</v>
      </c>
      <c r="AH355" s="93">
        <f>VLOOKUP(Table1[[#This Row],[Caste]],Factor!$H$1:$K$13,4,0)</f>
        <v>1.2612194085121222</v>
      </c>
      <c r="AI35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55">
        <f>Table1[[#This Row],[Factor_1]]*Table1[[#This Row],[2024 Factor]]</f>
        <v>0.92029223709519836</v>
      </c>
      <c r="AK355">
        <f>VLOOKUP(Table1[[#This Row],[Q18: Gender]],Factor!$A$33:$E$35,5,0)</f>
        <v>0.85034013605442171</v>
      </c>
      <c r="AL355">
        <f>VLOOKUP(Table1[[#This Row],[Taluka]],Factor!$A$42:$G$46,7,0)</f>
        <v>1.147984664167413</v>
      </c>
      <c r="AM355">
        <f>VLOOKUP(Table1[[#This Row],[Caste]]&amp;Table1[[#This Row],[Q18: Gender]],Factor!$W$1:$X$23,2,0)</f>
        <v>0.85249089649430487</v>
      </c>
      <c r="AN355">
        <f>VLOOKUP(Table1[[#This Row],[Taluka]]&amp;Table1[[#This Row],[Caste]]&amp;Table1[[#This Row],[Q18: Gender]],Factor!$AK$4:$AL$93,2,0)</f>
        <v>0.41451794778650441</v>
      </c>
      <c r="AO355">
        <f t="shared" si="55"/>
        <v>-1</v>
      </c>
      <c r="AP355">
        <f t="shared" si="56"/>
        <v>-1</v>
      </c>
      <c r="AQ355">
        <f t="shared" si="57"/>
        <v>-1</v>
      </c>
      <c r="AR355">
        <f t="shared" si="58"/>
        <v>-1</v>
      </c>
      <c r="AS355">
        <f t="shared" si="59"/>
        <v>-1</v>
      </c>
      <c r="AT355">
        <f t="shared" si="60"/>
        <v>-1</v>
      </c>
      <c r="AU355">
        <f t="shared" si="61"/>
        <v>-5.5</v>
      </c>
      <c r="AV355">
        <f>SUM(Table1[[#This Row],[Satis]:[29]])</f>
        <v>-6</v>
      </c>
      <c r="AW355">
        <f t="shared" si="62"/>
        <v>-5</v>
      </c>
      <c r="AX355">
        <f t="shared" si="63"/>
        <v>-4</v>
      </c>
      <c r="AY355">
        <f t="shared" si="64"/>
        <v>-3</v>
      </c>
      <c r="AZ355" t="str">
        <f t="shared" si="65"/>
        <v>TDP HardCore</v>
      </c>
    </row>
    <row r="356" spans="1:52" x14ac:dyDescent="0.3">
      <c r="A356" t="s">
        <v>2145</v>
      </c>
      <c r="B356" s="94">
        <v>46045</v>
      </c>
      <c r="C356" t="s">
        <v>2146</v>
      </c>
      <c r="D356" t="s">
        <v>2147</v>
      </c>
      <c r="E356" t="s">
        <v>1515</v>
      </c>
      <c r="F356" t="s">
        <v>240</v>
      </c>
      <c r="G356" t="s">
        <v>39</v>
      </c>
      <c r="H356" t="s">
        <v>2148</v>
      </c>
      <c r="I356" t="s">
        <v>230</v>
      </c>
      <c r="J356" t="s">
        <v>71</v>
      </c>
      <c r="K356" t="s">
        <v>214</v>
      </c>
      <c r="L356" t="s">
        <v>62</v>
      </c>
      <c r="M356" t="s">
        <v>51</v>
      </c>
      <c r="N356" t="s">
        <v>52</v>
      </c>
      <c r="O356" t="s">
        <v>651</v>
      </c>
      <c r="P356">
        <v>9573568890</v>
      </c>
      <c r="Q356" t="s">
        <v>54</v>
      </c>
      <c r="R356" t="s">
        <v>73</v>
      </c>
      <c r="S356" t="s">
        <v>43</v>
      </c>
      <c r="T356" t="s">
        <v>43</v>
      </c>
      <c r="U356" t="s">
        <v>90</v>
      </c>
      <c r="V356" t="s">
        <v>45</v>
      </c>
      <c r="W356" t="s">
        <v>5073</v>
      </c>
      <c r="X356" t="s">
        <v>45</v>
      </c>
      <c r="Y356" t="s">
        <v>46</v>
      </c>
      <c r="Z356" t="s">
        <v>242</v>
      </c>
      <c r="AA356" t="s">
        <v>242</v>
      </c>
      <c r="AB356" t="s">
        <v>49</v>
      </c>
      <c r="AC356" t="s">
        <v>49</v>
      </c>
      <c r="AD356" t="s">
        <v>481</v>
      </c>
      <c r="AE356" t="s">
        <v>189</v>
      </c>
      <c r="AF356" t="s">
        <v>2968</v>
      </c>
      <c r="AG356" t="s">
        <v>196</v>
      </c>
      <c r="AH356" s="93">
        <f>VLOOKUP(Table1[[#This Row],[Caste]],Factor!$H$1:$K$13,4,0)</f>
        <v>1.0786696182614144</v>
      </c>
      <c r="AI356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356">
        <f>Table1[[#This Row],[Factor_1]]*Table1[[#This Row],[2024 Factor]]</f>
        <v>0.7135814397729362</v>
      </c>
      <c r="AK356">
        <f>VLOOKUP(Table1[[#This Row],[Q18: Gender]],Factor!$A$33:$E$35,5,0)</f>
        <v>0.85034013605442171</v>
      </c>
      <c r="AL356">
        <f>VLOOKUP(Table1[[#This Row],[Taluka]],Factor!$A$42:$G$46,7,0)</f>
        <v>1.1213131007097483</v>
      </c>
      <c r="AM356">
        <f>VLOOKUP(Table1[[#This Row],[Caste]]&amp;Table1[[#This Row],[Q18: Gender]],Factor!$W$1:$X$23,2,0)</f>
        <v>1.0786696182614144</v>
      </c>
      <c r="AN356">
        <f>VLOOKUP(Table1[[#This Row],[Taluka]]&amp;Table1[[#This Row],[Caste]]&amp;Table1[[#This Row],[Q18: Gender]],Factor!$AK$4:$AL$93,2,0)</f>
        <v>0.46808670685181952</v>
      </c>
      <c r="AO356">
        <f t="shared" si="55"/>
        <v>-1</v>
      </c>
      <c r="AP356">
        <f t="shared" si="56"/>
        <v>1</v>
      </c>
      <c r="AQ356">
        <f t="shared" si="57"/>
        <v>-1</v>
      </c>
      <c r="AR356">
        <f t="shared" si="58"/>
        <v>-1</v>
      </c>
      <c r="AS356">
        <f t="shared" si="59"/>
        <v>-1</v>
      </c>
      <c r="AT356">
        <f t="shared" si="60"/>
        <v>-1</v>
      </c>
      <c r="AU356">
        <f t="shared" si="61"/>
        <v>-3.5</v>
      </c>
      <c r="AV356">
        <f>SUM(Table1[[#This Row],[Satis]:[29]])</f>
        <v>-4</v>
      </c>
      <c r="AW356">
        <f t="shared" si="62"/>
        <v>-5</v>
      </c>
      <c r="AX356">
        <f t="shared" si="63"/>
        <v>-4</v>
      </c>
      <c r="AY356">
        <f t="shared" si="64"/>
        <v>-3</v>
      </c>
      <c r="AZ356" t="str">
        <f t="shared" si="65"/>
        <v>TDP Sympathiser</v>
      </c>
    </row>
    <row r="357" spans="1:52" x14ac:dyDescent="0.3">
      <c r="A357" t="s">
        <v>2388</v>
      </c>
      <c r="B357" s="94">
        <v>46045</v>
      </c>
      <c r="C357" t="s">
        <v>2389</v>
      </c>
      <c r="D357" t="s">
        <v>2346</v>
      </c>
      <c r="E357" t="s">
        <v>2347</v>
      </c>
      <c r="F357" t="s">
        <v>240</v>
      </c>
      <c r="G357" t="s">
        <v>39</v>
      </c>
      <c r="H357" t="s">
        <v>2390</v>
      </c>
      <c r="I357" t="s">
        <v>145</v>
      </c>
      <c r="J357" t="s">
        <v>71</v>
      </c>
      <c r="K357" t="s">
        <v>214</v>
      </c>
      <c r="L357" t="s">
        <v>75</v>
      </c>
      <c r="M357" t="s">
        <v>51</v>
      </c>
      <c r="N357" t="s">
        <v>63</v>
      </c>
      <c r="O357" t="s">
        <v>2349</v>
      </c>
      <c r="P357">
        <v>8106390677</v>
      </c>
      <c r="Q357" t="s">
        <v>445</v>
      </c>
      <c r="R357" t="s">
        <v>2116</v>
      </c>
      <c r="S357" t="s">
        <v>43</v>
      </c>
      <c r="T357" t="s">
        <v>43</v>
      </c>
      <c r="U357" t="s">
        <v>44</v>
      </c>
      <c r="V357" t="s">
        <v>45</v>
      </c>
      <c r="W357" t="s">
        <v>5055</v>
      </c>
      <c r="X357" t="s">
        <v>91</v>
      </c>
      <c r="Y357" t="s">
        <v>46</v>
      </c>
      <c r="Z357" t="s">
        <v>92</v>
      </c>
      <c r="AA357" t="s">
        <v>48</v>
      </c>
      <c r="AB357" t="s">
        <v>49</v>
      </c>
      <c r="AC357" t="s">
        <v>49</v>
      </c>
      <c r="AD357">
        <v>0</v>
      </c>
      <c r="AE357" t="s">
        <v>185</v>
      </c>
      <c r="AF357">
        <v>0</v>
      </c>
      <c r="AG357" t="s">
        <v>196</v>
      </c>
      <c r="AH357" s="93">
        <f>VLOOKUP(Table1[[#This Row],[Caste]],Factor!$H$1:$K$13,4,0)</f>
        <v>1.8452248965186235</v>
      </c>
      <c r="AI35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57">
        <f>Table1[[#This Row],[Factor_1]]*Table1[[#This Row],[2024 Factor]]</f>
        <v>2.738974648348997</v>
      </c>
      <c r="AK357">
        <f>VLOOKUP(Table1[[#This Row],[Q18: Gender]],Factor!$A$33:$E$35,5,0)</f>
        <v>2.1645021645021645</v>
      </c>
      <c r="AL357">
        <f>VLOOKUP(Table1[[#This Row],[Taluka]],Factor!$A$42:$G$46,7,0)</f>
        <v>1.1213131007097483</v>
      </c>
      <c r="AM357">
        <f>VLOOKUP(Table1[[#This Row],[Caste]]&amp;Table1[[#This Row],[Q18: Gender]],Factor!$W$1:$X$23,2,0)</f>
        <v>2.5371842327131073</v>
      </c>
      <c r="AN357">
        <f>VLOOKUP(Table1[[#This Row],[Taluka]]&amp;Table1[[#This Row],[Caste]]&amp;Table1[[#This Row],[Q18: Gender]],Factor!$AK$4:$AL$93,2,0)</f>
        <v>1.4680086062325961</v>
      </c>
      <c r="AO357">
        <f t="shared" si="55"/>
        <v>-1</v>
      </c>
      <c r="AP357">
        <f t="shared" si="56"/>
        <v>-1</v>
      </c>
      <c r="AQ357">
        <f t="shared" si="57"/>
        <v>-1</v>
      </c>
      <c r="AR357">
        <f t="shared" si="58"/>
        <v>1</v>
      </c>
      <c r="AS357">
        <f t="shared" si="59"/>
        <v>-1</v>
      </c>
      <c r="AT357">
        <f t="shared" si="60"/>
        <v>1</v>
      </c>
      <c r="AU357">
        <f t="shared" si="61"/>
        <v>-1.5</v>
      </c>
      <c r="AV357">
        <f>SUM(Table1[[#This Row],[Satis]:[29]])</f>
        <v>-2</v>
      </c>
      <c r="AW357">
        <f t="shared" si="62"/>
        <v>-1</v>
      </c>
      <c r="AX357">
        <f t="shared" si="63"/>
        <v>0</v>
      </c>
      <c r="AY357" t="str">
        <f t="shared" si="64"/>
        <v>ND</v>
      </c>
      <c r="AZ357" t="str">
        <f t="shared" si="65"/>
        <v>ND</v>
      </c>
    </row>
    <row r="358" spans="1:52" x14ac:dyDescent="0.3">
      <c r="A358" t="s">
        <v>2443</v>
      </c>
      <c r="B358" s="94">
        <v>46045</v>
      </c>
      <c r="C358" t="s">
        <v>2444</v>
      </c>
      <c r="D358" t="s">
        <v>2445</v>
      </c>
      <c r="E358" t="s">
        <v>2446</v>
      </c>
      <c r="F358" t="s">
        <v>240</v>
      </c>
      <c r="G358" t="s">
        <v>39</v>
      </c>
      <c r="H358" t="s">
        <v>2447</v>
      </c>
      <c r="I358" t="s">
        <v>145</v>
      </c>
      <c r="J358" t="s">
        <v>71</v>
      </c>
      <c r="K358" t="s">
        <v>214</v>
      </c>
      <c r="L358" t="s">
        <v>82</v>
      </c>
      <c r="M358" t="s">
        <v>51</v>
      </c>
      <c r="N358" t="s">
        <v>52</v>
      </c>
      <c r="O358" t="s">
        <v>2448</v>
      </c>
      <c r="P358">
        <v>9492259508</v>
      </c>
      <c r="Q358" t="s">
        <v>54</v>
      </c>
      <c r="R358" t="s">
        <v>2116</v>
      </c>
      <c r="S358" t="s">
        <v>43</v>
      </c>
      <c r="T358" t="s">
        <v>43</v>
      </c>
      <c r="U358" t="s">
        <v>44</v>
      </c>
      <c r="V358" t="s">
        <v>45</v>
      </c>
      <c r="W358" t="s">
        <v>5073</v>
      </c>
      <c r="X358" t="s">
        <v>45</v>
      </c>
      <c r="Y358" t="s">
        <v>46</v>
      </c>
      <c r="Z358" t="s">
        <v>47</v>
      </c>
      <c r="AA358" t="s">
        <v>48</v>
      </c>
      <c r="AB358" t="s">
        <v>49</v>
      </c>
      <c r="AC358" t="s">
        <v>49</v>
      </c>
      <c r="AD358" t="s">
        <v>481</v>
      </c>
      <c r="AE358" t="s">
        <v>185</v>
      </c>
      <c r="AF358">
        <v>0</v>
      </c>
      <c r="AG358" t="s">
        <v>196</v>
      </c>
      <c r="AH358" s="93">
        <f>VLOOKUP(Table1[[#This Row],[Caste]],Factor!$H$1:$K$13,4,0)</f>
        <v>1.8452248965186235</v>
      </c>
      <c r="AI35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58">
        <f>Table1[[#This Row],[Factor_1]]*Table1[[#This Row],[2024 Factor]]</f>
        <v>1.5651283704851411</v>
      </c>
      <c r="AK358">
        <f>VLOOKUP(Table1[[#This Row],[Q18: Gender]],Factor!$A$33:$E$35,5,0)</f>
        <v>0.85034013605442171</v>
      </c>
      <c r="AL358">
        <f>VLOOKUP(Table1[[#This Row],[Taluka]],Factor!$A$42:$G$46,7,0)</f>
        <v>1.1213131007097483</v>
      </c>
      <c r="AM358">
        <f>VLOOKUP(Table1[[#This Row],[Caste]]&amp;Table1[[#This Row],[Q18: Gender]],Factor!$W$1:$X$23,2,0)</f>
        <v>1.4498195615503471</v>
      </c>
      <c r="AN358">
        <f>VLOOKUP(Table1[[#This Row],[Taluka]]&amp;Table1[[#This Row],[Caste]]&amp;Table1[[#This Row],[Q18: Gender]],Factor!$AK$4:$AL$93,2,0)</f>
        <v>0.97867240415506407</v>
      </c>
      <c r="AO358">
        <f t="shared" si="55"/>
        <v>-1</v>
      </c>
      <c r="AP358">
        <f t="shared" si="56"/>
        <v>-1</v>
      </c>
      <c r="AQ358">
        <f t="shared" si="57"/>
        <v>-1</v>
      </c>
      <c r="AR358">
        <f t="shared" si="58"/>
        <v>-1</v>
      </c>
      <c r="AS358">
        <f t="shared" si="59"/>
        <v>-1</v>
      </c>
      <c r="AT358">
        <f t="shared" si="60"/>
        <v>-1</v>
      </c>
      <c r="AU358">
        <f t="shared" si="61"/>
        <v>-5.5</v>
      </c>
      <c r="AV358">
        <f>SUM(Table1[[#This Row],[Satis]:[29]])</f>
        <v>-6</v>
      </c>
      <c r="AW358">
        <f t="shared" si="62"/>
        <v>-5</v>
      </c>
      <c r="AX358">
        <f t="shared" si="63"/>
        <v>-4</v>
      </c>
      <c r="AY358">
        <f t="shared" si="64"/>
        <v>-3</v>
      </c>
      <c r="AZ358" t="str">
        <f t="shared" si="65"/>
        <v>TDP HardCore</v>
      </c>
    </row>
    <row r="359" spans="1:52" x14ac:dyDescent="0.3">
      <c r="A359" t="s">
        <v>2111</v>
      </c>
      <c r="B359" s="94">
        <v>46045</v>
      </c>
      <c r="C359" t="s">
        <v>2112</v>
      </c>
      <c r="D359" t="s">
        <v>2113</v>
      </c>
      <c r="E359" t="s">
        <v>2114</v>
      </c>
      <c r="F359" t="s">
        <v>240</v>
      </c>
      <c r="G359" t="s">
        <v>39</v>
      </c>
      <c r="H359" t="s">
        <v>2115</v>
      </c>
      <c r="I359" t="s">
        <v>36</v>
      </c>
      <c r="J359" t="s">
        <v>71</v>
      </c>
      <c r="K359" t="s">
        <v>214</v>
      </c>
      <c r="L359" t="s">
        <v>82</v>
      </c>
      <c r="M359" t="s">
        <v>443</v>
      </c>
      <c r="N359" t="s">
        <v>63</v>
      </c>
      <c r="O359" t="s">
        <v>2117</v>
      </c>
      <c r="P359">
        <v>8978391247</v>
      </c>
      <c r="Q359" t="s">
        <v>445</v>
      </c>
      <c r="R359" t="s">
        <v>2116</v>
      </c>
      <c r="S359" t="s">
        <v>43</v>
      </c>
      <c r="T359" t="s">
        <v>43</v>
      </c>
      <c r="U359" t="s">
        <v>44</v>
      </c>
      <c r="V359" t="s">
        <v>45</v>
      </c>
      <c r="W359" t="s">
        <v>5091</v>
      </c>
      <c r="X359" t="s">
        <v>45</v>
      </c>
      <c r="Y359" t="s">
        <v>46</v>
      </c>
      <c r="Z359" t="s">
        <v>47</v>
      </c>
      <c r="AA359" t="s">
        <v>48</v>
      </c>
      <c r="AB359" t="s">
        <v>49</v>
      </c>
      <c r="AC359" t="s">
        <v>49</v>
      </c>
      <c r="AD359" t="s">
        <v>481</v>
      </c>
      <c r="AE359" t="s">
        <v>185</v>
      </c>
      <c r="AF359" t="s">
        <v>1341</v>
      </c>
      <c r="AG359" t="s">
        <v>196</v>
      </c>
      <c r="AH359" s="93">
        <f>VLOOKUP(Table1[[#This Row],[Caste]],Factor!$H$1:$K$13,4,0)</f>
        <v>1.1705128247062893</v>
      </c>
      <c r="AI35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59">
        <f>Table1[[#This Row],[Factor_1]]*Table1[[#This Row],[2024 Factor]]</f>
        <v>2.3577066232182737</v>
      </c>
      <c r="AK359">
        <f>VLOOKUP(Table1[[#This Row],[Q18: Gender]],Factor!$A$33:$E$35,5,0)</f>
        <v>2.1645021645021645</v>
      </c>
      <c r="AL359">
        <f>VLOOKUP(Table1[[#This Row],[Taluka]],Factor!$A$42:$G$46,7,0)</f>
        <v>1.1213131007097483</v>
      </c>
      <c r="AM359">
        <f>VLOOKUP(Table1[[#This Row],[Caste]]&amp;Table1[[#This Row],[Q18: Gender]],Factor!$W$1:$X$23,2,0)</f>
        <v>2.1840056363422229</v>
      </c>
      <c r="AN359">
        <f>VLOOKUP(Table1[[#This Row],[Taluka]]&amp;Table1[[#This Row],[Caste]]&amp;Table1[[#This Row],[Q18: Gender]],Factor!$AK$4:$AL$93,2,0)</f>
        <v>0.95944580773600496</v>
      </c>
      <c r="AO359">
        <f t="shared" si="55"/>
        <v>-1</v>
      </c>
      <c r="AP359">
        <f t="shared" si="56"/>
        <v>-1</v>
      </c>
      <c r="AQ359">
        <f t="shared" si="57"/>
        <v>-1</v>
      </c>
      <c r="AR359">
        <f t="shared" si="58"/>
        <v>-1</v>
      </c>
      <c r="AS359">
        <f t="shared" si="59"/>
        <v>-1</v>
      </c>
      <c r="AT359">
        <f t="shared" si="60"/>
        <v>-1</v>
      </c>
      <c r="AU359">
        <f t="shared" si="61"/>
        <v>-5.5</v>
      </c>
      <c r="AV359">
        <f>SUM(Table1[[#This Row],[Satis]:[29]])</f>
        <v>-6</v>
      </c>
      <c r="AW359">
        <f t="shared" si="62"/>
        <v>-5</v>
      </c>
      <c r="AX359">
        <f t="shared" si="63"/>
        <v>-4</v>
      </c>
      <c r="AY359">
        <f t="shared" si="64"/>
        <v>-3</v>
      </c>
      <c r="AZ359" t="str">
        <f t="shared" si="65"/>
        <v>TDP HardCore</v>
      </c>
    </row>
    <row r="360" spans="1:52" x14ac:dyDescent="0.3">
      <c r="A360" t="s">
        <v>2149</v>
      </c>
      <c r="B360" s="94">
        <v>46045</v>
      </c>
      <c r="C360" t="s">
        <v>2150</v>
      </c>
      <c r="D360" t="s">
        <v>2151</v>
      </c>
      <c r="E360" t="s">
        <v>2152</v>
      </c>
      <c r="F360" t="s">
        <v>69</v>
      </c>
      <c r="G360" t="s">
        <v>39</v>
      </c>
      <c r="H360" t="s">
        <v>2153</v>
      </c>
      <c r="I360" t="s">
        <v>231</v>
      </c>
      <c r="J360" t="s">
        <v>219</v>
      </c>
      <c r="K360" t="s">
        <v>221</v>
      </c>
      <c r="L360" t="s">
        <v>50</v>
      </c>
      <c r="M360" t="s">
        <v>51</v>
      </c>
      <c r="N360" t="s">
        <v>52</v>
      </c>
      <c r="O360" t="s">
        <v>2154</v>
      </c>
      <c r="P360">
        <v>9999999999</v>
      </c>
      <c r="Q360" t="s">
        <v>54</v>
      </c>
      <c r="R360" t="s">
        <v>73</v>
      </c>
      <c r="S360" t="s">
        <v>43</v>
      </c>
      <c r="T360" t="s">
        <v>43</v>
      </c>
      <c r="U360" t="s">
        <v>90</v>
      </c>
      <c r="V360" t="s">
        <v>45</v>
      </c>
      <c r="W360" t="s">
        <v>5080</v>
      </c>
      <c r="X360" t="s">
        <v>45</v>
      </c>
      <c r="Y360" t="s">
        <v>46</v>
      </c>
      <c r="Z360" t="s">
        <v>47</v>
      </c>
      <c r="AA360" t="s">
        <v>48</v>
      </c>
      <c r="AB360" t="s">
        <v>49</v>
      </c>
      <c r="AC360" t="s">
        <v>49</v>
      </c>
      <c r="AD360">
        <v>0</v>
      </c>
      <c r="AE360" t="s">
        <v>185</v>
      </c>
      <c r="AF360">
        <v>0</v>
      </c>
      <c r="AG360" t="s">
        <v>196</v>
      </c>
      <c r="AH360" s="93">
        <f>VLOOKUP(Table1[[#This Row],[Caste]],Factor!$H$1:$K$13,4,0)</f>
        <v>1.016226256869897</v>
      </c>
      <c r="AI36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60">
        <f>Table1[[#This Row],[Factor_1]]*Table1[[#This Row],[2024 Factor]]</f>
        <v>0.54852499843435276</v>
      </c>
      <c r="AK360">
        <f>VLOOKUP(Table1[[#This Row],[Q18: Gender]],Factor!$A$33:$E$35,5,0)</f>
        <v>0.85034013605442171</v>
      </c>
      <c r="AL360">
        <f>VLOOKUP(Table1[[#This Row],[Taluka]],Factor!$A$42:$G$46,7,0)</f>
        <v>1.147984664167413</v>
      </c>
      <c r="AM360">
        <f>VLOOKUP(Table1[[#This Row],[Caste]]&amp;Table1[[#This Row],[Q18: Gender]],Factor!$W$1:$X$23,2,0)</f>
        <v>0.50811312843494849</v>
      </c>
      <c r="AN360">
        <f>VLOOKUP(Table1[[#This Row],[Taluka]]&amp;Table1[[#This Row],[Caste]]&amp;Table1[[#This Row],[Q18: Gender]],Factor!$AK$4:$AL$93,2,0)</f>
        <v>0.18301228231933422</v>
      </c>
      <c r="AO360">
        <f t="shared" si="55"/>
        <v>-1</v>
      </c>
      <c r="AP360">
        <f t="shared" si="56"/>
        <v>1</v>
      </c>
      <c r="AQ360">
        <f t="shared" si="57"/>
        <v>-1</v>
      </c>
      <c r="AR360">
        <f t="shared" si="58"/>
        <v>-1</v>
      </c>
      <c r="AS360">
        <f t="shared" si="59"/>
        <v>-1</v>
      </c>
      <c r="AT360">
        <f t="shared" si="60"/>
        <v>-1</v>
      </c>
      <c r="AU360">
        <f t="shared" si="61"/>
        <v>-3.5</v>
      </c>
      <c r="AV360">
        <f>SUM(Table1[[#This Row],[Satis]:[29]])</f>
        <v>-4</v>
      </c>
      <c r="AW360">
        <f t="shared" si="62"/>
        <v>-5</v>
      </c>
      <c r="AX360">
        <f t="shared" si="63"/>
        <v>-4</v>
      </c>
      <c r="AY360">
        <f t="shared" si="64"/>
        <v>-3</v>
      </c>
      <c r="AZ360" t="str">
        <f t="shared" si="65"/>
        <v>TDP Sympathiser</v>
      </c>
    </row>
    <row r="361" spans="1:52" x14ac:dyDescent="0.3">
      <c r="A361" t="s">
        <v>2171</v>
      </c>
      <c r="B361" s="94">
        <v>46045</v>
      </c>
      <c r="C361" t="s">
        <v>2172</v>
      </c>
      <c r="D361" t="s">
        <v>2173</v>
      </c>
      <c r="E361" t="s">
        <v>2174</v>
      </c>
      <c r="F361" t="s">
        <v>69</v>
      </c>
      <c r="G361" t="s">
        <v>39</v>
      </c>
      <c r="H361" t="s">
        <v>2175</v>
      </c>
      <c r="I361" t="s">
        <v>59</v>
      </c>
      <c r="J361" t="s">
        <v>219</v>
      </c>
      <c r="K361" t="s">
        <v>221</v>
      </c>
      <c r="L361" t="s">
        <v>50</v>
      </c>
      <c r="M361" t="s">
        <v>51</v>
      </c>
      <c r="N361" t="s">
        <v>63</v>
      </c>
      <c r="O361" t="s">
        <v>2176</v>
      </c>
      <c r="P361">
        <v>9999999999</v>
      </c>
      <c r="Q361" t="s">
        <v>54</v>
      </c>
      <c r="R361" t="s">
        <v>61</v>
      </c>
      <c r="S361" t="s">
        <v>89</v>
      </c>
      <c r="T361" t="s">
        <v>43</v>
      </c>
      <c r="U361" t="s">
        <v>44</v>
      </c>
      <c r="V361" t="s">
        <v>45</v>
      </c>
      <c r="W361" t="s">
        <v>5097</v>
      </c>
      <c r="X361" t="s">
        <v>45</v>
      </c>
      <c r="Y361" t="s">
        <v>46</v>
      </c>
      <c r="Z361" t="s">
        <v>47</v>
      </c>
      <c r="AA361" t="s">
        <v>92</v>
      </c>
      <c r="AB361" t="s">
        <v>93</v>
      </c>
      <c r="AC361" t="s">
        <v>94</v>
      </c>
      <c r="AD361" t="s">
        <v>494</v>
      </c>
      <c r="AE361" t="s">
        <v>191</v>
      </c>
      <c r="AF361" t="s">
        <v>2975</v>
      </c>
      <c r="AG361" t="s">
        <v>498</v>
      </c>
      <c r="AH361" s="93">
        <f>VLOOKUP(Table1[[#This Row],[Caste]],Factor!$H$1:$K$13,4,0)</f>
        <v>1.1461625511156397</v>
      </c>
      <c r="AI361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361">
        <f>Table1[[#This Row],[Factor_1]]*Table1[[#This Row],[2024 Factor]]</f>
        <v>1.2999324650914248</v>
      </c>
      <c r="AK361">
        <f>VLOOKUP(Table1[[#This Row],[Q18: Gender]],Factor!$A$33:$E$35,5,0)</f>
        <v>0.85034013605442171</v>
      </c>
      <c r="AL361">
        <f>VLOOKUP(Table1[[#This Row],[Taluka]],Factor!$A$42:$G$46,7,0)</f>
        <v>1.147984664167413</v>
      </c>
      <c r="AM361">
        <f>VLOOKUP(Table1[[#This Row],[Caste]]&amp;Table1[[#This Row],[Q18: Gender]],Factor!$W$1:$X$23,2,0)</f>
        <v>0.71995135120329123</v>
      </c>
      <c r="AN361">
        <f>VLOOKUP(Table1[[#This Row],[Taluka]]&amp;Table1[[#This Row],[Caste]]&amp;Table1[[#This Row],[Q18: Gender]],Factor!$AK$4:$AL$93,2,0)</f>
        <v>0.54319084681293095</v>
      </c>
      <c r="AO361">
        <f t="shared" si="55"/>
        <v>-1</v>
      </c>
      <c r="AP361">
        <f t="shared" si="56"/>
        <v>-1</v>
      </c>
      <c r="AQ361">
        <f t="shared" si="57"/>
        <v>-1</v>
      </c>
      <c r="AR361">
        <f t="shared" si="58"/>
        <v>-1</v>
      </c>
      <c r="AS361">
        <f t="shared" si="59"/>
        <v>1</v>
      </c>
      <c r="AT361">
        <f t="shared" si="60"/>
        <v>-1</v>
      </c>
      <c r="AU361">
        <f t="shared" si="61"/>
        <v>-4.5</v>
      </c>
      <c r="AV361">
        <f>SUM(Table1[[#This Row],[Satis]:[29]])</f>
        <v>-4</v>
      </c>
      <c r="AW361">
        <f t="shared" si="62"/>
        <v>-3</v>
      </c>
      <c r="AX361">
        <f t="shared" si="63"/>
        <v>-2</v>
      </c>
      <c r="AY361">
        <f t="shared" si="64"/>
        <v>-2</v>
      </c>
      <c r="AZ361" t="str">
        <f t="shared" si="65"/>
        <v>Neutral TDP</v>
      </c>
    </row>
    <row r="362" spans="1:52" x14ac:dyDescent="0.3">
      <c r="A362" t="s">
        <v>2204</v>
      </c>
      <c r="B362" s="94">
        <v>46045</v>
      </c>
      <c r="C362" t="s">
        <v>2205</v>
      </c>
      <c r="D362" t="s">
        <v>2151</v>
      </c>
      <c r="E362" t="s">
        <v>2152</v>
      </c>
      <c r="F362" t="s">
        <v>69</v>
      </c>
      <c r="G362" t="s">
        <v>39</v>
      </c>
      <c r="H362" t="s">
        <v>2206</v>
      </c>
      <c r="I362" t="s">
        <v>231</v>
      </c>
      <c r="J362" t="s">
        <v>219</v>
      </c>
      <c r="K362" t="s">
        <v>221</v>
      </c>
      <c r="L362" t="s">
        <v>50</v>
      </c>
      <c r="M362" t="s">
        <v>51</v>
      </c>
      <c r="N362" t="s">
        <v>52</v>
      </c>
      <c r="O362" t="s">
        <v>2154</v>
      </c>
      <c r="P362">
        <v>9999999999</v>
      </c>
      <c r="Q362" t="s">
        <v>54</v>
      </c>
      <c r="R362" t="s">
        <v>73</v>
      </c>
      <c r="S362" t="s">
        <v>43</v>
      </c>
      <c r="T362" t="s">
        <v>43</v>
      </c>
      <c r="U362" t="s">
        <v>90</v>
      </c>
      <c r="V362" t="s">
        <v>45</v>
      </c>
      <c r="W362" t="s">
        <v>5080</v>
      </c>
      <c r="X362" t="s">
        <v>45</v>
      </c>
      <c r="Y362" t="s">
        <v>46</v>
      </c>
      <c r="Z362" t="s">
        <v>47</v>
      </c>
      <c r="AA362" t="s">
        <v>48</v>
      </c>
      <c r="AB362" t="s">
        <v>49</v>
      </c>
      <c r="AC362" t="s">
        <v>49</v>
      </c>
      <c r="AD362" t="s">
        <v>481</v>
      </c>
      <c r="AE362" t="s">
        <v>185</v>
      </c>
      <c r="AF362" t="s">
        <v>2969</v>
      </c>
      <c r="AG362" t="s">
        <v>196</v>
      </c>
      <c r="AH362" s="93">
        <f>VLOOKUP(Table1[[#This Row],[Caste]],Factor!$H$1:$K$13,4,0)</f>
        <v>1.016226256869897</v>
      </c>
      <c r="AI36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62">
        <f>Table1[[#This Row],[Factor_1]]*Table1[[#This Row],[2024 Factor]]</f>
        <v>0.54852499843435276</v>
      </c>
      <c r="AK362">
        <f>VLOOKUP(Table1[[#This Row],[Q18: Gender]],Factor!$A$33:$E$35,5,0)</f>
        <v>0.85034013605442171</v>
      </c>
      <c r="AL362">
        <f>VLOOKUP(Table1[[#This Row],[Taluka]],Factor!$A$42:$G$46,7,0)</f>
        <v>1.147984664167413</v>
      </c>
      <c r="AM362">
        <f>VLOOKUP(Table1[[#This Row],[Caste]]&amp;Table1[[#This Row],[Q18: Gender]],Factor!$W$1:$X$23,2,0)</f>
        <v>0.50811312843494849</v>
      </c>
      <c r="AN362">
        <f>VLOOKUP(Table1[[#This Row],[Taluka]]&amp;Table1[[#This Row],[Caste]]&amp;Table1[[#This Row],[Q18: Gender]],Factor!$AK$4:$AL$93,2,0)</f>
        <v>0.18301228231933422</v>
      </c>
      <c r="AO362">
        <f t="shared" si="55"/>
        <v>-1</v>
      </c>
      <c r="AP362">
        <f t="shared" si="56"/>
        <v>1</v>
      </c>
      <c r="AQ362">
        <f t="shared" si="57"/>
        <v>-1</v>
      </c>
      <c r="AR362">
        <f t="shared" si="58"/>
        <v>-1</v>
      </c>
      <c r="AS362">
        <f t="shared" si="59"/>
        <v>-1</v>
      </c>
      <c r="AT362">
        <f t="shared" si="60"/>
        <v>-1</v>
      </c>
      <c r="AU362">
        <f t="shared" si="61"/>
        <v>-3.5</v>
      </c>
      <c r="AV362">
        <f>SUM(Table1[[#This Row],[Satis]:[29]])</f>
        <v>-4</v>
      </c>
      <c r="AW362">
        <f t="shared" si="62"/>
        <v>-5</v>
      </c>
      <c r="AX362">
        <f t="shared" si="63"/>
        <v>-4</v>
      </c>
      <c r="AY362">
        <f t="shared" si="64"/>
        <v>-3</v>
      </c>
      <c r="AZ362" t="str">
        <f t="shared" si="65"/>
        <v>TDP Sympathiser</v>
      </c>
    </row>
    <row r="363" spans="1:52" x14ac:dyDescent="0.3">
      <c r="A363" t="s">
        <v>2257</v>
      </c>
      <c r="B363" s="94">
        <v>46045</v>
      </c>
      <c r="C363" t="s">
        <v>2258</v>
      </c>
      <c r="D363" t="s">
        <v>2151</v>
      </c>
      <c r="E363" t="s">
        <v>2152</v>
      </c>
      <c r="F363" t="s">
        <v>69</v>
      </c>
      <c r="G363" t="s">
        <v>39</v>
      </c>
      <c r="H363" t="s">
        <v>2259</v>
      </c>
      <c r="I363" t="s">
        <v>231</v>
      </c>
      <c r="J363" t="s">
        <v>219</v>
      </c>
      <c r="K363" t="s">
        <v>221</v>
      </c>
      <c r="L363" t="s">
        <v>50</v>
      </c>
      <c r="M363" t="s">
        <v>51</v>
      </c>
      <c r="N363" t="s">
        <v>52</v>
      </c>
      <c r="O363" t="s">
        <v>2154</v>
      </c>
      <c r="P363">
        <v>9999999999</v>
      </c>
      <c r="Q363" t="s">
        <v>54</v>
      </c>
      <c r="R363" t="s">
        <v>73</v>
      </c>
      <c r="S363" t="s">
        <v>43</v>
      </c>
      <c r="T363" t="s">
        <v>43</v>
      </c>
      <c r="U363" t="s">
        <v>90</v>
      </c>
      <c r="V363" t="s">
        <v>45</v>
      </c>
      <c r="W363" t="s">
        <v>5080</v>
      </c>
      <c r="X363" t="s">
        <v>45</v>
      </c>
      <c r="Y363" t="s">
        <v>46</v>
      </c>
      <c r="Z363" t="s">
        <v>47</v>
      </c>
      <c r="AA363" t="s">
        <v>48</v>
      </c>
      <c r="AB363" t="s">
        <v>49</v>
      </c>
      <c r="AC363" t="s">
        <v>49</v>
      </c>
      <c r="AD363">
        <v>0</v>
      </c>
      <c r="AE363" t="s">
        <v>185</v>
      </c>
      <c r="AF363">
        <v>0</v>
      </c>
      <c r="AG363" t="s">
        <v>196</v>
      </c>
      <c r="AH363" s="93">
        <f>VLOOKUP(Table1[[#This Row],[Caste]],Factor!$H$1:$K$13,4,0)</f>
        <v>1.016226256869897</v>
      </c>
      <c r="AI36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63">
        <f>Table1[[#This Row],[Factor_1]]*Table1[[#This Row],[2024 Factor]]</f>
        <v>0.54852499843435276</v>
      </c>
      <c r="AK363">
        <f>VLOOKUP(Table1[[#This Row],[Q18: Gender]],Factor!$A$33:$E$35,5,0)</f>
        <v>0.85034013605442171</v>
      </c>
      <c r="AL363">
        <f>VLOOKUP(Table1[[#This Row],[Taluka]],Factor!$A$42:$G$46,7,0)</f>
        <v>1.147984664167413</v>
      </c>
      <c r="AM363">
        <f>VLOOKUP(Table1[[#This Row],[Caste]]&amp;Table1[[#This Row],[Q18: Gender]],Factor!$W$1:$X$23,2,0)</f>
        <v>0.50811312843494849</v>
      </c>
      <c r="AN363">
        <f>VLOOKUP(Table1[[#This Row],[Taluka]]&amp;Table1[[#This Row],[Caste]]&amp;Table1[[#This Row],[Q18: Gender]],Factor!$AK$4:$AL$93,2,0)</f>
        <v>0.18301228231933422</v>
      </c>
      <c r="AO363">
        <f t="shared" si="55"/>
        <v>-1</v>
      </c>
      <c r="AP363">
        <f t="shared" si="56"/>
        <v>1</v>
      </c>
      <c r="AQ363">
        <f t="shared" si="57"/>
        <v>-1</v>
      </c>
      <c r="AR363">
        <f t="shared" si="58"/>
        <v>-1</v>
      </c>
      <c r="AS363">
        <f t="shared" si="59"/>
        <v>-1</v>
      </c>
      <c r="AT363">
        <f t="shared" si="60"/>
        <v>-1</v>
      </c>
      <c r="AU363">
        <f t="shared" si="61"/>
        <v>-3.5</v>
      </c>
      <c r="AV363">
        <f>SUM(Table1[[#This Row],[Satis]:[29]])</f>
        <v>-4</v>
      </c>
      <c r="AW363">
        <f t="shared" si="62"/>
        <v>-5</v>
      </c>
      <c r="AX363">
        <f t="shared" si="63"/>
        <v>-4</v>
      </c>
      <c r="AY363">
        <f t="shared" si="64"/>
        <v>-3</v>
      </c>
      <c r="AZ363" t="str">
        <f t="shared" si="65"/>
        <v>TDP Sympathiser</v>
      </c>
    </row>
    <row r="364" spans="1:52" x14ac:dyDescent="0.3">
      <c r="A364" t="s">
        <v>2188</v>
      </c>
      <c r="B364" s="94">
        <v>46045</v>
      </c>
      <c r="C364" t="s">
        <v>2189</v>
      </c>
      <c r="D364" t="s">
        <v>2190</v>
      </c>
      <c r="E364" t="s">
        <v>2191</v>
      </c>
      <c r="F364" t="s">
        <v>935</v>
      </c>
      <c r="G364" t="s">
        <v>39</v>
      </c>
      <c r="H364" t="s">
        <v>2192</v>
      </c>
      <c r="I364" t="s">
        <v>231</v>
      </c>
      <c r="J364" t="s">
        <v>219</v>
      </c>
      <c r="K364" t="s">
        <v>224</v>
      </c>
      <c r="L364" t="s">
        <v>170</v>
      </c>
      <c r="M364" t="s">
        <v>51</v>
      </c>
      <c r="N364" t="s">
        <v>162</v>
      </c>
      <c r="O364" t="s">
        <v>2193</v>
      </c>
      <c r="P364">
        <v>8886030690</v>
      </c>
      <c r="Q364" t="s">
        <v>54</v>
      </c>
      <c r="R364" t="s">
        <v>132</v>
      </c>
      <c r="S364" t="s">
        <v>89</v>
      </c>
      <c r="T364" t="s">
        <v>43</v>
      </c>
      <c r="U364" t="s">
        <v>44</v>
      </c>
      <c r="V364" t="s">
        <v>45</v>
      </c>
      <c r="W364" t="s">
        <v>5087</v>
      </c>
      <c r="X364" t="s">
        <v>91</v>
      </c>
      <c r="Y364" t="s">
        <v>46</v>
      </c>
      <c r="Z364" t="s">
        <v>47</v>
      </c>
      <c r="AA364" t="s">
        <v>92</v>
      </c>
      <c r="AB364" t="s">
        <v>93</v>
      </c>
      <c r="AC364" t="s">
        <v>94</v>
      </c>
      <c r="AD364" t="s">
        <v>184</v>
      </c>
      <c r="AE364" t="s">
        <v>191</v>
      </c>
      <c r="AF364" t="s">
        <v>2981</v>
      </c>
      <c r="AG364" t="s">
        <v>498</v>
      </c>
      <c r="AH364" s="93">
        <f>VLOOKUP(Table1[[#This Row],[Caste]],Factor!$H$1:$K$13,4,0)</f>
        <v>1.016226256869897</v>
      </c>
      <c r="AI364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364">
        <f>Table1[[#This Row],[Factor_1]]*Table1[[#This Row],[2024 Factor]]</f>
        <v>0.9174408110878739</v>
      </c>
      <c r="AK364">
        <f>VLOOKUP(Table1[[#This Row],[Q18: Gender]],Factor!$A$33:$E$35,5,0)</f>
        <v>0.85034013605442171</v>
      </c>
      <c r="AL364">
        <f>VLOOKUP(Table1[[#This Row],[Taluka]],Factor!$A$42:$G$46,7,0)</f>
        <v>1.147984664167413</v>
      </c>
      <c r="AM364">
        <f>VLOOKUP(Table1[[#This Row],[Caste]]&amp;Table1[[#This Row],[Q18: Gender]],Factor!$W$1:$X$23,2,0)</f>
        <v>0.50811312843494849</v>
      </c>
      <c r="AN364">
        <f>VLOOKUP(Table1[[#This Row],[Taluka]]&amp;Table1[[#This Row],[Caste]]&amp;Table1[[#This Row],[Q18: Gender]],Factor!$AK$4:$AL$93,2,0)</f>
        <v>0.18301228231933422</v>
      </c>
      <c r="AO364">
        <f t="shared" si="55"/>
        <v>-1</v>
      </c>
      <c r="AP364">
        <f t="shared" si="56"/>
        <v>-1</v>
      </c>
      <c r="AQ364">
        <f t="shared" si="57"/>
        <v>-1</v>
      </c>
      <c r="AR364">
        <f t="shared" si="58"/>
        <v>1</v>
      </c>
      <c r="AS364">
        <f t="shared" si="59"/>
        <v>1</v>
      </c>
      <c r="AT364">
        <f t="shared" si="60"/>
        <v>-1</v>
      </c>
      <c r="AU364">
        <f t="shared" si="61"/>
        <v>-2.5</v>
      </c>
      <c r="AV364">
        <f>SUM(Table1[[#This Row],[Satis]:[29]])</f>
        <v>-2</v>
      </c>
      <c r="AW364">
        <f t="shared" si="62"/>
        <v>-1</v>
      </c>
      <c r="AX364">
        <f t="shared" si="63"/>
        <v>0</v>
      </c>
      <c r="AY364">
        <f t="shared" si="64"/>
        <v>-2</v>
      </c>
      <c r="AZ364" t="str">
        <f t="shared" si="65"/>
        <v>Neutral TDP</v>
      </c>
    </row>
    <row r="365" spans="1:52" x14ac:dyDescent="0.3">
      <c r="A365" t="s">
        <v>2303</v>
      </c>
      <c r="B365" s="94">
        <v>46045</v>
      </c>
      <c r="C365" t="s">
        <v>2304</v>
      </c>
      <c r="D365" t="s">
        <v>2305</v>
      </c>
      <c r="E365" t="s">
        <v>2306</v>
      </c>
      <c r="F365" t="s">
        <v>69</v>
      </c>
      <c r="G365" t="s">
        <v>39</v>
      </c>
      <c r="H365" t="s">
        <v>2307</v>
      </c>
      <c r="I365" t="s">
        <v>145</v>
      </c>
      <c r="J365" t="s">
        <v>219</v>
      </c>
      <c r="K365" t="s">
        <v>221</v>
      </c>
      <c r="L365" t="s">
        <v>50</v>
      </c>
      <c r="M365" t="s">
        <v>51</v>
      </c>
      <c r="N365" t="s">
        <v>63</v>
      </c>
      <c r="O365" t="s">
        <v>1606</v>
      </c>
      <c r="P365">
        <v>8897770698</v>
      </c>
      <c r="Q365" t="s">
        <v>54</v>
      </c>
      <c r="R365" t="s">
        <v>132</v>
      </c>
      <c r="S365" t="s">
        <v>89</v>
      </c>
      <c r="T365" t="s">
        <v>43</v>
      </c>
      <c r="U365" t="s">
        <v>44</v>
      </c>
      <c r="V365" t="s">
        <v>45</v>
      </c>
      <c r="W365" t="s">
        <v>5046</v>
      </c>
      <c r="X365" t="s">
        <v>45</v>
      </c>
      <c r="Y365" t="s">
        <v>46</v>
      </c>
      <c r="Z365" t="s">
        <v>47</v>
      </c>
      <c r="AA365" t="s">
        <v>48</v>
      </c>
      <c r="AB365" t="s">
        <v>49</v>
      </c>
      <c r="AC365" t="s">
        <v>49</v>
      </c>
      <c r="AD365" t="s">
        <v>494</v>
      </c>
      <c r="AE365" t="s">
        <v>185</v>
      </c>
      <c r="AF365">
        <v>0</v>
      </c>
      <c r="AG365" t="s">
        <v>196</v>
      </c>
      <c r="AH365" s="93">
        <f>VLOOKUP(Table1[[#This Row],[Caste]],Factor!$H$1:$K$13,4,0)</f>
        <v>1.8452248965186235</v>
      </c>
      <c r="AI36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65">
        <f>Table1[[#This Row],[Factor_1]]*Table1[[#This Row],[2024 Factor]]</f>
        <v>1.5651283704851411</v>
      </c>
      <c r="AK365">
        <f>VLOOKUP(Table1[[#This Row],[Q18: Gender]],Factor!$A$33:$E$35,5,0)</f>
        <v>0.85034013605442171</v>
      </c>
      <c r="AL365">
        <f>VLOOKUP(Table1[[#This Row],[Taluka]],Factor!$A$42:$G$46,7,0)</f>
        <v>1.147984664167413</v>
      </c>
      <c r="AM365">
        <f>VLOOKUP(Table1[[#This Row],[Caste]]&amp;Table1[[#This Row],[Q18: Gender]],Factor!$W$1:$X$23,2,0)</f>
        <v>1.4498195615503471</v>
      </c>
      <c r="AN365">
        <f>VLOOKUP(Table1[[#This Row],[Taluka]]&amp;Table1[[#This Row],[Caste]]&amp;Table1[[#This Row],[Q18: Gender]],Factor!$AK$4:$AL$93,2,0)</f>
        <v>2.9242991836792998</v>
      </c>
      <c r="AO365">
        <f t="shared" si="55"/>
        <v>-1</v>
      </c>
      <c r="AP365">
        <f t="shared" si="56"/>
        <v>-1</v>
      </c>
      <c r="AQ365">
        <f t="shared" si="57"/>
        <v>-1</v>
      </c>
      <c r="AR365">
        <f t="shared" si="58"/>
        <v>-1</v>
      </c>
      <c r="AS365">
        <f t="shared" si="59"/>
        <v>-1</v>
      </c>
      <c r="AT365">
        <f t="shared" si="60"/>
        <v>-1</v>
      </c>
      <c r="AU365">
        <f t="shared" si="61"/>
        <v>-5.5</v>
      </c>
      <c r="AV365">
        <f>SUM(Table1[[#This Row],[Satis]:[29]])</f>
        <v>-6</v>
      </c>
      <c r="AW365">
        <f t="shared" si="62"/>
        <v>-5</v>
      </c>
      <c r="AX365">
        <f t="shared" si="63"/>
        <v>-4</v>
      </c>
      <c r="AY365">
        <f t="shared" si="64"/>
        <v>-3</v>
      </c>
      <c r="AZ365" t="str">
        <f t="shared" si="65"/>
        <v>TDP HardCore</v>
      </c>
    </row>
    <row r="366" spans="1:52" x14ac:dyDescent="0.3">
      <c r="A366" t="s">
        <v>2350</v>
      </c>
      <c r="B366" s="94">
        <v>46045</v>
      </c>
      <c r="C366" t="s">
        <v>2351</v>
      </c>
      <c r="D366" t="s">
        <v>2352</v>
      </c>
      <c r="E366" t="s">
        <v>2353</v>
      </c>
      <c r="F366" t="s">
        <v>69</v>
      </c>
      <c r="G366" t="s">
        <v>39</v>
      </c>
      <c r="H366" t="s">
        <v>2354</v>
      </c>
      <c r="I366" t="s">
        <v>36</v>
      </c>
      <c r="J366" t="s">
        <v>219</v>
      </c>
      <c r="K366" t="s">
        <v>221</v>
      </c>
      <c r="L366" t="s">
        <v>62</v>
      </c>
      <c r="M366" t="s">
        <v>51</v>
      </c>
      <c r="N366" t="s">
        <v>52</v>
      </c>
      <c r="O366" t="s">
        <v>542</v>
      </c>
      <c r="P366">
        <v>9999999999</v>
      </c>
      <c r="Q366" t="s">
        <v>54</v>
      </c>
      <c r="R366" t="s">
        <v>132</v>
      </c>
      <c r="S366" t="s">
        <v>43</v>
      </c>
      <c r="T366" t="s">
        <v>43</v>
      </c>
      <c r="U366" t="s">
        <v>44</v>
      </c>
      <c r="V366" t="s">
        <v>45</v>
      </c>
      <c r="W366" t="s">
        <v>5058</v>
      </c>
      <c r="X366" t="s">
        <v>45</v>
      </c>
      <c r="Y366" t="s">
        <v>46</v>
      </c>
      <c r="Z366" t="s">
        <v>47</v>
      </c>
      <c r="AA366" t="s">
        <v>48</v>
      </c>
      <c r="AB366" t="s">
        <v>49</v>
      </c>
      <c r="AC366" t="s">
        <v>49</v>
      </c>
      <c r="AD366" t="s">
        <v>494</v>
      </c>
      <c r="AE366" t="s">
        <v>185</v>
      </c>
      <c r="AF366">
        <v>0</v>
      </c>
      <c r="AG366" t="s">
        <v>196</v>
      </c>
      <c r="AH366" s="93">
        <f>VLOOKUP(Table1[[#This Row],[Caste]],Factor!$H$1:$K$13,4,0)</f>
        <v>1.1705128247062893</v>
      </c>
      <c r="AI36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66">
        <f>Table1[[#This Row],[Factor_1]]*Table1[[#This Row],[2024 Factor]]</f>
        <v>0.86308903171383233</v>
      </c>
      <c r="AK366">
        <f>VLOOKUP(Table1[[#This Row],[Q18: Gender]],Factor!$A$33:$E$35,5,0)</f>
        <v>0.85034013605442171</v>
      </c>
      <c r="AL366">
        <f>VLOOKUP(Table1[[#This Row],[Taluka]],Factor!$A$42:$G$46,7,0)</f>
        <v>1.147984664167413</v>
      </c>
      <c r="AM366">
        <f>VLOOKUP(Table1[[#This Row],[Caste]]&amp;Table1[[#This Row],[Q18: Gender]],Factor!$W$1:$X$23,2,0)</f>
        <v>0.79950206330384943</v>
      </c>
      <c r="AN366">
        <f>VLOOKUP(Table1[[#This Row],[Taluka]]&amp;Table1[[#This Row],[Caste]]&amp;Table1[[#This Row],[Q18: Gender]],Factor!$AK$4:$AL$93,2,0)</f>
        <v>0.92148737207359532</v>
      </c>
      <c r="AO366">
        <f t="shared" si="55"/>
        <v>-1</v>
      </c>
      <c r="AP366">
        <f t="shared" si="56"/>
        <v>-1</v>
      </c>
      <c r="AQ366">
        <f t="shared" si="57"/>
        <v>-1</v>
      </c>
      <c r="AR366">
        <f t="shared" si="58"/>
        <v>-1</v>
      </c>
      <c r="AS366">
        <f t="shared" si="59"/>
        <v>-1</v>
      </c>
      <c r="AT366">
        <f t="shared" si="60"/>
        <v>-1</v>
      </c>
      <c r="AU366">
        <f t="shared" si="61"/>
        <v>-5.5</v>
      </c>
      <c r="AV366">
        <f>SUM(Table1[[#This Row],[Satis]:[29]])</f>
        <v>-6</v>
      </c>
      <c r="AW366">
        <f t="shared" si="62"/>
        <v>-5</v>
      </c>
      <c r="AX366">
        <f t="shared" si="63"/>
        <v>-4</v>
      </c>
      <c r="AY366">
        <f t="shared" si="64"/>
        <v>-3</v>
      </c>
      <c r="AZ366" t="str">
        <f t="shared" si="65"/>
        <v>TDP HardCore</v>
      </c>
    </row>
    <row r="367" spans="1:52" x14ac:dyDescent="0.3">
      <c r="A367" t="s">
        <v>2391</v>
      </c>
      <c r="B367" s="94">
        <v>46045</v>
      </c>
      <c r="C367" t="s">
        <v>2392</v>
      </c>
      <c r="D367" t="s">
        <v>2120</v>
      </c>
      <c r="E367" t="s">
        <v>2121</v>
      </c>
      <c r="F367" t="s">
        <v>69</v>
      </c>
      <c r="G367" t="s">
        <v>39</v>
      </c>
      <c r="H367" t="s">
        <v>2393</v>
      </c>
      <c r="I367" t="s">
        <v>229</v>
      </c>
      <c r="J367" t="s">
        <v>219</v>
      </c>
      <c r="K367" t="s">
        <v>221</v>
      </c>
      <c r="L367" t="s">
        <v>62</v>
      </c>
      <c r="M367" t="s">
        <v>51</v>
      </c>
      <c r="N367" t="s">
        <v>63</v>
      </c>
      <c r="O367" t="s">
        <v>2123</v>
      </c>
      <c r="P367">
        <v>9999999999</v>
      </c>
      <c r="Q367" t="s">
        <v>54</v>
      </c>
      <c r="R367" t="s">
        <v>132</v>
      </c>
      <c r="S367" t="s">
        <v>43</v>
      </c>
      <c r="T367" t="s">
        <v>43</v>
      </c>
      <c r="U367" t="s">
        <v>44</v>
      </c>
      <c r="V367" t="s">
        <v>45</v>
      </c>
      <c r="W367" t="s">
        <v>5056</v>
      </c>
      <c r="X367" t="s">
        <v>45</v>
      </c>
      <c r="Y367" t="s">
        <v>46</v>
      </c>
      <c r="Z367" t="s">
        <v>47</v>
      </c>
      <c r="AA367" t="s">
        <v>48</v>
      </c>
      <c r="AB367" t="s">
        <v>49</v>
      </c>
      <c r="AC367" t="s">
        <v>49</v>
      </c>
      <c r="AD367">
        <v>0</v>
      </c>
      <c r="AE367" t="s">
        <v>185</v>
      </c>
      <c r="AF367">
        <v>0</v>
      </c>
      <c r="AG367" t="s">
        <v>196</v>
      </c>
      <c r="AH367" s="93">
        <f>VLOOKUP(Table1[[#This Row],[Caste]],Factor!$H$1:$K$13,4,0)</f>
        <v>1.1209668980183516</v>
      </c>
      <c r="AI36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67">
        <f>Table1[[#This Row],[Factor_1]]*Table1[[#This Row],[2024 Factor]]</f>
        <v>1.0451044981059459</v>
      </c>
      <c r="AK367">
        <f>VLOOKUP(Table1[[#This Row],[Q18: Gender]],Factor!$A$33:$E$35,5,0)</f>
        <v>0.85034013605442171</v>
      </c>
      <c r="AL367">
        <f>VLOOKUP(Table1[[#This Row],[Taluka]],Factor!$A$42:$G$46,7,0)</f>
        <v>1.147984664167413</v>
      </c>
      <c r="AM367">
        <f>VLOOKUP(Table1[[#This Row],[Caste]]&amp;Table1[[#This Row],[Q18: Gender]],Factor!$W$1:$X$23,2,0)</f>
        <v>0.96810777556130356</v>
      </c>
      <c r="AN367">
        <f>VLOOKUP(Table1[[#This Row],[Taluka]]&amp;Table1[[#This Row],[Caste]]&amp;Table1[[#This Row],[Q18: Gender]],Factor!$AK$4:$AL$93,2,0)</f>
        <v>0.30685005205910726</v>
      </c>
      <c r="AO367">
        <f t="shared" si="55"/>
        <v>-1</v>
      </c>
      <c r="AP367">
        <f t="shared" si="56"/>
        <v>-1</v>
      </c>
      <c r="AQ367">
        <f t="shared" si="57"/>
        <v>-1</v>
      </c>
      <c r="AR367">
        <f t="shared" si="58"/>
        <v>-1</v>
      </c>
      <c r="AS367">
        <f t="shared" si="59"/>
        <v>-1</v>
      </c>
      <c r="AT367">
        <f t="shared" si="60"/>
        <v>-1</v>
      </c>
      <c r="AU367">
        <f t="shared" si="61"/>
        <v>-5.5</v>
      </c>
      <c r="AV367">
        <f>SUM(Table1[[#This Row],[Satis]:[29]])</f>
        <v>-6</v>
      </c>
      <c r="AW367">
        <f t="shared" si="62"/>
        <v>-5</v>
      </c>
      <c r="AX367">
        <f t="shared" si="63"/>
        <v>-4</v>
      </c>
      <c r="AY367">
        <f t="shared" si="64"/>
        <v>-3</v>
      </c>
      <c r="AZ367" t="str">
        <f t="shared" si="65"/>
        <v>TDP HardCore</v>
      </c>
    </row>
    <row r="368" spans="1:52" x14ac:dyDescent="0.3">
      <c r="A368" t="s">
        <v>2449</v>
      </c>
      <c r="B368" s="94">
        <v>46045</v>
      </c>
      <c r="C368" t="s">
        <v>2450</v>
      </c>
      <c r="D368" t="s">
        <v>2120</v>
      </c>
      <c r="E368" t="s">
        <v>2121</v>
      </c>
      <c r="F368" t="s">
        <v>69</v>
      </c>
      <c r="G368" t="s">
        <v>39</v>
      </c>
      <c r="H368" t="s">
        <v>2451</v>
      </c>
      <c r="I368" t="s">
        <v>229</v>
      </c>
      <c r="J368" t="s">
        <v>219</v>
      </c>
      <c r="K368" t="s">
        <v>221</v>
      </c>
      <c r="L368" t="s">
        <v>62</v>
      </c>
      <c r="M368" t="s">
        <v>51</v>
      </c>
      <c r="N368" t="s">
        <v>63</v>
      </c>
      <c r="O368" t="s">
        <v>2123</v>
      </c>
      <c r="P368">
        <v>9999999999</v>
      </c>
      <c r="Q368" t="s">
        <v>54</v>
      </c>
      <c r="R368" t="s">
        <v>132</v>
      </c>
      <c r="S368" t="s">
        <v>43</v>
      </c>
      <c r="T368" t="s">
        <v>43</v>
      </c>
      <c r="U368" t="s">
        <v>44</v>
      </c>
      <c r="V368" t="s">
        <v>45</v>
      </c>
      <c r="W368" t="s">
        <v>5056</v>
      </c>
      <c r="X368" t="s">
        <v>45</v>
      </c>
      <c r="Y368" t="s">
        <v>46</v>
      </c>
      <c r="Z368" t="s">
        <v>47</v>
      </c>
      <c r="AA368" t="s">
        <v>48</v>
      </c>
      <c r="AB368" t="s">
        <v>49</v>
      </c>
      <c r="AC368" t="s">
        <v>49</v>
      </c>
      <c r="AD368">
        <v>0</v>
      </c>
      <c r="AE368" t="s">
        <v>185</v>
      </c>
      <c r="AF368">
        <v>0</v>
      </c>
      <c r="AG368" t="s">
        <v>196</v>
      </c>
      <c r="AH368" s="93">
        <f>VLOOKUP(Table1[[#This Row],[Caste]],Factor!$H$1:$K$13,4,0)</f>
        <v>1.1209668980183516</v>
      </c>
      <c r="AI36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68">
        <f>Table1[[#This Row],[Factor_1]]*Table1[[#This Row],[2024 Factor]]</f>
        <v>1.0451044981059459</v>
      </c>
      <c r="AK368">
        <f>VLOOKUP(Table1[[#This Row],[Q18: Gender]],Factor!$A$33:$E$35,5,0)</f>
        <v>0.85034013605442171</v>
      </c>
      <c r="AL368">
        <f>VLOOKUP(Table1[[#This Row],[Taluka]],Factor!$A$42:$G$46,7,0)</f>
        <v>1.147984664167413</v>
      </c>
      <c r="AM368">
        <f>VLOOKUP(Table1[[#This Row],[Caste]]&amp;Table1[[#This Row],[Q18: Gender]],Factor!$W$1:$X$23,2,0)</f>
        <v>0.96810777556130356</v>
      </c>
      <c r="AN368">
        <f>VLOOKUP(Table1[[#This Row],[Taluka]]&amp;Table1[[#This Row],[Caste]]&amp;Table1[[#This Row],[Q18: Gender]],Factor!$AK$4:$AL$93,2,0)</f>
        <v>0.30685005205910726</v>
      </c>
      <c r="AO368">
        <f t="shared" si="55"/>
        <v>-1</v>
      </c>
      <c r="AP368">
        <f t="shared" si="56"/>
        <v>-1</v>
      </c>
      <c r="AQ368">
        <f t="shared" si="57"/>
        <v>-1</v>
      </c>
      <c r="AR368">
        <f t="shared" si="58"/>
        <v>-1</v>
      </c>
      <c r="AS368">
        <f t="shared" si="59"/>
        <v>-1</v>
      </c>
      <c r="AT368">
        <f t="shared" si="60"/>
        <v>-1</v>
      </c>
      <c r="AU368">
        <f t="shared" si="61"/>
        <v>-5.5</v>
      </c>
      <c r="AV368">
        <f>SUM(Table1[[#This Row],[Satis]:[29]])</f>
        <v>-6</v>
      </c>
      <c r="AW368">
        <f t="shared" si="62"/>
        <v>-5</v>
      </c>
      <c r="AX368">
        <f t="shared" si="63"/>
        <v>-4</v>
      </c>
      <c r="AY368">
        <f t="shared" si="64"/>
        <v>-3</v>
      </c>
      <c r="AZ368" t="str">
        <f t="shared" si="65"/>
        <v>TDP HardCore</v>
      </c>
    </row>
    <row r="369" spans="1:52" x14ac:dyDescent="0.3">
      <c r="A369" t="s">
        <v>2118</v>
      </c>
      <c r="B369" s="94">
        <v>46045</v>
      </c>
      <c r="C369" t="s">
        <v>2119</v>
      </c>
      <c r="D369" t="s">
        <v>2120</v>
      </c>
      <c r="E369" t="s">
        <v>2121</v>
      </c>
      <c r="F369" t="s">
        <v>69</v>
      </c>
      <c r="G369" t="s">
        <v>39</v>
      </c>
      <c r="H369" t="s">
        <v>2122</v>
      </c>
      <c r="I369" t="s">
        <v>229</v>
      </c>
      <c r="J369" t="s">
        <v>219</v>
      </c>
      <c r="K369" t="s">
        <v>221</v>
      </c>
      <c r="L369" t="s">
        <v>62</v>
      </c>
      <c r="M369" t="s">
        <v>51</v>
      </c>
      <c r="N369" t="s">
        <v>63</v>
      </c>
      <c r="O369" t="s">
        <v>2123</v>
      </c>
      <c r="P369">
        <v>9999999999</v>
      </c>
      <c r="Q369" t="s">
        <v>54</v>
      </c>
      <c r="R369" t="s">
        <v>132</v>
      </c>
      <c r="S369" t="s">
        <v>43</v>
      </c>
      <c r="T369" t="s">
        <v>43</v>
      </c>
      <c r="U369" t="s">
        <v>44</v>
      </c>
      <c r="V369" t="s">
        <v>45</v>
      </c>
      <c r="W369" t="s">
        <v>5056</v>
      </c>
      <c r="X369" t="s">
        <v>45</v>
      </c>
      <c r="Y369" t="s">
        <v>46</v>
      </c>
      <c r="Z369" t="s">
        <v>47</v>
      </c>
      <c r="AA369" t="s">
        <v>48</v>
      </c>
      <c r="AB369" t="s">
        <v>49</v>
      </c>
      <c r="AC369" t="s">
        <v>49</v>
      </c>
      <c r="AD369" t="s">
        <v>481</v>
      </c>
      <c r="AE369" t="s">
        <v>185</v>
      </c>
      <c r="AF369" t="s">
        <v>1341</v>
      </c>
      <c r="AG369" t="s">
        <v>196</v>
      </c>
      <c r="AH369" s="93">
        <f>VLOOKUP(Table1[[#This Row],[Caste]],Factor!$H$1:$K$13,4,0)</f>
        <v>1.1209668980183516</v>
      </c>
      <c r="AI36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69">
        <f>Table1[[#This Row],[Factor_1]]*Table1[[#This Row],[2024 Factor]]</f>
        <v>1.0451044981059459</v>
      </c>
      <c r="AK369">
        <f>VLOOKUP(Table1[[#This Row],[Q18: Gender]],Factor!$A$33:$E$35,5,0)</f>
        <v>0.85034013605442171</v>
      </c>
      <c r="AL369">
        <f>VLOOKUP(Table1[[#This Row],[Taluka]],Factor!$A$42:$G$46,7,0)</f>
        <v>1.147984664167413</v>
      </c>
      <c r="AM369">
        <f>VLOOKUP(Table1[[#This Row],[Caste]]&amp;Table1[[#This Row],[Q18: Gender]],Factor!$W$1:$X$23,2,0)</f>
        <v>0.96810777556130356</v>
      </c>
      <c r="AN369">
        <f>VLOOKUP(Table1[[#This Row],[Taluka]]&amp;Table1[[#This Row],[Caste]]&amp;Table1[[#This Row],[Q18: Gender]],Factor!$AK$4:$AL$93,2,0)</f>
        <v>0.30685005205910726</v>
      </c>
      <c r="AO369">
        <f t="shared" si="55"/>
        <v>-1</v>
      </c>
      <c r="AP369">
        <f t="shared" si="56"/>
        <v>-1</v>
      </c>
      <c r="AQ369">
        <f t="shared" si="57"/>
        <v>-1</v>
      </c>
      <c r="AR369">
        <f t="shared" si="58"/>
        <v>-1</v>
      </c>
      <c r="AS369">
        <f t="shared" si="59"/>
        <v>-1</v>
      </c>
      <c r="AT369">
        <f t="shared" si="60"/>
        <v>-1</v>
      </c>
      <c r="AU369">
        <f t="shared" si="61"/>
        <v>-5.5</v>
      </c>
      <c r="AV369">
        <f>SUM(Table1[[#This Row],[Satis]:[29]])</f>
        <v>-6</v>
      </c>
      <c r="AW369">
        <f t="shared" si="62"/>
        <v>-5</v>
      </c>
      <c r="AX369">
        <f t="shared" si="63"/>
        <v>-4</v>
      </c>
      <c r="AY369">
        <f t="shared" si="64"/>
        <v>-3</v>
      </c>
      <c r="AZ369" t="str">
        <f t="shared" si="65"/>
        <v>TDP HardCore</v>
      </c>
    </row>
    <row r="370" spans="1:52" x14ac:dyDescent="0.3">
      <c r="A370" t="s">
        <v>2217</v>
      </c>
      <c r="B370" s="94">
        <v>46045</v>
      </c>
      <c r="C370" t="s">
        <v>2218</v>
      </c>
      <c r="D370" t="s">
        <v>2219</v>
      </c>
      <c r="E370" t="s">
        <v>1352</v>
      </c>
      <c r="F370" t="s">
        <v>69</v>
      </c>
      <c r="G370" t="s">
        <v>39</v>
      </c>
      <c r="H370" t="s">
        <v>2220</v>
      </c>
      <c r="I370" t="s">
        <v>145</v>
      </c>
      <c r="J370" t="s">
        <v>219</v>
      </c>
      <c r="K370" t="s">
        <v>221</v>
      </c>
      <c r="L370" t="s">
        <v>82</v>
      </c>
      <c r="M370" t="s">
        <v>51</v>
      </c>
      <c r="N370" t="s">
        <v>52</v>
      </c>
      <c r="O370" t="s">
        <v>1502</v>
      </c>
      <c r="P370">
        <v>9999999999</v>
      </c>
      <c r="Q370" t="s">
        <v>445</v>
      </c>
      <c r="R370" t="s">
        <v>132</v>
      </c>
      <c r="S370" t="s">
        <v>89</v>
      </c>
      <c r="T370" t="s">
        <v>43</v>
      </c>
      <c r="U370" t="s">
        <v>90</v>
      </c>
      <c r="V370" t="s">
        <v>91</v>
      </c>
      <c r="W370" t="s">
        <v>5075</v>
      </c>
      <c r="X370" t="s">
        <v>91</v>
      </c>
      <c r="Y370" t="s">
        <v>638</v>
      </c>
      <c r="Z370" t="s">
        <v>47</v>
      </c>
      <c r="AA370" t="s">
        <v>92</v>
      </c>
      <c r="AB370" t="s">
        <v>93</v>
      </c>
      <c r="AC370" t="s">
        <v>94</v>
      </c>
      <c r="AD370" t="s">
        <v>494</v>
      </c>
      <c r="AE370" t="s">
        <v>185</v>
      </c>
      <c r="AF370" t="s">
        <v>2972</v>
      </c>
      <c r="AG370" t="s">
        <v>196</v>
      </c>
      <c r="AH370" s="93">
        <f>VLOOKUP(Table1[[#This Row],[Caste]],Factor!$H$1:$K$13,4,0)</f>
        <v>1.8452248965186235</v>
      </c>
      <c r="AI370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370">
        <f>Table1[[#This Row],[Factor_1]]*Table1[[#This Row],[2024 Factor]]</f>
        <v>4.5810986374418894</v>
      </c>
      <c r="AK370">
        <f>VLOOKUP(Table1[[#This Row],[Q18: Gender]],Factor!$A$33:$E$35,5,0)</f>
        <v>2.1645021645021645</v>
      </c>
      <c r="AL370">
        <f>VLOOKUP(Table1[[#This Row],[Taluka]],Factor!$A$42:$G$46,7,0)</f>
        <v>1.147984664167413</v>
      </c>
      <c r="AM370">
        <f>VLOOKUP(Table1[[#This Row],[Caste]]&amp;Table1[[#This Row],[Q18: Gender]],Factor!$W$1:$X$23,2,0)</f>
        <v>2.5371842327131073</v>
      </c>
      <c r="AN370">
        <f>VLOOKUP(Table1[[#This Row],[Taluka]]&amp;Table1[[#This Row],[Caste]]&amp;Table1[[#This Row],[Q18: Gender]],Factor!$AK$4:$AL$93,2,0)</f>
        <v>2.9242991836792998</v>
      </c>
      <c r="AO370">
        <f t="shared" si="55"/>
        <v>-1</v>
      </c>
      <c r="AP370">
        <f t="shared" si="56"/>
        <v>1</v>
      </c>
      <c r="AQ370">
        <f t="shared" si="57"/>
        <v>1</v>
      </c>
      <c r="AR370">
        <f t="shared" si="58"/>
        <v>1</v>
      </c>
      <c r="AS370">
        <f t="shared" si="59"/>
        <v>1</v>
      </c>
      <c r="AT370">
        <f t="shared" si="60"/>
        <v>-1</v>
      </c>
      <c r="AU370">
        <f t="shared" si="61"/>
        <v>1.5</v>
      </c>
      <c r="AV370">
        <f>SUM(Table1[[#This Row],[Satis]:[29]])</f>
        <v>2</v>
      </c>
      <c r="AW370">
        <f t="shared" si="62"/>
        <v>1</v>
      </c>
      <c r="AX370">
        <f t="shared" si="63"/>
        <v>2</v>
      </c>
      <c r="AY370">
        <f t="shared" si="64"/>
        <v>-2</v>
      </c>
      <c r="AZ370" t="str">
        <f t="shared" si="65"/>
        <v>Neutral TDP</v>
      </c>
    </row>
    <row r="371" spans="1:52" x14ac:dyDescent="0.3">
      <c r="A371" t="s">
        <v>2221</v>
      </c>
      <c r="B371" s="94">
        <v>46045</v>
      </c>
      <c r="C371" t="s">
        <v>2222</v>
      </c>
      <c r="D371" t="s">
        <v>2223</v>
      </c>
      <c r="E371" t="s">
        <v>1684</v>
      </c>
      <c r="F371" t="s">
        <v>69</v>
      </c>
      <c r="G371" t="s">
        <v>39</v>
      </c>
      <c r="H371" t="s">
        <v>2224</v>
      </c>
      <c r="I371" t="s">
        <v>59</v>
      </c>
      <c r="J371" t="s">
        <v>219</v>
      </c>
      <c r="K371" t="s">
        <v>221</v>
      </c>
      <c r="L371" t="s">
        <v>50</v>
      </c>
      <c r="M371" t="s">
        <v>51</v>
      </c>
      <c r="N371" t="s">
        <v>162</v>
      </c>
      <c r="O371" t="s">
        <v>2225</v>
      </c>
      <c r="P371">
        <v>7702048253</v>
      </c>
      <c r="Q371" t="s">
        <v>54</v>
      </c>
      <c r="R371" t="s">
        <v>73</v>
      </c>
      <c r="S371" t="s">
        <v>43</v>
      </c>
      <c r="T371" t="s">
        <v>43</v>
      </c>
      <c r="U371" t="s">
        <v>44</v>
      </c>
      <c r="V371" t="s">
        <v>45</v>
      </c>
      <c r="W371" t="s">
        <v>5046</v>
      </c>
      <c r="X371" t="s">
        <v>45</v>
      </c>
      <c r="Y371" t="s">
        <v>46</v>
      </c>
      <c r="Z371" t="s">
        <v>47</v>
      </c>
      <c r="AA371" t="s">
        <v>48</v>
      </c>
      <c r="AB371" t="s">
        <v>49</v>
      </c>
      <c r="AC371" t="s">
        <v>49</v>
      </c>
      <c r="AD371" t="s">
        <v>481</v>
      </c>
      <c r="AE371" t="s">
        <v>189</v>
      </c>
      <c r="AF371" t="s">
        <v>1212</v>
      </c>
      <c r="AG371" t="s">
        <v>196</v>
      </c>
      <c r="AH371" s="93">
        <f>VLOOKUP(Table1[[#This Row],[Caste]],Factor!$H$1:$K$13,4,0)</f>
        <v>1.1461625511156397</v>
      </c>
      <c r="AI37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71">
        <f>Table1[[#This Row],[Factor_1]]*Table1[[#This Row],[2024 Factor]]</f>
        <v>0.77721139583220644</v>
      </c>
      <c r="AK371">
        <f>VLOOKUP(Table1[[#This Row],[Q18: Gender]],Factor!$A$33:$E$35,5,0)</f>
        <v>0.85034013605442171</v>
      </c>
      <c r="AL371">
        <f>VLOOKUP(Table1[[#This Row],[Taluka]],Factor!$A$42:$G$46,7,0)</f>
        <v>1.147984664167413</v>
      </c>
      <c r="AM371">
        <f>VLOOKUP(Table1[[#This Row],[Caste]]&amp;Table1[[#This Row],[Q18: Gender]],Factor!$W$1:$X$23,2,0)</f>
        <v>0.71995135120329123</v>
      </c>
      <c r="AN371">
        <f>VLOOKUP(Table1[[#This Row],[Taluka]]&amp;Table1[[#This Row],[Caste]]&amp;Table1[[#This Row],[Q18: Gender]],Factor!$AK$4:$AL$93,2,0)</f>
        <v>0.54319084681293095</v>
      </c>
      <c r="AO371">
        <f t="shared" si="55"/>
        <v>-1</v>
      </c>
      <c r="AP371">
        <f t="shared" si="56"/>
        <v>-1</v>
      </c>
      <c r="AQ371">
        <f t="shared" si="57"/>
        <v>-1</v>
      </c>
      <c r="AR371">
        <f t="shared" si="58"/>
        <v>-1</v>
      </c>
      <c r="AS371">
        <f t="shared" si="59"/>
        <v>-1</v>
      </c>
      <c r="AT371">
        <f t="shared" si="60"/>
        <v>-1</v>
      </c>
      <c r="AU371">
        <f t="shared" si="61"/>
        <v>-5.5</v>
      </c>
      <c r="AV371">
        <f>SUM(Table1[[#This Row],[Satis]:[29]])</f>
        <v>-6</v>
      </c>
      <c r="AW371">
        <f t="shared" si="62"/>
        <v>-5</v>
      </c>
      <c r="AX371">
        <f t="shared" si="63"/>
        <v>-4</v>
      </c>
      <c r="AY371">
        <f t="shared" si="64"/>
        <v>-3</v>
      </c>
      <c r="AZ371" t="str">
        <f t="shared" si="65"/>
        <v>TDP HardCore</v>
      </c>
    </row>
    <row r="372" spans="1:52" x14ac:dyDescent="0.3">
      <c r="A372" t="s">
        <v>2155</v>
      </c>
      <c r="B372" s="94">
        <v>46045</v>
      </c>
      <c r="C372" t="s">
        <v>2156</v>
      </c>
      <c r="D372" t="s">
        <v>2157</v>
      </c>
      <c r="E372" t="s">
        <v>2158</v>
      </c>
      <c r="F372" t="s">
        <v>69</v>
      </c>
      <c r="G372" t="s">
        <v>39</v>
      </c>
      <c r="H372" t="s">
        <v>2159</v>
      </c>
      <c r="I372" s="112" t="s">
        <v>36</v>
      </c>
      <c r="J372" t="s">
        <v>219</v>
      </c>
      <c r="K372" t="s">
        <v>221</v>
      </c>
      <c r="L372" t="s">
        <v>62</v>
      </c>
      <c r="M372" t="s">
        <v>51</v>
      </c>
      <c r="N372" t="s">
        <v>63</v>
      </c>
      <c r="O372" t="s">
        <v>1727</v>
      </c>
      <c r="P372">
        <v>9999999999</v>
      </c>
      <c r="Q372" t="s">
        <v>54</v>
      </c>
      <c r="R372" t="s">
        <v>132</v>
      </c>
      <c r="S372" t="s">
        <v>43</v>
      </c>
      <c r="T372" t="s">
        <v>43</v>
      </c>
      <c r="U372" t="s">
        <v>44</v>
      </c>
      <c r="V372" t="s">
        <v>45</v>
      </c>
      <c r="W372" t="s">
        <v>5057</v>
      </c>
      <c r="X372" t="s">
        <v>91</v>
      </c>
      <c r="Y372" t="s">
        <v>46</v>
      </c>
      <c r="Z372" t="s">
        <v>47</v>
      </c>
      <c r="AA372" t="s">
        <v>48</v>
      </c>
      <c r="AB372" t="s">
        <v>49</v>
      </c>
      <c r="AC372" t="s">
        <v>49</v>
      </c>
      <c r="AD372" t="s">
        <v>184</v>
      </c>
      <c r="AE372" t="s">
        <v>185</v>
      </c>
      <c r="AF372" t="s">
        <v>1221</v>
      </c>
      <c r="AG372" t="s">
        <v>196</v>
      </c>
      <c r="AH372" s="93">
        <f>VLOOKUP(Table1[[#This Row],[Caste]],Factor!$H$1:$K$13,4,0)</f>
        <v>1.1705128247062893</v>
      </c>
      <c r="AI37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72">
        <f>Table1[[#This Row],[Factor_1]]*Table1[[#This Row],[2024 Factor]]</f>
        <v>0.86308903171383233</v>
      </c>
      <c r="AK372">
        <f>VLOOKUP(Table1[[#This Row],[Q18: Gender]],Factor!$A$33:$E$35,5,0)</f>
        <v>0.85034013605442171</v>
      </c>
      <c r="AL372">
        <f>VLOOKUP(Table1[[#This Row],[Taluka]],Factor!$A$42:$G$46,7,0)</f>
        <v>1.147984664167413</v>
      </c>
      <c r="AM372">
        <f>VLOOKUP(Table1[[#This Row],[Caste]]&amp;Table1[[#This Row],[Q18: Gender]],Factor!$W$1:$X$23,2,0)</f>
        <v>0.79950206330384943</v>
      </c>
      <c r="AN372">
        <f>VLOOKUP(Table1[[#This Row],[Taluka]]&amp;Table1[[#This Row],[Caste]]&amp;Table1[[#This Row],[Q18: Gender]],Factor!$AK$4:$AL$93,2,0)</f>
        <v>0.92148737207359532</v>
      </c>
      <c r="AO372">
        <f t="shared" si="55"/>
        <v>-1</v>
      </c>
      <c r="AP372">
        <f t="shared" si="56"/>
        <v>-1</v>
      </c>
      <c r="AQ372">
        <f t="shared" si="57"/>
        <v>-1</v>
      </c>
      <c r="AR372">
        <f t="shared" si="58"/>
        <v>1</v>
      </c>
      <c r="AS372">
        <f t="shared" si="59"/>
        <v>-1</v>
      </c>
      <c r="AT372">
        <f t="shared" si="60"/>
        <v>-1</v>
      </c>
      <c r="AU372">
        <f t="shared" si="61"/>
        <v>-3.5</v>
      </c>
      <c r="AV372">
        <f>SUM(Table1[[#This Row],[Satis]:[29]])</f>
        <v>-4</v>
      </c>
      <c r="AW372">
        <f t="shared" si="62"/>
        <v>-3</v>
      </c>
      <c r="AX372">
        <f t="shared" si="63"/>
        <v>-2</v>
      </c>
      <c r="AY372">
        <f t="shared" si="64"/>
        <v>-3</v>
      </c>
      <c r="AZ372" t="str">
        <f t="shared" si="65"/>
        <v>Neutral TDP</v>
      </c>
    </row>
    <row r="373" spans="1:52" x14ac:dyDescent="0.3">
      <c r="A373" t="s">
        <v>2207</v>
      </c>
      <c r="B373" s="94">
        <v>46045</v>
      </c>
      <c r="C373" t="s">
        <v>2208</v>
      </c>
      <c r="D373" t="s">
        <v>2209</v>
      </c>
      <c r="E373" t="s">
        <v>361</v>
      </c>
      <c r="F373" t="s">
        <v>240</v>
      </c>
      <c r="G373" t="s">
        <v>39</v>
      </c>
      <c r="H373" t="s">
        <v>2210</v>
      </c>
      <c r="I373" t="s">
        <v>70</v>
      </c>
      <c r="J373" s="112" t="s">
        <v>203</v>
      </c>
      <c r="K373" s="112" t="s">
        <v>204</v>
      </c>
      <c r="L373" t="s">
        <v>62</v>
      </c>
      <c r="M373" t="s">
        <v>51</v>
      </c>
      <c r="N373" t="s">
        <v>52</v>
      </c>
      <c r="O373" t="s">
        <v>2211</v>
      </c>
      <c r="P373">
        <v>7732055198</v>
      </c>
      <c r="Q373" t="s">
        <v>54</v>
      </c>
      <c r="R373" t="s">
        <v>2116</v>
      </c>
      <c r="S373" t="s">
        <v>89</v>
      </c>
      <c r="T373" t="s">
        <v>89</v>
      </c>
      <c r="U373" t="s">
        <v>90</v>
      </c>
      <c r="V373" t="s">
        <v>91</v>
      </c>
      <c r="W373" t="s">
        <v>5069</v>
      </c>
      <c r="X373" t="s">
        <v>91</v>
      </c>
      <c r="Y373" t="s">
        <v>46</v>
      </c>
      <c r="Z373" t="s">
        <v>92</v>
      </c>
      <c r="AA373" t="s">
        <v>92</v>
      </c>
      <c r="AB373" t="s">
        <v>93</v>
      </c>
      <c r="AC373" t="s">
        <v>470</v>
      </c>
      <c r="AD373" t="s">
        <v>481</v>
      </c>
      <c r="AE373" t="s">
        <v>185</v>
      </c>
      <c r="AF373" t="s">
        <v>1341</v>
      </c>
      <c r="AG373" t="s">
        <v>196</v>
      </c>
      <c r="AH373" s="93">
        <f>VLOOKUP(Table1[[#This Row],[Caste]],Factor!$H$1:$K$13,4,0)</f>
        <v>1.3836274505214585</v>
      </c>
      <c r="AI373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373">
        <f>Table1[[#This Row],[Factor_1]]*Table1[[#This Row],[2024 Factor]]</f>
        <v>1.9482662206881376</v>
      </c>
      <c r="AK373">
        <f>VLOOKUP(Table1[[#This Row],[Q18: Gender]],Factor!$A$33:$E$35,5,0)</f>
        <v>0.85034013605442171</v>
      </c>
      <c r="AL373">
        <f>VLOOKUP(Table1[[#This Row],[Taluka]],Factor!$A$42:$G$46,7,0)</f>
        <v>1.9264642089343564</v>
      </c>
      <c r="AM373">
        <f>VLOOKUP(Table1[[#This Row],[Caste]]&amp;Table1[[#This Row],[Q18: Gender]],Factor!$W$1:$X$23,2,0)</f>
        <v>1.0790228998469584</v>
      </c>
      <c r="AN373">
        <f>VLOOKUP(Table1[[#This Row],[Taluka]]&amp;Table1[[#This Row],[Caste]]&amp;Table1[[#This Row],[Q18: Gender]],Factor!$AK$4:$AL$93,2,0)</f>
        <v>2.1355167697651956</v>
      </c>
      <c r="AO373">
        <f t="shared" si="55"/>
        <v>1</v>
      </c>
      <c r="AP373">
        <f t="shared" si="56"/>
        <v>1</v>
      </c>
      <c r="AQ373">
        <f t="shared" si="57"/>
        <v>1</v>
      </c>
      <c r="AR373">
        <f t="shared" si="58"/>
        <v>1</v>
      </c>
      <c r="AS373">
        <f t="shared" si="59"/>
        <v>1</v>
      </c>
      <c r="AT373">
        <f t="shared" si="60"/>
        <v>1</v>
      </c>
      <c r="AU373">
        <f t="shared" si="61"/>
        <v>5.5</v>
      </c>
      <c r="AV373">
        <f>SUM(Table1[[#This Row],[Satis]:[29]])</f>
        <v>6</v>
      </c>
      <c r="AW373">
        <f t="shared" si="62"/>
        <v>5</v>
      </c>
      <c r="AX373">
        <f t="shared" si="63"/>
        <v>4</v>
      </c>
      <c r="AY373">
        <f t="shared" si="64"/>
        <v>3</v>
      </c>
      <c r="AZ373" t="str">
        <f t="shared" si="65"/>
        <v>YSRCP HardCore</v>
      </c>
    </row>
    <row r="374" spans="1:52" x14ac:dyDescent="0.3">
      <c r="A374" t="s">
        <v>2260</v>
      </c>
      <c r="B374" s="94">
        <v>46045</v>
      </c>
      <c r="C374" t="s">
        <v>2261</v>
      </c>
      <c r="D374" t="s">
        <v>2262</v>
      </c>
      <c r="E374" t="s">
        <v>2152</v>
      </c>
      <c r="F374" t="s">
        <v>69</v>
      </c>
      <c r="G374" t="s">
        <v>39</v>
      </c>
      <c r="H374" t="s">
        <v>2263</v>
      </c>
      <c r="I374" t="s">
        <v>229</v>
      </c>
      <c r="J374" t="s">
        <v>219</v>
      </c>
      <c r="K374" t="s">
        <v>221</v>
      </c>
      <c r="L374" t="s">
        <v>75</v>
      </c>
      <c r="M374" t="s">
        <v>51</v>
      </c>
      <c r="N374" t="s">
        <v>52</v>
      </c>
      <c r="O374" t="s">
        <v>2264</v>
      </c>
      <c r="P374">
        <v>9999999999</v>
      </c>
      <c r="Q374" t="s">
        <v>54</v>
      </c>
      <c r="R374" t="s">
        <v>61</v>
      </c>
      <c r="S374" t="s">
        <v>43</v>
      </c>
      <c r="T374" t="s">
        <v>43</v>
      </c>
      <c r="U374" t="s">
        <v>44</v>
      </c>
      <c r="V374" t="s">
        <v>45</v>
      </c>
      <c r="W374" t="s">
        <v>5085</v>
      </c>
      <c r="X374" t="s">
        <v>45</v>
      </c>
      <c r="Y374" t="s">
        <v>46</v>
      </c>
      <c r="Z374" t="s">
        <v>47</v>
      </c>
      <c r="AA374" t="s">
        <v>48</v>
      </c>
      <c r="AB374" t="s">
        <v>49</v>
      </c>
      <c r="AC374" t="s">
        <v>49</v>
      </c>
      <c r="AD374" t="s">
        <v>494</v>
      </c>
      <c r="AE374" t="s">
        <v>185</v>
      </c>
      <c r="AF374">
        <v>0</v>
      </c>
      <c r="AG374" t="s">
        <v>196</v>
      </c>
      <c r="AH374" s="93">
        <f>VLOOKUP(Table1[[#This Row],[Caste]],Factor!$H$1:$K$13,4,0)</f>
        <v>1.1209668980183516</v>
      </c>
      <c r="AI37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74">
        <f>Table1[[#This Row],[Factor_1]]*Table1[[#This Row],[2024 Factor]]</f>
        <v>1.0451044981059459</v>
      </c>
      <c r="AK374">
        <f>VLOOKUP(Table1[[#This Row],[Q18: Gender]],Factor!$A$33:$E$35,5,0)</f>
        <v>0.85034013605442171</v>
      </c>
      <c r="AL374">
        <f>VLOOKUP(Table1[[#This Row],[Taluka]],Factor!$A$42:$G$46,7,0)</f>
        <v>1.147984664167413</v>
      </c>
      <c r="AM374">
        <f>VLOOKUP(Table1[[#This Row],[Caste]]&amp;Table1[[#This Row],[Q18: Gender]],Factor!$W$1:$X$23,2,0)</f>
        <v>0.96810777556130356</v>
      </c>
      <c r="AN374">
        <f>VLOOKUP(Table1[[#This Row],[Taluka]]&amp;Table1[[#This Row],[Caste]]&amp;Table1[[#This Row],[Q18: Gender]],Factor!$AK$4:$AL$93,2,0)</f>
        <v>0.30685005205910726</v>
      </c>
      <c r="AO374">
        <f t="shared" si="55"/>
        <v>-1</v>
      </c>
      <c r="AP374">
        <f t="shared" si="56"/>
        <v>-1</v>
      </c>
      <c r="AQ374">
        <f t="shared" si="57"/>
        <v>-1</v>
      </c>
      <c r="AR374">
        <f t="shared" si="58"/>
        <v>-1</v>
      </c>
      <c r="AS374">
        <f t="shared" si="59"/>
        <v>-1</v>
      </c>
      <c r="AT374">
        <f t="shared" si="60"/>
        <v>-1</v>
      </c>
      <c r="AU374">
        <f t="shared" si="61"/>
        <v>-5.5</v>
      </c>
      <c r="AV374">
        <f>SUM(Table1[[#This Row],[Satis]:[29]])</f>
        <v>-6</v>
      </c>
      <c r="AW374">
        <f t="shared" si="62"/>
        <v>-5</v>
      </c>
      <c r="AX374">
        <f t="shared" si="63"/>
        <v>-4</v>
      </c>
      <c r="AY374">
        <f t="shared" si="64"/>
        <v>-3</v>
      </c>
      <c r="AZ374" t="str">
        <f t="shared" si="65"/>
        <v>TDP HardCore</v>
      </c>
    </row>
    <row r="375" spans="1:52" x14ac:dyDescent="0.3">
      <c r="A375" t="s">
        <v>2242</v>
      </c>
      <c r="B375" s="94">
        <v>46045</v>
      </c>
      <c r="C375" t="s">
        <v>2243</v>
      </c>
      <c r="D375" t="s">
        <v>2244</v>
      </c>
      <c r="E375" t="s">
        <v>2245</v>
      </c>
      <c r="F375" t="s">
        <v>240</v>
      </c>
      <c r="G375" t="s">
        <v>39</v>
      </c>
      <c r="H375" t="s">
        <v>2246</v>
      </c>
      <c r="I375" t="s">
        <v>228</v>
      </c>
      <c r="J375" t="s">
        <v>37</v>
      </c>
      <c r="K375" t="s">
        <v>80</v>
      </c>
      <c r="L375" t="s">
        <v>62</v>
      </c>
      <c r="M375" t="s">
        <v>51</v>
      </c>
      <c r="N375" t="s">
        <v>52</v>
      </c>
      <c r="O375" t="s">
        <v>2247</v>
      </c>
      <c r="P375">
        <v>9963278424</v>
      </c>
      <c r="Q375" t="s">
        <v>445</v>
      </c>
      <c r="R375" t="s">
        <v>2116</v>
      </c>
      <c r="S375" t="s">
        <v>88</v>
      </c>
      <c r="T375" t="s">
        <v>89</v>
      </c>
      <c r="U375" t="s">
        <v>44</v>
      </c>
      <c r="V375" t="s">
        <v>91</v>
      </c>
      <c r="W375" t="s">
        <v>5049</v>
      </c>
      <c r="X375" t="s">
        <v>91</v>
      </c>
      <c r="Y375" t="s">
        <v>46</v>
      </c>
      <c r="Z375" t="s">
        <v>47</v>
      </c>
      <c r="AA375" t="s">
        <v>48</v>
      </c>
      <c r="AB375" t="s">
        <v>49</v>
      </c>
      <c r="AC375" t="s">
        <v>49</v>
      </c>
      <c r="AD375" t="s">
        <v>184</v>
      </c>
      <c r="AE375" t="s">
        <v>189</v>
      </c>
      <c r="AF375" t="s">
        <v>2991</v>
      </c>
      <c r="AG375" t="s">
        <v>196</v>
      </c>
      <c r="AH375" s="93">
        <f>VLOOKUP(Table1[[#This Row],[Caste]],Factor!$H$1:$K$13,4,0)</f>
        <v>0.80207032429970992</v>
      </c>
      <c r="AI37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75">
        <f>Table1[[#This Row],[Factor_1]]*Table1[[#This Row],[2024 Factor]]</f>
        <v>1.2733258158237817</v>
      </c>
      <c r="AK375">
        <f>VLOOKUP(Table1[[#This Row],[Q18: Gender]],Factor!$A$33:$E$35,5,0)</f>
        <v>2.1645021645021645</v>
      </c>
      <c r="AL375">
        <f>VLOOKUP(Table1[[#This Row],[Taluka]],Factor!$A$42:$G$46,7,0)</f>
        <v>0.75433779645928134</v>
      </c>
      <c r="AM375">
        <f>VLOOKUP(Table1[[#This Row],[Caste]]&amp;Table1[[#This Row],[Q18: Gender]],Factor!$W$1:$X$23,2,0)</f>
        <v>1.1795151827936912</v>
      </c>
      <c r="AN375">
        <f>VLOOKUP(Table1[[#This Row],[Taluka]]&amp;Table1[[#This Row],[Caste]]&amp;Table1[[#This Row],[Q18: Gender]],Factor!$AK$4:$AL$93,2,0)</f>
        <v>0.37562400914419181</v>
      </c>
      <c r="AO375">
        <f t="shared" si="55"/>
        <v>1</v>
      </c>
      <c r="AP375">
        <f t="shared" si="56"/>
        <v>-1</v>
      </c>
      <c r="AQ375">
        <f t="shared" si="57"/>
        <v>1</v>
      </c>
      <c r="AR375">
        <f t="shared" si="58"/>
        <v>1</v>
      </c>
      <c r="AS375">
        <f t="shared" si="59"/>
        <v>-1</v>
      </c>
      <c r="AT375">
        <f t="shared" si="60"/>
        <v>-1</v>
      </c>
      <c r="AU375">
        <f t="shared" si="61"/>
        <v>0.5</v>
      </c>
      <c r="AV375">
        <f>SUM(Table1[[#This Row],[Satis]:[29]])</f>
        <v>0</v>
      </c>
      <c r="AW375">
        <f t="shared" si="62"/>
        <v>1</v>
      </c>
      <c r="AX375">
        <f t="shared" si="63"/>
        <v>0</v>
      </c>
      <c r="AY375">
        <f t="shared" si="64"/>
        <v>-2</v>
      </c>
      <c r="AZ375" t="str">
        <f t="shared" si="65"/>
        <v>Neutral TDP</v>
      </c>
    </row>
    <row r="376" spans="1:52" x14ac:dyDescent="0.3">
      <c r="A376" t="s">
        <v>2248</v>
      </c>
      <c r="B376" s="94">
        <v>46045</v>
      </c>
      <c r="C376" t="s">
        <v>2249</v>
      </c>
      <c r="D376" t="s">
        <v>2250</v>
      </c>
      <c r="E376" t="s">
        <v>1636</v>
      </c>
      <c r="F376" t="s">
        <v>69</v>
      </c>
      <c r="G376" t="s">
        <v>39</v>
      </c>
      <c r="H376" t="s">
        <v>2251</v>
      </c>
      <c r="I376" t="s">
        <v>36</v>
      </c>
      <c r="J376" t="s">
        <v>219</v>
      </c>
      <c r="K376" t="s">
        <v>221</v>
      </c>
      <c r="L376" t="s">
        <v>75</v>
      </c>
      <c r="M376" t="s">
        <v>51</v>
      </c>
      <c r="N376" t="s">
        <v>63</v>
      </c>
      <c r="O376" t="s">
        <v>959</v>
      </c>
      <c r="P376">
        <v>9999999999</v>
      </c>
      <c r="Q376" t="s">
        <v>54</v>
      </c>
      <c r="R376" t="s">
        <v>73</v>
      </c>
      <c r="S376" t="s">
        <v>43</v>
      </c>
      <c r="T376" t="s">
        <v>43</v>
      </c>
      <c r="U376" t="s">
        <v>44</v>
      </c>
      <c r="V376" t="s">
        <v>45</v>
      </c>
      <c r="W376" t="s">
        <v>5083</v>
      </c>
      <c r="X376" t="s">
        <v>45</v>
      </c>
      <c r="Y376" t="s">
        <v>46</v>
      </c>
      <c r="Z376" t="s">
        <v>47</v>
      </c>
      <c r="AA376" t="s">
        <v>48</v>
      </c>
      <c r="AB376" t="s">
        <v>49</v>
      </c>
      <c r="AC376" t="s">
        <v>49</v>
      </c>
      <c r="AD376" t="s">
        <v>184</v>
      </c>
      <c r="AE376" t="s">
        <v>189</v>
      </c>
      <c r="AF376" t="s">
        <v>2993</v>
      </c>
      <c r="AG376" t="s">
        <v>196</v>
      </c>
      <c r="AH376" s="93">
        <f>VLOOKUP(Table1[[#This Row],[Caste]],Factor!$H$1:$K$13,4,0)</f>
        <v>1.1705128247062893</v>
      </c>
      <c r="AI37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76">
        <f>Table1[[#This Row],[Factor_1]]*Table1[[#This Row],[2024 Factor]]</f>
        <v>0.86308903171383233</v>
      </c>
      <c r="AK376">
        <f>VLOOKUP(Table1[[#This Row],[Q18: Gender]],Factor!$A$33:$E$35,5,0)</f>
        <v>0.85034013605442171</v>
      </c>
      <c r="AL376">
        <f>VLOOKUP(Table1[[#This Row],[Taluka]],Factor!$A$42:$G$46,7,0)</f>
        <v>1.147984664167413</v>
      </c>
      <c r="AM376">
        <f>VLOOKUP(Table1[[#This Row],[Caste]]&amp;Table1[[#This Row],[Q18: Gender]],Factor!$W$1:$X$23,2,0)</f>
        <v>0.79950206330384943</v>
      </c>
      <c r="AN376">
        <f>VLOOKUP(Table1[[#This Row],[Taluka]]&amp;Table1[[#This Row],[Caste]]&amp;Table1[[#This Row],[Q18: Gender]],Factor!$AK$4:$AL$93,2,0)</f>
        <v>0.92148737207359532</v>
      </c>
      <c r="AO376">
        <f t="shared" si="55"/>
        <v>-1</v>
      </c>
      <c r="AP376">
        <f t="shared" si="56"/>
        <v>-1</v>
      </c>
      <c r="AQ376">
        <f t="shared" si="57"/>
        <v>-1</v>
      </c>
      <c r="AR376">
        <f t="shared" si="58"/>
        <v>-1</v>
      </c>
      <c r="AS376">
        <f t="shared" si="59"/>
        <v>-1</v>
      </c>
      <c r="AT376">
        <f t="shared" si="60"/>
        <v>-1</v>
      </c>
      <c r="AU376">
        <f t="shared" si="61"/>
        <v>-5.5</v>
      </c>
      <c r="AV376">
        <f>SUM(Table1[[#This Row],[Satis]:[29]])</f>
        <v>-6</v>
      </c>
      <c r="AW376">
        <f t="shared" si="62"/>
        <v>-5</v>
      </c>
      <c r="AX376">
        <f t="shared" si="63"/>
        <v>-4</v>
      </c>
      <c r="AY376">
        <f t="shared" si="64"/>
        <v>-3</v>
      </c>
      <c r="AZ376" t="str">
        <f t="shared" si="65"/>
        <v>TDP HardCore</v>
      </c>
    </row>
    <row r="377" spans="1:52" x14ac:dyDescent="0.3">
      <c r="A377" t="s">
        <v>2252</v>
      </c>
      <c r="B377" s="94">
        <v>46045</v>
      </c>
      <c r="C377" t="s">
        <v>2253</v>
      </c>
      <c r="D377" t="s">
        <v>2254</v>
      </c>
      <c r="E377" t="s">
        <v>2255</v>
      </c>
      <c r="F377" t="s">
        <v>240</v>
      </c>
      <c r="G377" t="s">
        <v>39</v>
      </c>
      <c r="H377" t="s">
        <v>2256</v>
      </c>
      <c r="I377" t="s">
        <v>59</v>
      </c>
      <c r="J377" t="s">
        <v>71</v>
      </c>
      <c r="K377" t="s">
        <v>214</v>
      </c>
      <c r="L377" t="s">
        <v>925</v>
      </c>
      <c r="M377" t="s">
        <v>51</v>
      </c>
      <c r="N377" t="s">
        <v>107</v>
      </c>
      <c r="O377" t="s">
        <v>406</v>
      </c>
      <c r="P377">
        <v>9999999999</v>
      </c>
      <c r="Q377" t="s">
        <v>445</v>
      </c>
      <c r="R377" t="s">
        <v>2116</v>
      </c>
      <c r="S377" t="s">
        <v>43</v>
      </c>
      <c r="T377" t="s">
        <v>43</v>
      </c>
      <c r="U377" t="s">
        <v>90</v>
      </c>
      <c r="V377" t="s">
        <v>45</v>
      </c>
      <c r="W377" t="s">
        <v>5047</v>
      </c>
      <c r="X377" t="s">
        <v>45</v>
      </c>
      <c r="Y377" t="s">
        <v>46</v>
      </c>
      <c r="Z377" t="s">
        <v>242</v>
      </c>
      <c r="AA377" t="s">
        <v>48</v>
      </c>
      <c r="AB377" t="s">
        <v>49</v>
      </c>
      <c r="AC377" t="s">
        <v>49</v>
      </c>
      <c r="AD377" t="s">
        <v>481</v>
      </c>
      <c r="AE377" t="s">
        <v>189</v>
      </c>
      <c r="AF377" t="s">
        <v>1860</v>
      </c>
      <c r="AG377" t="s">
        <v>196</v>
      </c>
      <c r="AH377" s="93">
        <f>VLOOKUP(Table1[[#This Row],[Caste]],Factor!$H$1:$K$13,4,0)</f>
        <v>1.1461625511156397</v>
      </c>
      <c r="AI37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77">
        <f>Table1[[#This Row],[Factor_1]]*Table1[[#This Row],[2024 Factor]]</f>
        <v>3.0326483876590018</v>
      </c>
      <c r="AK377">
        <f>VLOOKUP(Table1[[#This Row],[Q18: Gender]],Factor!$A$33:$E$35,5,0)</f>
        <v>2.1645021645021645</v>
      </c>
      <c r="AL377">
        <f>VLOOKUP(Table1[[#This Row],[Taluka]],Factor!$A$42:$G$46,7,0)</f>
        <v>1.1213131007097483</v>
      </c>
      <c r="AM377">
        <f>VLOOKUP(Table1[[#This Row],[Caste]]&amp;Table1[[#This Row],[Q18: Gender]],Factor!$W$1:$X$23,2,0)</f>
        <v>2.8092219390089208</v>
      </c>
      <c r="AN377">
        <f>VLOOKUP(Table1[[#This Row],[Taluka]]&amp;Table1[[#This Row],[Caste]]&amp;Table1[[#This Row],[Q18: Gender]],Factor!$AK$4:$AL$93,2,0)</f>
        <v>1.8020838461961379</v>
      </c>
      <c r="AO377">
        <f t="shared" si="55"/>
        <v>-1</v>
      </c>
      <c r="AP377">
        <f t="shared" si="56"/>
        <v>1</v>
      </c>
      <c r="AQ377">
        <f t="shared" si="57"/>
        <v>-1</v>
      </c>
      <c r="AR377">
        <f t="shared" si="58"/>
        <v>-1</v>
      </c>
      <c r="AS377">
        <f t="shared" si="59"/>
        <v>-1</v>
      </c>
      <c r="AT377">
        <f t="shared" si="60"/>
        <v>-1</v>
      </c>
      <c r="AU377">
        <f t="shared" si="61"/>
        <v>-3.5</v>
      </c>
      <c r="AV377">
        <f>SUM(Table1[[#This Row],[Satis]:[29]])</f>
        <v>-4</v>
      </c>
      <c r="AW377">
        <f t="shared" si="62"/>
        <v>-5</v>
      </c>
      <c r="AX377">
        <f t="shared" si="63"/>
        <v>-4</v>
      </c>
      <c r="AY377">
        <f t="shared" si="64"/>
        <v>-3</v>
      </c>
      <c r="AZ377" t="str">
        <f t="shared" si="65"/>
        <v>TDP Sympathiser</v>
      </c>
    </row>
    <row r="378" spans="1:52" x14ac:dyDescent="0.3">
      <c r="A378" t="s">
        <v>2308</v>
      </c>
      <c r="B378" s="94">
        <v>46045</v>
      </c>
      <c r="C378" t="s">
        <v>2309</v>
      </c>
      <c r="D378" t="s">
        <v>2310</v>
      </c>
      <c r="E378" t="s">
        <v>361</v>
      </c>
      <c r="F378" t="s">
        <v>240</v>
      </c>
      <c r="G378" t="s">
        <v>39</v>
      </c>
      <c r="H378" t="s">
        <v>2311</v>
      </c>
      <c r="I378" t="s">
        <v>70</v>
      </c>
      <c r="J378" t="s">
        <v>37</v>
      </c>
      <c r="K378" t="s">
        <v>80</v>
      </c>
      <c r="L378" t="s">
        <v>62</v>
      </c>
      <c r="M378" t="s">
        <v>51</v>
      </c>
      <c r="N378" t="s">
        <v>107</v>
      </c>
      <c r="O378" t="s">
        <v>2312</v>
      </c>
      <c r="P378">
        <v>9989688163</v>
      </c>
      <c r="Q378" t="s">
        <v>54</v>
      </c>
      <c r="R378" t="s">
        <v>2116</v>
      </c>
      <c r="S378" t="s">
        <v>43</v>
      </c>
      <c r="T378" t="s">
        <v>43</v>
      </c>
      <c r="U378" t="s">
        <v>90</v>
      </c>
      <c r="V378" t="s">
        <v>91</v>
      </c>
      <c r="W378" t="s">
        <v>5055</v>
      </c>
      <c r="X378" t="s">
        <v>91</v>
      </c>
      <c r="Y378" t="s">
        <v>46</v>
      </c>
      <c r="Z378" t="s">
        <v>92</v>
      </c>
      <c r="AA378" t="s">
        <v>92</v>
      </c>
      <c r="AB378" t="s">
        <v>147</v>
      </c>
      <c r="AC378" t="s">
        <v>148</v>
      </c>
      <c r="AD378" t="s">
        <v>481</v>
      </c>
      <c r="AE378" t="s">
        <v>185</v>
      </c>
      <c r="AF378">
        <v>0</v>
      </c>
      <c r="AG378" t="s">
        <v>196</v>
      </c>
      <c r="AH378" s="93">
        <f>VLOOKUP(Table1[[#This Row],[Caste]],Factor!$H$1:$K$13,4,0)</f>
        <v>1.3836274505214585</v>
      </c>
      <c r="AI378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378">
        <f>Table1[[#This Row],[Factor_1]]*Table1[[#This Row],[2024 Factor]]</f>
        <v>1.9482662206881376</v>
      </c>
      <c r="AK378">
        <f>VLOOKUP(Table1[[#This Row],[Q18: Gender]],Factor!$A$33:$E$35,5,0)</f>
        <v>0.85034013605442171</v>
      </c>
      <c r="AL378">
        <f>VLOOKUP(Table1[[#This Row],[Taluka]],Factor!$A$42:$G$46,7,0)</f>
        <v>0.75433779645928134</v>
      </c>
      <c r="AM378">
        <f>VLOOKUP(Table1[[#This Row],[Caste]]&amp;Table1[[#This Row],[Q18: Gender]],Factor!$W$1:$X$23,2,0)</f>
        <v>1.0790228998469584</v>
      </c>
      <c r="AN378">
        <f>VLOOKUP(Table1[[#This Row],[Taluka]]&amp;Table1[[#This Row],[Caste]]&amp;Table1[[#This Row],[Q18: Gender]],Factor!$AK$4:$AL$93,2,0)</f>
        <v>0.52423486800867025</v>
      </c>
      <c r="AO378">
        <f t="shared" si="55"/>
        <v>-1</v>
      </c>
      <c r="AP378">
        <f t="shared" si="56"/>
        <v>1</v>
      </c>
      <c r="AQ378">
        <f t="shared" si="57"/>
        <v>1</v>
      </c>
      <c r="AR378">
        <f t="shared" si="58"/>
        <v>1</v>
      </c>
      <c r="AS378">
        <f t="shared" si="59"/>
        <v>1</v>
      </c>
      <c r="AT378">
        <f t="shared" si="60"/>
        <v>1</v>
      </c>
      <c r="AU378">
        <f t="shared" si="61"/>
        <v>3.5</v>
      </c>
      <c r="AV378">
        <f>SUM(Table1[[#This Row],[Satis]:[29]])</f>
        <v>4</v>
      </c>
      <c r="AW378">
        <f t="shared" si="62"/>
        <v>3</v>
      </c>
      <c r="AX378">
        <f t="shared" si="63"/>
        <v>4</v>
      </c>
      <c r="AY378">
        <f t="shared" si="64"/>
        <v>2</v>
      </c>
      <c r="AZ378" t="str">
        <f t="shared" si="65"/>
        <v>YSRCP Sympathiser</v>
      </c>
    </row>
    <row r="379" spans="1:52" x14ac:dyDescent="0.3">
      <c r="A379" t="s">
        <v>2355</v>
      </c>
      <c r="B379" s="94">
        <v>46045</v>
      </c>
      <c r="C379" t="s">
        <v>2356</v>
      </c>
      <c r="D379" t="s">
        <v>2357</v>
      </c>
      <c r="E379" t="s">
        <v>1883</v>
      </c>
      <c r="F379" t="s">
        <v>69</v>
      </c>
      <c r="G379" t="s">
        <v>39</v>
      </c>
      <c r="H379" t="s">
        <v>2358</v>
      </c>
      <c r="I379" t="s">
        <v>59</v>
      </c>
      <c r="J379" t="s">
        <v>219</v>
      </c>
      <c r="K379" t="s">
        <v>221</v>
      </c>
      <c r="L379" t="s">
        <v>50</v>
      </c>
      <c r="M379" t="s">
        <v>51</v>
      </c>
      <c r="N379" t="s">
        <v>52</v>
      </c>
      <c r="O379" t="s">
        <v>2359</v>
      </c>
      <c r="P379">
        <v>9999999999</v>
      </c>
      <c r="Q379" t="s">
        <v>54</v>
      </c>
      <c r="R379" t="s">
        <v>61</v>
      </c>
      <c r="S379" t="s">
        <v>89</v>
      </c>
      <c r="T379" t="s">
        <v>43</v>
      </c>
      <c r="U379" t="s">
        <v>44</v>
      </c>
      <c r="V379" t="s">
        <v>45</v>
      </c>
      <c r="W379" t="s">
        <v>5056</v>
      </c>
      <c r="X379" t="s">
        <v>45</v>
      </c>
      <c r="Y379" t="s">
        <v>46</v>
      </c>
      <c r="Z379" t="s">
        <v>47</v>
      </c>
      <c r="AA379" t="s">
        <v>48</v>
      </c>
      <c r="AB379" t="s">
        <v>49</v>
      </c>
      <c r="AC379" t="s">
        <v>49</v>
      </c>
      <c r="AD379" t="s">
        <v>494</v>
      </c>
      <c r="AE379" t="s">
        <v>185</v>
      </c>
      <c r="AF379">
        <v>0</v>
      </c>
      <c r="AG379" t="s">
        <v>196</v>
      </c>
      <c r="AH379" s="93">
        <f>VLOOKUP(Table1[[#This Row],[Caste]],Factor!$H$1:$K$13,4,0)</f>
        <v>1.1461625511156397</v>
      </c>
      <c r="AI37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79">
        <f>Table1[[#This Row],[Factor_1]]*Table1[[#This Row],[2024 Factor]]</f>
        <v>0.77721139583220644</v>
      </c>
      <c r="AK379">
        <f>VLOOKUP(Table1[[#This Row],[Q18: Gender]],Factor!$A$33:$E$35,5,0)</f>
        <v>0.85034013605442171</v>
      </c>
      <c r="AL379">
        <f>VLOOKUP(Table1[[#This Row],[Taluka]],Factor!$A$42:$G$46,7,0)</f>
        <v>1.147984664167413</v>
      </c>
      <c r="AM379">
        <f>VLOOKUP(Table1[[#This Row],[Caste]]&amp;Table1[[#This Row],[Q18: Gender]],Factor!$W$1:$X$23,2,0)</f>
        <v>0.71995135120329123</v>
      </c>
      <c r="AN379">
        <f>VLOOKUP(Table1[[#This Row],[Taluka]]&amp;Table1[[#This Row],[Caste]]&amp;Table1[[#This Row],[Q18: Gender]],Factor!$AK$4:$AL$93,2,0)</f>
        <v>0.54319084681293095</v>
      </c>
      <c r="AO379">
        <f t="shared" si="55"/>
        <v>-1</v>
      </c>
      <c r="AP379">
        <f t="shared" si="56"/>
        <v>-1</v>
      </c>
      <c r="AQ379">
        <f t="shared" si="57"/>
        <v>-1</v>
      </c>
      <c r="AR379">
        <f t="shared" si="58"/>
        <v>-1</v>
      </c>
      <c r="AS379">
        <f t="shared" si="59"/>
        <v>-1</v>
      </c>
      <c r="AT379">
        <f t="shared" si="60"/>
        <v>-1</v>
      </c>
      <c r="AU379">
        <f t="shared" si="61"/>
        <v>-5.5</v>
      </c>
      <c r="AV379">
        <f>SUM(Table1[[#This Row],[Satis]:[29]])</f>
        <v>-6</v>
      </c>
      <c r="AW379">
        <f t="shared" si="62"/>
        <v>-5</v>
      </c>
      <c r="AX379">
        <f t="shared" si="63"/>
        <v>-4</v>
      </c>
      <c r="AY379">
        <f t="shared" si="64"/>
        <v>-3</v>
      </c>
      <c r="AZ379" t="str">
        <f t="shared" si="65"/>
        <v>TDP HardCore</v>
      </c>
    </row>
    <row r="380" spans="1:52" x14ac:dyDescent="0.3">
      <c r="A380" t="s">
        <v>2394</v>
      </c>
      <c r="B380" s="94">
        <v>46045</v>
      </c>
      <c r="C380" t="s">
        <v>2395</v>
      </c>
      <c r="D380" t="s">
        <v>2396</v>
      </c>
      <c r="E380" t="s">
        <v>1636</v>
      </c>
      <c r="F380" t="s">
        <v>69</v>
      </c>
      <c r="G380" t="s">
        <v>39</v>
      </c>
      <c r="H380" t="s">
        <v>2397</v>
      </c>
      <c r="I380" t="s">
        <v>36</v>
      </c>
      <c r="J380" t="s">
        <v>219</v>
      </c>
      <c r="K380" t="s">
        <v>221</v>
      </c>
      <c r="L380" t="s">
        <v>75</v>
      </c>
      <c r="M380" t="s">
        <v>51</v>
      </c>
      <c r="N380" t="s">
        <v>63</v>
      </c>
      <c r="O380" t="s">
        <v>1785</v>
      </c>
      <c r="P380">
        <v>9999999999</v>
      </c>
      <c r="Q380" t="s">
        <v>54</v>
      </c>
      <c r="R380" t="s">
        <v>132</v>
      </c>
      <c r="S380" t="s">
        <v>43</v>
      </c>
      <c r="T380" t="s">
        <v>89</v>
      </c>
      <c r="U380" t="s">
        <v>90</v>
      </c>
      <c r="V380" t="s">
        <v>91</v>
      </c>
      <c r="W380" t="s">
        <v>5085</v>
      </c>
      <c r="X380" t="s">
        <v>91</v>
      </c>
      <c r="Y380" t="s">
        <v>46</v>
      </c>
      <c r="Z380" t="s">
        <v>92</v>
      </c>
      <c r="AA380" t="s">
        <v>92</v>
      </c>
      <c r="AB380" t="s">
        <v>93</v>
      </c>
      <c r="AC380" t="s">
        <v>94</v>
      </c>
      <c r="AD380" t="s">
        <v>494</v>
      </c>
      <c r="AE380" t="s">
        <v>185</v>
      </c>
      <c r="AF380">
        <v>0</v>
      </c>
      <c r="AG380" t="s">
        <v>196</v>
      </c>
      <c r="AH380" s="93">
        <f>VLOOKUP(Table1[[#This Row],[Caste]],Factor!$H$1:$K$13,4,0)</f>
        <v>1.1705128247062893</v>
      </c>
      <c r="AI380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380">
        <f>Table1[[#This Row],[Factor_1]]*Table1[[#This Row],[2024 Factor]]</f>
        <v>1.4435679386658844</v>
      </c>
      <c r="AK380">
        <f>VLOOKUP(Table1[[#This Row],[Q18: Gender]],Factor!$A$33:$E$35,5,0)</f>
        <v>0.85034013605442171</v>
      </c>
      <c r="AL380">
        <f>VLOOKUP(Table1[[#This Row],[Taluka]],Factor!$A$42:$G$46,7,0)</f>
        <v>1.147984664167413</v>
      </c>
      <c r="AM380">
        <f>VLOOKUP(Table1[[#This Row],[Caste]]&amp;Table1[[#This Row],[Q18: Gender]],Factor!$W$1:$X$23,2,0)</f>
        <v>0.79950206330384943</v>
      </c>
      <c r="AN380">
        <f>VLOOKUP(Table1[[#This Row],[Taluka]]&amp;Table1[[#This Row],[Caste]]&amp;Table1[[#This Row],[Q18: Gender]],Factor!$AK$4:$AL$93,2,0)</f>
        <v>0.92148737207359532</v>
      </c>
      <c r="AO380">
        <f t="shared" si="55"/>
        <v>1</v>
      </c>
      <c r="AP380">
        <f t="shared" si="56"/>
        <v>1</v>
      </c>
      <c r="AQ380">
        <f t="shared" si="57"/>
        <v>1</v>
      </c>
      <c r="AR380">
        <f t="shared" si="58"/>
        <v>1</v>
      </c>
      <c r="AS380">
        <f t="shared" si="59"/>
        <v>1</v>
      </c>
      <c r="AT380">
        <f t="shared" si="60"/>
        <v>1</v>
      </c>
      <c r="AU380">
        <f t="shared" si="61"/>
        <v>5.5</v>
      </c>
      <c r="AV380">
        <f>SUM(Table1[[#This Row],[Satis]:[29]])</f>
        <v>6</v>
      </c>
      <c r="AW380">
        <f t="shared" si="62"/>
        <v>5</v>
      </c>
      <c r="AX380">
        <f t="shared" si="63"/>
        <v>4</v>
      </c>
      <c r="AY380">
        <f t="shared" si="64"/>
        <v>3</v>
      </c>
      <c r="AZ380" t="str">
        <f t="shared" si="65"/>
        <v>YSRCP HardCore</v>
      </c>
    </row>
    <row r="381" spans="1:52" x14ac:dyDescent="0.3">
      <c r="A381" t="s">
        <v>2452</v>
      </c>
      <c r="B381" s="94">
        <v>46045</v>
      </c>
      <c r="C381" t="s">
        <v>2453</v>
      </c>
      <c r="D381" t="s">
        <v>2454</v>
      </c>
      <c r="E381" t="s">
        <v>2295</v>
      </c>
      <c r="F381" t="s">
        <v>69</v>
      </c>
      <c r="G381" t="s">
        <v>39</v>
      </c>
      <c r="H381" t="s">
        <v>2455</v>
      </c>
      <c r="I381" t="s">
        <v>229</v>
      </c>
      <c r="J381" t="s">
        <v>219</v>
      </c>
      <c r="K381" t="s">
        <v>221</v>
      </c>
      <c r="L381" t="s">
        <v>75</v>
      </c>
      <c r="M381" t="s">
        <v>51</v>
      </c>
      <c r="N381" t="s">
        <v>52</v>
      </c>
      <c r="O381" t="s">
        <v>2456</v>
      </c>
      <c r="P381">
        <v>9999999999</v>
      </c>
      <c r="Q381" t="s">
        <v>54</v>
      </c>
      <c r="R381" t="s">
        <v>132</v>
      </c>
      <c r="S381" t="s">
        <v>89</v>
      </c>
      <c r="T381" t="s">
        <v>89</v>
      </c>
      <c r="U381" t="s">
        <v>90</v>
      </c>
      <c r="V381" t="s">
        <v>91</v>
      </c>
      <c r="W381" t="s">
        <v>5056</v>
      </c>
      <c r="X381" t="s">
        <v>91</v>
      </c>
      <c r="Y381" t="s">
        <v>46</v>
      </c>
      <c r="Z381" t="s">
        <v>92</v>
      </c>
      <c r="AA381" t="s">
        <v>92</v>
      </c>
      <c r="AB381" t="s">
        <v>351</v>
      </c>
      <c r="AC381" t="s">
        <v>94</v>
      </c>
      <c r="AD381" t="s">
        <v>494</v>
      </c>
      <c r="AE381" t="s">
        <v>185</v>
      </c>
      <c r="AF381" t="s">
        <v>2970</v>
      </c>
      <c r="AG381" t="s">
        <v>196</v>
      </c>
      <c r="AH381" s="93">
        <f>VLOOKUP(Table1[[#This Row],[Caste]],Factor!$H$1:$K$13,4,0)</f>
        <v>1.1209668980183516</v>
      </c>
      <c r="AI381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381">
        <f>Table1[[#This Row],[Factor_1]]*Table1[[#This Row],[2024 Factor]]</f>
        <v>1.7479996739449526</v>
      </c>
      <c r="AK381">
        <f>VLOOKUP(Table1[[#This Row],[Q18: Gender]],Factor!$A$33:$E$35,5,0)</f>
        <v>0.85034013605442171</v>
      </c>
      <c r="AL381">
        <f>VLOOKUP(Table1[[#This Row],[Taluka]],Factor!$A$42:$G$46,7,0)</f>
        <v>1.147984664167413</v>
      </c>
      <c r="AM381">
        <f>VLOOKUP(Table1[[#This Row],[Caste]]&amp;Table1[[#This Row],[Q18: Gender]],Factor!$W$1:$X$23,2,0)</f>
        <v>0.96810777556130356</v>
      </c>
      <c r="AN381">
        <f>VLOOKUP(Table1[[#This Row],[Taluka]]&amp;Table1[[#This Row],[Caste]]&amp;Table1[[#This Row],[Q18: Gender]],Factor!$AK$4:$AL$93,2,0)</f>
        <v>0.30685005205910726</v>
      </c>
      <c r="AO381">
        <f t="shared" si="55"/>
        <v>1</v>
      </c>
      <c r="AP381">
        <f t="shared" si="56"/>
        <v>1</v>
      </c>
      <c r="AQ381">
        <f t="shared" si="57"/>
        <v>1</v>
      </c>
      <c r="AR381">
        <f t="shared" si="58"/>
        <v>1</v>
      </c>
      <c r="AS381">
        <f t="shared" si="59"/>
        <v>1</v>
      </c>
      <c r="AT381">
        <f t="shared" si="60"/>
        <v>1</v>
      </c>
      <c r="AU381">
        <f t="shared" si="61"/>
        <v>5.5</v>
      </c>
      <c r="AV381">
        <f>SUM(Table1[[#This Row],[Satis]:[29]])</f>
        <v>6</v>
      </c>
      <c r="AW381">
        <f t="shared" si="62"/>
        <v>5</v>
      </c>
      <c r="AX381">
        <f t="shared" si="63"/>
        <v>4</v>
      </c>
      <c r="AY381">
        <f t="shared" si="64"/>
        <v>3</v>
      </c>
      <c r="AZ381" t="str">
        <f t="shared" si="65"/>
        <v>YSRCP HardCore</v>
      </c>
    </row>
    <row r="382" spans="1:52" x14ac:dyDescent="0.3">
      <c r="A382" t="s">
        <v>2275</v>
      </c>
      <c r="B382" s="94">
        <v>46045</v>
      </c>
      <c r="C382" t="s">
        <v>2276</v>
      </c>
      <c r="D382" t="s">
        <v>2277</v>
      </c>
      <c r="E382" t="s">
        <v>2278</v>
      </c>
      <c r="F382" t="s">
        <v>69</v>
      </c>
      <c r="G382" t="s">
        <v>39</v>
      </c>
      <c r="H382" t="s">
        <v>2279</v>
      </c>
      <c r="I382" t="s">
        <v>59</v>
      </c>
      <c r="J382" t="s">
        <v>219</v>
      </c>
      <c r="K382" t="s">
        <v>221</v>
      </c>
      <c r="L382" t="s">
        <v>50</v>
      </c>
      <c r="M382" t="s">
        <v>51</v>
      </c>
      <c r="N382" t="s">
        <v>107</v>
      </c>
      <c r="O382" t="s">
        <v>2280</v>
      </c>
      <c r="P382">
        <v>9999999999</v>
      </c>
      <c r="Q382" t="s">
        <v>54</v>
      </c>
      <c r="R382" t="s">
        <v>73</v>
      </c>
      <c r="S382" t="s">
        <v>43</v>
      </c>
      <c r="T382" t="s">
        <v>43</v>
      </c>
      <c r="U382" t="s">
        <v>44</v>
      </c>
      <c r="V382" t="s">
        <v>45</v>
      </c>
      <c r="W382" t="s">
        <v>5084</v>
      </c>
      <c r="X382" t="s">
        <v>45</v>
      </c>
      <c r="Y382" t="s">
        <v>46</v>
      </c>
      <c r="Z382" t="s">
        <v>47</v>
      </c>
      <c r="AA382" t="s">
        <v>48</v>
      </c>
      <c r="AB382" t="s">
        <v>49</v>
      </c>
      <c r="AC382" t="s">
        <v>49</v>
      </c>
      <c r="AD382" t="s">
        <v>481</v>
      </c>
      <c r="AE382" t="s">
        <v>189</v>
      </c>
      <c r="AF382" t="s">
        <v>2976</v>
      </c>
      <c r="AG382" t="s">
        <v>196</v>
      </c>
      <c r="AH382" s="93">
        <f>VLOOKUP(Table1[[#This Row],[Caste]],Factor!$H$1:$K$13,4,0)</f>
        <v>1.1461625511156397</v>
      </c>
      <c r="AI38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82">
        <f>Table1[[#This Row],[Factor_1]]*Table1[[#This Row],[2024 Factor]]</f>
        <v>0.77721139583220644</v>
      </c>
      <c r="AK382">
        <f>VLOOKUP(Table1[[#This Row],[Q18: Gender]],Factor!$A$33:$E$35,5,0)</f>
        <v>0.85034013605442171</v>
      </c>
      <c r="AL382">
        <f>VLOOKUP(Table1[[#This Row],[Taluka]],Factor!$A$42:$G$46,7,0)</f>
        <v>1.147984664167413</v>
      </c>
      <c r="AM382">
        <f>VLOOKUP(Table1[[#This Row],[Caste]]&amp;Table1[[#This Row],[Q18: Gender]],Factor!$W$1:$X$23,2,0)</f>
        <v>0.71995135120329123</v>
      </c>
      <c r="AN382">
        <f>VLOOKUP(Table1[[#This Row],[Taluka]]&amp;Table1[[#This Row],[Caste]]&amp;Table1[[#This Row],[Q18: Gender]],Factor!$AK$4:$AL$93,2,0)</f>
        <v>0.54319084681293095</v>
      </c>
      <c r="AO382">
        <f t="shared" si="55"/>
        <v>-1</v>
      </c>
      <c r="AP382">
        <f t="shared" si="56"/>
        <v>-1</v>
      </c>
      <c r="AQ382">
        <f t="shared" si="57"/>
        <v>-1</v>
      </c>
      <c r="AR382">
        <f t="shared" si="58"/>
        <v>-1</v>
      </c>
      <c r="AS382">
        <f t="shared" si="59"/>
        <v>-1</v>
      </c>
      <c r="AT382">
        <f t="shared" si="60"/>
        <v>-1</v>
      </c>
      <c r="AU382">
        <f t="shared" si="61"/>
        <v>-5.5</v>
      </c>
      <c r="AV382">
        <f>SUM(Table1[[#This Row],[Satis]:[29]])</f>
        <v>-6</v>
      </c>
      <c r="AW382">
        <f t="shared" si="62"/>
        <v>-5</v>
      </c>
      <c r="AX382">
        <f t="shared" si="63"/>
        <v>-4</v>
      </c>
      <c r="AY382">
        <f t="shared" si="64"/>
        <v>-3</v>
      </c>
      <c r="AZ382" t="str">
        <f t="shared" si="65"/>
        <v>TDP HardCore</v>
      </c>
    </row>
    <row r="383" spans="1:52" x14ac:dyDescent="0.3">
      <c r="A383" t="s">
        <v>2124</v>
      </c>
      <c r="B383" s="94">
        <v>46045</v>
      </c>
      <c r="C383" t="s">
        <v>2125</v>
      </c>
      <c r="D383" t="s">
        <v>2126</v>
      </c>
      <c r="E383" t="s">
        <v>392</v>
      </c>
      <c r="F383" t="s">
        <v>240</v>
      </c>
      <c r="G383" t="s">
        <v>39</v>
      </c>
      <c r="H383" t="s">
        <v>2127</v>
      </c>
      <c r="I383" t="s">
        <v>70</v>
      </c>
      <c r="J383" t="s">
        <v>37</v>
      </c>
      <c r="K383" t="s">
        <v>80</v>
      </c>
      <c r="L383" t="s">
        <v>62</v>
      </c>
      <c r="M383" t="s">
        <v>443</v>
      </c>
      <c r="N383" t="s">
        <v>63</v>
      </c>
      <c r="O383" t="s">
        <v>2128</v>
      </c>
      <c r="P383">
        <v>9493493933</v>
      </c>
      <c r="Q383" t="s">
        <v>54</v>
      </c>
      <c r="R383" t="s">
        <v>2116</v>
      </c>
      <c r="S383" t="s">
        <v>43</v>
      </c>
      <c r="T383" t="s">
        <v>89</v>
      </c>
      <c r="U383" t="s">
        <v>90</v>
      </c>
      <c r="V383" t="s">
        <v>91</v>
      </c>
      <c r="W383" t="s">
        <v>5098</v>
      </c>
      <c r="X383" t="s">
        <v>91</v>
      </c>
      <c r="Y383" t="s">
        <v>46</v>
      </c>
      <c r="Z383" t="s">
        <v>92</v>
      </c>
      <c r="AA383" t="s">
        <v>92</v>
      </c>
      <c r="AB383" t="s">
        <v>93</v>
      </c>
      <c r="AC383" t="s">
        <v>148</v>
      </c>
      <c r="AD383" t="s">
        <v>481</v>
      </c>
      <c r="AE383" t="s">
        <v>185</v>
      </c>
      <c r="AF383">
        <v>0</v>
      </c>
      <c r="AG383" t="s">
        <v>196</v>
      </c>
      <c r="AH383" s="93">
        <f>VLOOKUP(Table1[[#This Row],[Caste]],Factor!$H$1:$K$13,4,0)</f>
        <v>1.3836274505214585</v>
      </c>
      <c r="AI383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383">
        <f>Table1[[#This Row],[Factor_1]]*Table1[[#This Row],[2024 Factor]]</f>
        <v>1.9482662206881376</v>
      </c>
      <c r="AK383">
        <f>VLOOKUP(Table1[[#This Row],[Q18: Gender]],Factor!$A$33:$E$35,5,0)</f>
        <v>0.85034013605442171</v>
      </c>
      <c r="AL383">
        <f>VLOOKUP(Table1[[#This Row],[Taluka]],Factor!$A$42:$G$46,7,0)</f>
        <v>0.75433779645928134</v>
      </c>
      <c r="AM383">
        <f>VLOOKUP(Table1[[#This Row],[Caste]]&amp;Table1[[#This Row],[Q18: Gender]],Factor!$W$1:$X$23,2,0)</f>
        <v>1.0790228998469584</v>
      </c>
      <c r="AN383">
        <f>VLOOKUP(Table1[[#This Row],[Taluka]]&amp;Table1[[#This Row],[Caste]]&amp;Table1[[#This Row],[Q18: Gender]],Factor!$AK$4:$AL$93,2,0)</f>
        <v>0.52423486800867025</v>
      </c>
      <c r="AO383">
        <f t="shared" si="55"/>
        <v>1</v>
      </c>
      <c r="AP383">
        <f t="shared" si="56"/>
        <v>1</v>
      </c>
      <c r="AQ383">
        <f t="shared" si="57"/>
        <v>1</v>
      </c>
      <c r="AR383">
        <f t="shared" si="58"/>
        <v>1</v>
      </c>
      <c r="AS383">
        <f t="shared" si="59"/>
        <v>1</v>
      </c>
      <c r="AT383">
        <f t="shared" si="60"/>
        <v>1</v>
      </c>
      <c r="AU383">
        <f t="shared" si="61"/>
        <v>5.5</v>
      </c>
      <c r="AV383">
        <f>SUM(Table1[[#This Row],[Satis]:[29]])</f>
        <v>6</v>
      </c>
      <c r="AW383">
        <f t="shared" si="62"/>
        <v>5</v>
      </c>
      <c r="AX383">
        <f t="shared" si="63"/>
        <v>4</v>
      </c>
      <c r="AY383">
        <f t="shared" si="64"/>
        <v>3</v>
      </c>
      <c r="AZ383" t="str">
        <f t="shared" si="65"/>
        <v>YSRCP HardCore</v>
      </c>
    </row>
    <row r="384" spans="1:52" x14ac:dyDescent="0.3">
      <c r="A384" t="s">
        <v>2160</v>
      </c>
      <c r="B384" s="94">
        <v>46045</v>
      </c>
      <c r="C384" t="s">
        <v>2161</v>
      </c>
      <c r="D384" t="s">
        <v>2162</v>
      </c>
      <c r="E384" t="s">
        <v>1777</v>
      </c>
      <c r="F384" t="s">
        <v>935</v>
      </c>
      <c r="G384" t="s">
        <v>39</v>
      </c>
      <c r="H384" t="s">
        <v>2163</v>
      </c>
      <c r="I384" t="s">
        <v>227</v>
      </c>
      <c r="J384" t="s">
        <v>219</v>
      </c>
      <c r="K384" t="s">
        <v>224</v>
      </c>
      <c r="L384" t="s">
        <v>62</v>
      </c>
      <c r="M384" t="s">
        <v>51</v>
      </c>
      <c r="N384" t="s">
        <v>63</v>
      </c>
      <c r="O384" t="s">
        <v>2164</v>
      </c>
      <c r="P384">
        <v>7032922271</v>
      </c>
      <c r="Q384" t="s">
        <v>54</v>
      </c>
      <c r="R384" t="s">
        <v>132</v>
      </c>
      <c r="S384" t="s">
        <v>43</v>
      </c>
      <c r="T384" t="s">
        <v>43</v>
      </c>
      <c r="U384" t="s">
        <v>90</v>
      </c>
      <c r="V384" t="s">
        <v>91</v>
      </c>
      <c r="W384" t="s">
        <v>5055</v>
      </c>
      <c r="X384" t="s">
        <v>91</v>
      </c>
      <c r="Y384" t="s">
        <v>46</v>
      </c>
      <c r="Z384" t="s">
        <v>47</v>
      </c>
      <c r="AA384" t="s">
        <v>691</v>
      </c>
      <c r="AB384" t="s">
        <v>49</v>
      </c>
      <c r="AC384" t="s">
        <v>49</v>
      </c>
      <c r="AD384" t="s">
        <v>494</v>
      </c>
      <c r="AE384" t="s">
        <v>185</v>
      </c>
      <c r="AF384">
        <v>0</v>
      </c>
      <c r="AG384" t="s">
        <v>196</v>
      </c>
      <c r="AH384" s="93">
        <f>VLOOKUP(Table1[[#This Row],[Caste]],Factor!$H$1:$K$13,4,0)</f>
        <v>1.2612194085121222</v>
      </c>
      <c r="AI384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384">
        <f>Table1[[#This Row],[Factor_1]]*Table1[[#This Row],[2024 Factor]]</f>
        <v>0.5639555161423867</v>
      </c>
      <c r="AK384">
        <f>VLOOKUP(Table1[[#This Row],[Q18: Gender]],Factor!$A$33:$E$35,5,0)</f>
        <v>0.85034013605442171</v>
      </c>
      <c r="AL384">
        <f>VLOOKUP(Table1[[#This Row],[Taluka]],Factor!$A$42:$G$46,7,0)</f>
        <v>1.147984664167413</v>
      </c>
      <c r="AM384">
        <f>VLOOKUP(Table1[[#This Row],[Caste]]&amp;Table1[[#This Row],[Q18: Gender]],Factor!$W$1:$X$23,2,0)</f>
        <v>0.85249089649430487</v>
      </c>
      <c r="AN384">
        <f>VLOOKUP(Table1[[#This Row],[Taluka]]&amp;Table1[[#This Row],[Caste]]&amp;Table1[[#This Row],[Q18: Gender]],Factor!$AK$4:$AL$93,2,0)</f>
        <v>0.41451794778650441</v>
      </c>
      <c r="AO384">
        <f t="shared" si="55"/>
        <v>-1</v>
      </c>
      <c r="AP384">
        <f t="shared" si="56"/>
        <v>1</v>
      </c>
      <c r="AQ384">
        <f t="shared" si="57"/>
        <v>1</v>
      </c>
      <c r="AR384">
        <f t="shared" si="58"/>
        <v>1</v>
      </c>
      <c r="AS384">
        <f t="shared" si="59"/>
        <v>-1</v>
      </c>
      <c r="AT384">
        <f t="shared" si="60"/>
        <v>-1</v>
      </c>
      <c r="AU384">
        <f t="shared" si="61"/>
        <v>0.5</v>
      </c>
      <c r="AV384">
        <f>SUM(Table1[[#This Row],[Satis]:[29]])</f>
        <v>0</v>
      </c>
      <c r="AW384">
        <f t="shared" si="62"/>
        <v>-1</v>
      </c>
      <c r="AX384">
        <f t="shared" si="63"/>
        <v>0</v>
      </c>
      <c r="AY384">
        <f t="shared" si="64"/>
        <v>-3</v>
      </c>
      <c r="AZ384" t="str">
        <f t="shared" si="65"/>
        <v>Neutral TDP</v>
      </c>
    </row>
    <row r="385" spans="1:52" x14ac:dyDescent="0.3">
      <c r="A385" t="s">
        <v>2212</v>
      </c>
      <c r="B385" s="94">
        <v>46045</v>
      </c>
      <c r="C385" t="s">
        <v>2213</v>
      </c>
      <c r="D385" t="s">
        <v>2214</v>
      </c>
      <c r="E385" t="s">
        <v>2215</v>
      </c>
      <c r="F385" t="s">
        <v>69</v>
      </c>
      <c r="G385" t="s">
        <v>39</v>
      </c>
      <c r="H385" t="s">
        <v>2216</v>
      </c>
      <c r="I385" t="s">
        <v>36</v>
      </c>
      <c r="J385" t="s">
        <v>219</v>
      </c>
      <c r="K385" t="s">
        <v>221</v>
      </c>
      <c r="L385" t="s">
        <v>75</v>
      </c>
      <c r="M385" t="s">
        <v>51</v>
      </c>
      <c r="N385" t="s">
        <v>52</v>
      </c>
      <c r="O385" t="s">
        <v>69</v>
      </c>
      <c r="P385">
        <v>9393497777</v>
      </c>
      <c r="Q385" t="s">
        <v>54</v>
      </c>
      <c r="R385" t="s">
        <v>132</v>
      </c>
      <c r="S385" t="s">
        <v>89</v>
      </c>
      <c r="T385" t="s">
        <v>43</v>
      </c>
      <c r="U385" t="s">
        <v>44</v>
      </c>
      <c r="V385" t="s">
        <v>45</v>
      </c>
      <c r="W385" t="s">
        <v>5056</v>
      </c>
      <c r="X385" t="s">
        <v>45</v>
      </c>
      <c r="Y385" t="s">
        <v>46</v>
      </c>
      <c r="Z385" t="s">
        <v>47</v>
      </c>
      <c r="AA385" t="s">
        <v>48</v>
      </c>
      <c r="AB385" t="s">
        <v>49</v>
      </c>
      <c r="AC385" t="s">
        <v>49</v>
      </c>
      <c r="AD385" t="s">
        <v>494</v>
      </c>
      <c r="AE385" t="s">
        <v>185</v>
      </c>
      <c r="AF385">
        <v>0</v>
      </c>
      <c r="AG385" t="s">
        <v>196</v>
      </c>
      <c r="AH385" s="93">
        <f>VLOOKUP(Table1[[#This Row],[Caste]],Factor!$H$1:$K$13,4,0)</f>
        <v>1.1705128247062893</v>
      </c>
      <c r="AI38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85">
        <f>Table1[[#This Row],[Factor_1]]*Table1[[#This Row],[2024 Factor]]</f>
        <v>0.86308903171383233</v>
      </c>
      <c r="AK385">
        <f>VLOOKUP(Table1[[#This Row],[Q18: Gender]],Factor!$A$33:$E$35,5,0)</f>
        <v>0.85034013605442171</v>
      </c>
      <c r="AL385">
        <f>VLOOKUP(Table1[[#This Row],[Taluka]],Factor!$A$42:$G$46,7,0)</f>
        <v>1.147984664167413</v>
      </c>
      <c r="AM385">
        <f>VLOOKUP(Table1[[#This Row],[Caste]]&amp;Table1[[#This Row],[Q18: Gender]],Factor!$W$1:$X$23,2,0)</f>
        <v>0.79950206330384943</v>
      </c>
      <c r="AN385">
        <f>VLOOKUP(Table1[[#This Row],[Taluka]]&amp;Table1[[#This Row],[Caste]]&amp;Table1[[#This Row],[Q18: Gender]],Factor!$AK$4:$AL$93,2,0)</f>
        <v>0.92148737207359532</v>
      </c>
      <c r="AO385">
        <f t="shared" si="55"/>
        <v>-1</v>
      </c>
      <c r="AP385">
        <f t="shared" si="56"/>
        <v>-1</v>
      </c>
      <c r="AQ385">
        <f t="shared" si="57"/>
        <v>-1</v>
      </c>
      <c r="AR385">
        <f t="shared" si="58"/>
        <v>-1</v>
      </c>
      <c r="AS385">
        <f t="shared" si="59"/>
        <v>-1</v>
      </c>
      <c r="AT385">
        <f t="shared" si="60"/>
        <v>-1</v>
      </c>
      <c r="AU385">
        <f t="shared" si="61"/>
        <v>-5.5</v>
      </c>
      <c r="AV385">
        <f>SUM(Table1[[#This Row],[Satis]:[29]])</f>
        <v>-6</v>
      </c>
      <c r="AW385">
        <f t="shared" si="62"/>
        <v>-5</v>
      </c>
      <c r="AX385">
        <f t="shared" si="63"/>
        <v>-4</v>
      </c>
      <c r="AY385">
        <f t="shared" si="64"/>
        <v>-3</v>
      </c>
      <c r="AZ385" t="str">
        <f t="shared" si="65"/>
        <v>TDP HardCore</v>
      </c>
    </row>
    <row r="386" spans="1:52" x14ac:dyDescent="0.3">
      <c r="A386" t="s">
        <v>2265</v>
      </c>
      <c r="B386" s="94">
        <v>46045</v>
      </c>
      <c r="C386" t="s">
        <v>2266</v>
      </c>
      <c r="D386" t="s">
        <v>2267</v>
      </c>
      <c r="E386" t="s">
        <v>1629</v>
      </c>
      <c r="F386" t="s">
        <v>935</v>
      </c>
      <c r="G386" t="s">
        <v>39</v>
      </c>
      <c r="H386" t="s">
        <v>2268</v>
      </c>
      <c r="I386" t="s">
        <v>227</v>
      </c>
      <c r="J386" t="s">
        <v>219</v>
      </c>
      <c r="K386" t="s">
        <v>224</v>
      </c>
      <c r="L386" t="s">
        <v>50</v>
      </c>
      <c r="M386" t="s">
        <v>51</v>
      </c>
      <c r="N386" t="s">
        <v>63</v>
      </c>
      <c r="O386" t="s">
        <v>2269</v>
      </c>
      <c r="P386">
        <v>9849459362</v>
      </c>
      <c r="Q386" t="s">
        <v>54</v>
      </c>
      <c r="R386" t="s">
        <v>139</v>
      </c>
      <c r="S386" t="s">
        <v>43</v>
      </c>
      <c r="T386" t="s">
        <v>43</v>
      </c>
      <c r="U386" t="s">
        <v>44</v>
      </c>
      <c r="V386" t="s">
        <v>45</v>
      </c>
      <c r="W386" t="s">
        <v>5055</v>
      </c>
      <c r="X386" t="s">
        <v>45</v>
      </c>
      <c r="Y386" t="s">
        <v>46</v>
      </c>
      <c r="Z386" t="s">
        <v>47</v>
      </c>
      <c r="AA386" t="s">
        <v>48</v>
      </c>
      <c r="AB386" t="s">
        <v>49</v>
      </c>
      <c r="AC386" t="s">
        <v>49</v>
      </c>
      <c r="AD386" t="s">
        <v>494</v>
      </c>
      <c r="AE386" t="s">
        <v>185</v>
      </c>
      <c r="AF386">
        <v>0</v>
      </c>
      <c r="AG386" t="s">
        <v>196</v>
      </c>
      <c r="AH386" s="93">
        <f>VLOOKUP(Table1[[#This Row],[Caste]],Factor!$H$1:$K$13,4,0)</f>
        <v>1.2612194085121222</v>
      </c>
      <c r="AI38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86">
        <f>Table1[[#This Row],[Factor_1]]*Table1[[#This Row],[2024 Factor]]</f>
        <v>0.92029223709519836</v>
      </c>
      <c r="AK386">
        <f>VLOOKUP(Table1[[#This Row],[Q18: Gender]],Factor!$A$33:$E$35,5,0)</f>
        <v>0.85034013605442171</v>
      </c>
      <c r="AL386">
        <f>VLOOKUP(Table1[[#This Row],[Taluka]],Factor!$A$42:$G$46,7,0)</f>
        <v>1.147984664167413</v>
      </c>
      <c r="AM386">
        <f>VLOOKUP(Table1[[#This Row],[Caste]]&amp;Table1[[#This Row],[Q18: Gender]],Factor!$W$1:$X$23,2,0)</f>
        <v>0.85249089649430487</v>
      </c>
      <c r="AN386">
        <f>VLOOKUP(Table1[[#This Row],[Taluka]]&amp;Table1[[#This Row],[Caste]]&amp;Table1[[#This Row],[Q18: Gender]],Factor!$AK$4:$AL$93,2,0)</f>
        <v>0.41451794778650441</v>
      </c>
      <c r="AO386">
        <f t="shared" ref="AO386:AO449" si="66">IF(T386="బాగుంది",-1,1)</f>
        <v>-1</v>
      </c>
      <c r="AP386">
        <f t="shared" ref="AP386:AP449" si="67">IF(U386="అమలవడం లేదు",1,-1)</f>
        <v>-1</v>
      </c>
      <c r="AQ386">
        <f t="shared" ref="AQ386:AQ449" si="68">IF(V386="జగన్ మోహన్ రెడ్డి గారు",1,-1)</f>
        <v>-1</v>
      </c>
      <c r="AR386">
        <f t="shared" ref="AR386:AR449" si="69">IF(X386="జగన్ మోహన్ రెడ్డి గారు",1,-1)</f>
        <v>-1</v>
      </c>
      <c r="AS386">
        <f t="shared" ref="AS386:AS449" si="70">IF(AA386="YSRCP (వైఎస్‌ఆర్‌సీపీ)",1,-1)</f>
        <v>-1</v>
      </c>
      <c r="AT386">
        <f t="shared" ref="AT386:AT449" si="71">IF(Z386="YSRCP (వైఎస్‌ఆర్‌సీపీ)",1,-1)</f>
        <v>-1</v>
      </c>
      <c r="AU386">
        <f t="shared" ref="AU386:AU449" si="72">AO386+AP386+AQ386+AR386+(0.5*AS386)+AT386</f>
        <v>-5.5</v>
      </c>
      <c r="AV386">
        <f>SUM(Table1[[#This Row],[Satis]:[29]])</f>
        <v>-6</v>
      </c>
      <c r="AW386">
        <f t="shared" ref="AW386:AW449" si="73">AO386+AQ386+AR386+AS386+AT386</f>
        <v>-5</v>
      </c>
      <c r="AX386">
        <f t="shared" ref="AX386:AX449" si="74">AQ386+AR386+AS386+AT386</f>
        <v>-4</v>
      </c>
      <c r="AY386">
        <f t="shared" ref="AY386:AY449" si="75">IF(AND(AO386=1,AS386=1,AT386=1),3,IF(AND(AO386=-1,AS386=-1,AT386=-1),-3,IF(AND(AO386=1,AS386=-1,AT386=1),2,IF(AND(AO386=-1,AS386=1,AT386=-1),-2,IF(AND(AS386=1,AT386=1),2,IF(AND(AS386=-1,AT386=-1),-2,"ND"))))))</f>
        <v>-3</v>
      </c>
      <c r="AZ386" t="str">
        <f t="shared" ref="AZ386:AZ449" si="76">IFERROR(IF(AV386=6,"YSRCP HardCore",IF(AV386=-6,"TDP HardCore",IF(AW386&gt;=4,"YSRCP Sympathiser",IF(AW386&lt;=-4,"TDP Sympathiser",IF(AX386&gt;=3,"YSRCP Sympathiser",IF(AX386&lt;=-3,"TDP Sympathiser",IF(AY386="ND","ND",IF(AY386&gt;=2,"Neutral YSRCP",IF(AY386&lt;=-2,"Neutral TDP",0))))))))),"ND")</f>
        <v>TDP HardCore</v>
      </c>
    </row>
    <row r="387" spans="1:52" x14ac:dyDescent="0.3">
      <c r="A387" t="s">
        <v>2313</v>
      </c>
      <c r="B387" s="94">
        <v>46045</v>
      </c>
      <c r="C387" t="s">
        <v>2266</v>
      </c>
      <c r="D387" t="s">
        <v>2267</v>
      </c>
      <c r="E387" t="s">
        <v>1629</v>
      </c>
      <c r="F387" t="s">
        <v>935</v>
      </c>
      <c r="G387" t="s">
        <v>39</v>
      </c>
      <c r="H387" t="s">
        <v>2314</v>
      </c>
      <c r="I387" t="s">
        <v>227</v>
      </c>
      <c r="J387" t="s">
        <v>219</v>
      </c>
      <c r="K387" t="s">
        <v>224</v>
      </c>
      <c r="L387" t="s">
        <v>50</v>
      </c>
      <c r="M387" t="s">
        <v>51</v>
      </c>
      <c r="N387" t="s">
        <v>63</v>
      </c>
      <c r="O387" t="s">
        <v>2269</v>
      </c>
      <c r="P387">
        <v>9849459362</v>
      </c>
      <c r="Q387" t="s">
        <v>54</v>
      </c>
      <c r="R387" t="s">
        <v>139</v>
      </c>
      <c r="S387" t="s">
        <v>43</v>
      </c>
      <c r="T387" t="s">
        <v>43</v>
      </c>
      <c r="U387" t="s">
        <v>44</v>
      </c>
      <c r="V387" t="s">
        <v>45</v>
      </c>
      <c r="W387" t="s">
        <v>5055</v>
      </c>
      <c r="X387" t="s">
        <v>45</v>
      </c>
      <c r="Y387" t="s">
        <v>46</v>
      </c>
      <c r="Z387" t="s">
        <v>47</v>
      </c>
      <c r="AA387" t="s">
        <v>48</v>
      </c>
      <c r="AB387" t="s">
        <v>49</v>
      </c>
      <c r="AC387" t="s">
        <v>49</v>
      </c>
      <c r="AD387">
        <v>0</v>
      </c>
      <c r="AE387" t="s">
        <v>185</v>
      </c>
      <c r="AF387">
        <v>0</v>
      </c>
      <c r="AG387" t="s">
        <v>196</v>
      </c>
      <c r="AH387" s="93">
        <f>VLOOKUP(Table1[[#This Row],[Caste]],Factor!$H$1:$K$13,4,0)</f>
        <v>1.2612194085121222</v>
      </c>
      <c r="AI38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87">
        <f>Table1[[#This Row],[Factor_1]]*Table1[[#This Row],[2024 Factor]]</f>
        <v>0.92029223709519836</v>
      </c>
      <c r="AK387">
        <f>VLOOKUP(Table1[[#This Row],[Q18: Gender]],Factor!$A$33:$E$35,5,0)</f>
        <v>0.85034013605442171</v>
      </c>
      <c r="AL387">
        <f>VLOOKUP(Table1[[#This Row],[Taluka]],Factor!$A$42:$G$46,7,0)</f>
        <v>1.147984664167413</v>
      </c>
      <c r="AM387">
        <f>VLOOKUP(Table1[[#This Row],[Caste]]&amp;Table1[[#This Row],[Q18: Gender]],Factor!$W$1:$X$23,2,0)</f>
        <v>0.85249089649430487</v>
      </c>
      <c r="AN387">
        <f>VLOOKUP(Table1[[#This Row],[Taluka]]&amp;Table1[[#This Row],[Caste]]&amp;Table1[[#This Row],[Q18: Gender]],Factor!$AK$4:$AL$93,2,0)</f>
        <v>0.41451794778650441</v>
      </c>
      <c r="AO387">
        <f t="shared" si="66"/>
        <v>-1</v>
      </c>
      <c r="AP387">
        <f t="shared" si="67"/>
        <v>-1</v>
      </c>
      <c r="AQ387">
        <f t="shared" si="68"/>
        <v>-1</v>
      </c>
      <c r="AR387">
        <f t="shared" si="69"/>
        <v>-1</v>
      </c>
      <c r="AS387">
        <f t="shared" si="70"/>
        <v>-1</v>
      </c>
      <c r="AT387">
        <f t="shared" si="71"/>
        <v>-1</v>
      </c>
      <c r="AU387">
        <f t="shared" si="72"/>
        <v>-5.5</v>
      </c>
      <c r="AV387">
        <f>SUM(Table1[[#This Row],[Satis]:[29]])</f>
        <v>-6</v>
      </c>
      <c r="AW387">
        <f t="shared" si="73"/>
        <v>-5</v>
      </c>
      <c r="AX387">
        <f t="shared" si="74"/>
        <v>-4</v>
      </c>
      <c r="AY387">
        <f t="shared" si="75"/>
        <v>-3</v>
      </c>
      <c r="AZ387" t="str">
        <f t="shared" si="76"/>
        <v>TDP HardCore</v>
      </c>
    </row>
    <row r="388" spans="1:52" x14ac:dyDescent="0.3">
      <c r="A388" t="s">
        <v>2360</v>
      </c>
      <c r="B388" s="94">
        <v>46045</v>
      </c>
      <c r="C388" t="s">
        <v>2361</v>
      </c>
      <c r="D388" t="s">
        <v>2267</v>
      </c>
      <c r="E388" t="s">
        <v>1629</v>
      </c>
      <c r="F388" t="s">
        <v>935</v>
      </c>
      <c r="G388" t="s">
        <v>39</v>
      </c>
      <c r="H388" t="s">
        <v>2362</v>
      </c>
      <c r="I388" t="s">
        <v>227</v>
      </c>
      <c r="J388" t="s">
        <v>219</v>
      </c>
      <c r="K388" t="s">
        <v>224</v>
      </c>
      <c r="L388" t="s">
        <v>50</v>
      </c>
      <c r="M388" t="s">
        <v>51</v>
      </c>
      <c r="N388" t="s">
        <v>63</v>
      </c>
      <c r="O388" t="s">
        <v>2269</v>
      </c>
      <c r="P388">
        <v>9849459362</v>
      </c>
      <c r="Q388" t="s">
        <v>54</v>
      </c>
      <c r="R388" t="s">
        <v>139</v>
      </c>
      <c r="S388" t="s">
        <v>43</v>
      </c>
      <c r="T388" t="s">
        <v>43</v>
      </c>
      <c r="U388" t="s">
        <v>44</v>
      </c>
      <c r="V388" t="s">
        <v>45</v>
      </c>
      <c r="W388" t="s">
        <v>5055</v>
      </c>
      <c r="X388" t="s">
        <v>45</v>
      </c>
      <c r="Y388" t="s">
        <v>46</v>
      </c>
      <c r="Z388" t="s">
        <v>47</v>
      </c>
      <c r="AA388" t="s">
        <v>48</v>
      </c>
      <c r="AB388" t="s">
        <v>49</v>
      </c>
      <c r="AC388" t="s">
        <v>49</v>
      </c>
      <c r="AD388">
        <v>0</v>
      </c>
      <c r="AE388" t="s">
        <v>185</v>
      </c>
      <c r="AF388">
        <v>0</v>
      </c>
      <c r="AG388" t="s">
        <v>196</v>
      </c>
      <c r="AH388" s="93">
        <f>VLOOKUP(Table1[[#This Row],[Caste]],Factor!$H$1:$K$13,4,0)</f>
        <v>1.2612194085121222</v>
      </c>
      <c r="AI38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88">
        <f>Table1[[#This Row],[Factor_1]]*Table1[[#This Row],[2024 Factor]]</f>
        <v>0.92029223709519836</v>
      </c>
      <c r="AK388">
        <f>VLOOKUP(Table1[[#This Row],[Q18: Gender]],Factor!$A$33:$E$35,5,0)</f>
        <v>0.85034013605442171</v>
      </c>
      <c r="AL388">
        <f>VLOOKUP(Table1[[#This Row],[Taluka]],Factor!$A$42:$G$46,7,0)</f>
        <v>1.147984664167413</v>
      </c>
      <c r="AM388">
        <f>VLOOKUP(Table1[[#This Row],[Caste]]&amp;Table1[[#This Row],[Q18: Gender]],Factor!$W$1:$X$23,2,0)</f>
        <v>0.85249089649430487</v>
      </c>
      <c r="AN388">
        <f>VLOOKUP(Table1[[#This Row],[Taluka]]&amp;Table1[[#This Row],[Caste]]&amp;Table1[[#This Row],[Q18: Gender]],Factor!$AK$4:$AL$93,2,0)</f>
        <v>0.41451794778650441</v>
      </c>
      <c r="AO388">
        <f t="shared" si="66"/>
        <v>-1</v>
      </c>
      <c r="AP388">
        <f t="shared" si="67"/>
        <v>-1</v>
      </c>
      <c r="AQ388">
        <f t="shared" si="68"/>
        <v>-1</v>
      </c>
      <c r="AR388">
        <f t="shared" si="69"/>
        <v>-1</v>
      </c>
      <c r="AS388">
        <f t="shared" si="70"/>
        <v>-1</v>
      </c>
      <c r="AT388">
        <f t="shared" si="71"/>
        <v>-1</v>
      </c>
      <c r="AU388">
        <f t="shared" si="72"/>
        <v>-5.5</v>
      </c>
      <c r="AV388">
        <f>SUM(Table1[[#This Row],[Satis]:[29]])</f>
        <v>-6</v>
      </c>
      <c r="AW388">
        <f t="shared" si="73"/>
        <v>-5</v>
      </c>
      <c r="AX388">
        <f t="shared" si="74"/>
        <v>-4</v>
      </c>
      <c r="AY388">
        <f t="shared" si="75"/>
        <v>-3</v>
      </c>
      <c r="AZ388" t="str">
        <f t="shared" si="76"/>
        <v>TDP HardCore</v>
      </c>
    </row>
    <row r="389" spans="1:52" x14ac:dyDescent="0.3">
      <c r="A389" t="s">
        <v>2398</v>
      </c>
      <c r="B389" s="94">
        <v>46045</v>
      </c>
      <c r="C389" t="s">
        <v>2399</v>
      </c>
      <c r="D389" t="s">
        <v>2131</v>
      </c>
      <c r="E389" t="s">
        <v>1370</v>
      </c>
      <c r="F389" t="s">
        <v>69</v>
      </c>
      <c r="G389" t="s">
        <v>39</v>
      </c>
      <c r="H389" t="s">
        <v>2400</v>
      </c>
      <c r="I389" t="s">
        <v>70</v>
      </c>
      <c r="J389" t="s">
        <v>219</v>
      </c>
      <c r="K389" t="s">
        <v>221</v>
      </c>
      <c r="L389" t="s">
        <v>75</v>
      </c>
      <c r="M389" t="s">
        <v>51</v>
      </c>
      <c r="N389" t="s">
        <v>63</v>
      </c>
      <c r="O389" t="s">
        <v>2133</v>
      </c>
      <c r="P389">
        <v>9866178869</v>
      </c>
      <c r="Q389" t="s">
        <v>54</v>
      </c>
      <c r="R389" t="s">
        <v>132</v>
      </c>
      <c r="S389" t="s">
        <v>89</v>
      </c>
      <c r="T389" t="s">
        <v>89</v>
      </c>
      <c r="U389" t="s">
        <v>44</v>
      </c>
      <c r="V389" t="s">
        <v>45</v>
      </c>
      <c r="W389" t="s">
        <v>5046</v>
      </c>
      <c r="X389" t="s">
        <v>45</v>
      </c>
      <c r="Y389" t="s">
        <v>46</v>
      </c>
      <c r="Z389" t="s">
        <v>47</v>
      </c>
      <c r="AA389" t="s">
        <v>48</v>
      </c>
      <c r="AB389" t="s">
        <v>49</v>
      </c>
      <c r="AC389" t="s">
        <v>49</v>
      </c>
      <c r="AD389">
        <v>0</v>
      </c>
      <c r="AE389" t="s">
        <v>185</v>
      </c>
      <c r="AF389">
        <v>0</v>
      </c>
      <c r="AG389" t="s">
        <v>196</v>
      </c>
      <c r="AH389" s="93">
        <f>VLOOKUP(Table1[[#This Row],[Caste]],Factor!$H$1:$K$13,4,0)</f>
        <v>1.3836274505214585</v>
      </c>
      <c r="AI38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89">
        <f>Table1[[#This Row],[Factor_1]]*Table1[[#This Row],[2024 Factor]]</f>
        <v>1.1648410586678206</v>
      </c>
      <c r="AK389">
        <f>VLOOKUP(Table1[[#This Row],[Q18: Gender]],Factor!$A$33:$E$35,5,0)</f>
        <v>0.85034013605442171</v>
      </c>
      <c r="AL389">
        <f>VLOOKUP(Table1[[#This Row],[Taluka]],Factor!$A$42:$G$46,7,0)</f>
        <v>1.147984664167413</v>
      </c>
      <c r="AM389">
        <f>VLOOKUP(Table1[[#This Row],[Caste]]&amp;Table1[[#This Row],[Q18: Gender]],Factor!$W$1:$X$23,2,0)</f>
        <v>1.0790228998469584</v>
      </c>
      <c r="AN389">
        <f>VLOOKUP(Table1[[#This Row],[Taluka]]&amp;Table1[[#This Row],[Caste]]&amp;Table1[[#This Row],[Q18: Gender]],Factor!$AK$4:$AL$93,2,0)</f>
        <v>1.1572915102003449</v>
      </c>
      <c r="AO389">
        <f t="shared" si="66"/>
        <v>1</v>
      </c>
      <c r="AP389">
        <f t="shared" si="67"/>
        <v>-1</v>
      </c>
      <c r="AQ389">
        <f t="shared" si="68"/>
        <v>-1</v>
      </c>
      <c r="AR389">
        <f t="shared" si="69"/>
        <v>-1</v>
      </c>
      <c r="AS389">
        <f t="shared" si="70"/>
        <v>-1</v>
      </c>
      <c r="AT389">
        <f t="shared" si="71"/>
        <v>-1</v>
      </c>
      <c r="AU389">
        <f t="shared" si="72"/>
        <v>-3.5</v>
      </c>
      <c r="AV389">
        <f>SUM(Table1[[#This Row],[Satis]:[29]])</f>
        <v>-4</v>
      </c>
      <c r="AW389">
        <f t="shared" si="73"/>
        <v>-3</v>
      </c>
      <c r="AX389">
        <f t="shared" si="74"/>
        <v>-4</v>
      </c>
      <c r="AY389">
        <f t="shared" si="75"/>
        <v>-2</v>
      </c>
      <c r="AZ389" t="str">
        <f t="shared" si="76"/>
        <v>TDP Sympathiser</v>
      </c>
    </row>
    <row r="390" spans="1:52" x14ac:dyDescent="0.3">
      <c r="A390" t="s">
        <v>2457</v>
      </c>
      <c r="B390" s="94">
        <v>46045</v>
      </c>
      <c r="C390" t="s">
        <v>2399</v>
      </c>
      <c r="D390" t="s">
        <v>2131</v>
      </c>
      <c r="E390" t="s">
        <v>1370</v>
      </c>
      <c r="F390" t="s">
        <v>69</v>
      </c>
      <c r="G390" t="s">
        <v>39</v>
      </c>
      <c r="H390" t="s">
        <v>2458</v>
      </c>
      <c r="I390" t="s">
        <v>70</v>
      </c>
      <c r="J390" t="s">
        <v>219</v>
      </c>
      <c r="K390" t="s">
        <v>221</v>
      </c>
      <c r="L390" t="s">
        <v>75</v>
      </c>
      <c r="M390" t="s">
        <v>51</v>
      </c>
      <c r="N390" t="s">
        <v>63</v>
      </c>
      <c r="O390" t="s">
        <v>2133</v>
      </c>
      <c r="P390">
        <v>9866178869</v>
      </c>
      <c r="Q390" t="s">
        <v>54</v>
      </c>
      <c r="R390" t="s">
        <v>132</v>
      </c>
      <c r="S390" t="s">
        <v>89</v>
      </c>
      <c r="T390" t="s">
        <v>89</v>
      </c>
      <c r="U390" t="s">
        <v>44</v>
      </c>
      <c r="V390" t="s">
        <v>45</v>
      </c>
      <c r="W390" t="s">
        <v>5046</v>
      </c>
      <c r="X390" t="s">
        <v>45</v>
      </c>
      <c r="Y390" t="s">
        <v>46</v>
      </c>
      <c r="Z390" t="s">
        <v>47</v>
      </c>
      <c r="AA390" t="s">
        <v>48</v>
      </c>
      <c r="AB390" t="s">
        <v>49</v>
      </c>
      <c r="AC390" t="s">
        <v>49</v>
      </c>
      <c r="AD390">
        <v>0</v>
      </c>
      <c r="AE390" t="s">
        <v>185</v>
      </c>
      <c r="AF390">
        <v>0</v>
      </c>
      <c r="AG390" t="s">
        <v>196</v>
      </c>
      <c r="AH390" s="93">
        <f>VLOOKUP(Table1[[#This Row],[Caste]],Factor!$H$1:$K$13,4,0)</f>
        <v>1.3836274505214585</v>
      </c>
      <c r="AI39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90">
        <f>Table1[[#This Row],[Factor_1]]*Table1[[#This Row],[2024 Factor]]</f>
        <v>1.1648410586678206</v>
      </c>
      <c r="AK390">
        <f>VLOOKUP(Table1[[#This Row],[Q18: Gender]],Factor!$A$33:$E$35,5,0)</f>
        <v>0.85034013605442171</v>
      </c>
      <c r="AL390">
        <f>VLOOKUP(Table1[[#This Row],[Taluka]],Factor!$A$42:$G$46,7,0)</f>
        <v>1.147984664167413</v>
      </c>
      <c r="AM390">
        <f>VLOOKUP(Table1[[#This Row],[Caste]]&amp;Table1[[#This Row],[Q18: Gender]],Factor!$W$1:$X$23,2,0)</f>
        <v>1.0790228998469584</v>
      </c>
      <c r="AN390">
        <f>VLOOKUP(Table1[[#This Row],[Taluka]]&amp;Table1[[#This Row],[Caste]]&amp;Table1[[#This Row],[Q18: Gender]],Factor!$AK$4:$AL$93,2,0)</f>
        <v>1.1572915102003449</v>
      </c>
      <c r="AO390">
        <f t="shared" si="66"/>
        <v>1</v>
      </c>
      <c r="AP390">
        <f t="shared" si="67"/>
        <v>-1</v>
      </c>
      <c r="AQ390">
        <f t="shared" si="68"/>
        <v>-1</v>
      </c>
      <c r="AR390">
        <f t="shared" si="69"/>
        <v>-1</v>
      </c>
      <c r="AS390">
        <f t="shared" si="70"/>
        <v>-1</v>
      </c>
      <c r="AT390">
        <f t="shared" si="71"/>
        <v>-1</v>
      </c>
      <c r="AU390">
        <f t="shared" si="72"/>
        <v>-3.5</v>
      </c>
      <c r="AV390">
        <f>SUM(Table1[[#This Row],[Satis]:[29]])</f>
        <v>-4</v>
      </c>
      <c r="AW390">
        <f t="shared" si="73"/>
        <v>-3</v>
      </c>
      <c r="AX390">
        <f t="shared" si="74"/>
        <v>-4</v>
      </c>
      <c r="AY390">
        <f t="shared" si="75"/>
        <v>-2</v>
      </c>
      <c r="AZ390" t="str">
        <f t="shared" si="76"/>
        <v>TDP Sympathiser</v>
      </c>
    </row>
    <row r="391" spans="1:52" x14ac:dyDescent="0.3">
      <c r="A391" t="s">
        <v>2320</v>
      </c>
      <c r="B391" s="94">
        <v>46045</v>
      </c>
      <c r="C391" t="s">
        <v>2321</v>
      </c>
      <c r="D391" t="s">
        <v>2322</v>
      </c>
      <c r="E391" t="s">
        <v>2174</v>
      </c>
      <c r="F391" t="s">
        <v>69</v>
      </c>
      <c r="G391" t="s">
        <v>39</v>
      </c>
      <c r="H391" t="s">
        <v>2323</v>
      </c>
      <c r="I391" t="s">
        <v>59</v>
      </c>
      <c r="J391" t="s">
        <v>219</v>
      </c>
      <c r="K391" t="s">
        <v>221</v>
      </c>
      <c r="L391" t="s">
        <v>50</v>
      </c>
      <c r="M391" t="s">
        <v>51</v>
      </c>
      <c r="N391" t="s">
        <v>52</v>
      </c>
      <c r="O391" t="s">
        <v>69</v>
      </c>
      <c r="P391">
        <v>9999999999</v>
      </c>
      <c r="Q391" t="s">
        <v>54</v>
      </c>
      <c r="R391" t="s">
        <v>73</v>
      </c>
      <c r="S391" t="s">
        <v>43</v>
      </c>
      <c r="T391" t="s">
        <v>43</v>
      </c>
      <c r="U391" t="s">
        <v>44</v>
      </c>
      <c r="V391" t="s">
        <v>45</v>
      </c>
      <c r="W391" t="s">
        <v>5056</v>
      </c>
      <c r="X391" t="s">
        <v>45</v>
      </c>
      <c r="Y391" t="s">
        <v>46</v>
      </c>
      <c r="Z391" t="s">
        <v>47</v>
      </c>
      <c r="AA391" t="s">
        <v>48</v>
      </c>
      <c r="AB391" t="s">
        <v>49</v>
      </c>
      <c r="AC391" t="s">
        <v>49</v>
      </c>
      <c r="AD391" t="s">
        <v>481</v>
      </c>
      <c r="AE391" t="s">
        <v>185</v>
      </c>
      <c r="AF391" t="s">
        <v>488</v>
      </c>
      <c r="AG391" t="s">
        <v>196</v>
      </c>
      <c r="AH391" s="93">
        <f>VLOOKUP(Table1[[#This Row],[Caste]],Factor!$H$1:$K$13,4,0)</f>
        <v>1.1461625511156397</v>
      </c>
      <c r="AI39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91">
        <f>Table1[[#This Row],[Factor_1]]*Table1[[#This Row],[2024 Factor]]</f>
        <v>0.77721139583220644</v>
      </c>
      <c r="AK391">
        <f>VLOOKUP(Table1[[#This Row],[Q18: Gender]],Factor!$A$33:$E$35,5,0)</f>
        <v>0.85034013605442171</v>
      </c>
      <c r="AL391">
        <f>VLOOKUP(Table1[[#This Row],[Taluka]],Factor!$A$42:$G$46,7,0)</f>
        <v>1.147984664167413</v>
      </c>
      <c r="AM391">
        <f>VLOOKUP(Table1[[#This Row],[Caste]]&amp;Table1[[#This Row],[Q18: Gender]],Factor!$W$1:$X$23,2,0)</f>
        <v>0.71995135120329123</v>
      </c>
      <c r="AN391">
        <f>VLOOKUP(Table1[[#This Row],[Taluka]]&amp;Table1[[#This Row],[Caste]]&amp;Table1[[#This Row],[Q18: Gender]],Factor!$AK$4:$AL$93,2,0)</f>
        <v>0.54319084681293095</v>
      </c>
      <c r="AO391">
        <f t="shared" si="66"/>
        <v>-1</v>
      </c>
      <c r="AP391">
        <f t="shared" si="67"/>
        <v>-1</v>
      </c>
      <c r="AQ391">
        <f t="shared" si="68"/>
        <v>-1</v>
      </c>
      <c r="AR391">
        <f t="shared" si="69"/>
        <v>-1</v>
      </c>
      <c r="AS391">
        <f t="shared" si="70"/>
        <v>-1</v>
      </c>
      <c r="AT391">
        <f t="shared" si="71"/>
        <v>-1</v>
      </c>
      <c r="AU391">
        <f t="shared" si="72"/>
        <v>-5.5</v>
      </c>
      <c r="AV391">
        <f>SUM(Table1[[#This Row],[Satis]:[29]])</f>
        <v>-6</v>
      </c>
      <c r="AW391">
        <f t="shared" si="73"/>
        <v>-5</v>
      </c>
      <c r="AX391">
        <f t="shared" si="74"/>
        <v>-4</v>
      </c>
      <c r="AY391">
        <f t="shared" si="75"/>
        <v>-3</v>
      </c>
      <c r="AZ391" t="str">
        <f t="shared" si="76"/>
        <v>TDP HardCore</v>
      </c>
    </row>
    <row r="392" spans="1:52" x14ac:dyDescent="0.3">
      <c r="A392" t="s">
        <v>2165</v>
      </c>
      <c r="B392" s="94">
        <v>46045</v>
      </c>
      <c r="C392" t="s">
        <v>2166</v>
      </c>
      <c r="D392" t="s">
        <v>2167</v>
      </c>
      <c r="E392" t="s">
        <v>2168</v>
      </c>
      <c r="F392" t="s">
        <v>240</v>
      </c>
      <c r="G392" t="s">
        <v>39</v>
      </c>
      <c r="H392" t="s">
        <v>2169</v>
      </c>
      <c r="I392" t="s">
        <v>70</v>
      </c>
      <c r="J392" t="s">
        <v>37</v>
      </c>
      <c r="K392" t="s">
        <v>80</v>
      </c>
      <c r="L392" t="s">
        <v>75</v>
      </c>
      <c r="M392" t="s">
        <v>51</v>
      </c>
      <c r="N392" t="s">
        <v>63</v>
      </c>
      <c r="O392" t="s">
        <v>2170</v>
      </c>
      <c r="P392">
        <v>9866585980</v>
      </c>
      <c r="Q392" t="s">
        <v>445</v>
      </c>
      <c r="R392" t="s">
        <v>2116</v>
      </c>
      <c r="S392" t="s">
        <v>43</v>
      </c>
      <c r="T392" t="s">
        <v>89</v>
      </c>
      <c r="U392" t="s">
        <v>90</v>
      </c>
      <c r="V392" t="s">
        <v>91</v>
      </c>
      <c r="W392" t="s">
        <v>5055</v>
      </c>
      <c r="X392" t="s">
        <v>91</v>
      </c>
      <c r="Y392" t="s">
        <v>46</v>
      </c>
      <c r="Z392" t="s">
        <v>92</v>
      </c>
      <c r="AA392" t="s">
        <v>92</v>
      </c>
      <c r="AB392" t="s">
        <v>93</v>
      </c>
      <c r="AC392" t="s">
        <v>148</v>
      </c>
      <c r="AD392" t="s">
        <v>481</v>
      </c>
      <c r="AE392" t="s">
        <v>185</v>
      </c>
      <c r="AF392">
        <v>0</v>
      </c>
      <c r="AG392" t="s">
        <v>196</v>
      </c>
      <c r="AH392" s="93">
        <f>VLOOKUP(Table1[[#This Row],[Caste]],Factor!$H$1:$K$13,4,0)</f>
        <v>1.3836274505214585</v>
      </c>
      <c r="AI392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392">
        <f>Table1[[#This Row],[Factor_1]]*Table1[[#This Row],[2024 Factor]]</f>
        <v>3.4809023142961388</v>
      </c>
      <c r="AK392">
        <f>VLOOKUP(Table1[[#This Row],[Q18: Gender]],Factor!$A$33:$E$35,5,0)</f>
        <v>2.1645021645021645</v>
      </c>
      <c r="AL392">
        <f>VLOOKUP(Table1[[#This Row],[Taluka]],Factor!$A$42:$G$46,7,0)</f>
        <v>0.75433779645928134</v>
      </c>
      <c r="AM392">
        <f>VLOOKUP(Table1[[#This Row],[Caste]]&amp;Table1[[#This Row],[Q18: Gender]],Factor!$W$1:$X$23,2,0)</f>
        <v>1.9278542477265657</v>
      </c>
      <c r="AN392">
        <f>VLOOKUP(Table1[[#This Row],[Taluka]]&amp;Table1[[#This Row],[Caste]]&amp;Table1[[#This Row],[Q18: Gender]],Factor!$AK$4:$AL$93,2,0)</f>
        <v>0.95595770048639872</v>
      </c>
      <c r="AO392">
        <f t="shared" si="66"/>
        <v>1</v>
      </c>
      <c r="AP392">
        <f t="shared" si="67"/>
        <v>1</v>
      </c>
      <c r="AQ392">
        <f t="shared" si="68"/>
        <v>1</v>
      </c>
      <c r="AR392">
        <f t="shared" si="69"/>
        <v>1</v>
      </c>
      <c r="AS392">
        <f t="shared" si="70"/>
        <v>1</v>
      </c>
      <c r="AT392">
        <f t="shared" si="71"/>
        <v>1</v>
      </c>
      <c r="AU392">
        <f t="shared" si="72"/>
        <v>5.5</v>
      </c>
      <c r="AV392">
        <f>SUM(Table1[[#This Row],[Satis]:[29]])</f>
        <v>6</v>
      </c>
      <c r="AW392">
        <f t="shared" si="73"/>
        <v>5</v>
      </c>
      <c r="AX392">
        <f t="shared" si="74"/>
        <v>4</v>
      </c>
      <c r="AY392">
        <f t="shared" si="75"/>
        <v>3</v>
      </c>
      <c r="AZ392" t="str">
        <f t="shared" si="76"/>
        <v>YSRCP HardCore</v>
      </c>
    </row>
    <row r="393" spans="1:52" x14ac:dyDescent="0.3">
      <c r="A393" t="s">
        <v>2270</v>
      </c>
      <c r="B393" s="94">
        <v>46045</v>
      </c>
      <c r="C393" t="s">
        <v>2271</v>
      </c>
      <c r="D393" t="s">
        <v>2272</v>
      </c>
      <c r="E393" t="s">
        <v>2168</v>
      </c>
      <c r="F393" t="s">
        <v>240</v>
      </c>
      <c r="G393" t="s">
        <v>39</v>
      </c>
      <c r="H393" t="s">
        <v>2273</v>
      </c>
      <c r="I393" t="s">
        <v>70</v>
      </c>
      <c r="J393" t="s">
        <v>37</v>
      </c>
      <c r="K393" t="s">
        <v>80</v>
      </c>
      <c r="L393" t="s">
        <v>75</v>
      </c>
      <c r="M393" t="s">
        <v>51</v>
      </c>
      <c r="N393" t="s">
        <v>63</v>
      </c>
      <c r="O393" t="s">
        <v>2274</v>
      </c>
      <c r="P393">
        <v>8978202120</v>
      </c>
      <c r="Q393" t="s">
        <v>54</v>
      </c>
      <c r="R393" t="s">
        <v>2116</v>
      </c>
      <c r="S393" t="s">
        <v>43</v>
      </c>
      <c r="T393" t="s">
        <v>43</v>
      </c>
      <c r="U393" t="s">
        <v>90</v>
      </c>
      <c r="V393" t="s">
        <v>91</v>
      </c>
      <c r="W393" t="s">
        <v>5040</v>
      </c>
      <c r="X393" t="s">
        <v>45</v>
      </c>
      <c r="Y393" t="s">
        <v>46</v>
      </c>
      <c r="Z393" t="s">
        <v>92</v>
      </c>
      <c r="AA393" t="s">
        <v>92</v>
      </c>
      <c r="AB393" t="s">
        <v>93</v>
      </c>
      <c r="AC393" t="s">
        <v>148</v>
      </c>
      <c r="AD393" t="s">
        <v>481</v>
      </c>
      <c r="AE393" t="s">
        <v>185</v>
      </c>
      <c r="AF393">
        <v>0</v>
      </c>
      <c r="AG393" t="s">
        <v>196</v>
      </c>
      <c r="AH393" s="93">
        <f>VLOOKUP(Table1[[#This Row],[Caste]],Factor!$H$1:$K$13,4,0)</f>
        <v>1.3836274505214585</v>
      </c>
      <c r="AI393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393">
        <f>Table1[[#This Row],[Factor_1]]*Table1[[#This Row],[2024 Factor]]</f>
        <v>1.9482662206881376</v>
      </c>
      <c r="AK393">
        <f>VLOOKUP(Table1[[#This Row],[Q18: Gender]],Factor!$A$33:$E$35,5,0)</f>
        <v>0.85034013605442171</v>
      </c>
      <c r="AL393">
        <f>VLOOKUP(Table1[[#This Row],[Taluka]],Factor!$A$42:$G$46,7,0)</f>
        <v>0.75433779645928134</v>
      </c>
      <c r="AM393">
        <f>VLOOKUP(Table1[[#This Row],[Caste]]&amp;Table1[[#This Row],[Q18: Gender]],Factor!$W$1:$X$23,2,0)</f>
        <v>1.0790228998469584</v>
      </c>
      <c r="AN393">
        <f>VLOOKUP(Table1[[#This Row],[Taluka]]&amp;Table1[[#This Row],[Caste]]&amp;Table1[[#This Row],[Q18: Gender]],Factor!$AK$4:$AL$93,2,0)</f>
        <v>0.52423486800867025</v>
      </c>
      <c r="AO393">
        <f t="shared" si="66"/>
        <v>-1</v>
      </c>
      <c r="AP393">
        <f t="shared" si="67"/>
        <v>1</v>
      </c>
      <c r="AQ393">
        <f t="shared" si="68"/>
        <v>1</v>
      </c>
      <c r="AR393">
        <f t="shared" si="69"/>
        <v>-1</v>
      </c>
      <c r="AS393">
        <f t="shared" si="70"/>
        <v>1</v>
      </c>
      <c r="AT393">
        <f t="shared" si="71"/>
        <v>1</v>
      </c>
      <c r="AU393">
        <f t="shared" si="72"/>
        <v>1.5</v>
      </c>
      <c r="AV393">
        <f>SUM(Table1[[#This Row],[Satis]:[29]])</f>
        <v>2</v>
      </c>
      <c r="AW393">
        <f t="shared" si="73"/>
        <v>1</v>
      </c>
      <c r="AX393">
        <f t="shared" si="74"/>
        <v>2</v>
      </c>
      <c r="AY393">
        <f t="shared" si="75"/>
        <v>2</v>
      </c>
      <c r="AZ393" t="str">
        <f t="shared" si="76"/>
        <v>Neutral YSRCP</v>
      </c>
    </row>
    <row r="394" spans="1:52" x14ac:dyDescent="0.3">
      <c r="A394" t="s">
        <v>2315</v>
      </c>
      <c r="B394" s="94">
        <v>46045</v>
      </c>
      <c r="C394" t="s">
        <v>2316</v>
      </c>
      <c r="D394" t="s">
        <v>2317</v>
      </c>
      <c r="E394" t="s">
        <v>1276</v>
      </c>
      <c r="F394" t="s">
        <v>935</v>
      </c>
      <c r="G394" t="s">
        <v>39</v>
      </c>
      <c r="H394" t="s">
        <v>2318</v>
      </c>
      <c r="I394" t="s">
        <v>70</v>
      </c>
      <c r="J394" t="s">
        <v>219</v>
      </c>
      <c r="K394" t="s">
        <v>224</v>
      </c>
      <c r="L394" t="s">
        <v>62</v>
      </c>
      <c r="M394" t="s">
        <v>443</v>
      </c>
      <c r="N394" t="s">
        <v>52</v>
      </c>
      <c r="O394" t="s">
        <v>2319</v>
      </c>
      <c r="P394">
        <v>8465881453</v>
      </c>
      <c r="Q394" t="s">
        <v>54</v>
      </c>
      <c r="R394" t="s">
        <v>132</v>
      </c>
      <c r="S394" t="s">
        <v>43</v>
      </c>
      <c r="T394" t="s">
        <v>43</v>
      </c>
      <c r="U394" t="s">
        <v>90</v>
      </c>
      <c r="V394" t="s">
        <v>91</v>
      </c>
      <c r="W394" t="s">
        <v>5055</v>
      </c>
      <c r="X394" t="s">
        <v>91</v>
      </c>
      <c r="Y394" t="s">
        <v>46</v>
      </c>
      <c r="Z394" t="s">
        <v>92</v>
      </c>
      <c r="AA394" t="s">
        <v>92</v>
      </c>
      <c r="AB394" t="s">
        <v>93</v>
      </c>
      <c r="AC394" t="s">
        <v>94</v>
      </c>
      <c r="AD394" t="s">
        <v>494</v>
      </c>
      <c r="AE394" t="s">
        <v>185</v>
      </c>
      <c r="AF394">
        <v>0</v>
      </c>
      <c r="AG394" t="s">
        <v>196</v>
      </c>
      <c r="AH394" s="93">
        <f>VLOOKUP(Table1[[#This Row],[Caste]],Factor!$H$1:$K$13,4,0)</f>
        <v>1.3836274505214585</v>
      </c>
      <c r="AI394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394">
        <f>Table1[[#This Row],[Factor_1]]*Table1[[#This Row],[2024 Factor]]</f>
        <v>1.9482662206881376</v>
      </c>
      <c r="AK394">
        <f>VLOOKUP(Table1[[#This Row],[Q18: Gender]],Factor!$A$33:$E$35,5,0)</f>
        <v>0.85034013605442171</v>
      </c>
      <c r="AL394">
        <f>VLOOKUP(Table1[[#This Row],[Taluka]],Factor!$A$42:$G$46,7,0)</f>
        <v>1.147984664167413</v>
      </c>
      <c r="AM394">
        <f>VLOOKUP(Table1[[#This Row],[Caste]]&amp;Table1[[#This Row],[Q18: Gender]],Factor!$W$1:$X$23,2,0)</f>
        <v>1.0790228998469584</v>
      </c>
      <c r="AN394">
        <f>VLOOKUP(Table1[[#This Row],[Taluka]]&amp;Table1[[#This Row],[Caste]]&amp;Table1[[#This Row],[Q18: Gender]],Factor!$AK$4:$AL$93,2,0)</f>
        <v>1.1572915102003449</v>
      </c>
      <c r="AO394">
        <f t="shared" si="66"/>
        <v>-1</v>
      </c>
      <c r="AP394">
        <f t="shared" si="67"/>
        <v>1</v>
      </c>
      <c r="AQ394">
        <f t="shared" si="68"/>
        <v>1</v>
      </c>
      <c r="AR394">
        <f t="shared" si="69"/>
        <v>1</v>
      </c>
      <c r="AS394">
        <f t="shared" si="70"/>
        <v>1</v>
      </c>
      <c r="AT394">
        <f t="shared" si="71"/>
        <v>1</v>
      </c>
      <c r="AU394">
        <f t="shared" si="72"/>
        <v>3.5</v>
      </c>
      <c r="AV394">
        <f>SUM(Table1[[#This Row],[Satis]:[29]])</f>
        <v>4</v>
      </c>
      <c r="AW394">
        <f t="shared" si="73"/>
        <v>3</v>
      </c>
      <c r="AX394">
        <f t="shared" si="74"/>
        <v>4</v>
      </c>
      <c r="AY394">
        <f t="shared" si="75"/>
        <v>2</v>
      </c>
      <c r="AZ394" t="str">
        <f t="shared" si="76"/>
        <v>YSRCP Sympathiser</v>
      </c>
    </row>
    <row r="395" spans="1:52" x14ac:dyDescent="0.3">
      <c r="A395" t="s">
        <v>2401</v>
      </c>
      <c r="B395" s="94">
        <v>46045</v>
      </c>
      <c r="C395" t="s">
        <v>2402</v>
      </c>
      <c r="D395" t="s">
        <v>2403</v>
      </c>
      <c r="E395" t="s">
        <v>2404</v>
      </c>
      <c r="F395" t="s">
        <v>240</v>
      </c>
      <c r="G395" t="s">
        <v>39</v>
      </c>
      <c r="H395" t="s">
        <v>2405</v>
      </c>
      <c r="I395" t="s">
        <v>36</v>
      </c>
      <c r="J395" t="s">
        <v>37</v>
      </c>
      <c r="K395" t="s">
        <v>80</v>
      </c>
      <c r="L395" t="s">
        <v>451</v>
      </c>
      <c r="M395" t="s">
        <v>51</v>
      </c>
      <c r="N395" t="s">
        <v>162</v>
      </c>
      <c r="O395" t="s">
        <v>2406</v>
      </c>
      <c r="P395">
        <v>9494506652</v>
      </c>
      <c r="Q395" t="s">
        <v>445</v>
      </c>
      <c r="R395" t="s">
        <v>2116</v>
      </c>
      <c r="S395" t="s">
        <v>43</v>
      </c>
      <c r="T395" t="s">
        <v>43</v>
      </c>
      <c r="U395" t="s">
        <v>90</v>
      </c>
      <c r="V395" t="s">
        <v>91</v>
      </c>
      <c r="W395" t="s">
        <v>5050</v>
      </c>
      <c r="X395" t="s">
        <v>91</v>
      </c>
      <c r="Y395" t="s">
        <v>716</v>
      </c>
      <c r="Z395" t="s">
        <v>92</v>
      </c>
      <c r="AA395" t="s">
        <v>92</v>
      </c>
      <c r="AB395" t="s">
        <v>351</v>
      </c>
      <c r="AC395" t="s">
        <v>470</v>
      </c>
      <c r="AD395" t="s">
        <v>494</v>
      </c>
      <c r="AE395" t="s">
        <v>185</v>
      </c>
      <c r="AF395">
        <v>0</v>
      </c>
      <c r="AG395" t="s">
        <v>196</v>
      </c>
      <c r="AH395" s="93">
        <f>VLOOKUP(Table1[[#This Row],[Caste]],Factor!$H$1:$K$13,4,0)</f>
        <v>1.1705128247062893</v>
      </c>
      <c r="AI395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395">
        <f>Table1[[#This Row],[Factor_1]]*Table1[[#This Row],[2024 Factor]]</f>
        <v>3.9434051007458306</v>
      </c>
      <c r="AK395">
        <f>VLOOKUP(Table1[[#This Row],[Q18: Gender]],Factor!$A$33:$E$35,5,0)</f>
        <v>2.1645021645021645</v>
      </c>
      <c r="AL395">
        <f>VLOOKUP(Table1[[#This Row],[Taluka]],Factor!$A$42:$G$46,7,0)</f>
        <v>0.75433779645928134</v>
      </c>
      <c r="AM395">
        <f>VLOOKUP(Table1[[#This Row],[Caste]]&amp;Table1[[#This Row],[Q18: Gender]],Factor!$W$1:$X$23,2,0)</f>
        <v>2.1840056363422229</v>
      </c>
      <c r="AN395">
        <f>VLOOKUP(Table1[[#This Row],[Taluka]]&amp;Table1[[#This Row],[Caste]]&amp;Table1[[#This Row],[Q18: Gender]],Factor!$AK$4:$AL$93,2,0)</f>
        <v>1.1182714552164577</v>
      </c>
      <c r="AO395">
        <f t="shared" si="66"/>
        <v>-1</v>
      </c>
      <c r="AP395">
        <f t="shared" si="67"/>
        <v>1</v>
      </c>
      <c r="AQ395">
        <f t="shared" si="68"/>
        <v>1</v>
      </c>
      <c r="AR395">
        <f t="shared" si="69"/>
        <v>1</v>
      </c>
      <c r="AS395">
        <f t="shared" si="70"/>
        <v>1</v>
      </c>
      <c r="AT395">
        <f t="shared" si="71"/>
        <v>1</v>
      </c>
      <c r="AU395">
        <f t="shared" si="72"/>
        <v>3.5</v>
      </c>
      <c r="AV395">
        <f>SUM(Table1[[#This Row],[Satis]:[29]])</f>
        <v>4</v>
      </c>
      <c r="AW395">
        <f t="shared" si="73"/>
        <v>3</v>
      </c>
      <c r="AX395">
        <f t="shared" si="74"/>
        <v>4</v>
      </c>
      <c r="AY395">
        <f t="shared" si="75"/>
        <v>2</v>
      </c>
      <c r="AZ395" t="str">
        <f t="shared" si="76"/>
        <v>YSRCP Sympathiser</v>
      </c>
    </row>
    <row r="396" spans="1:52" x14ac:dyDescent="0.3">
      <c r="A396" t="s">
        <v>2134</v>
      </c>
      <c r="B396" s="94">
        <v>46045</v>
      </c>
      <c r="C396" t="s">
        <v>2135</v>
      </c>
      <c r="D396" t="s">
        <v>2136</v>
      </c>
      <c r="E396" t="s">
        <v>1427</v>
      </c>
      <c r="F396" t="s">
        <v>935</v>
      </c>
      <c r="G396" t="s">
        <v>39</v>
      </c>
      <c r="H396" t="s">
        <v>2137</v>
      </c>
      <c r="I396" s="112" t="s">
        <v>228</v>
      </c>
      <c r="J396" t="s">
        <v>219</v>
      </c>
      <c r="K396" t="s">
        <v>224</v>
      </c>
      <c r="L396" t="s">
        <v>62</v>
      </c>
      <c r="M396" t="s">
        <v>51</v>
      </c>
      <c r="N396" t="s">
        <v>63</v>
      </c>
      <c r="O396" t="s">
        <v>2138</v>
      </c>
      <c r="P396">
        <v>9542285200</v>
      </c>
      <c r="Q396" t="s">
        <v>54</v>
      </c>
      <c r="R396" t="s">
        <v>139</v>
      </c>
      <c r="S396" t="s">
        <v>43</v>
      </c>
      <c r="T396" t="s">
        <v>43</v>
      </c>
      <c r="U396" t="s">
        <v>44</v>
      </c>
      <c r="V396" t="s">
        <v>91</v>
      </c>
      <c r="W396" t="s">
        <v>5056</v>
      </c>
      <c r="X396" t="s">
        <v>45</v>
      </c>
      <c r="Y396" t="s">
        <v>46</v>
      </c>
      <c r="Z396" t="s">
        <v>47</v>
      </c>
      <c r="AA396" t="s">
        <v>48</v>
      </c>
      <c r="AB396" t="s">
        <v>49</v>
      </c>
      <c r="AC396" t="s">
        <v>49</v>
      </c>
      <c r="AD396" t="s">
        <v>494</v>
      </c>
      <c r="AE396" t="s">
        <v>185</v>
      </c>
      <c r="AF396" t="s">
        <v>2974</v>
      </c>
      <c r="AG396" t="s">
        <v>196</v>
      </c>
      <c r="AH396" s="93">
        <f>VLOOKUP(Table1[[#This Row],[Caste]],Factor!$H$1:$K$13,4,0)</f>
        <v>0.80207032429970992</v>
      </c>
      <c r="AI39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96">
        <f>Table1[[#This Row],[Factor_1]]*Table1[[#This Row],[2024 Factor]]</f>
        <v>0.65595572330316032</v>
      </c>
      <c r="AK396">
        <f>VLOOKUP(Table1[[#This Row],[Q18: Gender]],Factor!$A$33:$E$35,5,0)</f>
        <v>0.85034013605442171</v>
      </c>
      <c r="AL396">
        <f>VLOOKUP(Table1[[#This Row],[Taluka]],Factor!$A$42:$G$46,7,0)</f>
        <v>1.147984664167413</v>
      </c>
      <c r="AM396">
        <f>VLOOKUP(Table1[[#This Row],[Caste]]&amp;Table1[[#This Row],[Q18: Gender]],Factor!$W$1:$X$23,2,0)</f>
        <v>0.60762903356038633</v>
      </c>
      <c r="AN396">
        <f>VLOOKUP(Table1[[#This Row],[Taluka]]&amp;Table1[[#This Row],[Caste]]&amp;Table1[[#This Row],[Q18: Gender]],Factor!$AK$4:$AL$93,2,0)</f>
        <v>1.1555593620092124</v>
      </c>
      <c r="AO396">
        <f t="shared" si="66"/>
        <v>-1</v>
      </c>
      <c r="AP396">
        <f t="shared" si="67"/>
        <v>-1</v>
      </c>
      <c r="AQ396">
        <f t="shared" si="68"/>
        <v>1</v>
      </c>
      <c r="AR396">
        <f t="shared" si="69"/>
        <v>-1</v>
      </c>
      <c r="AS396">
        <f t="shared" si="70"/>
        <v>-1</v>
      </c>
      <c r="AT396">
        <f t="shared" si="71"/>
        <v>-1</v>
      </c>
      <c r="AU396">
        <f t="shared" si="72"/>
        <v>-3.5</v>
      </c>
      <c r="AV396">
        <f>SUM(Table1[[#This Row],[Satis]:[29]])</f>
        <v>-4</v>
      </c>
      <c r="AW396">
        <f t="shared" si="73"/>
        <v>-3</v>
      </c>
      <c r="AX396">
        <f t="shared" si="74"/>
        <v>-2</v>
      </c>
      <c r="AY396">
        <f t="shared" si="75"/>
        <v>-3</v>
      </c>
      <c r="AZ396" t="str">
        <f t="shared" si="76"/>
        <v>Neutral TDP</v>
      </c>
    </row>
    <row r="397" spans="1:52" x14ac:dyDescent="0.3">
      <c r="A397" t="s">
        <v>2367</v>
      </c>
      <c r="B397" s="94">
        <v>46045</v>
      </c>
      <c r="C397" t="s">
        <v>2368</v>
      </c>
      <c r="D397" t="s">
        <v>2369</v>
      </c>
      <c r="E397" t="s">
        <v>2370</v>
      </c>
      <c r="F397" t="s">
        <v>69</v>
      </c>
      <c r="G397" t="s">
        <v>39</v>
      </c>
      <c r="H397" t="s">
        <v>2371</v>
      </c>
      <c r="I397" t="s">
        <v>70</v>
      </c>
      <c r="J397" t="s">
        <v>219</v>
      </c>
      <c r="K397" t="s">
        <v>221</v>
      </c>
      <c r="L397" t="s">
        <v>82</v>
      </c>
      <c r="M397" t="s">
        <v>443</v>
      </c>
      <c r="N397" t="s">
        <v>107</v>
      </c>
      <c r="O397" t="s">
        <v>2372</v>
      </c>
      <c r="P397">
        <v>9999999999</v>
      </c>
      <c r="Q397" t="s">
        <v>54</v>
      </c>
      <c r="R397" t="s">
        <v>73</v>
      </c>
      <c r="S397" t="s">
        <v>43</v>
      </c>
      <c r="T397" t="s">
        <v>43</v>
      </c>
      <c r="U397" t="s">
        <v>44</v>
      </c>
      <c r="V397" t="s">
        <v>45</v>
      </c>
      <c r="W397" t="s">
        <v>5046</v>
      </c>
      <c r="X397" t="s">
        <v>45</v>
      </c>
      <c r="Y397" t="s">
        <v>46</v>
      </c>
      <c r="Z397" t="s">
        <v>47</v>
      </c>
      <c r="AA397" t="s">
        <v>92</v>
      </c>
      <c r="AB397" t="s">
        <v>93</v>
      </c>
      <c r="AC397" t="s">
        <v>94</v>
      </c>
      <c r="AD397" t="s">
        <v>481</v>
      </c>
      <c r="AE397" t="s">
        <v>185</v>
      </c>
      <c r="AF397">
        <v>0</v>
      </c>
      <c r="AG397" t="s">
        <v>196</v>
      </c>
      <c r="AH397" s="93">
        <f>VLOOKUP(Table1[[#This Row],[Caste]],Factor!$H$1:$K$13,4,0)</f>
        <v>1.3836274505214585</v>
      </c>
      <c r="AI397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397">
        <f>Table1[[#This Row],[Factor_1]]*Table1[[#This Row],[2024 Factor]]</f>
        <v>1.9482662206881376</v>
      </c>
      <c r="AK397">
        <f>VLOOKUP(Table1[[#This Row],[Q18: Gender]],Factor!$A$33:$E$35,5,0)</f>
        <v>0.85034013605442171</v>
      </c>
      <c r="AL397">
        <f>VLOOKUP(Table1[[#This Row],[Taluka]],Factor!$A$42:$G$46,7,0)</f>
        <v>1.147984664167413</v>
      </c>
      <c r="AM397">
        <f>VLOOKUP(Table1[[#This Row],[Caste]]&amp;Table1[[#This Row],[Q18: Gender]],Factor!$W$1:$X$23,2,0)</f>
        <v>1.0790228998469584</v>
      </c>
      <c r="AN397">
        <f>VLOOKUP(Table1[[#This Row],[Taluka]]&amp;Table1[[#This Row],[Caste]]&amp;Table1[[#This Row],[Q18: Gender]],Factor!$AK$4:$AL$93,2,0)</f>
        <v>1.1572915102003449</v>
      </c>
      <c r="AO397">
        <f t="shared" si="66"/>
        <v>-1</v>
      </c>
      <c r="AP397">
        <f t="shared" si="67"/>
        <v>-1</v>
      </c>
      <c r="AQ397">
        <f t="shared" si="68"/>
        <v>-1</v>
      </c>
      <c r="AR397">
        <f t="shared" si="69"/>
        <v>-1</v>
      </c>
      <c r="AS397">
        <f t="shared" si="70"/>
        <v>1</v>
      </c>
      <c r="AT397">
        <f t="shared" si="71"/>
        <v>-1</v>
      </c>
      <c r="AU397">
        <f t="shared" si="72"/>
        <v>-4.5</v>
      </c>
      <c r="AV397">
        <f>SUM(Table1[[#This Row],[Satis]:[29]])</f>
        <v>-4</v>
      </c>
      <c r="AW397">
        <f t="shared" si="73"/>
        <v>-3</v>
      </c>
      <c r="AX397">
        <f t="shared" si="74"/>
        <v>-2</v>
      </c>
      <c r="AY397">
        <f t="shared" si="75"/>
        <v>-2</v>
      </c>
      <c r="AZ397" t="str">
        <f t="shared" si="76"/>
        <v>Neutral TDP</v>
      </c>
    </row>
    <row r="398" spans="1:52" x14ac:dyDescent="0.3">
      <c r="A398" t="s">
        <v>2464</v>
      </c>
      <c r="B398" s="94">
        <v>46045</v>
      </c>
      <c r="C398" t="s">
        <v>2465</v>
      </c>
      <c r="D398" t="s">
        <v>2466</v>
      </c>
      <c r="E398" t="s">
        <v>313</v>
      </c>
      <c r="F398" t="s">
        <v>240</v>
      </c>
      <c r="G398" t="s">
        <v>39</v>
      </c>
      <c r="H398" t="s">
        <v>2467</v>
      </c>
      <c r="I398" t="s">
        <v>59</v>
      </c>
      <c r="J398" t="s">
        <v>37</v>
      </c>
      <c r="K398" t="s">
        <v>80</v>
      </c>
      <c r="L398" t="s">
        <v>161</v>
      </c>
      <c r="M398" t="s">
        <v>51</v>
      </c>
      <c r="N398" t="s">
        <v>63</v>
      </c>
      <c r="O398" t="s">
        <v>2468</v>
      </c>
      <c r="P398">
        <v>8341307557</v>
      </c>
      <c r="Q398" t="s">
        <v>54</v>
      </c>
      <c r="R398" t="s">
        <v>2116</v>
      </c>
      <c r="S398" t="s">
        <v>88</v>
      </c>
      <c r="T398" t="s">
        <v>43</v>
      </c>
      <c r="U398" t="s">
        <v>90</v>
      </c>
      <c r="V398" t="s">
        <v>45</v>
      </c>
      <c r="W398" t="s">
        <v>5055</v>
      </c>
      <c r="X398" t="s">
        <v>45</v>
      </c>
      <c r="Y398" t="s">
        <v>46</v>
      </c>
      <c r="Z398" t="s">
        <v>242</v>
      </c>
      <c r="AA398" t="s">
        <v>48</v>
      </c>
      <c r="AB398" t="s">
        <v>49</v>
      </c>
      <c r="AC398" t="s">
        <v>49</v>
      </c>
      <c r="AD398" t="s">
        <v>481</v>
      </c>
      <c r="AE398" t="s">
        <v>185</v>
      </c>
      <c r="AF398">
        <v>0</v>
      </c>
      <c r="AG398" t="s">
        <v>196</v>
      </c>
      <c r="AH398" s="93">
        <f>VLOOKUP(Table1[[#This Row],[Caste]],Factor!$H$1:$K$13,4,0)</f>
        <v>1.1461625511156397</v>
      </c>
      <c r="AI39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398">
        <f>Table1[[#This Row],[Factor_1]]*Table1[[#This Row],[2024 Factor]]</f>
        <v>0.77721139583220644</v>
      </c>
      <c r="AK398">
        <f>VLOOKUP(Table1[[#This Row],[Q18: Gender]],Factor!$A$33:$E$35,5,0)</f>
        <v>0.85034013605442171</v>
      </c>
      <c r="AL398">
        <f>VLOOKUP(Table1[[#This Row],[Taluka]],Factor!$A$42:$G$46,7,0)</f>
        <v>0.75433779645928134</v>
      </c>
      <c r="AM398">
        <f>VLOOKUP(Table1[[#This Row],[Caste]]&amp;Table1[[#This Row],[Q18: Gender]],Factor!$W$1:$X$23,2,0)</f>
        <v>0.71995135120329123</v>
      </c>
      <c r="AN398">
        <f>VLOOKUP(Table1[[#This Row],[Taluka]]&amp;Table1[[#This Row],[Caste]]&amp;Table1[[#This Row],[Q18: Gender]],Factor!$AK$4:$AL$93,2,0)</f>
        <v>0.55527787174877274</v>
      </c>
      <c r="AO398">
        <f t="shared" si="66"/>
        <v>-1</v>
      </c>
      <c r="AP398">
        <f t="shared" si="67"/>
        <v>1</v>
      </c>
      <c r="AQ398">
        <f t="shared" si="68"/>
        <v>-1</v>
      </c>
      <c r="AR398">
        <f t="shared" si="69"/>
        <v>-1</v>
      </c>
      <c r="AS398">
        <f t="shared" si="70"/>
        <v>-1</v>
      </c>
      <c r="AT398">
        <f t="shared" si="71"/>
        <v>-1</v>
      </c>
      <c r="AU398">
        <f t="shared" si="72"/>
        <v>-3.5</v>
      </c>
      <c r="AV398">
        <f>SUM(Table1[[#This Row],[Satis]:[29]])</f>
        <v>-4</v>
      </c>
      <c r="AW398">
        <f t="shared" si="73"/>
        <v>-5</v>
      </c>
      <c r="AX398">
        <f t="shared" si="74"/>
        <v>-4</v>
      </c>
      <c r="AY398">
        <f t="shared" si="75"/>
        <v>-3</v>
      </c>
      <c r="AZ398" t="str">
        <f t="shared" si="76"/>
        <v>TDP Sympathiser</v>
      </c>
    </row>
    <row r="399" spans="1:52" x14ac:dyDescent="0.3">
      <c r="A399" t="s">
        <v>2177</v>
      </c>
      <c r="B399" s="94">
        <v>46045</v>
      </c>
      <c r="C399" t="s">
        <v>2178</v>
      </c>
      <c r="D399" t="s">
        <v>2179</v>
      </c>
      <c r="E399" t="s">
        <v>2180</v>
      </c>
      <c r="F399" t="s">
        <v>69</v>
      </c>
      <c r="G399" t="s">
        <v>39</v>
      </c>
      <c r="H399" t="s">
        <v>2181</v>
      </c>
      <c r="I399" t="s">
        <v>70</v>
      </c>
      <c r="J399" t="s">
        <v>219</v>
      </c>
      <c r="K399" t="s">
        <v>221</v>
      </c>
      <c r="L399" t="s">
        <v>75</v>
      </c>
      <c r="M399" t="s">
        <v>51</v>
      </c>
      <c r="N399" t="s">
        <v>162</v>
      </c>
      <c r="O399" t="s">
        <v>2182</v>
      </c>
      <c r="P399">
        <v>9121093047</v>
      </c>
      <c r="Q399" t="s">
        <v>54</v>
      </c>
      <c r="R399" t="s">
        <v>73</v>
      </c>
      <c r="S399" t="s">
        <v>89</v>
      </c>
      <c r="T399" t="s">
        <v>89</v>
      </c>
      <c r="U399" t="s">
        <v>90</v>
      </c>
      <c r="V399" t="s">
        <v>91</v>
      </c>
      <c r="W399" t="s">
        <v>5046</v>
      </c>
      <c r="X399" t="s">
        <v>91</v>
      </c>
      <c r="Y399" t="s">
        <v>46</v>
      </c>
      <c r="Z399" t="s">
        <v>92</v>
      </c>
      <c r="AA399" t="s">
        <v>92</v>
      </c>
      <c r="AB399" t="s">
        <v>93</v>
      </c>
      <c r="AC399" t="s">
        <v>94</v>
      </c>
      <c r="AD399" t="s">
        <v>481</v>
      </c>
      <c r="AE399" t="s">
        <v>185</v>
      </c>
      <c r="AF399">
        <v>0</v>
      </c>
      <c r="AG399" t="s">
        <v>196</v>
      </c>
      <c r="AH399" s="93">
        <f>VLOOKUP(Table1[[#This Row],[Caste]],Factor!$H$1:$K$13,4,0)</f>
        <v>1.3836274505214585</v>
      </c>
      <c r="AI399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399">
        <f>Table1[[#This Row],[Factor_1]]*Table1[[#This Row],[2024 Factor]]</f>
        <v>1.9482662206881376</v>
      </c>
      <c r="AK399">
        <f>VLOOKUP(Table1[[#This Row],[Q18: Gender]],Factor!$A$33:$E$35,5,0)</f>
        <v>0.85034013605442171</v>
      </c>
      <c r="AL399">
        <f>VLOOKUP(Table1[[#This Row],[Taluka]],Factor!$A$42:$G$46,7,0)</f>
        <v>1.147984664167413</v>
      </c>
      <c r="AM399">
        <f>VLOOKUP(Table1[[#This Row],[Caste]]&amp;Table1[[#This Row],[Q18: Gender]],Factor!$W$1:$X$23,2,0)</f>
        <v>1.0790228998469584</v>
      </c>
      <c r="AN399">
        <f>VLOOKUP(Table1[[#This Row],[Taluka]]&amp;Table1[[#This Row],[Caste]]&amp;Table1[[#This Row],[Q18: Gender]],Factor!$AK$4:$AL$93,2,0)</f>
        <v>1.1572915102003449</v>
      </c>
      <c r="AO399">
        <f t="shared" si="66"/>
        <v>1</v>
      </c>
      <c r="AP399">
        <f t="shared" si="67"/>
        <v>1</v>
      </c>
      <c r="AQ399">
        <f t="shared" si="68"/>
        <v>1</v>
      </c>
      <c r="AR399">
        <f t="shared" si="69"/>
        <v>1</v>
      </c>
      <c r="AS399">
        <f t="shared" si="70"/>
        <v>1</v>
      </c>
      <c r="AT399">
        <f t="shared" si="71"/>
        <v>1</v>
      </c>
      <c r="AU399">
        <f t="shared" si="72"/>
        <v>5.5</v>
      </c>
      <c r="AV399">
        <f>SUM(Table1[[#This Row],[Satis]:[29]])</f>
        <v>6</v>
      </c>
      <c r="AW399">
        <f t="shared" si="73"/>
        <v>5</v>
      </c>
      <c r="AX399">
        <f t="shared" si="74"/>
        <v>4</v>
      </c>
      <c r="AY399">
        <f t="shared" si="75"/>
        <v>3</v>
      </c>
      <c r="AZ399" t="str">
        <f t="shared" si="76"/>
        <v>YSRCP HardCore</v>
      </c>
    </row>
    <row r="400" spans="1:52" x14ac:dyDescent="0.3">
      <c r="A400" t="s">
        <v>2363</v>
      </c>
      <c r="B400" s="94">
        <v>46045</v>
      </c>
      <c r="C400" t="s">
        <v>2364</v>
      </c>
      <c r="D400" t="s">
        <v>2365</v>
      </c>
      <c r="E400" t="s">
        <v>1701</v>
      </c>
      <c r="F400" t="s">
        <v>935</v>
      </c>
      <c r="G400" t="s">
        <v>39</v>
      </c>
      <c r="H400" t="s">
        <v>2366</v>
      </c>
      <c r="I400" t="s">
        <v>227</v>
      </c>
      <c r="J400" t="s">
        <v>219</v>
      </c>
      <c r="K400" t="s">
        <v>224</v>
      </c>
      <c r="L400" t="s">
        <v>62</v>
      </c>
      <c r="M400" t="s">
        <v>51</v>
      </c>
      <c r="N400" t="s">
        <v>52</v>
      </c>
      <c r="O400" t="s">
        <v>579</v>
      </c>
      <c r="P400">
        <v>8106048813</v>
      </c>
      <c r="Q400" t="s">
        <v>445</v>
      </c>
      <c r="R400" t="s">
        <v>139</v>
      </c>
      <c r="S400" t="s">
        <v>88</v>
      </c>
      <c r="T400" t="s">
        <v>89</v>
      </c>
      <c r="U400" t="s">
        <v>90</v>
      </c>
      <c r="V400" t="s">
        <v>45</v>
      </c>
      <c r="W400" t="s">
        <v>5058</v>
      </c>
      <c r="X400" t="s">
        <v>45</v>
      </c>
      <c r="Y400" t="s">
        <v>46</v>
      </c>
      <c r="Z400" t="s">
        <v>92</v>
      </c>
      <c r="AA400" t="s">
        <v>242</v>
      </c>
      <c r="AB400" t="s">
        <v>49</v>
      </c>
      <c r="AC400" t="s">
        <v>49</v>
      </c>
      <c r="AD400" t="s">
        <v>494</v>
      </c>
      <c r="AE400" t="s">
        <v>191</v>
      </c>
      <c r="AF400" t="s">
        <v>2973</v>
      </c>
      <c r="AG400" t="s">
        <v>498</v>
      </c>
      <c r="AH400" s="93">
        <f>VLOOKUP(Table1[[#This Row],[Caste]],Factor!$H$1:$K$13,4,0)</f>
        <v>1.2612194085121222</v>
      </c>
      <c r="AI400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400">
        <f>Table1[[#This Row],[Factor_1]]*Table1[[#This Row],[2024 Factor]]</f>
        <v>1.6028209406152043</v>
      </c>
      <c r="AK400">
        <f>VLOOKUP(Table1[[#This Row],[Q18: Gender]],Factor!$A$33:$E$35,5,0)</f>
        <v>2.1645021645021645</v>
      </c>
      <c r="AL400">
        <f>VLOOKUP(Table1[[#This Row],[Taluka]],Factor!$A$42:$G$46,7,0)</f>
        <v>1.147984664167413</v>
      </c>
      <c r="AM400">
        <f>VLOOKUP(Table1[[#This Row],[Caste]]&amp;Table1[[#This Row],[Q18: Gender]],Factor!$W$1:$X$23,2,0)</f>
        <v>2.4228688637206557</v>
      </c>
      <c r="AN400">
        <f>VLOOKUP(Table1[[#This Row],[Taluka]]&amp;Table1[[#This Row],[Caste]]&amp;Table1[[#This Row],[Q18: Gender]],Factor!$AK$4:$AL$93,2,0)</f>
        <v>2.2107623881946901</v>
      </c>
      <c r="AO400">
        <f t="shared" si="66"/>
        <v>1</v>
      </c>
      <c r="AP400">
        <f t="shared" si="67"/>
        <v>1</v>
      </c>
      <c r="AQ400">
        <f t="shared" si="68"/>
        <v>-1</v>
      </c>
      <c r="AR400">
        <f t="shared" si="69"/>
        <v>-1</v>
      </c>
      <c r="AS400">
        <f t="shared" si="70"/>
        <v>-1</v>
      </c>
      <c r="AT400">
        <f t="shared" si="71"/>
        <v>1</v>
      </c>
      <c r="AU400">
        <f t="shared" si="72"/>
        <v>0.5</v>
      </c>
      <c r="AV400">
        <f>SUM(Table1[[#This Row],[Satis]:[29]])</f>
        <v>0</v>
      </c>
      <c r="AW400">
        <f t="shared" si="73"/>
        <v>-1</v>
      </c>
      <c r="AX400">
        <f t="shared" si="74"/>
        <v>-2</v>
      </c>
      <c r="AY400">
        <f t="shared" si="75"/>
        <v>2</v>
      </c>
      <c r="AZ400" t="str">
        <f t="shared" si="76"/>
        <v>Neutral YSRCP</v>
      </c>
    </row>
    <row r="401" spans="1:52" x14ac:dyDescent="0.3">
      <c r="A401" t="s">
        <v>2226</v>
      </c>
      <c r="B401" s="94">
        <v>46045</v>
      </c>
      <c r="C401" t="s">
        <v>2227</v>
      </c>
      <c r="D401" t="s">
        <v>2228</v>
      </c>
      <c r="E401" t="s">
        <v>2229</v>
      </c>
      <c r="F401" t="s">
        <v>69</v>
      </c>
      <c r="G401" t="s">
        <v>39</v>
      </c>
      <c r="H401" t="s">
        <v>2230</v>
      </c>
      <c r="I401" t="s">
        <v>70</v>
      </c>
      <c r="J401" t="s">
        <v>219</v>
      </c>
      <c r="K401" t="s">
        <v>221</v>
      </c>
      <c r="L401" t="s">
        <v>75</v>
      </c>
      <c r="M401" t="s">
        <v>443</v>
      </c>
      <c r="N401" t="s">
        <v>162</v>
      </c>
      <c r="O401" t="s">
        <v>2232</v>
      </c>
      <c r="P401">
        <v>8978083186</v>
      </c>
      <c r="Q401" t="s">
        <v>54</v>
      </c>
      <c r="R401" t="s">
        <v>73</v>
      </c>
      <c r="S401" t="s">
        <v>89</v>
      </c>
      <c r="T401" t="s">
        <v>43</v>
      </c>
      <c r="U401" t="s">
        <v>90</v>
      </c>
      <c r="V401" t="s">
        <v>91</v>
      </c>
      <c r="W401" t="s">
        <v>5083</v>
      </c>
      <c r="X401" t="s">
        <v>91</v>
      </c>
      <c r="Y401" t="s">
        <v>638</v>
      </c>
      <c r="Z401" t="s">
        <v>92</v>
      </c>
      <c r="AA401" t="s">
        <v>2231</v>
      </c>
      <c r="AB401" t="s">
        <v>49</v>
      </c>
      <c r="AC401" t="s">
        <v>49</v>
      </c>
      <c r="AD401" t="s">
        <v>494</v>
      </c>
      <c r="AE401" t="s">
        <v>185</v>
      </c>
      <c r="AF401" t="s">
        <v>2978</v>
      </c>
      <c r="AG401" t="s">
        <v>196</v>
      </c>
      <c r="AH401" s="93">
        <f>VLOOKUP(Table1[[#This Row],[Caste]],Factor!$H$1:$K$13,4,0)</f>
        <v>1.3836274505214585</v>
      </c>
      <c r="AI401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401">
        <f>Table1[[#This Row],[Factor_1]]*Table1[[#This Row],[2024 Factor]]</f>
        <v>0.71381514912952693</v>
      </c>
      <c r="AK401">
        <f>VLOOKUP(Table1[[#This Row],[Q18: Gender]],Factor!$A$33:$E$35,5,0)</f>
        <v>0.85034013605442171</v>
      </c>
      <c r="AL401">
        <f>VLOOKUP(Table1[[#This Row],[Taluka]],Factor!$A$42:$G$46,7,0)</f>
        <v>1.147984664167413</v>
      </c>
      <c r="AM401">
        <f>VLOOKUP(Table1[[#This Row],[Caste]]&amp;Table1[[#This Row],[Q18: Gender]],Factor!$W$1:$X$23,2,0)</f>
        <v>1.0790228998469584</v>
      </c>
      <c r="AN401">
        <f>VLOOKUP(Table1[[#This Row],[Taluka]]&amp;Table1[[#This Row],[Caste]]&amp;Table1[[#This Row],[Q18: Gender]],Factor!$AK$4:$AL$93,2,0)</f>
        <v>1.1572915102003449</v>
      </c>
      <c r="AO401">
        <f t="shared" si="66"/>
        <v>-1</v>
      </c>
      <c r="AP401">
        <f t="shared" si="67"/>
        <v>1</v>
      </c>
      <c r="AQ401">
        <f t="shared" si="68"/>
        <v>1</v>
      </c>
      <c r="AR401">
        <f t="shared" si="69"/>
        <v>1</v>
      </c>
      <c r="AS401">
        <f t="shared" si="70"/>
        <v>-1</v>
      </c>
      <c r="AT401">
        <f t="shared" si="71"/>
        <v>1</v>
      </c>
      <c r="AU401">
        <f t="shared" si="72"/>
        <v>2.5</v>
      </c>
      <c r="AV401">
        <f>SUM(Table1[[#This Row],[Satis]:[29]])</f>
        <v>2</v>
      </c>
      <c r="AW401">
        <f t="shared" si="73"/>
        <v>1</v>
      </c>
      <c r="AX401">
        <f t="shared" si="74"/>
        <v>2</v>
      </c>
      <c r="AY401" t="str">
        <f t="shared" si="75"/>
        <v>ND</v>
      </c>
      <c r="AZ401" t="str">
        <f t="shared" si="76"/>
        <v>ND</v>
      </c>
    </row>
    <row r="402" spans="1:52" x14ac:dyDescent="0.3">
      <c r="A402" t="s">
        <v>2281</v>
      </c>
      <c r="B402" s="94">
        <v>46045</v>
      </c>
      <c r="C402" t="s">
        <v>2282</v>
      </c>
      <c r="D402" t="s">
        <v>2283</v>
      </c>
      <c r="E402" t="s">
        <v>1668</v>
      </c>
      <c r="F402" t="s">
        <v>69</v>
      </c>
      <c r="G402" t="s">
        <v>39</v>
      </c>
      <c r="H402" t="s">
        <v>2284</v>
      </c>
      <c r="I402" t="s">
        <v>70</v>
      </c>
      <c r="J402" t="s">
        <v>219</v>
      </c>
      <c r="K402" t="s">
        <v>221</v>
      </c>
      <c r="L402" t="s">
        <v>50</v>
      </c>
      <c r="M402" t="s">
        <v>443</v>
      </c>
      <c r="N402" t="s">
        <v>162</v>
      </c>
      <c r="O402" t="s">
        <v>2285</v>
      </c>
      <c r="P402">
        <v>9391171385</v>
      </c>
      <c r="Q402" t="s">
        <v>54</v>
      </c>
      <c r="R402" t="s">
        <v>73</v>
      </c>
      <c r="S402" t="s">
        <v>89</v>
      </c>
      <c r="T402" t="s">
        <v>89</v>
      </c>
      <c r="U402" t="s">
        <v>90</v>
      </c>
      <c r="V402" t="s">
        <v>91</v>
      </c>
      <c r="W402" t="s">
        <v>5056</v>
      </c>
      <c r="X402" t="s">
        <v>91</v>
      </c>
      <c r="Y402" t="s">
        <v>46</v>
      </c>
      <c r="Z402" t="s">
        <v>92</v>
      </c>
      <c r="AA402" t="s">
        <v>92</v>
      </c>
      <c r="AB402" t="s">
        <v>93</v>
      </c>
      <c r="AC402" t="s">
        <v>94</v>
      </c>
      <c r="AD402" t="s">
        <v>494</v>
      </c>
      <c r="AE402" t="s">
        <v>185</v>
      </c>
      <c r="AF402">
        <v>0</v>
      </c>
      <c r="AG402" t="s">
        <v>196</v>
      </c>
      <c r="AH402" s="93">
        <f>VLOOKUP(Table1[[#This Row],[Caste]],Factor!$H$1:$K$13,4,0)</f>
        <v>1.3836274505214585</v>
      </c>
      <c r="AI402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402">
        <f>Table1[[#This Row],[Factor_1]]*Table1[[#This Row],[2024 Factor]]</f>
        <v>1.9482662206881376</v>
      </c>
      <c r="AK402">
        <f>VLOOKUP(Table1[[#This Row],[Q18: Gender]],Factor!$A$33:$E$35,5,0)</f>
        <v>0.85034013605442171</v>
      </c>
      <c r="AL402">
        <f>VLOOKUP(Table1[[#This Row],[Taluka]],Factor!$A$42:$G$46,7,0)</f>
        <v>1.147984664167413</v>
      </c>
      <c r="AM402">
        <f>VLOOKUP(Table1[[#This Row],[Caste]]&amp;Table1[[#This Row],[Q18: Gender]],Factor!$W$1:$X$23,2,0)</f>
        <v>1.0790228998469584</v>
      </c>
      <c r="AN402">
        <f>VLOOKUP(Table1[[#This Row],[Taluka]]&amp;Table1[[#This Row],[Caste]]&amp;Table1[[#This Row],[Q18: Gender]],Factor!$AK$4:$AL$93,2,0)</f>
        <v>1.1572915102003449</v>
      </c>
      <c r="AO402">
        <f t="shared" si="66"/>
        <v>1</v>
      </c>
      <c r="AP402">
        <f t="shared" si="67"/>
        <v>1</v>
      </c>
      <c r="AQ402">
        <f t="shared" si="68"/>
        <v>1</v>
      </c>
      <c r="AR402">
        <f t="shared" si="69"/>
        <v>1</v>
      </c>
      <c r="AS402">
        <f t="shared" si="70"/>
        <v>1</v>
      </c>
      <c r="AT402">
        <f t="shared" si="71"/>
        <v>1</v>
      </c>
      <c r="AU402">
        <f t="shared" si="72"/>
        <v>5.5</v>
      </c>
      <c r="AV402">
        <f>SUM(Table1[[#This Row],[Satis]:[29]])</f>
        <v>6</v>
      </c>
      <c r="AW402">
        <f t="shared" si="73"/>
        <v>5</v>
      </c>
      <c r="AX402">
        <f t="shared" si="74"/>
        <v>4</v>
      </c>
      <c r="AY402">
        <f t="shared" si="75"/>
        <v>3</v>
      </c>
      <c r="AZ402" t="str">
        <f t="shared" si="76"/>
        <v>YSRCP HardCore</v>
      </c>
    </row>
    <row r="403" spans="1:52" x14ac:dyDescent="0.3">
      <c r="A403" t="s">
        <v>2324</v>
      </c>
      <c r="B403" s="94">
        <v>46045</v>
      </c>
      <c r="C403" t="s">
        <v>2325</v>
      </c>
      <c r="D403" t="s">
        <v>2326</v>
      </c>
      <c r="E403" t="s">
        <v>306</v>
      </c>
      <c r="F403" t="s">
        <v>240</v>
      </c>
      <c r="G403" t="s">
        <v>39</v>
      </c>
      <c r="H403" t="s">
        <v>2327</v>
      </c>
      <c r="I403" t="s">
        <v>36</v>
      </c>
      <c r="J403" t="s">
        <v>37</v>
      </c>
      <c r="K403" t="s">
        <v>80</v>
      </c>
      <c r="L403" t="s">
        <v>451</v>
      </c>
      <c r="M403" t="s">
        <v>51</v>
      </c>
      <c r="N403" t="s">
        <v>63</v>
      </c>
      <c r="O403" t="s">
        <v>2328</v>
      </c>
      <c r="P403">
        <v>8096429066</v>
      </c>
      <c r="Q403" t="s">
        <v>445</v>
      </c>
      <c r="R403" t="s">
        <v>2116</v>
      </c>
      <c r="S403" t="s">
        <v>43</v>
      </c>
      <c r="T403" t="s">
        <v>43</v>
      </c>
      <c r="U403" t="s">
        <v>44</v>
      </c>
      <c r="V403" t="s">
        <v>45</v>
      </c>
      <c r="W403" t="s">
        <v>5049</v>
      </c>
      <c r="X403" t="s">
        <v>91</v>
      </c>
      <c r="Y403" t="s">
        <v>46</v>
      </c>
      <c r="Z403" t="s">
        <v>47</v>
      </c>
      <c r="AA403" t="s">
        <v>48</v>
      </c>
      <c r="AB403" t="s">
        <v>49</v>
      </c>
      <c r="AC403" t="s">
        <v>49</v>
      </c>
      <c r="AD403" t="s">
        <v>494</v>
      </c>
      <c r="AE403" t="s">
        <v>185</v>
      </c>
      <c r="AF403">
        <v>0</v>
      </c>
      <c r="AG403" t="s">
        <v>196</v>
      </c>
      <c r="AH403" s="93">
        <f>VLOOKUP(Table1[[#This Row],[Caste]],Factor!$H$1:$K$13,4,0)</f>
        <v>1.1705128247062893</v>
      </c>
      <c r="AI40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03">
        <f>Table1[[#This Row],[Factor_1]]*Table1[[#This Row],[2024 Factor]]</f>
        <v>2.3577066232182737</v>
      </c>
      <c r="AK403">
        <f>VLOOKUP(Table1[[#This Row],[Q18: Gender]],Factor!$A$33:$E$35,5,0)</f>
        <v>2.1645021645021645</v>
      </c>
      <c r="AL403">
        <f>VLOOKUP(Table1[[#This Row],[Taluka]],Factor!$A$42:$G$46,7,0)</f>
        <v>0.75433779645928134</v>
      </c>
      <c r="AM403">
        <f>VLOOKUP(Table1[[#This Row],[Caste]]&amp;Table1[[#This Row],[Q18: Gender]],Factor!$W$1:$X$23,2,0)</f>
        <v>2.1840056363422229</v>
      </c>
      <c r="AN403">
        <f>VLOOKUP(Table1[[#This Row],[Taluka]]&amp;Table1[[#This Row],[Caste]]&amp;Table1[[#This Row],[Q18: Gender]],Factor!$AK$4:$AL$93,2,0)</f>
        <v>1.1182714552164577</v>
      </c>
      <c r="AO403">
        <f t="shared" si="66"/>
        <v>-1</v>
      </c>
      <c r="AP403">
        <f t="shared" si="67"/>
        <v>-1</v>
      </c>
      <c r="AQ403">
        <f t="shared" si="68"/>
        <v>-1</v>
      </c>
      <c r="AR403">
        <f t="shared" si="69"/>
        <v>1</v>
      </c>
      <c r="AS403">
        <f t="shared" si="70"/>
        <v>-1</v>
      </c>
      <c r="AT403">
        <f t="shared" si="71"/>
        <v>-1</v>
      </c>
      <c r="AU403">
        <f t="shared" si="72"/>
        <v>-3.5</v>
      </c>
      <c r="AV403">
        <f>SUM(Table1[[#This Row],[Satis]:[29]])</f>
        <v>-4</v>
      </c>
      <c r="AW403">
        <f t="shared" si="73"/>
        <v>-3</v>
      </c>
      <c r="AX403">
        <f t="shared" si="74"/>
        <v>-2</v>
      </c>
      <c r="AY403">
        <f t="shared" si="75"/>
        <v>-3</v>
      </c>
      <c r="AZ403" t="str">
        <f t="shared" si="76"/>
        <v>Neutral TDP</v>
      </c>
    </row>
    <row r="404" spans="1:52" x14ac:dyDescent="0.3">
      <c r="A404" t="s">
        <v>2373</v>
      </c>
      <c r="B404" s="94">
        <v>46045</v>
      </c>
      <c r="C404" t="s">
        <v>2374</v>
      </c>
      <c r="D404" t="s">
        <v>2375</v>
      </c>
      <c r="E404" t="s">
        <v>1850</v>
      </c>
      <c r="F404" t="s">
        <v>935</v>
      </c>
      <c r="G404" t="s">
        <v>39</v>
      </c>
      <c r="H404" t="s">
        <v>2376</v>
      </c>
      <c r="I404" t="s">
        <v>227</v>
      </c>
      <c r="J404" t="s">
        <v>219</v>
      </c>
      <c r="K404" t="s">
        <v>224</v>
      </c>
      <c r="L404" t="s">
        <v>62</v>
      </c>
      <c r="M404" t="s">
        <v>51</v>
      </c>
      <c r="N404" t="s">
        <v>63</v>
      </c>
      <c r="O404" t="s">
        <v>2377</v>
      </c>
      <c r="P404">
        <v>9542760582</v>
      </c>
      <c r="Q404" t="s">
        <v>54</v>
      </c>
      <c r="R404" t="s">
        <v>139</v>
      </c>
      <c r="S404" t="s">
        <v>43</v>
      </c>
      <c r="T404" t="s">
        <v>43</v>
      </c>
      <c r="U404" t="s">
        <v>44</v>
      </c>
      <c r="V404" t="s">
        <v>45</v>
      </c>
      <c r="W404" t="s">
        <v>5055</v>
      </c>
      <c r="X404" t="s">
        <v>45</v>
      </c>
      <c r="Y404" t="s">
        <v>46</v>
      </c>
      <c r="Z404" t="s">
        <v>47</v>
      </c>
      <c r="AA404" t="s">
        <v>48</v>
      </c>
      <c r="AB404" t="s">
        <v>49</v>
      </c>
      <c r="AC404" t="s">
        <v>49</v>
      </c>
      <c r="AD404" t="s">
        <v>494</v>
      </c>
      <c r="AE404" t="s">
        <v>185</v>
      </c>
      <c r="AF404">
        <v>0</v>
      </c>
      <c r="AG404" t="s">
        <v>196</v>
      </c>
      <c r="AH404" s="93">
        <f>VLOOKUP(Table1[[#This Row],[Caste]],Factor!$H$1:$K$13,4,0)</f>
        <v>1.2612194085121222</v>
      </c>
      <c r="AI40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04">
        <f>Table1[[#This Row],[Factor_1]]*Table1[[#This Row],[2024 Factor]]</f>
        <v>0.92029223709519836</v>
      </c>
      <c r="AK404">
        <f>VLOOKUP(Table1[[#This Row],[Q18: Gender]],Factor!$A$33:$E$35,5,0)</f>
        <v>0.85034013605442171</v>
      </c>
      <c r="AL404">
        <f>VLOOKUP(Table1[[#This Row],[Taluka]],Factor!$A$42:$G$46,7,0)</f>
        <v>1.147984664167413</v>
      </c>
      <c r="AM404">
        <f>VLOOKUP(Table1[[#This Row],[Caste]]&amp;Table1[[#This Row],[Q18: Gender]],Factor!$W$1:$X$23,2,0)</f>
        <v>0.85249089649430487</v>
      </c>
      <c r="AN404">
        <f>VLOOKUP(Table1[[#This Row],[Taluka]]&amp;Table1[[#This Row],[Caste]]&amp;Table1[[#This Row],[Q18: Gender]],Factor!$AK$4:$AL$93,2,0)</f>
        <v>0.41451794778650441</v>
      </c>
      <c r="AO404">
        <f t="shared" si="66"/>
        <v>-1</v>
      </c>
      <c r="AP404">
        <f t="shared" si="67"/>
        <v>-1</v>
      </c>
      <c r="AQ404">
        <f t="shared" si="68"/>
        <v>-1</v>
      </c>
      <c r="AR404">
        <f t="shared" si="69"/>
        <v>-1</v>
      </c>
      <c r="AS404">
        <f t="shared" si="70"/>
        <v>-1</v>
      </c>
      <c r="AT404">
        <f t="shared" si="71"/>
        <v>-1</v>
      </c>
      <c r="AU404">
        <f t="shared" si="72"/>
        <v>-5.5</v>
      </c>
      <c r="AV404">
        <f>SUM(Table1[[#This Row],[Satis]:[29]])</f>
        <v>-6</v>
      </c>
      <c r="AW404">
        <f t="shared" si="73"/>
        <v>-5</v>
      </c>
      <c r="AX404">
        <f t="shared" si="74"/>
        <v>-4</v>
      </c>
      <c r="AY404">
        <f t="shared" si="75"/>
        <v>-3</v>
      </c>
      <c r="AZ404" t="str">
        <f t="shared" si="76"/>
        <v>TDP HardCore</v>
      </c>
    </row>
    <row r="405" spans="1:52" x14ac:dyDescent="0.3">
      <c r="A405" t="s">
        <v>2413</v>
      </c>
      <c r="B405" s="94">
        <v>46045</v>
      </c>
      <c r="C405" t="s">
        <v>2414</v>
      </c>
      <c r="D405" t="s">
        <v>2375</v>
      </c>
      <c r="E405" t="s">
        <v>1850</v>
      </c>
      <c r="F405" t="s">
        <v>935</v>
      </c>
      <c r="G405" t="s">
        <v>39</v>
      </c>
      <c r="H405" t="s">
        <v>2415</v>
      </c>
      <c r="I405" t="s">
        <v>227</v>
      </c>
      <c r="J405" t="s">
        <v>219</v>
      </c>
      <c r="K405" t="s">
        <v>224</v>
      </c>
      <c r="L405" t="s">
        <v>62</v>
      </c>
      <c r="M405" t="s">
        <v>51</v>
      </c>
      <c r="N405" t="s">
        <v>63</v>
      </c>
      <c r="O405" t="s">
        <v>2377</v>
      </c>
      <c r="P405">
        <v>9542760582</v>
      </c>
      <c r="Q405" t="s">
        <v>54</v>
      </c>
      <c r="R405" t="s">
        <v>139</v>
      </c>
      <c r="S405" t="s">
        <v>43</v>
      </c>
      <c r="T405" t="s">
        <v>43</v>
      </c>
      <c r="U405" t="s">
        <v>44</v>
      </c>
      <c r="V405" t="s">
        <v>45</v>
      </c>
      <c r="W405" t="s">
        <v>5055</v>
      </c>
      <c r="X405" t="s">
        <v>45</v>
      </c>
      <c r="Y405" t="s">
        <v>46</v>
      </c>
      <c r="Z405" t="s">
        <v>47</v>
      </c>
      <c r="AA405" t="s">
        <v>48</v>
      </c>
      <c r="AB405" t="s">
        <v>49</v>
      </c>
      <c r="AC405" t="s">
        <v>49</v>
      </c>
      <c r="AD405">
        <v>0</v>
      </c>
      <c r="AE405" t="s">
        <v>185</v>
      </c>
      <c r="AF405">
        <v>0</v>
      </c>
      <c r="AG405" t="s">
        <v>196</v>
      </c>
      <c r="AH405" s="93">
        <f>VLOOKUP(Table1[[#This Row],[Caste]],Factor!$H$1:$K$13,4,0)</f>
        <v>1.2612194085121222</v>
      </c>
      <c r="AI40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05">
        <f>Table1[[#This Row],[Factor_1]]*Table1[[#This Row],[2024 Factor]]</f>
        <v>0.92029223709519836</v>
      </c>
      <c r="AK405">
        <f>VLOOKUP(Table1[[#This Row],[Q18: Gender]],Factor!$A$33:$E$35,5,0)</f>
        <v>0.85034013605442171</v>
      </c>
      <c r="AL405">
        <f>VLOOKUP(Table1[[#This Row],[Taluka]],Factor!$A$42:$G$46,7,0)</f>
        <v>1.147984664167413</v>
      </c>
      <c r="AM405">
        <f>VLOOKUP(Table1[[#This Row],[Caste]]&amp;Table1[[#This Row],[Q18: Gender]],Factor!$W$1:$X$23,2,0)</f>
        <v>0.85249089649430487</v>
      </c>
      <c r="AN405">
        <f>VLOOKUP(Table1[[#This Row],[Taluka]]&amp;Table1[[#This Row],[Caste]]&amp;Table1[[#This Row],[Q18: Gender]],Factor!$AK$4:$AL$93,2,0)</f>
        <v>0.41451794778650441</v>
      </c>
      <c r="AO405">
        <f t="shared" si="66"/>
        <v>-1</v>
      </c>
      <c r="AP405">
        <f t="shared" si="67"/>
        <v>-1</v>
      </c>
      <c r="AQ405">
        <f t="shared" si="68"/>
        <v>-1</v>
      </c>
      <c r="AR405">
        <f t="shared" si="69"/>
        <v>-1</v>
      </c>
      <c r="AS405">
        <f t="shared" si="70"/>
        <v>-1</v>
      </c>
      <c r="AT405">
        <f t="shared" si="71"/>
        <v>-1</v>
      </c>
      <c r="AU405">
        <f t="shared" si="72"/>
        <v>-5.5</v>
      </c>
      <c r="AV405">
        <f>SUM(Table1[[#This Row],[Satis]:[29]])</f>
        <v>-6</v>
      </c>
      <c r="AW405">
        <f t="shared" si="73"/>
        <v>-5</v>
      </c>
      <c r="AX405">
        <f t="shared" si="74"/>
        <v>-4</v>
      </c>
      <c r="AY405">
        <f t="shared" si="75"/>
        <v>-3</v>
      </c>
      <c r="AZ405" t="str">
        <f t="shared" si="76"/>
        <v>TDP HardCore</v>
      </c>
    </row>
    <row r="406" spans="1:52" x14ac:dyDescent="0.3">
      <c r="A406" t="s">
        <v>2469</v>
      </c>
      <c r="B406" s="94">
        <v>46045</v>
      </c>
      <c r="C406" t="s">
        <v>2470</v>
      </c>
      <c r="D406" t="s">
        <v>2375</v>
      </c>
      <c r="E406" t="s">
        <v>1850</v>
      </c>
      <c r="F406" t="s">
        <v>935</v>
      </c>
      <c r="G406" t="s">
        <v>39</v>
      </c>
      <c r="H406" t="s">
        <v>2471</v>
      </c>
      <c r="I406" t="s">
        <v>227</v>
      </c>
      <c r="J406" t="s">
        <v>219</v>
      </c>
      <c r="K406" t="s">
        <v>224</v>
      </c>
      <c r="L406" t="s">
        <v>62</v>
      </c>
      <c r="M406" t="s">
        <v>51</v>
      </c>
      <c r="N406" t="s">
        <v>63</v>
      </c>
      <c r="O406" t="s">
        <v>2377</v>
      </c>
      <c r="P406">
        <v>9542760582</v>
      </c>
      <c r="Q406" t="s">
        <v>54</v>
      </c>
      <c r="R406" t="s">
        <v>139</v>
      </c>
      <c r="S406" t="s">
        <v>43</v>
      </c>
      <c r="T406" t="s">
        <v>43</v>
      </c>
      <c r="U406" t="s">
        <v>44</v>
      </c>
      <c r="V406" t="s">
        <v>45</v>
      </c>
      <c r="W406" t="s">
        <v>5055</v>
      </c>
      <c r="X406" t="s">
        <v>45</v>
      </c>
      <c r="Y406" t="s">
        <v>46</v>
      </c>
      <c r="Z406" t="s">
        <v>47</v>
      </c>
      <c r="AA406" t="s">
        <v>48</v>
      </c>
      <c r="AB406" t="s">
        <v>49</v>
      </c>
      <c r="AC406" t="s">
        <v>49</v>
      </c>
      <c r="AD406">
        <v>0</v>
      </c>
      <c r="AE406" t="s">
        <v>185</v>
      </c>
      <c r="AF406">
        <v>0</v>
      </c>
      <c r="AG406" t="s">
        <v>196</v>
      </c>
      <c r="AH406" s="93">
        <f>VLOOKUP(Table1[[#This Row],[Caste]],Factor!$H$1:$K$13,4,0)</f>
        <v>1.2612194085121222</v>
      </c>
      <c r="AI40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06">
        <f>Table1[[#This Row],[Factor_1]]*Table1[[#This Row],[2024 Factor]]</f>
        <v>0.92029223709519836</v>
      </c>
      <c r="AK406">
        <f>VLOOKUP(Table1[[#This Row],[Q18: Gender]],Factor!$A$33:$E$35,5,0)</f>
        <v>0.85034013605442171</v>
      </c>
      <c r="AL406">
        <f>VLOOKUP(Table1[[#This Row],[Taluka]],Factor!$A$42:$G$46,7,0)</f>
        <v>1.147984664167413</v>
      </c>
      <c r="AM406">
        <f>VLOOKUP(Table1[[#This Row],[Caste]]&amp;Table1[[#This Row],[Q18: Gender]],Factor!$W$1:$X$23,2,0)</f>
        <v>0.85249089649430487</v>
      </c>
      <c r="AN406">
        <f>VLOOKUP(Table1[[#This Row],[Taluka]]&amp;Table1[[#This Row],[Caste]]&amp;Table1[[#This Row],[Q18: Gender]],Factor!$AK$4:$AL$93,2,0)</f>
        <v>0.41451794778650441</v>
      </c>
      <c r="AO406">
        <f t="shared" si="66"/>
        <v>-1</v>
      </c>
      <c r="AP406">
        <f t="shared" si="67"/>
        <v>-1</v>
      </c>
      <c r="AQ406">
        <f t="shared" si="68"/>
        <v>-1</v>
      </c>
      <c r="AR406">
        <f t="shared" si="69"/>
        <v>-1</v>
      </c>
      <c r="AS406">
        <f t="shared" si="70"/>
        <v>-1</v>
      </c>
      <c r="AT406">
        <f t="shared" si="71"/>
        <v>-1</v>
      </c>
      <c r="AU406">
        <f t="shared" si="72"/>
        <v>-5.5</v>
      </c>
      <c r="AV406">
        <f>SUM(Table1[[#This Row],[Satis]:[29]])</f>
        <v>-6</v>
      </c>
      <c r="AW406">
        <f t="shared" si="73"/>
        <v>-5</v>
      </c>
      <c r="AX406">
        <f t="shared" si="74"/>
        <v>-4</v>
      </c>
      <c r="AY406">
        <f t="shared" si="75"/>
        <v>-3</v>
      </c>
      <c r="AZ406" t="str">
        <f t="shared" si="76"/>
        <v>TDP HardCore</v>
      </c>
    </row>
    <row r="407" spans="1:52" x14ac:dyDescent="0.3">
      <c r="A407" t="s">
        <v>2183</v>
      </c>
      <c r="B407" s="94">
        <v>46045</v>
      </c>
      <c r="C407" t="s">
        <v>2184</v>
      </c>
      <c r="D407" t="s">
        <v>2185</v>
      </c>
      <c r="E407" t="s">
        <v>1668</v>
      </c>
      <c r="F407" t="s">
        <v>69</v>
      </c>
      <c r="G407" t="s">
        <v>39</v>
      </c>
      <c r="H407" t="s">
        <v>2186</v>
      </c>
      <c r="I407" t="s">
        <v>59</v>
      </c>
      <c r="J407" t="s">
        <v>219</v>
      </c>
      <c r="K407" t="s">
        <v>221</v>
      </c>
      <c r="L407" t="s">
        <v>62</v>
      </c>
      <c r="M407" t="s">
        <v>51</v>
      </c>
      <c r="N407" t="s">
        <v>52</v>
      </c>
      <c r="O407" t="s">
        <v>2187</v>
      </c>
      <c r="P407">
        <v>9963219259</v>
      </c>
      <c r="Q407" t="s">
        <v>54</v>
      </c>
      <c r="R407" t="s">
        <v>139</v>
      </c>
      <c r="S407" t="s">
        <v>43</v>
      </c>
      <c r="T407" t="s">
        <v>43</v>
      </c>
      <c r="U407" t="s">
        <v>44</v>
      </c>
      <c r="V407" t="s">
        <v>45</v>
      </c>
      <c r="W407" t="s">
        <v>5056</v>
      </c>
      <c r="X407" t="s">
        <v>45</v>
      </c>
      <c r="Y407" t="s">
        <v>46</v>
      </c>
      <c r="Z407" t="s">
        <v>47</v>
      </c>
      <c r="AA407" t="s">
        <v>48</v>
      </c>
      <c r="AB407" t="s">
        <v>49</v>
      </c>
      <c r="AC407" t="s">
        <v>49</v>
      </c>
      <c r="AD407" t="s">
        <v>184</v>
      </c>
      <c r="AE407" t="s">
        <v>185</v>
      </c>
      <c r="AF407" t="s">
        <v>2979</v>
      </c>
      <c r="AG407" t="s">
        <v>196</v>
      </c>
      <c r="AH407" s="93">
        <f>VLOOKUP(Table1[[#This Row],[Caste]],Factor!$H$1:$K$13,4,0)</f>
        <v>1.1461625511156397</v>
      </c>
      <c r="AI40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07">
        <f>Table1[[#This Row],[Factor_1]]*Table1[[#This Row],[2024 Factor]]</f>
        <v>0.77721139583220644</v>
      </c>
      <c r="AK407">
        <f>VLOOKUP(Table1[[#This Row],[Q18: Gender]],Factor!$A$33:$E$35,5,0)</f>
        <v>0.85034013605442171</v>
      </c>
      <c r="AL407">
        <f>VLOOKUP(Table1[[#This Row],[Taluka]],Factor!$A$42:$G$46,7,0)</f>
        <v>1.147984664167413</v>
      </c>
      <c r="AM407">
        <f>VLOOKUP(Table1[[#This Row],[Caste]]&amp;Table1[[#This Row],[Q18: Gender]],Factor!$W$1:$X$23,2,0)</f>
        <v>0.71995135120329123</v>
      </c>
      <c r="AN407">
        <f>VLOOKUP(Table1[[#This Row],[Taluka]]&amp;Table1[[#This Row],[Caste]]&amp;Table1[[#This Row],[Q18: Gender]],Factor!$AK$4:$AL$93,2,0)</f>
        <v>0.54319084681293095</v>
      </c>
      <c r="AO407">
        <f t="shared" si="66"/>
        <v>-1</v>
      </c>
      <c r="AP407">
        <f t="shared" si="67"/>
        <v>-1</v>
      </c>
      <c r="AQ407">
        <f t="shared" si="68"/>
        <v>-1</v>
      </c>
      <c r="AR407">
        <f t="shared" si="69"/>
        <v>-1</v>
      </c>
      <c r="AS407">
        <f t="shared" si="70"/>
        <v>-1</v>
      </c>
      <c r="AT407">
        <f t="shared" si="71"/>
        <v>-1</v>
      </c>
      <c r="AU407">
        <f t="shared" si="72"/>
        <v>-5.5</v>
      </c>
      <c r="AV407">
        <f>SUM(Table1[[#This Row],[Satis]:[29]])</f>
        <v>-6</v>
      </c>
      <c r="AW407">
        <f t="shared" si="73"/>
        <v>-5</v>
      </c>
      <c r="AX407">
        <f t="shared" si="74"/>
        <v>-4</v>
      </c>
      <c r="AY407">
        <f t="shared" si="75"/>
        <v>-3</v>
      </c>
      <c r="AZ407" t="str">
        <f t="shared" si="76"/>
        <v>TDP HardCore</v>
      </c>
    </row>
    <row r="408" spans="1:52" x14ac:dyDescent="0.3">
      <c r="A408" t="s">
        <v>2233</v>
      </c>
      <c r="B408" s="94">
        <v>46045</v>
      </c>
      <c r="C408" t="s">
        <v>2234</v>
      </c>
      <c r="D408" t="s">
        <v>2235</v>
      </c>
      <c r="E408" t="s">
        <v>1352</v>
      </c>
      <c r="F408" t="s">
        <v>69</v>
      </c>
      <c r="G408" t="s">
        <v>39</v>
      </c>
      <c r="H408" t="s">
        <v>2236</v>
      </c>
      <c r="I408" t="s">
        <v>59</v>
      </c>
      <c r="J408" t="s">
        <v>219</v>
      </c>
      <c r="K408" t="s">
        <v>221</v>
      </c>
      <c r="L408" t="s">
        <v>62</v>
      </c>
      <c r="M408" t="s">
        <v>51</v>
      </c>
      <c r="N408" t="s">
        <v>63</v>
      </c>
      <c r="O408" t="s">
        <v>2237</v>
      </c>
      <c r="P408">
        <v>9182076331</v>
      </c>
      <c r="Q408" t="s">
        <v>54</v>
      </c>
      <c r="R408" t="s">
        <v>73</v>
      </c>
      <c r="S408" t="s">
        <v>43</v>
      </c>
      <c r="T408" t="s">
        <v>43</v>
      </c>
      <c r="U408" t="s">
        <v>44</v>
      </c>
      <c r="V408" t="s">
        <v>45</v>
      </c>
      <c r="W408" t="s">
        <v>5079</v>
      </c>
      <c r="X408" t="s">
        <v>45</v>
      </c>
      <c r="Y408" t="s">
        <v>46</v>
      </c>
      <c r="Z408" t="s">
        <v>47</v>
      </c>
      <c r="AA408" t="s">
        <v>48</v>
      </c>
      <c r="AB408" t="s">
        <v>49</v>
      </c>
      <c r="AC408" t="s">
        <v>49</v>
      </c>
      <c r="AD408" t="s">
        <v>184</v>
      </c>
      <c r="AE408" t="s">
        <v>185</v>
      </c>
      <c r="AF408" t="s">
        <v>2979</v>
      </c>
      <c r="AG408" t="s">
        <v>196</v>
      </c>
      <c r="AH408" s="93">
        <f>VLOOKUP(Table1[[#This Row],[Caste]],Factor!$H$1:$K$13,4,0)</f>
        <v>1.1461625511156397</v>
      </c>
      <c r="AI40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08">
        <f>Table1[[#This Row],[Factor_1]]*Table1[[#This Row],[2024 Factor]]</f>
        <v>0.77721139583220644</v>
      </c>
      <c r="AK408">
        <f>VLOOKUP(Table1[[#This Row],[Q18: Gender]],Factor!$A$33:$E$35,5,0)</f>
        <v>0.85034013605442171</v>
      </c>
      <c r="AL408">
        <f>VLOOKUP(Table1[[#This Row],[Taluka]],Factor!$A$42:$G$46,7,0)</f>
        <v>1.147984664167413</v>
      </c>
      <c r="AM408">
        <f>VLOOKUP(Table1[[#This Row],[Caste]]&amp;Table1[[#This Row],[Q18: Gender]],Factor!$W$1:$X$23,2,0)</f>
        <v>0.71995135120329123</v>
      </c>
      <c r="AN408">
        <f>VLOOKUP(Table1[[#This Row],[Taluka]]&amp;Table1[[#This Row],[Caste]]&amp;Table1[[#This Row],[Q18: Gender]],Factor!$AK$4:$AL$93,2,0)</f>
        <v>0.54319084681293095</v>
      </c>
      <c r="AO408">
        <f t="shared" si="66"/>
        <v>-1</v>
      </c>
      <c r="AP408">
        <f t="shared" si="67"/>
        <v>-1</v>
      </c>
      <c r="AQ408">
        <f t="shared" si="68"/>
        <v>-1</v>
      </c>
      <c r="AR408">
        <f t="shared" si="69"/>
        <v>-1</v>
      </c>
      <c r="AS408">
        <f t="shared" si="70"/>
        <v>-1</v>
      </c>
      <c r="AT408">
        <f t="shared" si="71"/>
        <v>-1</v>
      </c>
      <c r="AU408">
        <f t="shared" si="72"/>
        <v>-5.5</v>
      </c>
      <c r="AV408">
        <f>SUM(Table1[[#This Row],[Satis]:[29]])</f>
        <v>-6</v>
      </c>
      <c r="AW408">
        <f t="shared" si="73"/>
        <v>-5</v>
      </c>
      <c r="AX408">
        <f t="shared" si="74"/>
        <v>-4</v>
      </c>
      <c r="AY408">
        <f t="shared" si="75"/>
        <v>-3</v>
      </c>
      <c r="AZ408" t="str">
        <f t="shared" si="76"/>
        <v>TDP HardCore</v>
      </c>
    </row>
    <row r="409" spans="1:52" x14ac:dyDescent="0.3">
      <c r="A409" t="s">
        <v>2286</v>
      </c>
      <c r="B409" s="94">
        <v>46045</v>
      </c>
      <c r="C409" t="s">
        <v>2287</v>
      </c>
      <c r="D409" t="s">
        <v>2288</v>
      </c>
      <c r="E409" t="s">
        <v>2289</v>
      </c>
      <c r="F409" t="s">
        <v>240</v>
      </c>
      <c r="G409" t="s">
        <v>39</v>
      </c>
      <c r="H409" t="s">
        <v>2290</v>
      </c>
      <c r="I409" t="s">
        <v>36</v>
      </c>
      <c r="J409" t="s">
        <v>37</v>
      </c>
      <c r="K409" t="s">
        <v>80</v>
      </c>
      <c r="L409" t="s">
        <v>62</v>
      </c>
      <c r="M409" t="s">
        <v>51</v>
      </c>
      <c r="N409" t="s">
        <v>52</v>
      </c>
      <c r="O409" t="s">
        <v>2291</v>
      </c>
      <c r="P409">
        <v>8184801446</v>
      </c>
      <c r="Q409" t="s">
        <v>54</v>
      </c>
      <c r="R409" t="s">
        <v>2116</v>
      </c>
      <c r="S409" t="s">
        <v>43</v>
      </c>
      <c r="T409" t="s">
        <v>43</v>
      </c>
      <c r="U409" t="s">
        <v>44</v>
      </c>
      <c r="V409" t="s">
        <v>45</v>
      </c>
      <c r="W409" t="s">
        <v>5058</v>
      </c>
      <c r="X409" t="s">
        <v>45</v>
      </c>
      <c r="Y409" t="s">
        <v>716</v>
      </c>
      <c r="Z409" t="s">
        <v>47</v>
      </c>
      <c r="AA409" t="s">
        <v>48</v>
      </c>
      <c r="AB409" t="s">
        <v>49</v>
      </c>
      <c r="AC409" t="s">
        <v>49</v>
      </c>
      <c r="AD409" t="s">
        <v>184</v>
      </c>
      <c r="AE409" t="s">
        <v>185</v>
      </c>
      <c r="AF409">
        <v>0</v>
      </c>
      <c r="AG409" t="s">
        <v>196</v>
      </c>
      <c r="AH409" s="93">
        <f>VLOOKUP(Table1[[#This Row],[Caste]],Factor!$H$1:$K$13,4,0)</f>
        <v>1.1705128247062893</v>
      </c>
      <c r="AI40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09">
        <f>Table1[[#This Row],[Factor_1]]*Table1[[#This Row],[2024 Factor]]</f>
        <v>0.86308903171383233</v>
      </c>
      <c r="AK409">
        <f>VLOOKUP(Table1[[#This Row],[Q18: Gender]],Factor!$A$33:$E$35,5,0)</f>
        <v>0.85034013605442171</v>
      </c>
      <c r="AL409">
        <f>VLOOKUP(Table1[[#This Row],[Taluka]],Factor!$A$42:$G$46,7,0)</f>
        <v>0.75433779645928134</v>
      </c>
      <c r="AM409">
        <f>VLOOKUP(Table1[[#This Row],[Caste]]&amp;Table1[[#This Row],[Q18: Gender]],Factor!$W$1:$X$23,2,0)</f>
        <v>0.79950206330384943</v>
      </c>
      <c r="AN409">
        <f>VLOOKUP(Table1[[#This Row],[Taluka]]&amp;Table1[[#This Row],[Caste]]&amp;Table1[[#This Row],[Q18: Gender]],Factor!$AK$4:$AL$93,2,0)</f>
        <v>0.40257772387792479</v>
      </c>
      <c r="AO409">
        <f t="shared" si="66"/>
        <v>-1</v>
      </c>
      <c r="AP409">
        <f t="shared" si="67"/>
        <v>-1</v>
      </c>
      <c r="AQ409">
        <f t="shared" si="68"/>
        <v>-1</v>
      </c>
      <c r="AR409">
        <f t="shared" si="69"/>
        <v>-1</v>
      </c>
      <c r="AS409">
        <f t="shared" si="70"/>
        <v>-1</v>
      </c>
      <c r="AT409">
        <f t="shared" si="71"/>
        <v>-1</v>
      </c>
      <c r="AU409">
        <f t="shared" si="72"/>
        <v>-5.5</v>
      </c>
      <c r="AV409">
        <f>SUM(Table1[[#This Row],[Satis]:[29]])</f>
        <v>-6</v>
      </c>
      <c r="AW409">
        <f t="shared" si="73"/>
        <v>-5</v>
      </c>
      <c r="AX409">
        <f t="shared" si="74"/>
        <v>-4</v>
      </c>
      <c r="AY409">
        <f t="shared" si="75"/>
        <v>-3</v>
      </c>
      <c r="AZ409" t="str">
        <f t="shared" si="76"/>
        <v>TDP HardCore</v>
      </c>
    </row>
    <row r="410" spans="1:52" x14ac:dyDescent="0.3">
      <c r="A410" t="s">
        <v>2407</v>
      </c>
      <c r="B410" s="94">
        <v>46045</v>
      </c>
      <c r="C410" t="s">
        <v>2408</v>
      </c>
      <c r="D410" t="s">
        <v>2409</v>
      </c>
      <c r="E410" t="s">
        <v>2410</v>
      </c>
      <c r="F410" t="s">
        <v>69</v>
      </c>
      <c r="G410" t="s">
        <v>39</v>
      </c>
      <c r="H410" t="s">
        <v>2411</v>
      </c>
      <c r="I410" t="s">
        <v>59</v>
      </c>
      <c r="J410" t="s">
        <v>219</v>
      </c>
      <c r="K410" t="s">
        <v>221</v>
      </c>
      <c r="L410" t="s">
        <v>50</v>
      </c>
      <c r="M410" t="s">
        <v>51</v>
      </c>
      <c r="N410" t="s">
        <v>107</v>
      </c>
      <c r="O410" t="s">
        <v>2412</v>
      </c>
      <c r="P410">
        <v>9999999999</v>
      </c>
      <c r="Q410" t="s">
        <v>54</v>
      </c>
      <c r="R410" t="s">
        <v>73</v>
      </c>
      <c r="S410" t="s">
        <v>43</v>
      </c>
      <c r="T410" t="s">
        <v>43</v>
      </c>
      <c r="U410" t="s">
        <v>44</v>
      </c>
      <c r="V410" t="s">
        <v>45</v>
      </c>
      <c r="W410" t="s">
        <v>5080</v>
      </c>
      <c r="X410" t="s">
        <v>45</v>
      </c>
      <c r="Y410" t="s">
        <v>46</v>
      </c>
      <c r="Z410" t="s">
        <v>47</v>
      </c>
      <c r="AA410" t="s">
        <v>48</v>
      </c>
      <c r="AB410" t="s">
        <v>49</v>
      </c>
      <c r="AC410" t="s">
        <v>49</v>
      </c>
      <c r="AD410" t="s">
        <v>481</v>
      </c>
      <c r="AE410" t="s">
        <v>189</v>
      </c>
      <c r="AF410" t="s">
        <v>1216</v>
      </c>
      <c r="AG410" t="s">
        <v>196</v>
      </c>
      <c r="AH410" s="93">
        <f>VLOOKUP(Table1[[#This Row],[Caste]],Factor!$H$1:$K$13,4,0)</f>
        <v>1.1461625511156397</v>
      </c>
      <c r="AI41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10">
        <f>Table1[[#This Row],[Factor_1]]*Table1[[#This Row],[2024 Factor]]</f>
        <v>0.77721139583220644</v>
      </c>
      <c r="AK410">
        <f>VLOOKUP(Table1[[#This Row],[Q18: Gender]],Factor!$A$33:$E$35,5,0)</f>
        <v>0.85034013605442171</v>
      </c>
      <c r="AL410">
        <f>VLOOKUP(Table1[[#This Row],[Taluka]],Factor!$A$42:$G$46,7,0)</f>
        <v>1.147984664167413</v>
      </c>
      <c r="AM410">
        <f>VLOOKUP(Table1[[#This Row],[Caste]]&amp;Table1[[#This Row],[Q18: Gender]],Factor!$W$1:$X$23,2,0)</f>
        <v>0.71995135120329123</v>
      </c>
      <c r="AN410">
        <f>VLOOKUP(Table1[[#This Row],[Taluka]]&amp;Table1[[#This Row],[Caste]]&amp;Table1[[#This Row],[Q18: Gender]],Factor!$AK$4:$AL$93,2,0)</f>
        <v>0.54319084681293095</v>
      </c>
      <c r="AO410">
        <f t="shared" si="66"/>
        <v>-1</v>
      </c>
      <c r="AP410">
        <f t="shared" si="67"/>
        <v>-1</v>
      </c>
      <c r="AQ410">
        <f t="shared" si="68"/>
        <v>-1</v>
      </c>
      <c r="AR410">
        <f t="shared" si="69"/>
        <v>-1</v>
      </c>
      <c r="AS410">
        <f t="shared" si="70"/>
        <v>-1</v>
      </c>
      <c r="AT410">
        <f t="shared" si="71"/>
        <v>-1</v>
      </c>
      <c r="AU410">
        <f t="shared" si="72"/>
        <v>-5.5</v>
      </c>
      <c r="AV410">
        <f>SUM(Table1[[#This Row],[Satis]:[29]])</f>
        <v>-6</v>
      </c>
      <c r="AW410">
        <f t="shared" si="73"/>
        <v>-5</v>
      </c>
      <c r="AX410">
        <f t="shared" si="74"/>
        <v>-4</v>
      </c>
      <c r="AY410">
        <f t="shared" si="75"/>
        <v>-3</v>
      </c>
      <c r="AZ410" t="str">
        <f t="shared" si="76"/>
        <v>TDP HardCore</v>
      </c>
    </row>
    <row r="411" spans="1:52" x14ac:dyDescent="0.3">
      <c r="A411" t="s">
        <v>2329</v>
      </c>
      <c r="B411" s="94">
        <v>46045</v>
      </c>
      <c r="C411" t="s">
        <v>2330</v>
      </c>
      <c r="D411" t="s">
        <v>2331</v>
      </c>
      <c r="E411" t="s">
        <v>1352</v>
      </c>
      <c r="F411" t="s">
        <v>69</v>
      </c>
      <c r="G411" t="s">
        <v>39</v>
      </c>
      <c r="H411" t="s">
        <v>2332</v>
      </c>
      <c r="I411" t="s">
        <v>59</v>
      </c>
      <c r="J411" t="s">
        <v>219</v>
      </c>
      <c r="K411" t="s">
        <v>221</v>
      </c>
      <c r="L411" t="s">
        <v>62</v>
      </c>
      <c r="M411" t="s">
        <v>51</v>
      </c>
      <c r="N411" t="s">
        <v>52</v>
      </c>
      <c r="O411" t="s">
        <v>394</v>
      </c>
      <c r="P411">
        <v>9999999999</v>
      </c>
      <c r="Q411" t="s">
        <v>54</v>
      </c>
      <c r="R411" t="s">
        <v>73</v>
      </c>
      <c r="S411" t="s">
        <v>43</v>
      </c>
      <c r="T411" t="s">
        <v>43</v>
      </c>
      <c r="U411" t="s">
        <v>44</v>
      </c>
      <c r="V411" t="s">
        <v>45</v>
      </c>
      <c r="W411" t="s">
        <v>5058</v>
      </c>
      <c r="X411" t="s">
        <v>45</v>
      </c>
      <c r="Y411" t="s">
        <v>46</v>
      </c>
      <c r="Z411" t="s">
        <v>47</v>
      </c>
      <c r="AA411" t="s">
        <v>48</v>
      </c>
      <c r="AB411" t="s">
        <v>49</v>
      </c>
      <c r="AC411" t="s">
        <v>49</v>
      </c>
      <c r="AD411" t="s">
        <v>184</v>
      </c>
      <c r="AE411" t="s">
        <v>185</v>
      </c>
      <c r="AF411">
        <v>0</v>
      </c>
      <c r="AG411" t="s">
        <v>196</v>
      </c>
      <c r="AH411" s="93">
        <f>VLOOKUP(Table1[[#This Row],[Caste]],Factor!$H$1:$K$13,4,0)</f>
        <v>1.1461625511156397</v>
      </c>
      <c r="AI41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11">
        <f>Table1[[#This Row],[Factor_1]]*Table1[[#This Row],[2024 Factor]]</f>
        <v>0.77721139583220644</v>
      </c>
      <c r="AK411">
        <f>VLOOKUP(Table1[[#This Row],[Q18: Gender]],Factor!$A$33:$E$35,5,0)</f>
        <v>0.85034013605442171</v>
      </c>
      <c r="AL411">
        <f>VLOOKUP(Table1[[#This Row],[Taluka]],Factor!$A$42:$G$46,7,0)</f>
        <v>1.147984664167413</v>
      </c>
      <c r="AM411">
        <f>VLOOKUP(Table1[[#This Row],[Caste]]&amp;Table1[[#This Row],[Q18: Gender]],Factor!$W$1:$X$23,2,0)</f>
        <v>0.71995135120329123</v>
      </c>
      <c r="AN411">
        <f>VLOOKUP(Table1[[#This Row],[Taluka]]&amp;Table1[[#This Row],[Caste]]&amp;Table1[[#This Row],[Q18: Gender]],Factor!$AK$4:$AL$93,2,0)</f>
        <v>0.54319084681293095</v>
      </c>
      <c r="AO411">
        <f t="shared" si="66"/>
        <v>-1</v>
      </c>
      <c r="AP411">
        <f t="shared" si="67"/>
        <v>-1</v>
      </c>
      <c r="AQ411">
        <f t="shared" si="68"/>
        <v>-1</v>
      </c>
      <c r="AR411">
        <f t="shared" si="69"/>
        <v>-1</v>
      </c>
      <c r="AS411">
        <f t="shared" si="70"/>
        <v>-1</v>
      </c>
      <c r="AT411">
        <f t="shared" si="71"/>
        <v>-1</v>
      </c>
      <c r="AU411">
        <f t="shared" si="72"/>
        <v>-5.5</v>
      </c>
      <c r="AV411">
        <f>SUM(Table1[[#This Row],[Satis]:[29]])</f>
        <v>-6</v>
      </c>
      <c r="AW411">
        <f t="shared" si="73"/>
        <v>-5</v>
      </c>
      <c r="AX411">
        <f t="shared" si="74"/>
        <v>-4</v>
      </c>
      <c r="AY411">
        <f t="shared" si="75"/>
        <v>-3</v>
      </c>
      <c r="AZ411" t="str">
        <f t="shared" si="76"/>
        <v>TDP HardCore</v>
      </c>
    </row>
    <row r="412" spans="1:52" x14ac:dyDescent="0.3">
      <c r="A412" t="s">
        <v>2378</v>
      </c>
      <c r="B412" s="94">
        <v>46045</v>
      </c>
      <c r="C412" t="s">
        <v>2379</v>
      </c>
      <c r="D412" t="s">
        <v>2380</v>
      </c>
      <c r="E412" t="s">
        <v>2278</v>
      </c>
      <c r="F412" t="s">
        <v>69</v>
      </c>
      <c r="G412" t="s">
        <v>39</v>
      </c>
      <c r="H412" t="s">
        <v>2381</v>
      </c>
      <c r="I412" t="s">
        <v>59</v>
      </c>
      <c r="J412" t="s">
        <v>219</v>
      </c>
      <c r="K412" t="s">
        <v>221</v>
      </c>
      <c r="L412" t="s">
        <v>62</v>
      </c>
      <c r="M412" t="s">
        <v>51</v>
      </c>
      <c r="N412" t="s">
        <v>63</v>
      </c>
      <c r="O412" t="s">
        <v>2382</v>
      </c>
      <c r="P412">
        <v>9999999999</v>
      </c>
      <c r="Q412" t="s">
        <v>54</v>
      </c>
      <c r="R412" t="s">
        <v>73</v>
      </c>
      <c r="S412" t="s">
        <v>43</v>
      </c>
      <c r="T412" t="s">
        <v>43</v>
      </c>
      <c r="U412" t="s">
        <v>44</v>
      </c>
      <c r="V412" t="s">
        <v>45</v>
      </c>
      <c r="W412" t="s">
        <v>5056</v>
      </c>
      <c r="X412" t="s">
        <v>45</v>
      </c>
      <c r="Y412" t="s">
        <v>46</v>
      </c>
      <c r="Z412" t="s">
        <v>47</v>
      </c>
      <c r="AA412" t="s">
        <v>48</v>
      </c>
      <c r="AB412" t="s">
        <v>49</v>
      </c>
      <c r="AC412" t="s">
        <v>49</v>
      </c>
      <c r="AD412" t="s">
        <v>184</v>
      </c>
      <c r="AE412" t="s">
        <v>185</v>
      </c>
      <c r="AF412" t="s">
        <v>2980</v>
      </c>
      <c r="AG412" t="s">
        <v>196</v>
      </c>
      <c r="AH412" s="93">
        <f>VLOOKUP(Table1[[#This Row],[Caste]],Factor!$H$1:$K$13,4,0)</f>
        <v>1.1461625511156397</v>
      </c>
      <c r="AI41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12">
        <f>Table1[[#This Row],[Factor_1]]*Table1[[#This Row],[2024 Factor]]</f>
        <v>0.77721139583220644</v>
      </c>
      <c r="AK412">
        <f>VLOOKUP(Table1[[#This Row],[Q18: Gender]],Factor!$A$33:$E$35,5,0)</f>
        <v>0.85034013605442171</v>
      </c>
      <c r="AL412">
        <f>VLOOKUP(Table1[[#This Row],[Taluka]],Factor!$A$42:$G$46,7,0)</f>
        <v>1.147984664167413</v>
      </c>
      <c r="AM412">
        <f>VLOOKUP(Table1[[#This Row],[Caste]]&amp;Table1[[#This Row],[Q18: Gender]],Factor!$W$1:$X$23,2,0)</f>
        <v>0.71995135120329123</v>
      </c>
      <c r="AN412">
        <f>VLOOKUP(Table1[[#This Row],[Taluka]]&amp;Table1[[#This Row],[Caste]]&amp;Table1[[#This Row],[Q18: Gender]],Factor!$AK$4:$AL$93,2,0)</f>
        <v>0.54319084681293095</v>
      </c>
      <c r="AO412">
        <f t="shared" si="66"/>
        <v>-1</v>
      </c>
      <c r="AP412">
        <f t="shared" si="67"/>
        <v>-1</v>
      </c>
      <c r="AQ412">
        <f t="shared" si="68"/>
        <v>-1</v>
      </c>
      <c r="AR412">
        <f t="shared" si="69"/>
        <v>-1</v>
      </c>
      <c r="AS412">
        <f t="shared" si="70"/>
        <v>-1</v>
      </c>
      <c r="AT412">
        <f t="shared" si="71"/>
        <v>-1</v>
      </c>
      <c r="AU412">
        <f t="shared" si="72"/>
        <v>-5.5</v>
      </c>
      <c r="AV412">
        <f>SUM(Table1[[#This Row],[Satis]:[29]])</f>
        <v>-6</v>
      </c>
      <c r="AW412">
        <f t="shared" si="73"/>
        <v>-5</v>
      </c>
      <c r="AX412">
        <f t="shared" si="74"/>
        <v>-4</v>
      </c>
      <c r="AY412">
        <f t="shared" si="75"/>
        <v>-3</v>
      </c>
      <c r="AZ412" t="str">
        <f t="shared" si="76"/>
        <v>TDP HardCore</v>
      </c>
    </row>
    <row r="413" spans="1:52" x14ac:dyDescent="0.3">
      <c r="A413" t="s">
        <v>2420</v>
      </c>
      <c r="B413" s="94">
        <v>46045</v>
      </c>
      <c r="C413" t="s">
        <v>2421</v>
      </c>
      <c r="D413" t="s">
        <v>2422</v>
      </c>
      <c r="E413" t="s">
        <v>2423</v>
      </c>
      <c r="F413" t="s">
        <v>240</v>
      </c>
      <c r="G413" t="s">
        <v>39</v>
      </c>
      <c r="H413" t="s">
        <v>2424</v>
      </c>
      <c r="I413" t="s">
        <v>36</v>
      </c>
      <c r="J413" s="112" t="s">
        <v>203</v>
      </c>
      <c r="K413" s="112" t="s">
        <v>204</v>
      </c>
      <c r="L413" t="s">
        <v>451</v>
      </c>
      <c r="M413" t="s">
        <v>51</v>
      </c>
      <c r="N413" t="s">
        <v>52</v>
      </c>
      <c r="O413" t="s">
        <v>2425</v>
      </c>
      <c r="P413">
        <v>9652493881</v>
      </c>
      <c r="Q413" t="s">
        <v>445</v>
      </c>
      <c r="R413" t="s">
        <v>139</v>
      </c>
      <c r="S413" t="s">
        <v>43</v>
      </c>
      <c r="T413" t="s">
        <v>43</v>
      </c>
      <c r="U413" t="s">
        <v>90</v>
      </c>
      <c r="V413" t="s">
        <v>91</v>
      </c>
      <c r="W413" t="s">
        <v>5042</v>
      </c>
      <c r="X413" t="s">
        <v>45</v>
      </c>
      <c r="Y413" t="s">
        <v>46</v>
      </c>
      <c r="Z413" t="s">
        <v>242</v>
      </c>
      <c r="AA413" t="s">
        <v>48</v>
      </c>
      <c r="AB413" t="s">
        <v>49</v>
      </c>
      <c r="AC413" t="s">
        <v>49</v>
      </c>
      <c r="AD413" t="s">
        <v>494</v>
      </c>
      <c r="AE413" t="s">
        <v>185</v>
      </c>
      <c r="AF413" t="s">
        <v>2982</v>
      </c>
      <c r="AG413" t="s">
        <v>196</v>
      </c>
      <c r="AH413" s="93">
        <f>VLOOKUP(Table1[[#This Row],[Caste]],Factor!$H$1:$K$13,4,0)</f>
        <v>1.1705128247062893</v>
      </c>
      <c r="AI41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13">
        <f>Table1[[#This Row],[Factor_1]]*Table1[[#This Row],[2024 Factor]]</f>
        <v>2.3577066232182737</v>
      </c>
      <c r="AK413">
        <f>VLOOKUP(Table1[[#This Row],[Q18: Gender]],Factor!$A$33:$E$35,5,0)</f>
        <v>2.1645021645021645</v>
      </c>
      <c r="AL413">
        <f>VLOOKUP(Table1[[#This Row],[Taluka]],Factor!$A$42:$G$46,7,0)</f>
        <v>1.9264642089343564</v>
      </c>
      <c r="AM413">
        <f>VLOOKUP(Table1[[#This Row],[Caste]]&amp;Table1[[#This Row],[Q18: Gender]],Factor!$W$1:$X$23,2,0)</f>
        <v>2.1840056363422229</v>
      </c>
      <c r="AN413">
        <f>VLOOKUP(Table1[[#This Row],[Taluka]]&amp;Table1[[#This Row],[Caste]]&amp;Table1[[#This Row],[Q18: Gender]],Factor!$AK$4:$AL$93,2,0)</f>
        <v>6.9432761915375547</v>
      </c>
      <c r="AO413">
        <f t="shared" si="66"/>
        <v>-1</v>
      </c>
      <c r="AP413">
        <f t="shared" si="67"/>
        <v>1</v>
      </c>
      <c r="AQ413">
        <f t="shared" si="68"/>
        <v>1</v>
      </c>
      <c r="AR413">
        <f t="shared" si="69"/>
        <v>-1</v>
      </c>
      <c r="AS413">
        <f t="shared" si="70"/>
        <v>-1</v>
      </c>
      <c r="AT413">
        <f t="shared" si="71"/>
        <v>-1</v>
      </c>
      <c r="AU413">
        <f t="shared" si="72"/>
        <v>-1.5</v>
      </c>
      <c r="AV413">
        <f>SUM(Table1[[#This Row],[Satis]:[29]])</f>
        <v>-2</v>
      </c>
      <c r="AW413">
        <f t="shared" si="73"/>
        <v>-3</v>
      </c>
      <c r="AX413">
        <f t="shared" si="74"/>
        <v>-2</v>
      </c>
      <c r="AY413">
        <f t="shared" si="75"/>
        <v>-3</v>
      </c>
      <c r="AZ413" t="str">
        <f t="shared" si="76"/>
        <v>Neutral TDP</v>
      </c>
    </row>
    <row r="414" spans="1:52" x14ac:dyDescent="0.3">
      <c r="A414" t="s">
        <v>2426</v>
      </c>
      <c r="B414" s="94">
        <v>46045</v>
      </c>
      <c r="C414" t="s">
        <v>2427</v>
      </c>
      <c r="D414" t="s">
        <v>2428</v>
      </c>
      <c r="E414" t="s">
        <v>2429</v>
      </c>
      <c r="F414" t="s">
        <v>240</v>
      </c>
      <c r="G414" t="s">
        <v>39</v>
      </c>
      <c r="H414" t="s">
        <v>2430</v>
      </c>
      <c r="I414" t="s">
        <v>228</v>
      </c>
      <c r="J414" t="s">
        <v>37</v>
      </c>
      <c r="K414" t="s">
        <v>80</v>
      </c>
      <c r="L414" t="s">
        <v>451</v>
      </c>
      <c r="M414" t="s">
        <v>51</v>
      </c>
      <c r="N414" t="s">
        <v>63</v>
      </c>
      <c r="O414" t="s">
        <v>2431</v>
      </c>
      <c r="P414">
        <v>8919816158</v>
      </c>
      <c r="Q414" t="s">
        <v>445</v>
      </c>
      <c r="R414" t="s">
        <v>132</v>
      </c>
      <c r="S414" t="s">
        <v>43</v>
      </c>
      <c r="T414" t="s">
        <v>43</v>
      </c>
      <c r="U414" t="s">
        <v>90</v>
      </c>
      <c r="V414" t="s">
        <v>45</v>
      </c>
      <c r="W414" t="s">
        <v>5058</v>
      </c>
      <c r="X414" t="s">
        <v>45</v>
      </c>
      <c r="Y414" t="s">
        <v>46</v>
      </c>
      <c r="Z414" t="s">
        <v>242</v>
      </c>
      <c r="AA414" t="s">
        <v>48</v>
      </c>
      <c r="AB414" t="s">
        <v>49</v>
      </c>
      <c r="AC414" t="s">
        <v>49</v>
      </c>
      <c r="AD414" t="s">
        <v>184</v>
      </c>
      <c r="AE414" t="s">
        <v>189</v>
      </c>
      <c r="AF414">
        <v>0</v>
      </c>
      <c r="AG414" t="s">
        <v>196</v>
      </c>
      <c r="AH414" s="93">
        <f>VLOOKUP(Table1[[#This Row],[Caste]],Factor!$H$1:$K$13,4,0)</f>
        <v>0.80207032429970992</v>
      </c>
      <c r="AI41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14">
        <f>Table1[[#This Row],[Factor_1]]*Table1[[#This Row],[2024 Factor]]</f>
        <v>1.2733258158237817</v>
      </c>
      <c r="AK414">
        <f>VLOOKUP(Table1[[#This Row],[Q18: Gender]],Factor!$A$33:$E$35,5,0)</f>
        <v>2.1645021645021645</v>
      </c>
      <c r="AL414">
        <f>VLOOKUP(Table1[[#This Row],[Taluka]],Factor!$A$42:$G$46,7,0)</f>
        <v>0.75433779645928134</v>
      </c>
      <c r="AM414">
        <f>VLOOKUP(Table1[[#This Row],[Caste]]&amp;Table1[[#This Row],[Q18: Gender]],Factor!$W$1:$X$23,2,0)</f>
        <v>1.1795151827936912</v>
      </c>
      <c r="AN414">
        <f>VLOOKUP(Table1[[#This Row],[Taluka]]&amp;Table1[[#This Row],[Caste]]&amp;Table1[[#This Row],[Q18: Gender]],Factor!$AK$4:$AL$93,2,0)</f>
        <v>0.37562400914419181</v>
      </c>
      <c r="AO414">
        <f t="shared" si="66"/>
        <v>-1</v>
      </c>
      <c r="AP414">
        <f t="shared" si="67"/>
        <v>1</v>
      </c>
      <c r="AQ414">
        <f t="shared" si="68"/>
        <v>-1</v>
      </c>
      <c r="AR414">
        <f t="shared" si="69"/>
        <v>-1</v>
      </c>
      <c r="AS414">
        <f t="shared" si="70"/>
        <v>-1</v>
      </c>
      <c r="AT414">
        <f t="shared" si="71"/>
        <v>-1</v>
      </c>
      <c r="AU414">
        <f t="shared" si="72"/>
        <v>-3.5</v>
      </c>
      <c r="AV414">
        <f>SUM(Table1[[#This Row],[Satis]:[29]])</f>
        <v>-4</v>
      </c>
      <c r="AW414">
        <f t="shared" si="73"/>
        <v>-5</v>
      </c>
      <c r="AX414">
        <f t="shared" si="74"/>
        <v>-4</v>
      </c>
      <c r="AY414">
        <f t="shared" si="75"/>
        <v>-3</v>
      </c>
      <c r="AZ414" t="str">
        <f t="shared" si="76"/>
        <v>TDP Sympathiser</v>
      </c>
    </row>
    <row r="415" spans="1:52" x14ac:dyDescent="0.3">
      <c r="A415" t="s">
        <v>2432</v>
      </c>
      <c r="B415" s="94">
        <v>46045</v>
      </c>
      <c r="C415" t="s">
        <v>2433</v>
      </c>
      <c r="D415" t="s">
        <v>2434</v>
      </c>
      <c r="E415" t="s">
        <v>2429</v>
      </c>
      <c r="F415" t="s">
        <v>240</v>
      </c>
      <c r="G415" t="s">
        <v>39</v>
      </c>
      <c r="H415" t="s">
        <v>2435</v>
      </c>
      <c r="I415" t="s">
        <v>168</v>
      </c>
      <c r="J415" t="s">
        <v>37</v>
      </c>
      <c r="K415" t="s">
        <v>80</v>
      </c>
      <c r="L415" t="s">
        <v>62</v>
      </c>
      <c r="M415" t="s">
        <v>51</v>
      </c>
      <c r="N415" t="s">
        <v>52</v>
      </c>
      <c r="O415" t="s">
        <v>2436</v>
      </c>
      <c r="P415">
        <v>8500801765</v>
      </c>
      <c r="Q415" t="s">
        <v>445</v>
      </c>
      <c r="R415" t="s">
        <v>132</v>
      </c>
      <c r="S415" t="s">
        <v>88</v>
      </c>
      <c r="T415" t="s">
        <v>43</v>
      </c>
      <c r="U415" t="s">
        <v>44</v>
      </c>
      <c r="V415" t="s">
        <v>91</v>
      </c>
      <c r="W415" t="s">
        <v>5099</v>
      </c>
      <c r="X415" t="s">
        <v>91</v>
      </c>
      <c r="Y415" t="s">
        <v>716</v>
      </c>
      <c r="Z415" t="s">
        <v>242</v>
      </c>
      <c r="AA415" t="s">
        <v>242</v>
      </c>
      <c r="AB415" t="s">
        <v>49</v>
      </c>
      <c r="AC415" t="s">
        <v>49</v>
      </c>
      <c r="AD415" t="s">
        <v>184</v>
      </c>
      <c r="AE415" t="s">
        <v>189</v>
      </c>
      <c r="AF415">
        <v>0</v>
      </c>
      <c r="AG415" t="s">
        <v>196</v>
      </c>
      <c r="AH415" s="93">
        <f>VLOOKUP(Table1[[#This Row],[Caste]],Factor!$H$1:$K$13,4,0)</f>
        <v>1.0478809952686368</v>
      </c>
      <c r="AI415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415">
        <f>Table1[[#This Row],[Factor_1]]*Table1[[#This Row],[2024 Factor]]</f>
        <v>1.0975881706852268</v>
      </c>
      <c r="AK415">
        <f>VLOOKUP(Table1[[#This Row],[Q18: Gender]],Factor!$A$33:$E$35,5,0)</f>
        <v>2.1645021645021645</v>
      </c>
      <c r="AL415">
        <f>VLOOKUP(Table1[[#This Row],[Taluka]],Factor!$A$42:$G$46,7,0)</f>
        <v>0.75433779645928134</v>
      </c>
      <c r="AM415">
        <f>VLOOKUP(Table1[[#This Row],[Caste]]&amp;Table1[[#This Row],[Q18: Gender]],Factor!$W$1:$X$23,2,0)</f>
        <v>1.6591449091753416</v>
      </c>
      <c r="AN415">
        <f>VLOOKUP(Table1[[#This Row],[Taluka]]&amp;Table1[[#This Row],[Caste]]&amp;Table1[[#This Row],[Q18: Gender]],Factor!$AK$4:$AL$93,2,0)</f>
        <v>0.55944540451290081</v>
      </c>
      <c r="AO415">
        <f t="shared" si="66"/>
        <v>-1</v>
      </c>
      <c r="AP415">
        <f t="shared" si="67"/>
        <v>-1</v>
      </c>
      <c r="AQ415">
        <f t="shared" si="68"/>
        <v>1</v>
      </c>
      <c r="AR415">
        <f t="shared" si="69"/>
        <v>1</v>
      </c>
      <c r="AS415">
        <f t="shared" si="70"/>
        <v>-1</v>
      </c>
      <c r="AT415">
        <f t="shared" si="71"/>
        <v>-1</v>
      </c>
      <c r="AU415">
        <f t="shared" si="72"/>
        <v>-1.5</v>
      </c>
      <c r="AV415">
        <f>SUM(Table1[[#This Row],[Satis]:[29]])</f>
        <v>-2</v>
      </c>
      <c r="AW415">
        <f t="shared" si="73"/>
        <v>-1</v>
      </c>
      <c r="AX415">
        <f t="shared" si="74"/>
        <v>0</v>
      </c>
      <c r="AY415">
        <f t="shared" si="75"/>
        <v>-3</v>
      </c>
      <c r="AZ415" t="str">
        <f t="shared" si="76"/>
        <v>Neutral TDP</v>
      </c>
    </row>
    <row r="416" spans="1:52" x14ac:dyDescent="0.3">
      <c r="A416" t="s">
        <v>2416</v>
      </c>
      <c r="B416" s="94">
        <v>46045</v>
      </c>
      <c r="C416" t="s">
        <v>2417</v>
      </c>
      <c r="D416" t="s">
        <v>2418</v>
      </c>
      <c r="E416" t="s">
        <v>2278</v>
      </c>
      <c r="F416" t="s">
        <v>69</v>
      </c>
      <c r="G416" t="s">
        <v>39</v>
      </c>
      <c r="H416" t="s">
        <v>2419</v>
      </c>
      <c r="I416" t="s">
        <v>70</v>
      </c>
      <c r="J416" t="s">
        <v>219</v>
      </c>
      <c r="K416" t="s">
        <v>221</v>
      </c>
      <c r="L416" t="s">
        <v>82</v>
      </c>
      <c r="M416" t="s">
        <v>443</v>
      </c>
      <c r="N416" t="s">
        <v>63</v>
      </c>
      <c r="O416" t="s">
        <v>1438</v>
      </c>
      <c r="P416">
        <v>8639755513</v>
      </c>
      <c r="Q416" t="s">
        <v>54</v>
      </c>
      <c r="R416" t="s">
        <v>73</v>
      </c>
      <c r="S416" t="s">
        <v>43</v>
      </c>
      <c r="T416" t="s">
        <v>43</v>
      </c>
      <c r="U416" t="s">
        <v>44</v>
      </c>
      <c r="V416" t="s">
        <v>91</v>
      </c>
      <c r="W416" t="s">
        <v>5056</v>
      </c>
      <c r="X416" t="s">
        <v>91</v>
      </c>
      <c r="Y416" t="s">
        <v>46</v>
      </c>
      <c r="Z416" t="s">
        <v>92</v>
      </c>
      <c r="AA416" t="s">
        <v>92</v>
      </c>
      <c r="AB416" t="s">
        <v>93</v>
      </c>
      <c r="AC416" t="s">
        <v>94</v>
      </c>
      <c r="AD416" t="s">
        <v>184</v>
      </c>
      <c r="AE416" t="s">
        <v>185</v>
      </c>
      <c r="AF416">
        <v>0</v>
      </c>
      <c r="AG416" t="s">
        <v>196</v>
      </c>
      <c r="AH416" s="93">
        <f>VLOOKUP(Table1[[#This Row],[Caste]],Factor!$H$1:$K$13,4,0)</f>
        <v>1.3836274505214585</v>
      </c>
      <c r="AI416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416">
        <f>Table1[[#This Row],[Factor_1]]*Table1[[#This Row],[2024 Factor]]</f>
        <v>1.9482662206881376</v>
      </c>
      <c r="AK416">
        <f>VLOOKUP(Table1[[#This Row],[Q18: Gender]],Factor!$A$33:$E$35,5,0)</f>
        <v>0.85034013605442171</v>
      </c>
      <c r="AL416">
        <f>VLOOKUP(Table1[[#This Row],[Taluka]],Factor!$A$42:$G$46,7,0)</f>
        <v>1.147984664167413</v>
      </c>
      <c r="AM416">
        <f>VLOOKUP(Table1[[#This Row],[Caste]]&amp;Table1[[#This Row],[Q18: Gender]],Factor!$W$1:$X$23,2,0)</f>
        <v>1.0790228998469584</v>
      </c>
      <c r="AN416">
        <f>VLOOKUP(Table1[[#This Row],[Taluka]]&amp;Table1[[#This Row],[Caste]]&amp;Table1[[#This Row],[Q18: Gender]],Factor!$AK$4:$AL$93,2,0)</f>
        <v>1.1572915102003449</v>
      </c>
      <c r="AO416">
        <f t="shared" si="66"/>
        <v>-1</v>
      </c>
      <c r="AP416">
        <f t="shared" si="67"/>
        <v>-1</v>
      </c>
      <c r="AQ416">
        <f t="shared" si="68"/>
        <v>1</v>
      </c>
      <c r="AR416">
        <f t="shared" si="69"/>
        <v>1</v>
      </c>
      <c r="AS416">
        <f t="shared" si="70"/>
        <v>1</v>
      </c>
      <c r="AT416">
        <f t="shared" si="71"/>
        <v>1</v>
      </c>
      <c r="AU416">
        <f t="shared" si="72"/>
        <v>1.5</v>
      </c>
      <c r="AV416">
        <f>SUM(Table1[[#This Row],[Satis]:[29]])</f>
        <v>2</v>
      </c>
      <c r="AW416">
        <f t="shared" si="73"/>
        <v>3</v>
      </c>
      <c r="AX416">
        <f t="shared" si="74"/>
        <v>4</v>
      </c>
      <c r="AY416">
        <f t="shared" si="75"/>
        <v>2</v>
      </c>
      <c r="AZ416" t="str">
        <f t="shared" si="76"/>
        <v>YSRCP Sympathiser</v>
      </c>
    </row>
    <row r="417" spans="1:52" x14ac:dyDescent="0.3">
      <c r="A417" t="s">
        <v>2472</v>
      </c>
      <c r="B417" s="94">
        <v>46045</v>
      </c>
      <c r="C417" t="s">
        <v>2473</v>
      </c>
      <c r="D417" t="s">
        <v>2474</v>
      </c>
      <c r="E417" t="s">
        <v>2475</v>
      </c>
      <c r="F417" t="s">
        <v>240</v>
      </c>
      <c r="G417" t="s">
        <v>39</v>
      </c>
      <c r="H417" t="s">
        <v>2476</v>
      </c>
      <c r="I417" t="s">
        <v>36</v>
      </c>
      <c r="J417" t="s">
        <v>37</v>
      </c>
      <c r="K417" t="s">
        <v>80</v>
      </c>
      <c r="L417" t="s">
        <v>62</v>
      </c>
      <c r="M417" t="s">
        <v>51</v>
      </c>
      <c r="N417" t="s">
        <v>52</v>
      </c>
      <c r="O417" t="s">
        <v>480</v>
      </c>
      <c r="P417">
        <v>9000164249</v>
      </c>
      <c r="Q417" t="s">
        <v>54</v>
      </c>
      <c r="R417" t="s">
        <v>61</v>
      </c>
      <c r="S417" t="s">
        <v>88</v>
      </c>
      <c r="T417" t="s">
        <v>43</v>
      </c>
      <c r="U417" t="s">
        <v>90</v>
      </c>
      <c r="V417" t="s">
        <v>45</v>
      </c>
      <c r="W417" t="s">
        <v>5056</v>
      </c>
      <c r="X417" t="s">
        <v>45</v>
      </c>
      <c r="Y417" t="s">
        <v>46</v>
      </c>
      <c r="Z417" t="s">
        <v>92</v>
      </c>
      <c r="AA417" t="s">
        <v>92</v>
      </c>
      <c r="AB417" t="s">
        <v>351</v>
      </c>
      <c r="AC417" t="s">
        <v>148</v>
      </c>
      <c r="AD417" t="s">
        <v>184</v>
      </c>
      <c r="AE417" t="s">
        <v>185</v>
      </c>
      <c r="AF417">
        <v>0</v>
      </c>
      <c r="AG417" t="s">
        <v>196</v>
      </c>
      <c r="AH417" s="93">
        <f>VLOOKUP(Table1[[#This Row],[Caste]],Factor!$H$1:$K$13,4,0)</f>
        <v>1.1705128247062893</v>
      </c>
      <c r="AI417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417">
        <f>Table1[[#This Row],[Factor_1]]*Table1[[#This Row],[2024 Factor]]</f>
        <v>1.4435679386658844</v>
      </c>
      <c r="AK417">
        <f>VLOOKUP(Table1[[#This Row],[Q18: Gender]],Factor!$A$33:$E$35,5,0)</f>
        <v>0.85034013605442171</v>
      </c>
      <c r="AL417">
        <f>VLOOKUP(Table1[[#This Row],[Taluka]],Factor!$A$42:$G$46,7,0)</f>
        <v>0.75433779645928134</v>
      </c>
      <c r="AM417">
        <f>VLOOKUP(Table1[[#This Row],[Caste]]&amp;Table1[[#This Row],[Q18: Gender]],Factor!$W$1:$X$23,2,0)</f>
        <v>0.79950206330384943</v>
      </c>
      <c r="AN417">
        <f>VLOOKUP(Table1[[#This Row],[Taluka]]&amp;Table1[[#This Row],[Caste]]&amp;Table1[[#This Row],[Q18: Gender]],Factor!$AK$4:$AL$93,2,0)</f>
        <v>0.40257772387792479</v>
      </c>
      <c r="AO417">
        <f t="shared" si="66"/>
        <v>-1</v>
      </c>
      <c r="AP417">
        <f t="shared" si="67"/>
        <v>1</v>
      </c>
      <c r="AQ417">
        <f t="shared" si="68"/>
        <v>-1</v>
      </c>
      <c r="AR417">
        <f t="shared" si="69"/>
        <v>-1</v>
      </c>
      <c r="AS417">
        <f t="shared" si="70"/>
        <v>1</v>
      </c>
      <c r="AT417">
        <f t="shared" si="71"/>
        <v>1</v>
      </c>
      <c r="AU417">
        <f t="shared" si="72"/>
        <v>-0.5</v>
      </c>
      <c r="AV417">
        <f>SUM(Table1[[#This Row],[Satis]:[29]])</f>
        <v>0</v>
      </c>
      <c r="AW417">
        <f t="shared" si="73"/>
        <v>-1</v>
      </c>
      <c r="AX417">
        <f t="shared" si="74"/>
        <v>0</v>
      </c>
      <c r="AY417">
        <f t="shared" si="75"/>
        <v>2</v>
      </c>
      <c r="AZ417" t="str">
        <f t="shared" si="76"/>
        <v>Neutral YSRCP</v>
      </c>
    </row>
    <row r="418" spans="1:52" x14ac:dyDescent="0.3">
      <c r="A418" t="s">
        <v>2238</v>
      </c>
      <c r="B418" s="94">
        <v>46045</v>
      </c>
      <c r="C418" t="s">
        <v>2239</v>
      </c>
      <c r="D418" t="s">
        <v>2240</v>
      </c>
      <c r="E418" t="s">
        <v>2215</v>
      </c>
      <c r="F418" t="s">
        <v>69</v>
      </c>
      <c r="G418" t="s">
        <v>39</v>
      </c>
      <c r="H418" t="s">
        <v>2241</v>
      </c>
      <c r="I418" t="s">
        <v>36</v>
      </c>
      <c r="J418" t="s">
        <v>219</v>
      </c>
      <c r="K418" t="s">
        <v>221</v>
      </c>
      <c r="L418" t="s">
        <v>50</v>
      </c>
      <c r="M418" t="s">
        <v>51</v>
      </c>
      <c r="N418" t="s">
        <v>63</v>
      </c>
      <c r="O418" t="s">
        <v>1727</v>
      </c>
      <c r="P418">
        <v>9999999999</v>
      </c>
      <c r="Q418" t="s">
        <v>54</v>
      </c>
      <c r="R418" t="s">
        <v>73</v>
      </c>
      <c r="S418" t="s">
        <v>89</v>
      </c>
      <c r="T418" t="s">
        <v>89</v>
      </c>
      <c r="U418" t="s">
        <v>90</v>
      </c>
      <c r="V418" t="s">
        <v>91</v>
      </c>
      <c r="W418" t="s">
        <v>5057</v>
      </c>
      <c r="X418" t="s">
        <v>91</v>
      </c>
      <c r="Y418" t="s">
        <v>638</v>
      </c>
      <c r="Z418" t="s">
        <v>92</v>
      </c>
      <c r="AA418" t="s">
        <v>48</v>
      </c>
      <c r="AB418" t="s">
        <v>49</v>
      </c>
      <c r="AC418" t="s">
        <v>49</v>
      </c>
      <c r="AD418" t="s">
        <v>184</v>
      </c>
      <c r="AE418" t="s">
        <v>185</v>
      </c>
      <c r="AF418" t="s">
        <v>2979</v>
      </c>
      <c r="AG418" t="s">
        <v>196</v>
      </c>
      <c r="AH418" s="93">
        <f>VLOOKUP(Table1[[#This Row],[Caste]],Factor!$H$1:$K$13,4,0)</f>
        <v>1.1705128247062893</v>
      </c>
      <c r="AI41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18">
        <f>Table1[[#This Row],[Factor_1]]*Table1[[#This Row],[2024 Factor]]</f>
        <v>0.86308903171383233</v>
      </c>
      <c r="AK418">
        <f>VLOOKUP(Table1[[#This Row],[Q18: Gender]],Factor!$A$33:$E$35,5,0)</f>
        <v>0.85034013605442171</v>
      </c>
      <c r="AL418">
        <f>VLOOKUP(Table1[[#This Row],[Taluka]],Factor!$A$42:$G$46,7,0)</f>
        <v>1.147984664167413</v>
      </c>
      <c r="AM418">
        <f>VLOOKUP(Table1[[#This Row],[Caste]]&amp;Table1[[#This Row],[Q18: Gender]],Factor!$W$1:$X$23,2,0)</f>
        <v>0.79950206330384943</v>
      </c>
      <c r="AN418">
        <f>VLOOKUP(Table1[[#This Row],[Taluka]]&amp;Table1[[#This Row],[Caste]]&amp;Table1[[#This Row],[Q18: Gender]],Factor!$AK$4:$AL$93,2,0)</f>
        <v>0.92148737207359532</v>
      </c>
      <c r="AO418">
        <f t="shared" si="66"/>
        <v>1</v>
      </c>
      <c r="AP418">
        <f t="shared" si="67"/>
        <v>1</v>
      </c>
      <c r="AQ418">
        <f t="shared" si="68"/>
        <v>1</v>
      </c>
      <c r="AR418">
        <f t="shared" si="69"/>
        <v>1</v>
      </c>
      <c r="AS418">
        <f t="shared" si="70"/>
        <v>-1</v>
      </c>
      <c r="AT418">
        <f t="shared" si="71"/>
        <v>1</v>
      </c>
      <c r="AU418">
        <f t="shared" si="72"/>
        <v>4.5</v>
      </c>
      <c r="AV418">
        <f>SUM(Table1[[#This Row],[Satis]:[29]])</f>
        <v>4</v>
      </c>
      <c r="AW418">
        <f t="shared" si="73"/>
        <v>3</v>
      </c>
      <c r="AX418">
        <f t="shared" si="74"/>
        <v>2</v>
      </c>
      <c r="AY418">
        <f t="shared" si="75"/>
        <v>2</v>
      </c>
      <c r="AZ418" t="str">
        <f t="shared" si="76"/>
        <v>Neutral YSRCP</v>
      </c>
    </row>
    <row r="419" spans="1:52" x14ac:dyDescent="0.3">
      <c r="A419" t="s">
        <v>2292</v>
      </c>
      <c r="B419" s="94">
        <v>46045</v>
      </c>
      <c r="C419" t="s">
        <v>2293</v>
      </c>
      <c r="D419" t="s">
        <v>2294</v>
      </c>
      <c r="E419" t="s">
        <v>2295</v>
      </c>
      <c r="F419" t="s">
        <v>69</v>
      </c>
      <c r="G419" t="s">
        <v>39</v>
      </c>
      <c r="H419" t="s">
        <v>2296</v>
      </c>
      <c r="I419" t="s">
        <v>59</v>
      </c>
      <c r="J419" t="s">
        <v>219</v>
      </c>
      <c r="K419" t="s">
        <v>221</v>
      </c>
      <c r="L419" t="s">
        <v>50</v>
      </c>
      <c r="M419" t="s">
        <v>51</v>
      </c>
      <c r="N419" t="s">
        <v>63</v>
      </c>
      <c r="O419" t="s">
        <v>2297</v>
      </c>
      <c r="P419">
        <v>99999999</v>
      </c>
      <c r="Q419" t="s">
        <v>54</v>
      </c>
      <c r="R419" t="s">
        <v>73</v>
      </c>
      <c r="S419" t="s">
        <v>89</v>
      </c>
      <c r="T419" t="s">
        <v>89</v>
      </c>
      <c r="U419" t="s">
        <v>44</v>
      </c>
      <c r="V419" t="s">
        <v>91</v>
      </c>
      <c r="W419" t="s">
        <v>5087</v>
      </c>
      <c r="X419" t="s">
        <v>91</v>
      </c>
      <c r="Y419" t="s">
        <v>46</v>
      </c>
      <c r="Z419" t="s">
        <v>92</v>
      </c>
      <c r="AA419" t="s">
        <v>92</v>
      </c>
      <c r="AB419" t="s">
        <v>93</v>
      </c>
      <c r="AC419" t="s">
        <v>94</v>
      </c>
      <c r="AD419" t="s">
        <v>184</v>
      </c>
      <c r="AE419" t="s">
        <v>185</v>
      </c>
      <c r="AF419">
        <v>0</v>
      </c>
      <c r="AG419" t="s">
        <v>196</v>
      </c>
      <c r="AH419" s="93">
        <f>VLOOKUP(Table1[[#This Row],[Caste]],Factor!$H$1:$K$13,4,0)</f>
        <v>1.1461625511156397</v>
      </c>
      <c r="AI419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419">
        <f>Table1[[#This Row],[Factor_1]]*Table1[[#This Row],[2024 Factor]]</f>
        <v>1.2999324650914248</v>
      </c>
      <c r="AK419">
        <f>VLOOKUP(Table1[[#This Row],[Q18: Gender]],Factor!$A$33:$E$35,5,0)</f>
        <v>0.85034013605442171</v>
      </c>
      <c r="AL419">
        <f>VLOOKUP(Table1[[#This Row],[Taluka]],Factor!$A$42:$G$46,7,0)</f>
        <v>1.147984664167413</v>
      </c>
      <c r="AM419">
        <f>VLOOKUP(Table1[[#This Row],[Caste]]&amp;Table1[[#This Row],[Q18: Gender]],Factor!$W$1:$X$23,2,0)</f>
        <v>0.71995135120329123</v>
      </c>
      <c r="AN419">
        <f>VLOOKUP(Table1[[#This Row],[Taluka]]&amp;Table1[[#This Row],[Caste]]&amp;Table1[[#This Row],[Q18: Gender]],Factor!$AK$4:$AL$93,2,0)</f>
        <v>0.54319084681293095</v>
      </c>
      <c r="AO419">
        <f t="shared" si="66"/>
        <v>1</v>
      </c>
      <c r="AP419">
        <f t="shared" si="67"/>
        <v>-1</v>
      </c>
      <c r="AQ419">
        <f t="shared" si="68"/>
        <v>1</v>
      </c>
      <c r="AR419">
        <f t="shared" si="69"/>
        <v>1</v>
      </c>
      <c r="AS419">
        <f t="shared" si="70"/>
        <v>1</v>
      </c>
      <c r="AT419">
        <f t="shared" si="71"/>
        <v>1</v>
      </c>
      <c r="AU419">
        <f t="shared" si="72"/>
        <v>3.5</v>
      </c>
      <c r="AV419">
        <f>SUM(Table1[[#This Row],[Satis]:[29]])</f>
        <v>4</v>
      </c>
      <c r="AW419">
        <f t="shared" si="73"/>
        <v>5</v>
      </c>
      <c r="AX419">
        <f t="shared" si="74"/>
        <v>4</v>
      </c>
      <c r="AY419">
        <f t="shared" si="75"/>
        <v>3</v>
      </c>
      <c r="AZ419" t="str">
        <f t="shared" si="76"/>
        <v>YSRCP Sympathiser</v>
      </c>
    </row>
    <row r="420" spans="1:52" x14ac:dyDescent="0.3">
      <c r="A420" t="s">
        <v>2333</v>
      </c>
      <c r="B420" s="94">
        <v>46045</v>
      </c>
      <c r="C420" t="s">
        <v>2334</v>
      </c>
      <c r="D420" t="s">
        <v>2335</v>
      </c>
      <c r="E420" t="s">
        <v>2336</v>
      </c>
      <c r="F420" t="s">
        <v>240</v>
      </c>
      <c r="G420" t="s">
        <v>39</v>
      </c>
      <c r="H420" t="s">
        <v>2337</v>
      </c>
      <c r="I420" t="s">
        <v>36</v>
      </c>
      <c r="J420" t="s">
        <v>37</v>
      </c>
      <c r="K420" t="s">
        <v>80</v>
      </c>
      <c r="L420" t="s">
        <v>62</v>
      </c>
      <c r="M420" t="s">
        <v>51</v>
      </c>
      <c r="N420" t="s">
        <v>63</v>
      </c>
      <c r="O420" t="s">
        <v>2338</v>
      </c>
      <c r="P420">
        <v>9010787039</v>
      </c>
      <c r="Q420" t="s">
        <v>54</v>
      </c>
      <c r="R420" t="s">
        <v>61</v>
      </c>
      <c r="S420" t="s">
        <v>43</v>
      </c>
      <c r="T420" t="s">
        <v>43</v>
      </c>
      <c r="U420" t="s">
        <v>44</v>
      </c>
      <c r="V420" t="s">
        <v>45</v>
      </c>
      <c r="W420" t="s">
        <v>5057</v>
      </c>
      <c r="X420" t="s">
        <v>45</v>
      </c>
      <c r="Y420" t="s">
        <v>46</v>
      </c>
      <c r="Z420" t="s">
        <v>47</v>
      </c>
      <c r="AA420" t="s">
        <v>48</v>
      </c>
      <c r="AB420" t="s">
        <v>49</v>
      </c>
      <c r="AC420" t="s">
        <v>49</v>
      </c>
      <c r="AD420" t="s">
        <v>494</v>
      </c>
      <c r="AE420" t="s">
        <v>185</v>
      </c>
      <c r="AF420">
        <v>0</v>
      </c>
      <c r="AG420" t="s">
        <v>196</v>
      </c>
      <c r="AH420" s="93">
        <f>VLOOKUP(Table1[[#This Row],[Caste]],Factor!$H$1:$K$13,4,0)</f>
        <v>1.1705128247062893</v>
      </c>
      <c r="AI42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20">
        <f>Table1[[#This Row],[Factor_1]]*Table1[[#This Row],[2024 Factor]]</f>
        <v>0.86308903171383233</v>
      </c>
      <c r="AK420">
        <f>VLOOKUP(Table1[[#This Row],[Q18: Gender]],Factor!$A$33:$E$35,5,0)</f>
        <v>0.85034013605442171</v>
      </c>
      <c r="AL420">
        <f>VLOOKUP(Table1[[#This Row],[Taluka]],Factor!$A$42:$G$46,7,0)</f>
        <v>0.75433779645928134</v>
      </c>
      <c r="AM420">
        <f>VLOOKUP(Table1[[#This Row],[Caste]]&amp;Table1[[#This Row],[Q18: Gender]],Factor!$W$1:$X$23,2,0)</f>
        <v>0.79950206330384943</v>
      </c>
      <c r="AN420">
        <f>VLOOKUP(Table1[[#This Row],[Taluka]]&amp;Table1[[#This Row],[Caste]]&amp;Table1[[#This Row],[Q18: Gender]],Factor!$AK$4:$AL$93,2,0)</f>
        <v>0.40257772387792479</v>
      </c>
      <c r="AO420">
        <f t="shared" si="66"/>
        <v>-1</v>
      </c>
      <c r="AP420">
        <f t="shared" si="67"/>
        <v>-1</v>
      </c>
      <c r="AQ420">
        <f t="shared" si="68"/>
        <v>-1</v>
      </c>
      <c r="AR420">
        <f t="shared" si="69"/>
        <v>-1</v>
      </c>
      <c r="AS420">
        <f t="shared" si="70"/>
        <v>-1</v>
      </c>
      <c r="AT420">
        <f t="shared" si="71"/>
        <v>-1</v>
      </c>
      <c r="AU420">
        <f t="shared" si="72"/>
        <v>-5.5</v>
      </c>
      <c r="AV420">
        <f>SUM(Table1[[#This Row],[Satis]:[29]])</f>
        <v>-6</v>
      </c>
      <c r="AW420">
        <f t="shared" si="73"/>
        <v>-5</v>
      </c>
      <c r="AX420">
        <f t="shared" si="74"/>
        <v>-4</v>
      </c>
      <c r="AY420">
        <f t="shared" si="75"/>
        <v>-3</v>
      </c>
      <c r="AZ420" t="str">
        <f t="shared" si="76"/>
        <v>TDP HardCore</v>
      </c>
    </row>
    <row r="421" spans="1:52" x14ac:dyDescent="0.3">
      <c r="A421" t="s">
        <v>2459</v>
      </c>
      <c r="B421" s="94">
        <v>46045</v>
      </c>
      <c r="C421" t="s">
        <v>2460</v>
      </c>
      <c r="D421" t="s">
        <v>2461</v>
      </c>
      <c r="E421" t="s">
        <v>1352</v>
      </c>
      <c r="F421" t="s">
        <v>69</v>
      </c>
      <c r="G421" t="s">
        <v>39</v>
      </c>
      <c r="H421" t="s">
        <v>2462</v>
      </c>
      <c r="I421" t="s">
        <v>59</v>
      </c>
      <c r="J421" t="s">
        <v>219</v>
      </c>
      <c r="K421" t="s">
        <v>221</v>
      </c>
      <c r="L421" t="s">
        <v>62</v>
      </c>
      <c r="M421" t="s">
        <v>51</v>
      </c>
      <c r="N421" t="s">
        <v>162</v>
      </c>
      <c r="O421" t="s">
        <v>2463</v>
      </c>
      <c r="P421">
        <v>9502063849</v>
      </c>
      <c r="Q421" t="s">
        <v>54</v>
      </c>
      <c r="R421" t="s">
        <v>73</v>
      </c>
      <c r="S421" t="s">
        <v>89</v>
      </c>
      <c r="T421" t="s">
        <v>43</v>
      </c>
      <c r="U421" t="s">
        <v>44</v>
      </c>
      <c r="V421" t="s">
        <v>91</v>
      </c>
      <c r="W421" t="s">
        <v>5056</v>
      </c>
      <c r="X421" t="s">
        <v>45</v>
      </c>
      <c r="Y421" t="s">
        <v>46</v>
      </c>
      <c r="Z421" t="s">
        <v>47</v>
      </c>
      <c r="AA421" t="s">
        <v>48</v>
      </c>
      <c r="AB421" t="s">
        <v>49</v>
      </c>
      <c r="AC421" t="s">
        <v>49</v>
      </c>
      <c r="AD421" t="s">
        <v>494</v>
      </c>
      <c r="AE421" t="s">
        <v>185</v>
      </c>
      <c r="AF421" t="s">
        <v>2971</v>
      </c>
      <c r="AG421" t="s">
        <v>196</v>
      </c>
      <c r="AH421" s="93">
        <f>VLOOKUP(Table1[[#This Row],[Caste]],Factor!$H$1:$K$13,4,0)</f>
        <v>1.1461625511156397</v>
      </c>
      <c r="AI42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21">
        <f>Table1[[#This Row],[Factor_1]]*Table1[[#This Row],[2024 Factor]]</f>
        <v>0.77721139583220644</v>
      </c>
      <c r="AK421">
        <f>VLOOKUP(Table1[[#This Row],[Q18: Gender]],Factor!$A$33:$E$35,5,0)</f>
        <v>0.85034013605442171</v>
      </c>
      <c r="AL421">
        <f>VLOOKUP(Table1[[#This Row],[Taluka]],Factor!$A$42:$G$46,7,0)</f>
        <v>1.147984664167413</v>
      </c>
      <c r="AM421">
        <f>VLOOKUP(Table1[[#This Row],[Caste]]&amp;Table1[[#This Row],[Q18: Gender]],Factor!$W$1:$X$23,2,0)</f>
        <v>0.71995135120329123</v>
      </c>
      <c r="AN421">
        <f>VLOOKUP(Table1[[#This Row],[Taluka]]&amp;Table1[[#This Row],[Caste]]&amp;Table1[[#This Row],[Q18: Gender]],Factor!$AK$4:$AL$93,2,0)</f>
        <v>0.54319084681293095</v>
      </c>
      <c r="AO421">
        <f t="shared" si="66"/>
        <v>-1</v>
      </c>
      <c r="AP421">
        <f t="shared" si="67"/>
        <v>-1</v>
      </c>
      <c r="AQ421">
        <f t="shared" si="68"/>
        <v>1</v>
      </c>
      <c r="AR421">
        <f t="shared" si="69"/>
        <v>-1</v>
      </c>
      <c r="AS421">
        <f t="shared" si="70"/>
        <v>-1</v>
      </c>
      <c r="AT421">
        <f t="shared" si="71"/>
        <v>-1</v>
      </c>
      <c r="AU421">
        <f t="shared" si="72"/>
        <v>-3.5</v>
      </c>
      <c r="AV421">
        <f>SUM(Table1[[#This Row],[Satis]:[29]])</f>
        <v>-4</v>
      </c>
      <c r="AW421">
        <f t="shared" si="73"/>
        <v>-3</v>
      </c>
      <c r="AX421">
        <f t="shared" si="74"/>
        <v>-2</v>
      </c>
      <c r="AY421">
        <f t="shared" si="75"/>
        <v>-3</v>
      </c>
      <c r="AZ421" t="str">
        <f t="shared" si="76"/>
        <v>Neutral TDP</v>
      </c>
    </row>
    <row r="422" spans="1:52" x14ac:dyDescent="0.3">
      <c r="A422" t="s">
        <v>2383</v>
      </c>
      <c r="B422" s="94">
        <v>46045</v>
      </c>
      <c r="C422" t="s">
        <v>2384</v>
      </c>
      <c r="D422" t="s">
        <v>2385</v>
      </c>
      <c r="E422" t="s">
        <v>1777</v>
      </c>
      <c r="F422" t="s">
        <v>935</v>
      </c>
      <c r="G422" t="s">
        <v>39</v>
      </c>
      <c r="H422" t="s">
        <v>2386</v>
      </c>
      <c r="I422" t="s">
        <v>159</v>
      </c>
      <c r="J422" t="s">
        <v>219</v>
      </c>
      <c r="K422" t="s">
        <v>224</v>
      </c>
      <c r="L422" t="s">
        <v>62</v>
      </c>
      <c r="M422" t="s">
        <v>51</v>
      </c>
      <c r="N422" t="s">
        <v>52</v>
      </c>
      <c r="O422" t="s">
        <v>2387</v>
      </c>
      <c r="P422">
        <v>9705644546</v>
      </c>
      <c r="Q422" t="s">
        <v>54</v>
      </c>
      <c r="R422" t="s">
        <v>132</v>
      </c>
      <c r="S422" t="s">
        <v>89</v>
      </c>
      <c r="T422" t="s">
        <v>43</v>
      </c>
      <c r="U422" t="s">
        <v>90</v>
      </c>
      <c r="V422" t="s">
        <v>91</v>
      </c>
      <c r="W422" t="s">
        <v>5087</v>
      </c>
      <c r="X422" t="s">
        <v>45</v>
      </c>
      <c r="Y422" t="s">
        <v>46</v>
      </c>
      <c r="Z422" t="s">
        <v>92</v>
      </c>
      <c r="AA422" t="s">
        <v>48</v>
      </c>
      <c r="AB422" t="s">
        <v>49</v>
      </c>
      <c r="AC422" t="s">
        <v>49</v>
      </c>
      <c r="AD422" t="s">
        <v>494</v>
      </c>
      <c r="AE422" t="s">
        <v>185</v>
      </c>
      <c r="AF422">
        <v>0</v>
      </c>
      <c r="AG422" t="s">
        <v>196</v>
      </c>
      <c r="AH422" s="93">
        <f>VLOOKUP(Table1[[#This Row],[Caste]],Factor!$H$1:$K$13,4,0)</f>
        <v>2.1852575402829908</v>
      </c>
      <c r="AI42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22">
        <f>Table1[[#This Row],[Factor_1]]*Table1[[#This Row],[2024 Factor]]</f>
        <v>1.7037641797963405</v>
      </c>
      <c r="AK422">
        <f>VLOOKUP(Table1[[#This Row],[Q18: Gender]],Factor!$A$33:$E$35,5,0)</f>
        <v>0.85034013605442171</v>
      </c>
      <c r="AL422">
        <f>VLOOKUP(Table1[[#This Row],[Taluka]],Factor!$A$42:$G$46,7,0)</f>
        <v>1.147984664167413</v>
      </c>
      <c r="AM422">
        <f>VLOOKUP(Table1[[#This Row],[Caste]]&amp;Table1[[#This Row],[Q18: Gender]],Factor!$W$1:$X$23,2,0)</f>
        <v>1.5782415568710491</v>
      </c>
      <c r="AN422">
        <f>VLOOKUP(Table1[[#This Row],[Taluka]]&amp;Table1[[#This Row],[Caste]]&amp;Table1[[#This Row],[Q18: Gender]],Factor!$AK$4:$AL$93,2,0)</f>
        <v>4.092849657122005</v>
      </c>
      <c r="AO422">
        <f t="shared" si="66"/>
        <v>-1</v>
      </c>
      <c r="AP422">
        <f t="shared" si="67"/>
        <v>1</v>
      </c>
      <c r="AQ422">
        <f t="shared" si="68"/>
        <v>1</v>
      </c>
      <c r="AR422">
        <f t="shared" si="69"/>
        <v>-1</v>
      </c>
      <c r="AS422">
        <f t="shared" si="70"/>
        <v>-1</v>
      </c>
      <c r="AT422">
        <f t="shared" si="71"/>
        <v>1</v>
      </c>
      <c r="AU422">
        <f t="shared" si="72"/>
        <v>0.5</v>
      </c>
      <c r="AV422">
        <f>SUM(Table1[[#This Row],[Satis]:[29]])</f>
        <v>0</v>
      </c>
      <c r="AW422">
        <f t="shared" si="73"/>
        <v>-1</v>
      </c>
      <c r="AX422">
        <f t="shared" si="74"/>
        <v>0</v>
      </c>
      <c r="AY422" t="str">
        <f t="shared" si="75"/>
        <v>ND</v>
      </c>
      <c r="AZ422" t="str">
        <f t="shared" si="76"/>
        <v>ND</v>
      </c>
    </row>
    <row r="423" spans="1:52" x14ac:dyDescent="0.3">
      <c r="A423" t="s">
        <v>2477</v>
      </c>
      <c r="B423" s="94">
        <v>46045</v>
      </c>
      <c r="C423" t="s">
        <v>2478</v>
      </c>
      <c r="D423" t="s">
        <v>2479</v>
      </c>
      <c r="E423" t="s">
        <v>2480</v>
      </c>
      <c r="F423" t="s">
        <v>240</v>
      </c>
      <c r="G423" t="s">
        <v>39</v>
      </c>
      <c r="H423" t="s">
        <v>2481</v>
      </c>
      <c r="I423" t="s">
        <v>36</v>
      </c>
      <c r="J423" t="s">
        <v>37</v>
      </c>
      <c r="K423" t="s">
        <v>80</v>
      </c>
      <c r="L423" t="s">
        <v>62</v>
      </c>
      <c r="M423" t="s">
        <v>51</v>
      </c>
      <c r="N423" t="s">
        <v>107</v>
      </c>
      <c r="O423" t="s">
        <v>2482</v>
      </c>
      <c r="P423">
        <v>9912802619</v>
      </c>
      <c r="Q423" t="s">
        <v>54</v>
      </c>
      <c r="R423" t="s">
        <v>2116</v>
      </c>
      <c r="S423" t="s">
        <v>89</v>
      </c>
      <c r="T423" t="s">
        <v>43</v>
      </c>
      <c r="U423" t="s">
        <v>90</v>
      </c>
      <c r="V423" t="s">
        <v>45</v>
      </c>
      <c r="W423" t="s">
        <v>5042</v>
      </c>
      <c r="X423" t="s">
        <v>45</v>
      </c>
      <c r="Y423" t="s">
        <v>46</v>
      </c>
      <c r="Z423" t="s">
        <v>47</v>
      </c>
      <c r="AA423" t="s">
        <v>48</v>
      </c>
      <c r="AB423" t="s">
        <v>49</v>
      </c>
      <c r="AC423" t="s">
        <v>49</v>
      </c>
      <c r="AD423" t="s">
        <v>494</v>
      </c>
      <c r="AE423" t="s">
        <v>185</v>
      </c>
      <c r="AF423">
        <v>0</v>
      </c>
      <c r="AG423" t="s">
        <v>196</v>
      </c>
      <c r="AH423" s="93">
        <f>VLOOKUP(Table1[[#This Row],[Caste]],Factor!$H$1:$K$13,4,0)</f>
        <v>1.1705128247062893</v>
      </c>
      <c r="AI42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23">
        <f>Table1[[#This Row],[Factor_1]]*Table1[[#This Row],[2024 Factor]]</f>
        <v>0.86308903171383233</v>
      </c>
      <c r="AK423">
        <f>VLOOKUP(Table1[[#This Row],[Q18: Gender]],Factor!$A$33:$E$35,5,0)</f>
        <v>0.85034013605442171</v>
      </c>
      <c r="AL423">
        <f>VLOOKUP(Table1[[#This Row],[Taluka]],Factor!$A$42:$G$46,7,0)</f>
        <v>0.75433779645928134</v>
      </c>
      <c r="AM423">
        <f>VLOOKUP(Table1[[#This Row],[Caste]]&amp;Table1[[#This Row],[Q18: Gender]],Factor!$W$1:$X$23,2,0)</f>
        <v>0.79950206330384943</v>
      </c>
      <c r="AN423">
        <f>VLOOKUP(Table1[[#This Row],[Taluka]]&amp;Table1[[#This Row],[Caste]]&amp;Table1[[#This Row],[Q18: Gender]],Factor!$AK$4:$AL$93,2,0)</f>
        <v>0.40257772387792479</v>
      </c>
      <c r="AO423">
        <f t="shared" si="66"/>
        <v>-1</v>
      </c>
      <c r="AP423">
        <f t="shared" si="67"/>
        <v>1</v>
      </c>
      <c r="AQ423">
        <f t="shared" si="68"/>
        <v>-1</v>
      </c>
      <c r="AR423">
        <f t="shared" si="69"/>
        <v>-1</v>
      </c>
      <c r="AS423">
        <f t="shared" si="70"/>
        <v>-1</v>
      </c>
      <c r="AT423">
        <f t="shared" si="71"/>
        <v>-1</v>
      </c>
      <c r="AU423">
        <f t="shared" si="72"/>
        <v>-3.5</v>
      </c>
      <c r="AV423">
        <f>SUM(Table1[[#This Row],[Satis]:[29]])</f>
        <v>-4</v>
      </c>
      <c r="AW423">
        <f t="shared" si="73"/>
        <v>-5</v>
      </c>
      <c r="AX423">
        <f t="shared" si="74"/>
        <v>-4</v>
      </c>
      <c r="AY423">
        <f t="shared" si="75"/>
        <v>-3</v>
      </c>
      <c r="AZ423" t="str">
        <f t="shared" si="76"/>
        <v>TDP Sympathiser</v>
      </c>
    </row>
    <row r="424" spans="1:52" x14ac:dyDescent="0.3">
      <c r="A424" t="s">
        <v>2194</v>
      </c>
      <c r="B424" s="94">
        <v>46045</v>
      </c>
      <c r="C424" t="s">
        <v>2195</v>
      </c>
      <c r="D424" t="s">
        <v>2196</v>
      </c>
      <c r="E424" t="s">
        <v>2197</v>
      </c>
      <c r="F424" t="s">
        <v>240</v>
      </c>
      <c r="G424" t="s">
        <v>39</v>
      </c>
      <c r="H424" t="s">
        <v>2198</v>
      </c>
      <c r="I424" t="s">
        <v>59</v>
      </c>
      <c r="J424" t="s">
        <v>37</v>
      </c>
      <c r="K424" t="s">
        <v>80</v>
      </c>
      <c r="L424" t="s">
        <v>451</v>
      </c>
      <c r="M424" t="s">
        <v>51</v>
      </c>
      <c r="N424" t="s">
        <v>63</v>
      </c>
      <c r="O424" t="s">
        <v>2199</v>
      </c>
      <c r="P424">
        <v>8500801877</v>
      </c>
      <c r="Q424" t="s">
        <v>445</v>
      </c>
      <c r="R424" t="s">
        <v>139</v>
      </c>
      <c r="S424" t="s">
        <v>43</v>
      </c>
      <c r="T424" t="s">
        <v>43</v>
      </c>
      <c r="U424" t="s">
        <v>44</v>
      </c>
      <c r="V424" t="s">
        <v>45</v>
      </c>
      <c r="W424" t="s">
        <v>5058</v>
      </c>
      <c r="X424" t="s">
        <v>45</v>
      </c>
      <c r="Y424" t="s">
        <v>46</v>
      </c>
      <c r="Z424" t="s">
        <v>47</v>
      </c>
      <c r="AA424" t="s">
        <v>48</v>
      </c>
      <c r="AB424" t="s">
        <v>49</v>
      </c>
      <c r="AC424" t="s">
        <v>49</v>
      </c>
      <c r="AD424" t="s">
        <v>494</v>
      </c>
      <c r="AE424" t="s">
        <v>185</v>
      </c>
      <c r="AF424">
        <v>0</v>
      </c>
      <c r="AG424" t="s">
        <v>196</v>
      </c>
      <c r="AH424" s="93">
        <f>VLOOKUP(Table1[[#This Row],[Caste]],Factor!$H$1:$K$13,4,0)</f>
        <v>1.1461625511156397</v>
      </c>
      <c r="AI42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24">
        <f>Table1[[#This Row],[Factor_1]]*Table1[[#This Row],[2024 Factor]]</f>
        <v>3.0326483876590018</v>
      </c>
      <c r="AK424">
        <f>VLOOKUP(Table1[[#This Row],[Q18: Gender]],Factor!$A$33:$E$35,5,0)</f>
        <v>2.1645021645021645</v>
      </c>
      <c r="AL424">
        <f>VLOOKUP(Table1[[#This Row],[Taluka]],Factor!$A$42:$G$46,7,0)</f>
        <v>0.75433779645928134</v>
      </c>
      <c r="AM424">
        <f>VLOOKUP(Table1[[#This Row],[Caste]]&amp;Table1[[#This Row],[Q18: Gender]],Factor!$W$1:$X$23,2,0)</f>
        <v>2.8092219390089208</v>
      </c>
      <c r="AN424">
        <f>VLOOKUP(Table1[[#This Row],[Taluka]]&amp;Table1[[#This Row],[Caste]]&amp;Table1[[#This Row],[Q18: Gender]],Factor!$AK$4:$AL$93,2,0)</f>
        <v>5.3676860935714705</v>
      </c>
      <c r="AO424">
        <f t="shared" si="66"/>
        <v>-1</v>
      </c>
      <c r="AP424">
        <f t="shared" si="67"/>
        <v>-1</v>
      </c>
      <c r="AQ424">
        <f t="shared" si="68"/>
        <v>-1</v>
      </c>
      <c r="AR424">
        <f t="shared" si="69"/>
        <v>-1</v>
      </c>
      <c r="AS424">
        <f t="shared" si="70"/>
        <v>-1</v>
      </c>
      <c r="AT424">
        <f t="shared" si="71"/>
        <v>-1</v>
      </c>
      <c r="AU424">
        <f t="shared" si="72"/>
        <v>-5.5</v>
      </c>
      <c r="AV424">
        <f>SUM(Table1[[#This Row],[Satis]:[29]])</f>
        <v>-6</v>
      </c>
      <c r="AW424">
        <f t="shared" si="73"/>
        <v>-5</v>
      </c>
      <c r="AX424">
        <f t="shared" si="74"/>
        <v>-4</v>
      </c>
      <c r="AY424">
        <f t="shared" si="75"/>
        <v>-3</v>
      </c>
      <c r="AZ424" t="str">
        <f t="shared" si="76"/>
        <v>TDP HardCore</v>
      </c>
    </row>
    <row r="425" spans="1:52" x14ac:dyDescent="0.3">
      <c r="A425" t="s">
        <v>2339</v>
      </c>
      <c r="B425" s="94">
        <v>46045</v>
      </c>
      <c r="C425" t="s">
        <v>2340</v>
      </c>
      <c r="D425" t="s">
        <v>2341</v>
      </c>
      <c r="E425" t="s">
        <v>2245</v>
      </c>
      <c r="F425" t="s">
        <v>240</v>
      </c>
      <c r="G425" t="s">
        <v>39</v>
      </c>
      <c r="H425" t="s">
        <v>2342</v>
      </c>
      <c r="I425" t="s">
        <v>228</v>
      </c>
      <c r="J425" s="112" t="s">
        <v>203</v>
      </c>
      <c r="K425" s="112" t="s">
        <v>204</v>
      </c>
      <c r="L425" t="s">
        <v>62</v>
      </c>
      <c r="M425" t="s">
        <v>51</v>
      </c>
      <c r="N425" t="s">
        <v>63</v>
      </c>
      <c r="O425" t="s">
        <v>2343</v>
      </c>
      <c r="P425">
        <v>9948617721</v>
      </c>
      <c r="Q425" t="s">
        <v>445</v>
      </c>
      <c r="R425" t="s">
        <v>2116</v>
      </c>
      <c r="S425" t="s">
        <v>43</v>
      </c>
      <c r="T425" t="s">
        <v>43</v>
      </c>
      <c r="U425" t="s">
        <v>44</v>
      </c>
      <c r="V425" t="s">
        <v>91</v>
      </c>
      <c r="W425" t="s">
        <v>5054</v>
      </c>
      <c r="X425" t="s">
        <v>45</v>
      </c>
      <c r="Y425" t="s">
        <v>46</v>
      </c>
      <c r="Z425" t="s">
        <v>47</v>
      </c>
      <c r="AA425" t="s">
        <v>48</v>
      </c>
      <c r="AB425" t="s">
        <v>49</v>
      </c>
      <c r="AC425" t="s">
        <v>49</v>
      </c>
      <c r="AD425" t="s">
        <v>184</v>
      </c>
      <c r="AE425" t="s">
        <v>185</v>
      </c>
      <c r="AF425" t="s">
        <v>2992</v>
      </c>
      <c r="AG425" t="s">
        <v>196</v>
      </c>
      <c r="AH425" s="93">
        <f>VLOOKUP(Table1[[#This Row],[Caste]],Factor!$H$1:$K$13,4,0)</f>
        <v>0.80207032429970992</v>
      </c>
      <c r="AI42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25">
        <f>Table1[[#This Row],[Factor_1]]*Table1[[#This Row],[2024 Factor]]</f>
        <v>1.2733258158237817</v>
      </c>
      <c r="AK425">
        <f>VLOOKUP(Table1[[#This Row],[Q18: Gender]],Factor!$A$33:$E$35,5,0)</f>
        <v>2.1645021645021645</v>
      </c>
      <c r="AL425">
        <f>VLOOKUP(Table1[[#This Row],[Taluka]],Factor!$A$42:$G$46,7,0)</f>
        <v>1.9264642089343564</v>
      </c>
      <c r="AM425">
        <f>VLOOKUP(Table1[[#This Row],[Caste]]&amp;Table1[[#This Row],[Q18: Gender]],Factor!$W$1:$X$23,2,0)</f>
        <v>1.1795151827936912</v>
      </c>
      <c r="AN425">
        <f>VLOOKUP(Table1[[#This Row],[Taluka]]&amp;Table1[[#This Row],[Caste]]&amp;Table1[[#This Row],[Q18: Gender]],Factor!$AK$4:$AL$93,2,0)</f>
        <v>2.0730893618557826</v>
      </c>
      <c r="AO425">
        <f t="shared" si="66"/>
        <v>-1</v>
      </c>
      <c r="AP425">
        <f t="shared" si="67"/>
        <v>-1</v>
      </c>
      <c r="AQ425">
        <f t="shared" si="68"/>
        <v>1</v>
      </c>
      <c r="AR425">
        <f t="shared" si="69"/>
        <v>-1</v>
      </c>
      <c r="AS425">
        <f t="shared" si="70"/>
        <v>-1</v>
      </c>
      <c r="AT425">
        <f t="shared" si="71"/>
        <v>-1</v>
      </c>
      <c r="AU425">
        <f t="shared" si="72"/>
        <v>-3.5</v>
      </c>
      <c r="AV425">
        <f>SUM(Table1[[#This Row],[Satis]:[29]])</f>
        <v>-4</v>
      </c>
      <c r="AW425">
        <f t="shared" si="73"/>
        <v>-3</v>
      </c>
      <c r="AX425">
        <f t="shared" si="74"/>
        <v>-2</v>
      </c>
      <c r="AY425">
        <f t="shared" si="75"/>
        <v>-3</v>
      </c>
      <c r="AZ425" t="str">
        <f t="shared" si="76"/>
        <v>Neutral TDP</v>
      </c>
    </row>
    <row r="426" spans="1:52" x14ac:dyDescent="0.3">
      <c r="A426" t="s">
        <v>2483</v>
      </c>
      <c r="B426" s="94">
        <v>46045</v>
      </c>
      <c r="C426" t="s">
        <v>2484</v>
      </c>
      <c r="D426" t="s">
        <v>2485</v>
      </c>
      <c r="E426" t="s">
        <v>2486</v>
      </c>
      <c r="F426" t="s">
        <v>240</v>
      </c>
      <c r="G426" t="s">
        <v>39</v>
      </c>
      <c r="H426" t="s">
        <v>2487</v>
      </c>
      <c r="I426" t="s">
        <v>228</v>
      </c>
      <c r="J426" t="s">
        <v>37</v>
      </c>
      <c r="K426" t="s">
        <v>80</v>
      </c>
      <c r="L426" t="s">
        <v>62</v>
      </c>
      <c r="M426" t="s">
        <v>51</v>
      </c>
      <c r="N426" t="s">
        <v>107</v>
      </c>
      <c r="O426" t="s">
        <v>2488</v>
      </c>
      <c r="P426">
        <v>999999999</v>
      </c>
      <c r="Q426" t="s">
        <v>54</v>
      </c>
      <c r="R426" t="s">
        <v>132</v>
      </c>
      <c r="S426" t="s">
        <v>89</v>
      </c>
      <c r="T426" t="s">
        <v>43</v>
      </c>
      <c r="U426" t="s">
        <v>90</v>
      </c>
      <c r="V426" t="s">
        <v>91</v>
      </c>
      <c r="W426" t="s">
        <v>5041</v>
      </c>
      <c r="X426" t="s">
        <v>91</v>
      </c>
      <c r="Y426" t="s">
        <v>46</v>
      </c>
      <c r="Z426" t="s">
        <v>92</v>
      </c>
      <c r="AA426" t="s">
        <v>48</v>
      </c>
      <c r="AB426" t="s">
        <v>49</v>
      </c>
      <c r="AC426" t="s">
        <v>49</v>
      </c>
      <c r="AD426" t="s">
        <v>184</v>
      </c>
      <c r="AE426" t="s">
        <v>189</v>
      </c>
      <c r="AF426" t="s">
        <v>2991</v>
      </c>
      <c r="AG426" t="s">
        <v>196</v>
      </c>
      <c r="AH426" s="93">
        <f>VLOOKUP(Table1[[#This Row],[Caste]],Factor!$H$1:$K$13,4,0)</f>
        <v>0.80207032429970992</v>
      </c>
      <c r="AI42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26">
        <f>Table1[[#This Row],[Factor_1]]*Table1[[#This Row],[2024 Factor]]</f>
        <v>0.65595572330316032</v>
      </c>
      <c r="AK426">
        <f>VLOOKUP(Table1[[#This Row],[Q18: Gender]],Factor!$A$33:$E$35,5,0)</f>
        <v>0.85034013605442171</v>
      </c>
      <c r="AL426">
        <f>VLOOKUP(Table1[[#This Row],[Taluka]],Factor!$A$42:$G$46,7,0)</f>
        <v>0.75433779645928134</v>
      </c>
      <c r="AM426">
        <f>VLOOKUP(Table1[[#This Row],[Caste]]&amp;Table1[[#This Row],[Q18: Gender]],Factor!$W$1:$X$23,2,0)</f>
        <v>0.60762903356038633</v>
      </c>
      <c r="AN426">
        <f>VLOOKUP(Table1[[#This Row],[Taluka]]&amp;Table1[[#This Row],[Caste]]&amp;Table1[[#This Row],[Q18: Gender]],Factor!$AK$4:$AL$93,2,0)</f>
        <v>0.22537440548651508</v>
      </c>
      <c r="AO426">
        <f t="shared" si="66"/>
        <v>-1</v>
      </c>
      <c r="AP426">
        <f t="shared" si="67"/>
        <v>1</v>
      </c>
      <c r="AQ426">
        <f t="shared" si="68"/>
        <v>1</v>
      </c>
      <c r="AR426">
        <f t="shared" si="69"/>
        <v>1</v>
      </c>
      <c r="AS426">
        <f t="shared" si="70"/>
        <v>-1</v>
      </c>
      <c r="AT426">
        <f t="shared" si="71"/>
        <v>1</v>
      </c>
      <c r="AU426">
        <f t="shared" si="72"/>
        <v>2.5</v>
      </c>
      <c r="AV426">
        <f>SUM(Table1[[#This Row],[Satis]:[29]])</f>
        <v>2</v>
      </c>
      <c r="AW426">
        <f t="shared" si="73"/>
        <v>1</v>
      </c>
      <c r="AX426">
        <f t="shared" si="74"/>
        <v>2</v>
      </c>
      <c r="AY426" t="str">
        <f t="shared" si="75"/>
        <v>ND</v>
      </c>
      <c r="AZ426" t="str">
        <f t="shared" si="76"/>
        <v>ND</v>
      </c>
    </row>
    <row r="427" spans="1:52" x14ac:dyDescent="0.3">
      <c r="A427" t="s">
        <v>2489</v>
      </c>
      <c r="B427" s="94">
        <v>46045</v>
      </c>
      <c r="C427" t="s">
        <v>2490</v>
      </c>
      <c r="D427" t="s">
        <v>2491</v>
      </c>
      <c r="E427" t="s">
        <v>2295</v>
      </c>
      <c r="F427" t="s">
        <v>69</v>
      </c>
      <c r="G427" t="s">
        <v>39</v>
      </c>
      <c r="H427" t="s">
        <v>2492</v>
      </c>
      <c r="I427" t="s">
        <v>227</v>
      </c>
      <c r="J427" t="s">
        <v>219</v>
      </c>
      <c r="K427" t="s">
        <v>221</v>
      </c>
      <c r="L427" t="s">
        <v>75</v>
      </c>
      <c r="M427" t="s">
        <v>51</v>
      </c>
      <c r="N427" t="s">
        <v>52</v>
      </c>
      <c r="O427" t="s">
        <v>406</v>
      </c>
      <c r="P427">
        <v>9999999999</v>
      </c>
      <c r="Q427" t="s">
        <v>54</v>
      </c>
      <c r="R427" t="s">
        <v>73</v>
      </c>
      <c r="S427" t="s">
        <v>43</v>
      </c>
      <c r="T427" t="s">
        <v>43</v>
      </c>
      <c r="U427" t="s">
        <v>44</v>
      </c>
      <c r="V427" t="s">
        <v>45</v>
      </c>
      <c r="W427" t="s">
        <v>5085</v>
      </c>
      <c r="X427" t="s">
        <v>45</v>
      </c>
      <c r="Y427" t="s">
        <v>46</v>
      </c>
      <c r="Z427" t="s">
        <v>47</v>
      </c>
      <c r="AA427" t="s">
        <v>48</v>
      </c>
      <c r="AB427" t="s">
        <v>49</v>
      </c>
      <c r="AC427" t="s">
        <v>49</v>
      </c>
      <c r="AD427" t="s">
        <v>184</v>
      </c>
      <c r="AE427" t="s">
        <v>191</v>
      </c>
      <c r="AF427" t="s">
        <v>2994</v>
      </c>
      <c r="AG427" t="s">
        <v>498</v>
      </c>
      <c r="AH427" s="93">
        <f>VLOOKUP(Table1[[#This Row],[Caste]],Factor!$H$1:$K$13,4,0)</f>
        <v>1.2612194085121222</v>
      </c>
      <c r="AI42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27">
        <f>Table1[[#This Row],[Factor_1]]*Table1[[#This Row],[2024 Factor]]</f>
        <v>0.92029223709519836</v>
      </c>
      <c r="AK427">
        <f>VLOOKUP(Table1[[#This Row],[Q18: Gender]],Factor!$A$33:$E$35,5,0)</f>
        <v>0.85034013605442171</v>
      </c>
      <c r="AL427">
        <f>VLOOKUP(Table1[[#This Row],[Taluka]],Factor!$A$42:$G$46,7,0)</f>
        <v>1.147984664167413</v>
      </c>
      <c r="AM427">
        <f>VLOOKUP(Table1[[#This Row],[Caste]]&amp;Table1[[#This Row],[Q18: Gender]],Factor!$W$1:$X$23,2,0)</f>
        <v>0.85249089649430487</v>
      </c>
      <c r="AN427">
        <f>VLOOKUP(Table1[[#This Row],[Taluka]]&amp;Table1[[#This Row],[Caste]]&amp;Table1[[#This Row],[Q18: Gender]],Factor!$AK$4:$AL$93,2,0)</f>
        <v>0.41451794778650441</v>
      </c>
      <c r="AO427">
        <f t="shared" si="66"/>
        <v>-1</v>
      </c>
      <c r="AP427">
        <f t="shared" si="67"/>
        <v>-1</v>
      </c>
      <c r="AQ427">
        <f t="shared" si="68"/>
        <v>-1</v>
      </c>
      <c r="AR427">
        <f t="shared" si="69"/>
        <v>-1</v>
      </c>
      <c r="AS427">
        <f t="shared" si="70"/>
        <v>-1</v>
      </c>
      <c r="AT427">
        <f t="shared" si="71"/>
        <v>-1</v>
      </c>
      <c r="AU427">
        <f t="shared" si="72"/>
        <v>-5.5</v>
      </c>
      <c r="AV427">
        <f>SUM(Table1[[#This Row],[Satis]:[29]])</f>
        <v>-6</v>
      </c>
      <c r="AW427">
        <f t="shared" si="73"/>
        <v>-5</v>
      </c>
      <c r="AX427">
        <f t="shared" si="74"/>
        <v>-4</v>
      </c>
      <c r="AY427">
        <f t="shared" si="75"/>
        <v>-3</v>
      </c>
      <c r="AZ427" t="str">
        <f t="shared" si="76"/>
        <v>TDP HardCore</v>
      </c>
    </row>
    <row r="428" spans="1:52" x14ac:dyDescent="0.3">
      <c r="A428" t="s">
        <v>2493</v>
      </c>
      <c r="B428" s="94">
        <v>46045</v>
      </c>
      <c r="C428" t="s">
        <v>2494</v>
      </c>
      <c r="D428" t="s">
        <v>2495</v>
      </c>
      <c r="E428" t="s">
        <v>2496</v>
      </c>
      <c r="F428" t="s">
        <v>935</v>
      </c>
      <c r="G428" t="s">
        <v>39</v>
      </c>
      <c r="H428" t="s">
        <v>2497</v>
      </c>
      <c r="I428" t="s">
        <v>59</v>
      </c>
      <c r="J428" t="s">
        <v>219</v>
      </c>
      <c r="K428" t="s">
        <v>224</v>
      </c>
      <c r="L428" t="s">
        <v>62</v>
      </c>
      <c r="M428" t="s">
        <v>51</v>
      </c>
      <c r="N428" t="s">
        <v>63</v>
      </c>
      <c r="O428" t="s">
        <v>2498</v>
      </c>
      <c r="P428">
        <v>9849675266</v>
      </c>
      <c r="Q428" t="s">
        <v>445</v>
      </c>
      <c r="R428" t="s">
        <v>132</v>
      </c>
      <c r="S428" t="s">
        <v>43</v>
      </c>
      <c r="T428" t="s">
        <v>43</v>
      </c>
      <c r="U428" t="s">
        <v>44</v>
      </c>
      <c r="V428" t="s">
        <v>91</v>
      </c>
      <c r="W428" t="s">
        <v>5055</v>
      </c>
      <c r="X428" t="s">
        <v>45</v>
      </c>
      <c r="Y428" t="s">
        <v>46</v>
      </c>
      <c r="Z428" t="s">
        <v>47</v>
      </c>
      <c r="AA428" t="s">
        <v>48</v>
      </c>
      <c r="AB428" t="s">
        <v>49</v>
      </c>
      <c r="AC428" t="s">
        <v>49</v>
      </c>
      <c r="AD428" t="s">
        <v>184</v>
      </c>
      <c r="AE428" t="s">
        <v>1250</v>
      </c>
      <c r="AF428">
        <v>0</v>
      </c>
      <c r="AG428" t="s">
        <v>498</v>
      </c>
      <c r="AH428" s="93">
        <f>VLOOKUP(Table1[[#This Row],[Caste]],Factor!$H$1:$K$13,4,0)</f>
        <v>1.1461625511156397</v>
      </c>
      <c r="AI42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28">
        <f>Table1[[#This Row],[Factor_1]]*Table1[[#This Row],[2024 Factor]]</f>
        <v>3.0326483876590018</v>
      </c>
      <c r="AK428">
        <f>VLOOKUP(Table1[[#This Row],[Q18: Gender]],Factor!$A$33:$E$35,5,0)</f>
        <v>2.1645021645021645</v>
      </c>
      <c r="AL428">
        <f>VLOOKUP(Table1[[#This Row],[Taluka]],Factor!$A$42:$G$46,7,0)</f>
        <v>1.147984664167413</v>
      </c>
      <c r="AM428">
        <f>VLOOKUP(Table1[[#This Row],[Caste]]&amp;Table1[[#This Row],[Q18: Gender]],Factor!$W$1:$X$23,2,0)</f>
        <v>2.8092219390089208</v>
      </c>
      <c r="AN428">
        <f>VLOOKUP(Table1[[#This Row],[Taluka]]&amp;Table1[[#This Row],[Caste]]&amp;Table1[[#This Row],[Q18: Gender]],Factor!$AK$4:$AL$93,2,0)</f>
        <v>2.2934724643212636</v>
      </c>
      <c r="AO428">
        <f t="shared" si="66"/>
        <v>-1</v>
      </c>
      <c r="AP428">
        <f t="shared" si="67"/>
        <v>-1</v>
      </c>
      <c r="AQ428">
        <f t="shared" si="68"/>
        <v>1</v>
      </c>
      <c r="AR428">
        <f t="shared" si="69"/>
        <v>-1</v>
      </c>
      <c r="AS428">
        <f t="shared" si="70"/>
        <v>-1</v>
      </c>
      <c r="AT428">
        <f t="shared" si="71"/>
        <v>-1</v>
      </c>
      <c r="AU428">
        <f t="shared" si="72"/>
        <v>-3.5</v>
      </c>
      <c r="AV428">
        <f>SUM(Table1[[#This Row],[Satis]:[29]])</f>
        <v>-4</v>
      </c>
      <c r="AW428">
        <f t="shared" si="73"/>
        <v>-3</v>
      </c>
      <c r="AX428">
        <f t="shared" si="74"/>
        <v>-2</v>
      </c>
      <c r="AY428">
        <f t="shared" si="75"/>
        <v>-3</v>
      </c>
      <c r="AZ428" t="str">
        <f t="shared" si="76"/>
        <v>Neutral TDP</v>
      </c>
    </row>
    <row r="429" spans="1:52" x14ac:dyDescent="0.3">
      <c r="A429" t="s">
        <v>2499</v>
      </c>
      <c r="B429" s="94">
        <v>46045</v>
      </c>
      <c r="C429" t="s">
        <v>2500</v>
      </c>
      <c r="D429" t="s">
        <v>2501</v>
      </c>
      <c r="E429" t="s">
        <v>2295</v>
      </c>
      <c r="F429" t="s">
        <v>69</v>
      </c>
      <c r="G429" t="s">
        <v>39</v>
      </c>
      <c r="H429" t="s">
        <v>2502</v>
      </c>
      <c r="I429" t="s">
        <v>227</v>
      </c>
      <c r="J429" t="s">
        <v>219</v>
      </c>
      <c r="K429" t="s">
        <v>221</v>
      </c>
      <c r="L429" t="s">
        <v>82</v>
      </c>
      <c r="M429" t="s">
        <v>51</v>
      </c>
      <c r="N429" t="s">
        <v>107</v>
      </c>
      <c r="O429" t="s">
        <v>2503</v>
      </c>
      <c r="P429">
        <v>9999999999</v>
      </c>
      <c r="Q429" t="s">
        <v>54</v>
      </c>
      <c r="R429" t="s">
        <v>61</v>
      </c>
      <c r="S429" t="s">
        <v>43</v>
      </c>
      <c r="T429" t="s">
        <v>43</v>
      </c>
      <c r="U429" t="s">
        <v>90</v>
      </c>
      <c r="V429" t="s">
        <v>91</v>
      </c>
      <c r="W429" t="s">
        <v>5051</v>
      </c>
      <c r="X429" t="s">
        <v>45</v>
      </c>
      <c r="Y429" t="s">
        <v>46</v>
      </c>
      <c r="Z429" t="s">
        <v>47</v>
      </c>
      <c r="AA429" t="s">
        <v>48</v>
      </c>
      <c r="AB429" t="s">
        <v>49</v>
      </c>
      <c r="AC429" t="s">
        <v>49</v>
      </c>
      <c r="AD429" t="s">
        <v>184</v>
      </c>
      <c r="AE429" t="s">
        <v>185</v>
      </c>
      <c r="AF429" t="s">
        <v>2991</v>
      </c>
      <c r="AG429" t="s">
        <v>196</v>
      </c>
      <c r="AH429" s="93">
        <f>VLOOKUP(Table1[[#This Row],[Caste]],Factor!$H$1:$K$13,4,0)</f>
        <v>1.2612194085121222</v>
      </c>
      <c r="AI42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29">
        <f>Table1[[#This Row],[Factor_1]]*Table1[[#This Row],[2024 Factor]]</f>
        <v>0.92029223709519836</v>
      </c>
      <c r="AK429">
        <f>VLOOKUP(Table1[[#This Row],[Q18: Gender]],Factor!$A$33:$E$35,5,0)</f>
        <v>0.85034013605442171</v>
      </c>
      <c r="AL429">
        <f>VLOOKUP(Table1[[#This Row],[Taluka]],Factor!$A$42:$G$46,7,0)</f>
        <v>1.147984664167413</v>
      </c>
      <c r="AM429">
        <f>VLOOKUP(Table1[[#This Row],[Caste]]&amp;Table1[[#This Row],[Q18: Gender]],Factor!$W$1:$X$23,2,0)</f>
        <v>0.85249089649430487</v>
      </c>
      <c r="AN429">
        <f>VLOOKUP(Table1[[#This Row],[Taluka]]&amp;Table1[[#This Row],[Caste]]&amp;Table1[[#This Row],[Q18: Gender]],Factor!$AK$4:$AL$93,2,0)</f>
        <v>0.41451794778650441</v>
      </c>
      <c r="AO429">
        <f t="shared" si="66"/>
        <v>-1</v>
      </c>
      <c r="AP429">
        <f t="shared" si="67"/>
        <v>1</v>
      </c>
      <c r="AQ429">
        <f t="shared" si="68"/>
        <v>1</v>
      </c>
      <c r="AR429">
        <f t="shared" si="69"/>
        <v>-1</v>
      </c>
      <c r="AS429">
        <f t="shared" si="70"/>
        <v>-1</v>
      </c>
      <c r="AT429">
        <f t="shared" si="71"/>
        <v>-1</v>
      </c>
      <c r="AU429">
        <f t="shared" si="72"/>
        <v>-1.5</v>
      </c>
      <c r="AV429">
        <f>SUM(Table1[[#This Row],[Satis]:[29]])</f>
        <v>-2</v>
      </c>
      <c r="AW429">
        <f t="shared" si="73"/>
        <v>-3</v>
      </c>
      <c r="AX429">
        <f t="shared" si="74"/>
        <v>-2</v>
      </c>
      <c r="AY429">
        <f t="shared" si="75"/>
        <v>-3</v>
      </c>
      <c r="AZ429" t="str">
        <f t="shared" si="76"/>
        <v>Neutral TDP</v>
      </c>
    </row>
    <row r="430" spans="1:52" x14ac:dyDescent="0.3">
      <c r="A430" t="s">
        <v>2504</v>
      </c>
      <c r="B430" s="94">
        <v>46045</v>
      </c>
      <c r="C430" t="s">
        <v>2505</v>
      </c>
      <c r="D430" t="s">
        <v>2506</v>
      </c>
      <c r="E430" t="s">
        <v>2245</v>
      </c>
      <c r="F430" t="s">
        <v>240</v>
      </c>
      <c r="G430" t="s">
        <v>39</v>
      </c>
      <c r="H430" t="s">
        <v>2507</v>
      </c>
      <c r="I430" t="s">
        <v>168</v>
      </c>
      <c r="J430" t="s">
        <v>37</v>
      </c>
      <c r="K430" t="s">
        <v>80</v>
      </c>
      <c r="L430" t="s">
        <v>62</v>
      </c>
      <c r="M430" t="s">
        <v>51</v>
      </c>
      <c r="N430" t="s">
        <v>107</v>
      </c>
      <c r="O430" t="s">
        <v>2508</v>
      </c>
      <c r="P430">
        <v>8143696617</v>
      </c>
      <c r="Q430" t="s">
        <v>54</v>
      </c>
      <c r="R430" t="s">
        <v>61</v>
      </c>
      <c r="S430" t="s">
        <v>89</v>
      </c>
      <c r="T430" t="s">
        <v>89</v>
      </c>
      <c r="U430" t="s">
        <v>90</v>
      </c>
      <c r="V430" t="s">
        <v>91</v>
      </c>
      <c r="W430" t="s">
        <v>5099</v>
      </c>
      <c r="X430" t="s">
        <v>91</v>
      </c>
      <c r="Y430" t="s">
        <v>46</v>
      </c>
      <c r="Z430" t="s">
        <v>47</v>
      </c>
      <c r="AA430" t="s">
        <v>48</v>
      </c>
      <c r="AB430" t="s">
        <v>49</v>
      </c>
      <c r="AC430" t="s">
        <v>49</v>
      </c>
      <c r="AD430" t="s">
        <v>184</v>
      </c>
      <c r="AE430" t="s">
        <v>189</v>
      </c>
      <c r="AF430" t="s">
        <v>2995</v>
      </c>
      <c r="AG430" t="s">
        <v>196</v>
      </c>
      <c r="AH430" s="93">
        <f>VLOOKUP(Table1[[#This Row],[Caste]],Factor!$H$1:$K$13,4,0)</f>
        <v>1.0478809952686368</v>
      </c>
      <c r="AI43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30">
        <f>Table1[[#This Row],[Factor_1]]*Table1[[#This Row],[2024 Factor]]</f>
        <v>0.8266624780172348</v>
      </c>
      <c r="AK430">
        <f>VLOOKUP(Table1[[#This Row],[Q18: Gender]],Factor!$A$33:$E$35,5,0)</f>
        <v>0.85034013605442171</v>
      </c>
      <c r="AL430">
        <f>VLOOKUP(Table1[[#This Row],[Taluka]],Factor!$A$42:$G$46,7,0)</f>
        <v>0.75433779645928134</v>
      </c>
      <c r="AM430">
        <f>VLOOKUP(Table1[[#This Row],[Caste]]&amp;Table1[[#This Row],[Q18: Gender]],Factor!$W$1:$X$23,2,0)</f>
        <v>0.7657591888501577</v>
      </c>
      <c r="AN430">
        <f>VLOOKUP(Table1[[#This Row],[Taluka]]&amp;Table1[[#This Row],[Caste]]&amp;Table1[[#This Row],[Q18: Gender]],Factor!$AK$4:$AL$93,2,0)</f>
        <v>0.22377816180516033</v>
      </c>
      <c r="AO430">
        <f t="shared" si="66"/>
        <v>1</v>
      </c>
      <c r="AP430">
        <f t="shared" si="67"/>
        <v>1</v>
      </c>
      <c r="AQ430">
        <f t="shared" si="68"/>
        <v>1</v>
      </c>
      <c r="AR430">
        <f t="shared" si="69"/>
        <v>1</v>
      </c>
      <c r="AS430">
        <f t="shared" si="70"/>
        <v>-1</v>
      </c>
      <c r="AT430">
        <f t="shared" si="71"/>
        <v>-1</v>
      </c>
      <c r="AU430">
        <f t="shared" si="72"/>
        <v>2.5</v>
      </c>
      <c r="AV430">
        <f>SUM(Table1[[#This Row],[Satis]:[29]])</f>
        <v>2</v>
      </c>
      <c r="AW430">
        <f t="shared" si="73"/>
        <v>1</v>
      </c>
      <c r="AX430">
        <f t="shared" si="74"/>
        <v>0</v>
      </c>
      <c r="AY430">
        <f t="shared" si="75"/>
        <v>-2</v>
      </c>
      <c r="AZ430" t="str">
        <f t="shared" si="76"/>
        <v>Neutral TDP</v>
      </c>
    </row>
    <row r="431" spans="1:52" x14ac:dyDescent="0.3">
      <c r="A431" t="s">
        <v>2509</v>
      </c>
      <c r="B431" s="94">
        <v>46045</v>
      </c>
      <c r="C431" t="s">
        <v>2510</v>
      </c>
      <c r="D431" t="s">
        <v>2511</v>
      </c>
      <c r="E431" t="s">
        <v>2295</v>
      </c>
      <c r="F431" t="s">
        <v>69</v>
      </c>
      <c r="G431" t="s">
        <v>39</v>
      </c>
      <c r="H431" t="s">
        <v>2512</v>
      </c>
      <c r="I431" t="s">
        <v>227</v>
      </c>
      <c r="J431" t="s">
        <v>219</v>
      </c>
      <c r="K431" t="s">
        <v>221</v>
      </c>
      <c r="L431" t="s">
        <v>50</v>
      </c>
      <c r="M431" t="s">
        <v>51</v>
      </c>
      <c r="N431" t="s">
        <v>52</v>
      </c>
      <c r="O431" t="s">
        <v>394</v>
      </c>
      <c r="P431">
        <v>9999999999</v>
      </c>
      <c r="Q431" t="s">
        <v>54</v>
      </c>
      <c r="R431" t="s">
        <v>61</v>
      </c>
      <c r="S431" t="s">
        <v>43</v>
      </c>
      <c r="T431" t="s">
        <v>43</v>
      </c>
      <c r="U431" t="s">
        <v>44</v>
      </c>
      <c r="V431" t="s">
        <v>45</v>
      </c>
      <c r="W431" t="s">
        <v>5080</v>
      </c>
      <c r="X431" t="s">
        <v>45</v>
      </c>
      <c r="Y431" t="s">
        <v>46</v>
      </c>
      <c r="Z431" t="s">
        <v>47</v>
      </c>
      <c r="AA431" t="s">
        <v>48</v>
      </c>
      <c r="AB431" t="s">
        <v>49</v>
      </c>
      <c r="AC431" t="s">
        <v>49</v>
      </c>
      <c r="AD431" t="s">
        <v>184</v>
      </c>
      <c r="AE431" t="s">
        <v>189</v>
      </c>
      <c r="AF431" t="s">
        <v>2991</v>
      </c>
      <c r="AG431" t="s">
        <v>196</v>
      </c>
      <c r="AH431" s="93">
        <f>VLOOKUP(Table1[[#This Row],[Caste]],Factor!$H$1:$K$13,4,0)</f>
        <v>1.2612194085121222</v>
      </c>
      <c r="AI43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31">
        <f>Table1[[#This Row],[Factor_1]]*Table1[[#This Row],[2024 Factor]]</f>
        <v>0.92029223709519836</v>
      </c>
      <c r="AK431">
        <f>VLOOKUP(Table1[[#This Row],[Q18: Gender]],Factor!$A$33:$E$35,5,0)</f>
        <v>0.85034013605442171</v>
      </c>
      <c r="AL431">
        <f>VLOOKUP(Table1[[#This Row],[Taluka]],Factor!$A$42:$G$46,7,0)</f>
        <v>1.147984664167413</v>
      </c>
      <c r="AM431">
        <f>VLOOKUP(Table1[[#This Row],[Caste]]&amp;Table1[[#This Row],[Q18: Gender]],Factor!$W$1:$X$23,2,0)</f>
        <v>0.85249089649430487</v>
      </c>
      <c r="AN431">
        <f>VLOOKUP(Table1[[#This Row],[Taluka]]&amp;Table1[[#This Row],[Caste]]&amp;Table1[[#This Row],[Q18: Gender]],Factor!$AK$4:$AL$93,2,0)</f>
        <v>0.41451794778650441</v>
      </c>
      <c r="AO431">
        <f t="shared" si="66"/>
        <v>-1</v>
      </c>
      <c r="AP431">
        <f t="shared" si="67"/>
        <v>-1</v>
      </c>
      <c r="AQ431">
        <f t="shared" si="68"/>
        <v>-1</v>
      </c>
      <c r="AR431">
        <f t="shared" si="69"/>
        <v>-1</v>
      </c>
      <c r="AS431">
        <f t="shared" si="70"/>
        <v>-1</v>
      </c>
      <c r="AT431">
        <f t="shared" si="71"/>
        <v>-1</v>
      </c>
      <c r="AU431">
        <f t="shared" si="72"/>
        <v>-5.5</v>
      </c>
      <c r="AV431">
        <f>SUM(Table1[[#This Row],[Satis]:[29]])</f>
        <v>-6</v>
      </c>
      <c r="AW431">
        <f t="shared" si="73"/>
        <v>-5</v>
      </c>
      <c r="AX431">
        <f t="shared" si="74"/>
        <v>-4</v>
      </c>
      <c r="AY431">
        <f t="shared" si="75"/>
        <v>-3</v>
      </c>
      <c r="AZ431" t="str">
        <f t="shared" si="76"/>
        <v>TDP HardCore</v>
      </c>
    </row>
    <row r="432" spans="1:52" x14ac:dyDescent="0.3">
      <c r="A432" t="s">
        <v>2513</v>
      </c>
      <c r="B432" s="94">
        <v>46045</v>
      </c>
      <c r="C432" t="s">
        <v>2514</v>
      </c>
      <c r="D432" t="s">
        <v>2515</v>
      </c>
      <c r="E432" t="s">
        <v>2215</v>
      </c>
      <c r="F432" t="s">
        <v>69</v>
      </c>
      <c r="G432" t="s">
        <v>39</v>
      </c>
      <c r="H432" t="s">
        <v>2516</v>
      </c>
      <c r="I432" t="s">
        <v>59</v>
      </c>
      <c r="J432" t="s">
        <v>219</v>
      </c>
      <c r="K432" t="s">
        <v>221</v>
      </c>
      <c r="L432" t="s">
        <v>75</v>
      </c>
      <c r="M432" t="s">
        <v>51</v>
      </c>
      <c r="N432" t="s">
        <v>63</v>
      </c>
      <c r="O432" t="s">
        <v>2517</v>
      </c>
      <c r="P432">
        <v>9618827143</v>
      </c>
      <c r="Q432" t="s">
        <v>54</v>
      </c>
      <c r="R432" t="s">
        <v>73</v>
      </c>
      <c r="S432" t="s">
        <v>43</v>
      </c>
      <c r="T432" t="s">
        <v>43</v>
      </c>
      <c r="U432" t="s">
        <v>44</v>
      </c>
      <c r="V432" t="s">
        <v>45</v>
      </c>
      <c r="W432" t="s">
        <v>5087</v>
      </c>
      <c r="X432" t="s">
        <v>45</v>
      </c>
      <c r="Y432" t="s">
        <v>46</v>
      </c>
      <c r="Z432" t="s">
        <v>47</v>
      </c>
      <c r="AA432" t="s">
        <v>48</v>
      </c>
      <c r="AB432" t="s">
        <v>49</v>
      </c>
      <c r="AC432" t="s">
        <v>49</v>
      </c>
      <c r="AD432" t="s">
        <v>494</v>
      </c>
      <c r="AE432" t="s">
        <v>185</v>
      </c>
      <c r="AF432">
        <v>0</v>
      </c>
      <c r="AG432" t="s">
        <v>196</v>
      </c>
      <c r="AH432" s="93">
        <f>VLOOKUP(Table1[[#This Row],[Caste]],Factor!$H$1:$K$13,4,0)</f>
        <v>1.1461625511156397</v>
      </c>
      <c r="AI43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32">
        <f>Table1[[#This Row],[Factor_1]]*Table1[[#This Row],[2024 Factor]]</f>
        <v>0.77721139583220644</v>
      </c>
      <c r="AK432">
        <f>VLOOKUP(Table1[[#This Row],[Q18: Gender]],Factor!$A$33:$E$35,5,0)</f>
        <v>0.85034013605442171</v>
      </c>
      <c r="AL432">
        <f>VLOOKUP(Table1[[#This Row],[Taluka]],Factor!$A$42:$G$46,7,0)</f>
        <v>1.147984664167413</v>
      </c>
      <c r="AM432">
        <f>VLOOKUP(Table1[[#This Row],[Caste]]&amp;Table1[[#This Row],[Q18: Gender]],Factor!$W$1:$X$23,2,0)</f>
        <v>0.71995135120329123</v>
      </c>
      <c r="AN432">
        <f>VLOOKUP(Table1[[#This Row],[Taluka]]&amp;Table1[[#This Row],[Caste]]&amp;Table1[[#This Row],[Q18: Gender]],Factor!$AK$4:$AL$93,2,0)</f>
        <v>0.54319084681293095</v>
      </c>
      <c r="AO432">
        <f t="shared" si="66"/>
        <v>-1</v>
      </c>
      <c r="AP432">
        <f t="shared" si="67"/>
        <v>-1</v>
      </c>
      <c r="AQ432">
        <f t="shared" si="68"/>
        <v>-1</v>
      </c>
      <c r="AR432">
        <f t="shared" si="69"/>
        <v>-1</v>
      </c>
      <c r="AS432">
        <f t="shared" si="70"/>
        <v>-1</v>
      </c>
      <c r="AT432">
        <f t="shared" si="71"/>
        <v>-1</v>
      </c>
      <c r="AU432">
        <f t="shared" si="72"/>
        <v>-5.5</v>
      </c>
      <c r="AV432">
        <f>SUM(Table1[[#This Row],[Satis]:[29]])</f>
        <v>-6</v>
      </c>
      <c r="AW432">
        <f t="shared" si="73"/>
        <v>-5</v>
      </c>
      <c r="AX432">
        <f t="shared" si="74"/>
        <v>-4</v>
      </c>
      <c r="AY432">
        <f t="shared" si="75"/>
        <v>-3</v>
      </c>
      <c r="AZ432" t="str">
        <f t="shared" si="76"/>
        <v>TDP HardCore</v>
      </c>
    </row>
    <row r="433" spans="1:52" x14ac:dyDescent="0.3">
      <c r="A433" t="s">
        <v>2518</v>
      </c>
      <c r="B433" s="94">
        <v>46045</v>
      </c>
      <c r="C433" t="s">
        <v>2519</v>
      </c>
      <c r="D433" t="s">
        <v>2520</v>
      </c>
      <c r="E433" t="s">
        <v>2245</v>
      </c>
      <c r="F433" t="s">
        <v>240</v>
      </c>
      <c r="G433" t="s">
        <v>39</v>
      </c>
      <c r="H433" t="s">
        <v>2521</v>
      </c>
      <c r="I433" t="s">
        <v>168</v>
      </c>
      <c r="J433" t="s">
        <v>37</v>
      </c>
      <c r="K433" t="s">
        <v>80</v>
      </c>
      <c r="L433" t="s">
        <v>451</v>
      </c>
      <c r="M433" t="s">
        <v>51</v>
      </c>
      <c r="N433" t="s">
        <v>107</v>
      </c>
      <c r="O433" t="s">
        <v>2522</v>
      </c>
      <c r="P433">
        <v>9550499408</v>
      </c>
      <c r="Q433" t="s">
        <v>445</v>
      </c>
      <c r="R433" t="s">
        <v>139</v>
      </c>
      <c r="S433" t="s">
        <v>88</v>
      </c>
      <c r="T433" t="s">
        <v>43</v>
      </c>
      <c r="U433" t="s">
        <v>44</v>
      </c>
      <c r="V433" t="s">
        <v>45</v>
      </c>
      <c r="W433" t="s">
        <v>5056</v>
      </c>
      <c r="X433" t="s">
        <v>45</v>
      </c>
      <c r="Y433" t="s">
        <v>46</v>
      </c>
      <c r="Z433" t="s">
        <v>47</v>
      </c>
      <c r="AA433" t="s">
        <v>48</v>
      </c>
      <c r="AB433" t="s">
        <v>49</v>
      </c>
      <c r="AC433" t="s">
        <v>49</v>
      </c>
      <c r="AD433" t="s">
        <v>494</v>
      </c>
      <c r="AE433" t="s">
        <v>185</v>
      </c>
      <c r="AF433">
        <v>0</v>
      </c>
      <c r="AG433" t="s">
        <v>196</v>
      </c>
      <c r="AH433" s="93">
        <f>VLOOKUP(Table1[[#This Row],[Caste]],Factor!$H$1:$K$13,4,0)</f>
        <v>1.0478809952686368</v>
      </c>
      <c r="AI43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33">
        <f>Table1[[#This Row],[Factor_1]]*Table1[[#This Row],[2024 Factor]]</f>
        <v>1.7911020357040086</v>
      </c>
      <c r="AK433">
        <f>VLOOKUP(Table1[[#This Row],[Q18: Gender]],Factor!$A$33:$E$35,5,0)</f>
        <v>2.1645021645021645</v>
      </c>
      <c r="AL433">
        <f>VLOOKUP(Table1[[#This Row],[Taluka]],Factor!$A$42:$G$46,7,0)</f>
        <v>0.75433779645928134</v>
      </c>
      <c r="AM433">
        <f>VLOOKUP(Table1[[#This Row],[Caste]]&amp;Table1[[#This Row],[Q18: Gender]],Factor!$W$1:$X$23,2,0)</f>
        <v>1.6591449091753416</v>
      </c>
      <c r="AN433">
        <f>VLOOKUP(Table1[[#This Row],[Taluka]]&amp;Table1[[#This Row],[Caste]]&amp;Table1[[#This Row],[Q18: Gender]],Factor!$AK$4:$AL$93,2,0)</f>
        <v>0.55944540451290081</v>
      </c>
      <c r="AO433">
        <f t="shared" si="66"/>
        <v>-1</v>
      </c>
      <c r="AP433">
        <f t="shared" si="67"/>
        <v>-1</v>
      </c>
      <c r="AQ433">
        <f t="shared" si="68"/>
        <v>-1</v>
      </c>
      <c r="AR433">
        <f t="shared" si="69"/>
        <v>-1</v>
      </c>
      <c r="AS433">
        <f t="shared" si="70"/>
        <v>-1</v>
      </c>
      <c r="AT433">
        <f t="shared" si="71"/>
        <v>-1</v>
      </c>
      <c r="AU433">
        <f t="shared" si="72"/>
        <v>-5.5</v>
      </c>
      <c r="AV433">
        <f>SUM(Table1[[#This Row],[Satis]:[29]])</f>
        <v>-6</v>
      </c>
      <c r="AW433">
        <f t="shared" si="73"/>
        <v>-5</v>
      </c>
      <c r="AX433">
        <f t="shared" si="74"/>
        <v>-4</v>
      </c>
      <c r="AY433">
        <f t="shared" si="75"/>
        <v>-3</v>
      </c>
      <c r="AZ433" t="str">
        <f t="shared" si="76"/>
        <v>TDP HardCore</v>
      </c>
    </row>
    <row r="434" spans="1:52" x14ac:dyDescent="0.3">
      <c r="A434" t="s">
        <v>2523</v>
      </c>
      <c r="B434" s="94">
        <v>46045</v>
      </c>
      <c r="C434" t="s">
        <v>2524</v>
      </c>
      <c r="D434" t="s">
        <v>2525</v>
      </c>
      <c r="E434" t="s">
        <v>2215</v>
      </c>
      <c r="F434" t="s">
        <v>69</v>
      </c>
      <c r="G434" t="s">
        <v>39</v>
      </c>
      <c r="H434" t="s">
        <v>2526</v>
      </c>
      <c r="I434" t="s">
        <v>227</v>
      </c>
      <c r="J434" t="s">
        <v>219</v>
      </c>
      <c r="K434" t="s">
        <v>221</v>
      </c>
      <c r="L434" t="s">
        <v>451</v>
      </c>
      <c r="M434" t="s">
        <v>51</v>
      </c>
      <c r="N434" t="s">
        <v>63</v>
      </c>
      <c r="O434" t="s">
        <v>2527</v>
      </c>
      <c r="P434">
        <v>9999999999</v>
      </c>
      <c r="Q434" t="s">
        <v>445</v>
      </c>
      <c r="R434" t="s">
        <v>61</v>
      </c>
      <c r="S434" t="s">
        <v>43</v>
      </c>
      <c r="T434" t="s">
        <v>43</v>
      </c>
      <c r="U434" t="s">
        <v>90</v>
      </c>
      <c r="V434" t="s">
        <v>91</v>
      </c>
      <c r="W434" t="s">
        <v>5083</v>
      </c>
      <c r="X434" t="s">
        <v>45</v>
      </c>
      <c r="Y434" t="s">
        <v>46</v>
      </c>
      <c r="Z434" t="s">
        <v>47</v>
      </c>
      <c r="AA434" t="s">
        <v>48</v>
      </c>
      <c r="AB434" t="s">
        <v>49</v>
      </c>
      <c r="AC434" t="s">
        <v>49</v>
      </c>
      <c r="AD434" t="s">
        <v>494</v>
      </c>
      <c r="AE434" t="s">
        <v>189</v>
      </c>
      <c r="AF434" t="s">
        <v>2983</v>
      </c>
      <c r="AG434" t="s">
        <v>196</v>
      </c>
      <c r="AH434" s="93">
        <f>VLOOKUP(Table1[[#This Row],[Caste]],Factor!$H$1:$K$13,4,0)</f>
        <v>1.2612194085121222</v>
      </c>
      <c r="AI43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34">
        <f>Table1[[#This Row],[Factor_1]]*Table1[[#This Row],[2024 Factor]]</f>
        <v>2.6155674106916162</v>
      </c>
      <c r="AK434">
        <f>VLOOKUP(Table1[[#This Row],[Q18: Gender]],Factor!$A$33:$E$35,5,0)</f>
        <v>2.1645021645021645</v>
      </c>
      <c r="AL434">
        <f>VLOOKUP(Table1[[#This Row],[Taluka]],Factor!$A$42:$G$46,7,0)</f>
        <v>1.147984664167413</v>
      </c>
      <c r="AM434">
        <f>VLOOKUP(Table1[[#This Row],[Caste]]&amp;Table1[[#This Row],[Q18: Gender]],Factor!$W$1:$X$23,2,0)</f>
        <v>2.4228688637206557</v>
      </c>
      <c r="AN434">
        <f>VLOOKUP(Table1[[#This Row],[Taluka]]&amp;Table1[[#This Row],[Caste]]&amp;Table1[[#This Row],[Q18: Gender]],Factor!$AK$4:$AL$93,2,0)</f>
        <v>2.2107623881946901</v>
      </c>
      <c r="AO434">
        <f t="shared" si="66"/>
        <v>-1</v>
      </c>
      <c r="AP434">
        <f t="shared" si="67"/>
        <v>1</v>
      </c>
      <c r="AQ434">
        <f t="shared" si="68"/>
        <v>1</v>
      </c>
      <c r="AR434">
        <f t="shared" si="69"/>
        <v>-1</v>
      </c>
      <c r="AS434">
        <f t="shared" si="70"/>
        <v>-1</v>
      </c>
      <c r="AT434">
        <f t="shared" si="71"/>
        <v>-1</v>
      </c>
      <c r="AU434">
        <f t="shared" si="72"/>
        <v>-1.5</v>
      </c>
      <c r="AV434">
        <f>SUM(Table1[[#This Row],[Satis]:[29]])</f>
        <v>-2</v>
      </c>
      <c r="AW434">
        <f t="shared" si="73"/>
        <v>-3</v>
      </c>
      <c r="AX434">
        <f t="shared" si="74"/>
        <v>-2</v>
      </c>
      <c r="AY434">
        <f t="shared" si="75"/>
        <v>-3</v>
      </c>
      <c r="AZ434" t="str">
        <f t="shared" si="76"/>
        <v>Neutral TDP</v>
      </c>
    </row>
    <row r="435" spans="1:52" x14ac:dyDescent="0.3">
      <c r="A435" t="s">
        <v>2528</v>
      </c>
      <c r="B435" s="94">
        <v>46045</v>
      </c>
      <c r="C435" t="s">
        <v>2529</v>
      </c>
      <c r="D435" t="s">
        <v>2530</v>
      </c>
      <c r="E435" t="s">
        <v>2531</v>
      </c>
      <c r="F435" t="s">
        <v>935</v>
      </c>
      <c r="G435" t="s">
        <v>39</v>
      </c>
      <c r="H435" t="s">
        <v>2532</v>
      </c>
      <c r="I435" t="s">
        <v>70</v>
      </c>
      <c r="J435" s="112" t="s">
        <v>203</v>
      </c>
      <c r="K435" s="112" t="s">
        <v>205</v>
      </c>
      <c r="L435" t="s">
        <v>62</v>
      </c>
      <c r="M435" t="s">
        <v>443</v>
      </c>
      <c r="N435" t="s">
        <v>52</v>
      </c>
      <c r="O435" t="s">
        <v>2533</v>
      </c>
      <c r="P435">
        <v>8550496452</v>
      </c>
      <c r="Q435" t="s">
        <v>54</v>
      </c>
      <c r="R435" t="s">
        <v>132</v>
      </c>
      <c r="S435" t="s">
        <v>43</v>
      </c>
      <c r="T435" t="s">
        <v>89</v>
      </c>
      <c r="U435" t="s">
        <v>90</v>
      </c>
      <c r="V435" t="s">
        <v>91</v>
      </c>
      <c r="W435" t="s">
        <v>5087</v>
      </c>
      <c r="X435" t="s">
        <v>91</v>
      </c>
      <c r="Y435" t="s">
        <v>46</v>
      </c>
      <c r="Z435" t="s">
        <v>92</v>
      </c>
      <c r="AA435" t="s">
        <v>92</v>
      </c>
      <c r="AB435" t="s">
        <v>93</v>
      </c>
      <c r="AC435" t="s">
        <v>94</v>
      </c>
      <c r="AD435" t="s">
        <v>494</v>
      </c>
      <c r="AE435" t="s">
        <v>189</v>
      </c>
      <c r="AF435" t="s">
        <v>1853</v>
      </c>
      <c r="AG435" t="s">
        <v>196</v>
      </c>
      <c r="AH435" s="93">
        <f>VLOOKUP(Table1[[#This Row],[Caste]],Factor!$H$1:$K$13,4,0)</f>
        <v>1.3836274505214585</v>
      </c>
      <c r="AI435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435">
        <f>Table1[[#This Row],[Factor_1]]*Table1[[#This Row],[2024 Factor]]</f>
        <v>1.9482662206881376</v>
      </c>
      <c r="AK435">
        <f>VLOOKUP(Table1[[#This Row],[Q18: Gender]],Factor!$A$33:$E$35,5,0)</f>
        <v>0.85034013605442171</v>
      </c>
      <c r="AL435">
        <f>VLOOKUP(Table1[[#This Row],[Taluka]],Factor!$A$42:$G$46,7,0)</f>
        <v>1.9264642089343564</v>
      </c>
      <c r="AM435">
        <f>VLOOKUP(Table1[[#This Row],[Caste]]&amp;Table1[[#This Row],[Q18: Gender]],Factor!$W$1:$X$23,2,0)</f>
        <v>1.0790228998469584</v>
      </c>
      <c r="AN435">
        <f>VLOOKUP(Table1[[#This Row],[Taluka]]&amp;Table1[[#This Row],[Caste]]&amp;Table1[[#This Row],[Q18: Gender]],Factor!$AK$4:$AL$93,2,0)</f>
        <v>2.1355167697651956</v>
      </c>
      <c r="AO435">
        <f t="shared" si="66"/>
        <v>1</v>
      </c>
      <c r="AP435">
        <f t="shared" si="67"/>
        <v>1</v>
      </c>
      <c r="AQ435">
        <f t="shared" si="68"/>
        <v>1</v>
      </c>
      <c r="AR435">
        <f t="shared" si="69"/>
        <v>1</v>
      </c>
      <c r="AS435">
        <f t="shared" si="70"/>
        <v>1</v>
      </c>
      <c r="AT435">
        <f t="shared" si="71"/>
        <v>1</v>
      </c>
      <c r="AU435">
        <f t="shared" si="72"/>
        <v>5.5</v>
      </c>
      <c r="AV435">
        <f>SUM(Table1[[#This Row],[Satis]:[29]])</f>
        <v>6</v>
      </c>
      <c r="AW435">
        <f t="shared" si="73"/>
        <v>5</v>
      </c>
      <c r="AX435">
        <f t="shared" si="74"/>
        <v>4</v>
      </c>
      <c r="AY435">
        <f t="shared" si="75"/>
        <v>3</v>
      </c>
      <c r="AZ435" t="str">
        <f t="shared" si="76"/>
        <v>YSRCP HardCore</v>
      </c>
    </row>
    <row r="436" spans="1:52" x14ac:dyDescent="0.3">
      <c r="A436" t="s">
        <v>2534</v>
      </c>
      <c r="B436" s="94">
        <v>46045</v>
      </c>
      <c r="C436" t="s">
        <v>2535</v>
      </c>
      <c r="D436" t="s">
        <v>2536</v>
      </c>
      <c r="E436" t="s">
        <v>2174</v>
      </c>
      <c r="F436" t="s">
        <v>69</v>
      </c>
      <c r="G436" t="s">
        <v>39</v>
      </c>
      <c r="H436" t="s">
        <v>2537</v>
      </c>
      <c r="I436" t="s">
        <v>227</v>
      </c>
      <c r="J436" t="s">
        <v>219</v>
      </c>
      <c r="K436" t="s">
        <v>221</v>
      </c>
      <c r="L436" t="s">
        <v>62</v>
      </c>
      <c r="M436" t="s">
        <v>51</v>
      </c>
      <c r="N436" t="s">
        <v>162</v>
      </c>
      <c r="O436" t="s">
        <v>1606</v>
      </c>
      <c r="P436">
        <v>9177319382</v>
      </c>
      <c r="Q436" t="s">
        <v>54</v>
      </c>
      <c r="R436" t="s">
        <v>73</v>
      </c>
      <c r="S436" t="s">
        <v>43</v>
      </c>
      <c r="T436" t="s">
        <v>43</v>
      </c>
      <c r="U436" t="s">
        <v>90</v>
      </c>
      <c r="V436" t="s">
        <v>45</v>
      </c>
      <c r="W436" t="s">
        <v>5061</v>
      </c>
      <c r="X436" t="s">
        <v>45</v>
      </c>
      <c r="Y436" t="s">
        <v>46</v>
      </c>
      <c r="Z436" t="s">
        <v>47</v>
      </c>
      <c r="AA436" t="s">
        <v>48</v>
      </c>
      <c r="AB436" t="s">
        <v>49</v>
      </c>
      <c r="AC436" t="s">
        <v>49</v>
      </c>
      <c r="AD436" t="s">
        <v>481</v>
      </c>
      <c r="AE436" t="s">
        <v>185</v>
      </c>
      <c r="AF436">
        <v>0</v>
      </c>
      <c r="AG436" t="s">
        <v>196</v>
      </c>
      <c r="AH436" s="93">
        <f>VLOOKUP(Table1[[#This Row],[Caste]],Factor!$H$1:$K$13,4,0)</f>
        <v>1.2612194085121222</v>
      </c>
      <c r="AI43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36">
        <f>Table1[[#This Row],[Factor_1]]*Table1[[#This Row],[2024 Factor]]</f>
        <v>0.92029223709519836</v>
      </c>
      <c r="AK436">
        <f>VLOOKUP(Table1[[#This Row],[Q18: Gender]],Factor!$A$33:$E$35,5,0)</f>
        <v>0.85034013605442171</v>
      </c>
      <c r="AL436">
        <f>VLOOKUP(Table1[[#This Row],[Taluka]],Factor!$A$42:$G$46,7,0)</f>
        <v>1.147984664167413</v>
      </c>
      <c r="AM436">
        <f>VLOOKUP(Table1[[#This Row],[Caste]]&amp;Table1[[#This Row],[Q18: Gender]],Factor!$W$1:$X$23,2,0)</f>
        <v>0.85249089649430487</v>
      </c>
      <c r="AN436">
        <f>VLOOKUP(Table1[[#This Row],[Taluka]]&amp;Table1[[#This Row],[Caste]]&amp;Table1[[#This Row],[Q18: Gender]],Factor!$AK$4:$AL$93,2,0)</f>
        <v>0.41451794778650441</v>
      </c>
      <c r="AO436">
        <f t="shared" si="66"/>
        <v>-1</v>
      </c>
      <c r="AP436">
        <f t="shared" si="67"/>
        <v>1</v>
      </c>
      <c r="AQ436">
        <f t="shared" si="68"/>
        <v>-1</v>
      </c>
      <c r="AR436">
        <f t="shared" si="69"/>
        <v>-1</v>
      </c>
      <c r="AS436">
        <f t="shared" si="70"/>
        <v>-1</v>
      </c>
      <c r="AT436">
        <f t="shared" si="71"/>
        <v>-1</v>
      </c>
      <c r="AU436">
        <f t="shared" si="72"/>
        <v>-3.5</v>
      </c>
      <c r="AV436">
        <f>SUM(Table1[[#This Row],[Satis]:[29]])</f>
        <v>-4</v>
      </c>
      <c r="AW436">
        <f t="shared" si="73"/>
        <v>-5</v>
      </c>
      <c r="AX436">
        <f t="shared" si="74"/>
        <v>-4</v>
      </c>
      <c r="AY436">
        <f t="shared" si="75"/>
        <v>-3</v>
      </c>
      <c r="AZ436" t="str">
        <f t="shared" si="76"/>
        <v>TDP Sympathiser</v>
      </c>
    </row>
    <row r="437" spans="1:52" x14ac:dyDescent="0.3">
      <c r="A437" t="s">
        <v>2538</v>
      </c>
      <c r="B437" s="94">
        <v>46045</v>
      </c>
      <c r="C437" t="s">
        <v>2539</v>
      </c>
      <c r="D437" t="s">
        <v>2540</v>
      </c>
      <c r="E437" t="s">
        <v>2278</v>
      </c>
      <c r="F437" t="s">
        <v>69</v>
      </c>
      <c r="G437" t="s">
        <v>39</v>
      </c>
      <c r="H437" t="s">
        <v>2541</v>
      </c>
      <c r="I437" t="s">
        <v>228</v>
      </c>
      <c r="J437" t="s">
        <v>219</v>
      </c>
      <c r="K437" t="s">
        <v>221</v>
      </c>
      <c r="L437" t="s">
        <v>82</v>
      </c>
      <c r="M437" t="s">
        <v>51</v>
      </c>
      <c r="N437" t="s">
        <v>162</v>
      </c>
      <c r="O437" t="s">
        <v>2542</v>
      </c>
      <c r="P437">
        <v>8978232250</v>
      </c>
      <c r="Q437" t="s">
        <v>54</v>
      </c>
      <c r="R437" t="s">
        <v>132</v>
      </c>
      <c r="S437" t="s">
        <v>43</v>
      </c>
      <c r="T437" t="s">
        <v>43</v>
      </c>
      <c r="U437" t="s">
        <v>44</v>
      </c>
      <c r="V437" t="s">
        <v>91</v>
      </c>
      <c r="W437" t="s">
        <v>5058</v>
      </c>
      <c r="X437" t="s">
        <v>91</v>
      </c>
      <c r="Y437" t="s">
        <v>46</v>
      </c>
      <c r="Z437" t="s">
        <v>92</v>
      </c>
      <c r="AA437" t="s">
        <v>92</v>
      </c>
      <c r="AB437" t="s">
        <v>93</v>
      </c>
      <c r="AC437" t="s">
        <v>94</v>
      </c>
      <c r="AD437" t="s">
        <v>481</v>
      </c>
      <c r="AE437" t="s">
        <v>185</v>
      </c>
      <c r="AF437">
        <v>0</v>
      </c>
      <c r="AG437" t="s">
        <v>196</v>
      </c>
      <c r="AH437" s="93">
        <f>VLOOKUP(Table1[[#This Row],[Caste]],Factor!$H$1:$K$13,4,0)</f>
        <v>0.80207032429970992</v>
      </c>
      <c r="AI437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437">
        <f>Table1[[#This Row],[Factor_1]]*Table1[[#This Row],[2024 Factor]]</f>
        <v>1.0971251128803523</v>
      </c>
      <c r="AK437">
        <f>VLOOKUP(Table1[[#This Row],[Q18: Gender]],Factor!$A$33:$E$35,5,0)</f>
        <v>0.85034013605442171</v>
      </c>
      <c r="AL437">
        <f>VLOOKUP(Table1[[#This Row],[Taluka]],Factor!$A$42:$G$46,7,0)</f>
        <v>1.147984664167413</v>
      </c>
      <c r="AM437">
        <f>VLOOKUP(Table1[[#This Row],[Caste]]&amp;Table1[[#This Row],[Q18: Gender]],Factor!$W$1:$X$23,2,0)</f>
        <v>0.60762903356038633</v>
      </c>
      <c r="AN437">
        <f>VLOOKUP(Table1[[#This Row],[Taluka]]&amp;Table1[[#This Row],[Caste]]&amp;Table1[[#This Row],[Q18: Gender]],Factor!$AK$4:$AL$93,2,0)</f>
        <v>1.1555593620092124</v>
      </c>
      <c r="AO437">
        <f t="shared" si="66"/>
        <v>-1</v>
      </c>
      <c r="AP437">
        <f t="shared" si="67"/>
        <v>-1</v>
      </c>
      <c r="AQ437">
        <f t="shared" si="68"/>
        <v>1</v>
      </c>
      <c r="AR437">
        <f t="shared" si="69"/>
        <v>1</v>
      </c>
      <c r="AS437">
        <f t="shared" si="70"/>
        <v>1</v>
      </c>
      <c r="AT437">
        <f t="shared" si="71"/>
        <v>1</v>
      </c>
      <c r="AU437">
        <f t="shared" si="72"/>
        <v>1.5</v>
      </c>
      <c r="AV437">
        <f>SUM(Table1[[#This Row],[Satis]:[29]])</f>
        <v>2</v>
      </c>
      <c r="AW437">
        <f t="shared" si="73"/>
        <v>3</v>
      </c>
      <c r="AX437">
        <f t="shared" si="74"/>
        <v>4</v>
      </c>
      <c r="AY437">
        <f t="shared" si="75"/>
        <v>2</v>
      </c>
      <c r="AZ437" t="str">
        <f t="shared" si="76"/>
        <v>YSRCP Sympathiser</v>
      </c>
    </row>
    <row r="438" spans="1:52" x14ac:dyDescent="0.3">
      <c r="A438" t="s">
        <v>2543</v>
      </c>
      <c r="B438" s="94">
        <v>46045</v>
      </c>
      <c r="C438" t="s">
        <v>2544</v>
      </c>
      <c r="D438" t="s">
        <v>2545</v>
      </c>
      <c r="E438" t="s">
        <v>2546</v>
      </c>
      <c r="F438" t="s">
        <v>2547</v>
      </c>
      <c r="G438" t="s">
        <v>39</v>
      </c>
      <c r="H438" t="s">
        <v>2548</v>
      </c>
      <c r="I438" t="s">
        <v>70</v>
      </c>
      <c r="J438" t="s">
        <v>219</v>
      </c>
      <c r="K438" t="s">
        <v>222</v>
      </c>
      <c r="L438" t="s">
        <v>62</v>
      </c>
      <c r="M438" t="s">
        <v>443</v>
      </c>
      <c r="N438" t="s">
        <v>52</v>
      </c>
      <c r="O438" t="s">
        <v>2549</v>
      </c>
      <c r="P438">
        <v>8897002705</v>
      </c>
      <c r="Q438" t="s">
        <v>54</v>
      </c>
      <c r="R438" t="s">
        <v>61</v>
      </c>
      <c r="S438" t="s">
        <v>43</v>
      </c>
      <c r="T438" t="s">
        <v>89</v>
      </c>
      <c r="U438" t="s">
        <v>44</v>
      </c>
      <c r="V438" t="s">
        <v>91</v>
      </c>
      <c r="W438" t="s">
        <v>5062</v>
      </c>
      <c r="X438" t="s">
        <v>91</v>
      </c>
      <c r="Y438" t="s">
        <v>46</v>
      </c>
      <c r="Z438" t="s">
        <v>92</v>
      </c>
      <c r="AA438" t="s">
        <v>92</v>
      </c>
      <c r="AB438" t="s">
        <v>93</v>
      </c>
      <c r="AC438" t="s">
        <v>381</v>
      </c>
      <c r="AD438" t="s">
        <v>481</v>
      </c>
      <c r="AE438" t="s">
        <v>185</v>
      </c>
      <c r="AF438" t="s">
        <v>2984</v>
      </c>
      <c r="AG438" t="s">
        <v>196</v>
      </c>
      <c r="AH438" s="93">
        <f>VLOOKUP(Table1[[#This Row],[Caste]],Factor!$H$1:$K$13,4,0)</f>
        <v>1.3836274505214585</v>
      </c>
      <c r="AI438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438">
        <f>Table1[[#This Row],[Factor_1]]*Table1[[#This Row],[2024 Factor]]</f>
        <v>1.9482662206881376</v>
      </c>
      <c r="AK438">
        <f>VLOOKUP(Table1[[#This Row],[Q18: Gender]],Factor!$A$33:$E$35,5,0)</f>
        <v>0.85034013605442171</v>
      </c>
      <c r="AL438">
        <f>VLOOKUP(Table1[[#This Row],[Taluka]],Factor!$A$42:$G$46,7,0)</f>
        <v>1.147984664167413</v>
      </c>
      <c r="AM438">
        <f>VLOOKUP(Table1[[#This Row],[Caste]]&amp;Table1[[#This Row],[Q18: Gender]],Factor!$W$1:$X$23,2,0)</f>
        <v>1.0790228998469584</v>
      </c>
      <c r="AN438">
        <f>VLOOKUP(Table1[[#This Row],[Taluka]]&amp;Table1[[#This Row],[Caste]]&amp;Table1[[#This Row],[Q18: Gender]],Factor!$AK$4:$AL$93,2,0)</f>
        <v>1.1572915102003449</v>
      </c>
      <c r="AO438">
        <f t="shared" si="66"/>
        <v>1</v>
      </c>
      <c r="AP438">
        <f t="shared" si="67"/>
        <v>-1</v>
      </c>
      <c r="AQ438">
        <f t="shared" si="68"/>
        <v>1</v>
      </c>
      <c r="AR438">
        <f t="shared" si="69"/>
        <v>1</v>
      </c>
      <c r="AS438">
        <f t="shared" si="70"/>
        <v>1</v>
      </c>
      <c r="AT438">
        <f t="shared" si="71"/>
        <v>1</v>
      </c>
      <c r="AU438">
        <f t="shared" si="72"/>
        <v>3.5</v>
      </c>
      <c r="AV438">
        <f>SUM(Table1[[#This Row],[Satis]:[29]])</f>
        <v>4</v>
      </c>
      <c r="AW438">
        <f t="shared" si="73"/>
        <v>5</v>
      </c>
      <c r="AX438">
        <f t="shared" si="74"/>
        <v>4</v>
      </c>
      <c r="AY438">
        <f t="shared" si="75"/>
        <v>3</v>
      </c>
      <c r="AZ438" t="str">
        <f t="shared" si="76"/>
        <v>YSRCP Sympathiser</v>
      </c>
    </row>
    <row r="439" spans="1:52" x14ac:dyDescent="0.3">
      <c r="A439" t="s">
        <v>2550</v>
      </c>
      <c r="B439" s="94">
        <v>46045</v>
      </c>
      <c r="C439" t="s">
        <v>2551</v>
      </c>
      <c r="D439" t="s">
        <v>2552</v>
      </c>
      <c r="E439" t="s">
        <v>2553</v>
      </c>
      <c r="F439" t="s">
        <v>935</v>
      </c>
      <c r="G439" t="s">
        <v>39</v>
      </c>
      <c r="H439" t="s">
        <v>2554</v>
      </c>
      <c r="I439" t="s">
        <v>70</v>
      </c>
      <c r="J439" s="112" t="s">
        <v>203</v>
      </c>
      <c r="K439" s="112" t="s">
        <v>205</v>
      </c>
      <c r="L439" t="s">
        <v>62</v>
      </c>
      <c r="M439" t="s">
        <v>443</v>
      </c>
      <c r="N439" t="s">
        <v>52</v>
      </c>
      <c r="O439" t="s">
        <v>2555</v>
      </c>
      <c r="P439">
        <v>8142703842</v>
      </c>
      <c r="Q439" t="s">
        <v>445</v>
      </c>
      <c r="R439" t="s">
        <v>132</v>
      </c>
      <c r="S439" t="s">
        <v>43</v>
      </c>
      <c r="T439" t="s">
        <v>43</v>
      </c>
      <c r="U439" t="s">
        <v>90</v>
      </c>
      <c r="V439" t="s">
        <v>91</v>
      </c>
      <c r="W439" t="s">
        <v>5057</v>
      </c>
      <c r="X439" t="s">
        <v>91</v>
      </c>
      <c r="Y439" t="s">
        <v>46</v>
      </c>
      <c r="Z439" t="s">
        <v>92</v>
      </c>
      <c r="AA439" t="s">
        <v>92</v>
      </c>
      <c r="AB439" t="s">
        <v>93</v>
      </c>
      <c r="AC439" t="s">
        <v>94</v>
      </c>
      <c r="AD439" t="s">
        <v>481</v>
      </c>
      <c r="AE439" t="s">
        <v>189</v>
      </c>
      <c r="AF439" t="s">
        <v>2985</v>
      </c>
      <c r="AG439" t="s">
        <v>196</v>
      </c>
      <c r="AH439" s="93">
        <f>VLOOKUP(Table1[[#This Row],[Caste]],Factor!$H$1:$K$13,4,0)</f>
        <v>1.3836274505214585</v>
      </c>
      <c r="AI439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439">
        <f>Table1[[#This Row],[Factor_1]]*Table1[[#This Row],[2024 Factor]]</f>
        <v>3.4809023142961388</v>
      </c>
      <c r="AK439">
        <f>VLOOKUP(Table1[[#This Row],[Q18: Gender]],Factor!$A$33:$E$35,5,0)</f>
        <v>2.1645021645021645</v>
      </c>
      <c r="AL439">
        <f>VLOOKUP(Table1[[#This Row],[Taluka]],Factor!$A$42:$G$46,7,0)</f>
        <v>1.9264642089343564</v>
      </c>
      <c r="AM439">
        <f>VLOOKUP(Table1[[#This Row],[Caste]]&amp;Table1[[#This Row],[Q18: Gender]],Factor!$W$1:$X$23,2,0)</f>
        <v>1.9278542477265657</v>
      </c>
      <c r="AN439">
        <f>VLOOKUP(Table1[[#This Row],[Taluka]]&amp;Table1[[#This Row],[Caste]]&amp;Table1[[#This Row],[Q18: Gender]],Factor!$AK$4:$AL$93,2,0)</f>
        <v>4.0768956513699193</v>
      </c>
      <c r="AO439">
        <f t="shared" si="66"/>
        <v>-1</v>
      </c>
      <c r="AP439">
        <f t="shared" si="67"/>
        <v>1</v>
      </c>
      <c r="AQ439">
        <f t="shared" si="68"/>
        <v>1</v>
      </c>
      <c r="AR439">
        <f t="shared" si="69"/>
        <v>1</v>
      </c>
      <c r="AS439">
        <f t="shared" si="70"/>
        <v>1</v>
      </c>
      <c r="AT439">
        <f t="shared" si="71"/>
        <v>1</v>
      </c>
      <c r="AU439">
        <f t="shared" si="72"/>
        <v>3.5</v>
      </c>
      <c r="AV439">
        <f>SUM(Table1[[#This Row],[Satis]:[29]])</f>
        <v>4</v>
      </c>
      <c r="AW439">
        <f t="shared" si="73"/>
        <v>3</v>
      </c>
      <c r="AX439">
        <f t="shared" si="74"/>
        <v>4</v>
      </c>
      <c r="AY439">
        <f t="shared" si="75"/>
        <v>2</v>
      </c>
      <c r="AZ439" t="str">
        <f t="shared" si="76"/>
        <v>YSRCP Sympathiser</v>
      </c>
    </row>
    <row r="440" spans="1:52" x14ac:dyDescent="0.3">
      <c r="A440" t="s">
        <v>2556</v>
      </c>
      <c r="B440" s="94">
        <v>46045</v>
      </c>
      <c r="C440" t="s">
        <v>2557</v>
      </c>
      <c r="D440" t="s">
        <v>2558</v>
      </c>
      <c r="E440" t="s">
        <v>1352</v>
      </c>
      <c r="F440" t="s">
        <v>69</v>
      </c>
      <c r="G440" t="s">
        <v>39</v>
      </c>
      <c r="H440" t="s">
        <v>2559</v>
      </c>
      <c r="I440" t="s">
        <v>59</v>
      </c>
      <c r="J440" t="s">
        <v>219</v>
      </c>
      <c r="K440" t="s">
        <v>221</v>
      </c>
      <c r="L440" t="s">
        <v>75</v>
      </c>
      <c r="M440" t="s">
        <v>51</v>
      </c>
      <c r="N440" t="s">
        <v>52</v>
      </c>
      <c r="O440" t="s">
        <v>657</v>
      </c>
      <c r="P440">
        <v>9999999999</v>
      </c>
      <c r="Q440" t="s">
        <v>54</v>
      </c>
      <c r="R440" t="s">
        <v>73</v>
      </c>
      <c r="S440" t="s">
        <v>43</v>
      </c>
      <c r="T440" t="s">
        <v>43</v>
      </c>
      <c r="U440" t="s">
        <v>44</v>
      </c>
      <c r="V440" t="s">
        <v>45</v>
      </c>
      <c r="W440" t="s">
        <v>5056</v>
      </c>
      <c r="X440" t="s">
        <v>45</v>
      </c>
      <c r="Y440" t="s">
        <v>46</v>
      </c>
      <c r="Z440" t="s">
        <v>47</v>
      </c>
      <c r="AA440" t="s">
        <v>48</v>
      </c>
      <c r="AB440" t="s">
        <v>49</v>
      </c>
      <c r="AC440" t="s">
        <v>49</v>
      </c>
      <c r="AD440" t="s">
        <v>481</v>
      </c>
      <c r="AE440" t="s">
        <v>185</v>
      </c>
      <c r="AF440">
        <v>0</v>
      </c>
      <c r="AG440" t="s">
        <v>196</v>
      </c>
      <c r="AH440" s="93">
        <f>VLOOKUP(Table1[[#This Row],[Caste]],Factor!$H$1:$K$13,4,0)</f>
        <v>1.1461625511156397</v>
      </c>
      <c r="AI44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40">
        <f>Table1[[#This Row],[Factor_1]]*Table1[[#This Row],[2024 Factor]]</f>
        <v>0.77721139583220644</v>
      </c>
      <c r="AK440">
        <f>VLOOKUP(Table1[[#This Row],[Q18: Gender]],Factor!$A$33:$E$35,5,0)</f>
        <v>0.85034013605442171</v>
      </c>
      <c r="AL440">
        <f>VLOOKUP(Table1[[#This Row],[Taluka]],Factor!$A$42:$G$46,7,0)</f>
        <v>1.147984664167413</v>
      </c>
      <c r="AM440">
        <f>VLOOKUP(Table1[[#This Row],[Caste]]&amp;Table1[[#This Row],[Q18: Gender]],Factor!$W$1:$X$23,2,0)</f>
        <v>0.71995135120329123</v>
      </c>
      <c r="AN440">
        <f>VLOOKUP(Table1[[#This Row],[Taluka]]&amp;Table1[[#This Row],[Caste]]&amp;Table1[[#This Row],[Q18: Gender]],Factor!$AK$4:$AL$93,2,0)</f>
        <v>0.54319084681293095</v>
      </c>
      <c r="AO440">
        <f t="shared" si="66"/>
        <v>-1</v>
      </c>
      <c r="AP440">
        <f t="shared" si="67"/>
        <v>-1</v>
      </c>
      <c r="AQ440">
        <f t="shared" si="68"/>
        <v>-1</v>
      </c>
      <c r="AR440">
        <f t="shared" si="69"/>
        <v>-1</v>
      </c>
      <c r="AS440">
        <f t="shared" si="70"/>
        <v>-1</v>
      </c>
      <c r="AT440">
        <f t="shared" si="71"/>
        <v>-1</v>
      </c>
      <c r="AU440">
        <f t="shared" si="72"/>
        <v>-5.5</v>
      </c>
      <c r="AV440">
        <f>SUM(Table1[[#This Row],[Satis]:[29]])</f>
        <v>-6</v>
      </c>
      <c r="AW440">
        <f t="shared" si="73"/>
        <v>-5</v>
      </c>
      <c r="AX440">
        <f t="shared" si="74"/>
        <v>-4</v>
      </c>
      <c r="AY440">
        <f t="shared" si="75"/>
        <v>-3</v>
      </c>
      <c r="AZ440" t="str">
        <f t="shared" si="76"/>
        <v>TDP HardCore</v>
      </c>
    </row>
    <row r="441" spans="1:52" x14ac:dyDescent="0.3">
      <c r="A441" t="s">
        <v>2560</v>
      </c>
      <c r="B441" s="94">
        <v>46045</v>
      </c>
      <c r="C441" t="s">
        <v>2561</v>
      </c>
      <c r="D441" t="s">
        <v>2562</v>
      </c>
      <c r="E441" t="s">
        <v>2563</v>
      </c>
      <c r="F441" t="s">
        <v>2547</v>
      </c>
      <c r="G441" t="s">
        <v>39</v>
      </c>
      <c r="H441" t="s">
        <v>2564</v>
      </c>
      <c r="I441" t="s">
        <v>59</v>
      </c>
      <c r="J441" t="s">
        <v>219</v>
      </c>
      <c r="K441" t="s">
        <v>222</v>
      </c>
      <c r="L441" t="s">
        <v>50</v>
      </c>
      <c r="M441" t="s">
        <v>51</v>
      </c>
      <c r="N441" t="s">
        <v>63</v>
      </c>
      <c r="O441" t="s">
        <v>2565</v>
      </c>
      <c r="P441">
        <v>7702037347</v>
      </c>
      <c r="Q441" t="s">
        <v>54</v>
      </c>
      <c r="R441" t="s">
        <v>132</v>
      </c>
      <c r="S441" t="s">
        <v>43</v>
      </c>
      <c r="T441" t="s">
        <v>43</v>
      </c>
      <c r="U441" t="s">
        <v>44</v>
      </c>
      <c r="V441" t="s">
        <v>45</v>
      </c>
      <c r="W441" t="s">
        <v>5078</v>
      </c>
      <c r="X441" t="s">
        <v>45</v>
      </c>
      <c r="Y441" t="s">
        <v>46</v>
      </c>
      <c r="Z441" t="s">
        <v>47</v>
      </c>
      <c r="AA441" t="s">
        <v>48</v>
      </c>
      <c r="AB441" t="s">
        <v>49</v>
      </c>
      <c r="AC441" t="s">
        <v>49</v>
      </c>
      <c r="AD441" t="s">
        <v>481</v>
      </c>
      <c r="AE441" t="s">
        <v>191</v>
      </c>
      <c r="AF441" t="s">
        <v>2986</v>
      </c>
      <c r="AG441" t="s">
        <v>498</v>
      </c>
      <c r="AH441" s="93">
        <f>VLOOKUP(Table1[[#This Row],[Caste]],Factor!$H$1:$K$13,4,0)</f>
        <v>1.1461625511156397</v>
      </c>
      <c r="AI44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41">
        <f>Table1[[#This Row],[Factor_1]]*Table1[[#This Row],[2024 Factor]]</f>
        <v>0.77721139583220644</v>
      </c>
      <c r="AK441">
        <f>VLOOKUP(Table1[[#This Row],[Q18: Gender]],Factor!$A$33:$E$35,5,0)</f>
        <v>0.85034013605442171</v>
      </c>
      <c r="AL441">
        <f>VLOOKUP(Table1[[#This Row],[Taluka]],Factor!$A$42:$G$46,7,0)</f>
        <v>1.147984664167413</v>
      </c>
      <c r="AM441">
        <f>VLOOKUP(Table1[[#This Row],[Caste]]&amp;Table1[[#This Row],[Q18: Gender]],Factor!$W$1:$X$23,2,0)</f>
        <v>0.71995135120329123</v>
      </c>
      <c r="AN441">
        <f>VLOOKUP(Table1[[#This Row],[Taluka]]&amp;Table1[[#This Row],[Caste]]&amp;Table1[[#This Row],[Q18: Gender]],Factor!$AK$4:$AL$93,2,0)</f>
        <v>0.54319084681293095</v>
      </c>
      <c r="AO441">
        <f t="shared" si="66"/>
        <v>-1</v>
      </c>
      <c r="AP441">
        <f t="shared" si="67"/>
        <v>-1</v>
      </c>
      <c r="AQ441">
        <f t="shared" si="68"/>
        <v>-1</v>
      </c>
      <c r="AR441">
        <f t="shared" si="69"/>
        <v>-1</v>
      </c>
      <c r="AS441">
        <f t="shared" si="70"/>
        <v>-1</v>
      </c>
      <c r="AT441">
        <f t="shared" si="71"/>
        <v>-1</v>
      </c>
      <c r="AU441">
        <f t="shared" si="72"/>
        <v>-5.5</v>
      </c>
      <c r="AV441">
        <f>SUM(Table1[[#This Row],[Satis]:[29]])</f>
        <v>-6</v>
      </c>
      <c r="AW441">
        <f t="shared" si="73"/>
        <v>-5</v>
      </c>
      <c r="AX441">
        <f t="shared" si="74"/>
        <v>-4</v>
      </c>
      <c r="AY441">
        <f t="shared" si="75"/>
        <v>-3</v>
      </c>
      <c r="AZ441" t="str">
        <f t="shared" si="76"/>
        <v>TDP HardCore</v>
      </c>
    </row>
    <row r="442" spans="1:52" x14ac:dyDescent="0.3">
      <c r="A442" t="s">
        <v>2566</v>
      </c>
      <c r="B442" s="94">
        <v>46045</v>
      </c>
      <c r="C442" t="s">
        <v>2567</v>
      </c>
      <c r="D442" t="s">
        <v>2568</v>
      </c>
      <c r="E442" t="s">
        <v>1352</v>
      </c>
      <c r="F442" t="s">
        <v>69</v>
      </c>
      <c r="G442" t="s">
        <v>39</v>
      </c>
      <c r="H442" t="s">
        <v>2569</v>
      </c>
      <c r="I442" t="s">
        <v>70</v>
      </c>
      <c r="J442" t="s">
        <v>219</v>
      </c>
      <c r="K442" t="s">
        <v>221</v>
      </c>
      <c r="L442" t="s">
        <v>75</v>
      </c>
      <c r="M442" t="s">
        <v>443</v>
      </c>
      <c r="N442" t="s">
        <v>63</v>
      </c>
      <c r="O442" t="s">
        <v>2133</v>
      </c>
      <c r="P442">
        <v>9550155826</v>
      </c>
      <c r="Q442" t="s">
        <v>445</v>
      </c>
      <c r="R442" t="s">
        <v>73</v>
      </c>
      <c r="S442" t="s">
        <v>43</v>
      </c>
      <c r="T442" t="s">
        <v>89</v>
      </c>
      <c r="U442" t="s">
        <v>90</v>
      </c>
      <c r="V442" t="s">
        <v>91</v>
      </c>
      <c r="W442" t="s">
        <v>5064</v>
      </c>
      <c r="X442" t="s">
        <v>91</v>
      </c>
      <c r="Y442" t="s">
        <v>46</v>
      </c>
      <c r="Z442" t="s">
        <v>242</v>
      </c>
      <c r="AA442" t="s">
        <v>242</v>
      </c>
      <c r="AB442" t="s">
        <v>49</v>
      </c>
      <c r="AC442" t="s">
        <v>49</v>
      </c>
      <c r="AD442" t="s">
        <v>481</v>
      </c>
      <c r="AE442" t="s">
        <v>189</v>
      </c>
      <c r="AF442" t="s">
        <v>1860</v>
      </c>
      <c r="AG442" t="s">
        <v>196</v>
      </c>
      <c r="AH442" s="93">
        <f>VLOOKUP(Table1[[#This Row],[Caste]],Factor!$H$1:$K$13,4,0)</f>
        <v>1.3836274505214585</v>
      </c>
      <c r="AI442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442">
        <f>Table1[[#This Row],[Factor_1]]*Table1[[#This Row],[2024 Factor]]</f>
        <v>1.2753497331114214</v>
      </c>
      <c r="AK442">
        <f>VLOOKUP(Table1[[#This Row],[Q18: Gender]],Factor!$A$33:$E$35,5,0)</f>
        <v>2.1645021645021645</v>
      </c>
      <c r="AL442">
        <f>VLOOKUP(Table1[[#This Row],[Taluka]],Factor!$A$42:$G$46,7,0)</f>
        <v>1.147984664167413</v>
      </c>
      <c r="AM442">
        <f>VLOOKUP(Table1[[#This Row],[Caste]]&amp;Table1[[#This Row],[Q18: Gender]],Factor!$W$1:$X$23,2,0)</f>
        <v>1.9278542477265657</v>
      </c>
      <c r="AN442">
        <f>VLOOKUP(Table1[[#This Row],[Taluka]]&amp;Table1[[#This Row],[Caste]]&amp;Table1[[#This Row],[Q18: Gender]],Factor!$AK$4:$AL$93,2,0)</f>
        <v>3.2048072590163397</v>
      </c>
      <c r="AO442">
        <f t="shared" si="66"/>
        <v>1</v>
      </c>
      <c r="AP442">
        <f t="shared" si="67"/>
        <v>1</v>
      </c>
      <c r="AQ442">
        <f t="shared" si="68"/>
        <v>1</v>
      </c>
      <c r="AR442">
        <f t="shared" si="69"/>
        <v>1</v>
      </c>
      <c r="AS442">
        <f t="shared" si="70"/>
        <v>-1</v>
      </c>
      <c r="AT442">
        <f t="shared" si="71"/>
        <v>-1</v>
      </c>
      <c r="AU442">
        <f t="shared" si="72"/>
        <v>2.5</v>
      </c>
      <c r="AV442">
        <f>SUM(Table1[[#This Row],[Satis]:[29]])</f>
        <v>2</v>
      </c>
      <c r="AW442">
        <f t="shared" si="73"/>
        <v>1</v>
      </c>
      <c r="AX442">
        <f t="shared" si="74"/>
        <v>0</v>
      </c>
      <c r="AY442">
        <f t="shared" si="75"/>
        <v>-2</v>
      </c>
      <c r="AZ442" t="str">
        <f t="shared" si="76"/>
        <v>Neutral TDP</v>
      </c>
    </row>
    <row r="443" spans="1:52" x14ac:dyDescent="0.3">
      <c r="A443" t="s">
        <v>2570</v>
      </c>
      <c r="B443" s="94">
        <v>46045</v>
      </c>
      <c r="C443" t="s">
        <v>2571</v>
      </c>
      <c r="D443" t="s">
        <v>2572</v>
      </c>
      <c r="E443" t="s">
        <v>1812</v>
      </c>
      <c r="F443" t="s">
        <v>935</v>
      </c>
      <c r="G443" t="s">
        <v>39</v>
      </c>
      <c r="H443" t="s">
        <v>2573</v>
      </c>
      <c r="I443" t="s">
        <v>227</v>
      </c>
      <c r="J443" t="s">
        <v>219</v>
      </c>
      <c r="K443" t="s">
        <v>224</v>
      </c>
      <c r="L443" t="s">
        <v>62</v>
      </c>
      <c r="M443" t="s">
        <v>51</v>
      </c>
      <c r="N443" t="s">
        <v>63</v>
      </c>
      <c r="O443" t="s">
        <v>2574</v>
      </c>
      <c r="P443">
        <v>9381436965</v>
      </c>
      <c r="Q443" t="s">
        <v>445</v>
      </c>
      <c r="R443" t="s">
        <v>139</v>
      </c>
      <c r="S443" t="s">
        <v>43</v>
      </c>
      <c r="T443" t="s">
        <v>43</v>
      </c>
      <c r="U443" t="s">
        <v>44</v>
      </c>
      <c r="V443" t="s">
        <v>45</v>
      </c>
      <c r="W443" t="s">
        <v>5056</v>
      </c>
      <c r="X443" t="s">
        <v>91</v>
      </c>
      <c r="Y443" t="s">
        <v>46</v>
      </c>
      <c r="Z443" t="s">
        <v>47</v>
      </c>
      <c r="AA443" t="s">
        <v>48</v>
      </c>
      <c r="AB443" t="s">
        <v>49</v>
      </c>
      <c r="AC443" t="s">
        <v>49</v>
      </c>
      <c r="AD443" t="s">
        <v>481</v>
      </c>
      <c r="AE443" t="s">
        <v>1250</v>
      </c>
      <c r="AF443">
        <v>0</v>
      </c>
      <c r="AG443" t="s">
        <v>498</v>
      </c>
      <c r="AH443" s="93">
        <f>VLOOKUP(Table1[[#This Row],[Caste]],Factor!$H$1:$K$13,4,0)</f>
        <v>1.2612194085121222</v>
      </c>
      <c r="AI44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43">
        <f>Table1[[#This Row],[Factor_1]]*Table1[[#This Row],[2024 Factor]]</f>
        <v>2.6155674106916162</v>
      </c>
      <c r="AK443">
        <f>VLOOKUP(Table1[[#This Row],[Q18: Gender]],Factor!$A$33:$E$35,5,0)</f>
        <v>2.1645021645021645</v>
      </c>
      <c r="AL443">
        <f>VLOOKUP(Table1[[#This Row],[Taluka]],Factor!$A$42:$G$46,7,0)</f>
        <v>1.147984664167413</v>
      </c>
      <c r="AM443">
        <f>VLOOKUP(Table1[[#This Row],[Caste]]&amp;Table1[[#This Row],[Q18: Gender]],Factor!$W$1:$X$23,2,0)</f>
        <v>2.4228688637206557</v>
      </c>
      <c r="AN443">
        <f>VLOOKUP(Table1[[#This Row],[Taluka]]&amp;Table1[[#This Row],[Caste]]&amp;Table1[[#This Row],[Q18: Gender]],Factor!$AK$4:$AL$93,2,0)</f>
        <v>2.2107623881946901</v>
      </c>
      <c r="AO443">
        <f t="shared" si="66"/>
        <v>-1</v>
      </c>
      <c r="AP443">
        <f t="shared" si="67"/>
        <v>-1</v>
      </c>
      <c r="AQ443">
        <f t="shared" si="68"/>
        <v>-1</v>
      </c>
      <c r="AR443">
        <f t="shared" si="69"/>
        <v>1</v>
      </c>
      <c r="AS443">
        <f t="shared" si="70"/>
        <v>-1</v>
      </c>
      <c r="AT443">
        <f t="shared" si="71"/>
        <v>-1</v>
      </c>
      <c r="AU443">
        <f t="shared" si="72"/>
        <v>-3.5</v>
      </c>
      <c r="AV443">
        <f>SUM(Table1[[#This Row],[Satis]:[29]])</f>
        <v>-4</v>
      </c>
      <c r="AW443">
        <f t="shared" si="73"/>
        <v>-3</v>
      </c>
      <c r="AX443">
        <f t="shared" si="74"/>
        <v>-2</v>
      </c>
      <c r="AY443">
        <f t="shared" si="75"/>
        <v>-3</v>
      </c>
      <c r="AZ443" t="str">
        <f t="shared" si="76"/>
        <v>Neutral TDP</v>
      </c>
    </row>
    <row r="444" spans="1:52" x14ac:dyDescent="0.3">
      <c r="A444" t="s">
        <v>2575</v>
      </c>
      <c r="B444" s="94">
        <v>46045</v>
      </c>
      <c r="C444" t="s">
        <v>2576</v>
      </c>
      <c r="D444" t="s">
        <v>2577</v>
      </c>
      <c r="E444" t="s">
        <v>1668</v>
      </c>
      <c r="F444" t="s">
        <v>69</v>
      </c>
      <c r="G444" t="s">
        <v>39</v>
      </c>
      <c r="H444" t="s">
        <v>2578</v>
      </c>
      <c r="I444" t="s">
        <v>59</v>
      </c>
      <c r="J444" t="s">
        <v>219</v>
      </c>
      <c r="K444" t="s">
        <v>221</v>
      </c>
      <c r="L444" t="s">
        <v>75</v>
      </c>
      <c r="M444" t="s">
        <v>51</v>
      </c>
      <c r="N444" t="s">
        <v>52</v>
      </c>
      <c r="O444" t="s">
        <v>2579</v>
      </c>
      <c r="P444">
        <v>9849850020</v>
      </c>
      <c r="Q444" t="s">
        <v>54</v>
      </c>
      <c r="R444" t="s">
        <v>73</v>
      </c>
      <c r="S444" t="s">
        <v>43</v>
      </c>
      <c r="T444" t="s">
        <v>43</v>
      </c>
      <c r="U444" t="s">
        <v>44</v>
      </c>
      <c r="V444" t="s">
        <v>45</v>
      </c>
      <c r="W444" t="s">
        <v>5057</v>
      </c>
      <c r="X444" t="s">
        <v>45</v>
      </c>
      <c r="Y444" t="s">
        <v>46</v>
      </c>
      <c r="Z444" t="s">
        <v>47</v>
      </c>
      <c r="AA444" t="s">
        <v>48</v>
      </c>
      <c r="AB444" t="s">
        <v>49</v>
      </c>
      <c r="AC444" t="s">
        <v>49</v>
      </c>
      <c r="AD444" t="s">
        <v>481</v>
      </c>
      <c r="AE444" t="s">
        <v>189</v>
      </c>
      <c r="AF444" t="s">
        <v>2987</v>
      </c>
      <c r="AG444" t="s">
        <v>196</v>
      </c>
      <c r="AH444" s="93">
        <f>VLOOKUP(Table1[[#This Row],[Caste]],Factor!$H$1:$K$13,4,0)</f>
        <v>1.1461625511156397</v>
      </c>
      <c r="AI44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44">
        <f>Table1[[#This Row],[Factor_1]]*Table1[[#This Row],[2024 Factor]]</f>
        <v>0.77721139583220644</v>
      </c>
      <c r="AK444">
        <f>VLOOKUP(Table1[[#This Row],[Q18: Gender]],Factor!$A$33:$E$35,5,0)</f>
        <v>0.85034013605442171</v>
      </c>
      <c r="AL444">
        <f>VLOOKUP(Table1[[#This Row],[Taluka]],Factor!$A$42:$G$46,7,0)</f>
        <v>1.147984664167413</v>
      </c>
      <c r="AM444">
        <f>VLOOKUP(Table1[[#This Row],[Caste]]&amp;Table1[[#This Row],[Q18: Gender]],Factor!$W$1:$X$23,2,0)</f>
        <v>0.71995135120329123</v>
      </c>
      <c r="AN444">
        <f>VLOOKUP(Table1[[#This Row],[Taluka]]&amp;Table1[[#This Row],[Caste]]&amp;Table1[[#This Row],[Q18: Gender]],Factor!$AK$4:$AL$93,2,0)</f>
        <v>0.54319084681293095</v>
      </c>
      <c r="AO444">
        <f t="shared" si="66"/>
        <v>-1</v>
      </c>
      <c r="AP444">
        <f t="shared" si="67"/>
        <v>-1</v>
      </c>
      <c r="AQ444">
        <f t="shared" si="68"/>
        <v>-1</v>
      </c>
      <c r="AR444">
        <f t="shared" si="69"/>
        <v>-1</v>
      </c>
      <c r="AS444">
        <f t="shared" si="70"/>
        <v>-1</v>
      </c>
      <c r="AT444">
        <f t="shared" si="71"/>
        <v>-1</v>
      </c>
      <c r="AU444">
        <f t="shared" si="72"/>
        <v>-5.5</v>
      </c>
      <c r="AV444">
        <f>SUM(Table1[[#This Row],[Satis]:[29]])</f>
        <v>-6</v>
      </c>
      <c r="AW444">
        <f t="shared" si="73"/>
        <v>-5</v>
      </c>
      <c r="AX444">
        <f t="shared" si="74"/>
        <v>-4</v>
      </c>
      <c r="AY444">
        <f t="shared" si="75"/>
        <v>-3</v>
      </c>
      <c r="AZ444" t="str">
        <f t="shared" si="76"/>
        <v>TDP HardCore</v>
      </c>
    </row>
    <row r="445" spans="1:52" x14ac:dyDescent="0.3">
      <c r="A445" t="s">
        <v>2580</v>
      </c>
      <c r="B445" s="94">
        <v>46045</v>
      </c>
      <c r="C445" t="s">
        <v>2581</v>
      </c>
      <c r="D445" t="s">
        <v>2582</v>
      </c>
      <c r="E445" t="s">
        <v>2583</v>
      </c>
      <c r="F445" t="s">
        <v>2547</v>
      </c>
      <c r="G445" t="s">
        <v>39</v>
      </c>
      <c r="H445" t="s">
        <v>2584</v>
      </c>
      <c r="I445" t="s">
        <v>227</v>
      </c>
      <c r="J445" t="s">
        <v>219</v>
      </c>
      <c r="K445" t="s">
        <v>222</v>
      </c>
      <c r="L445" t="s">
        <v>50</v>
      </c>
      <c r="M445" t="s">
        <v>51</v>
      </c>
      <c r="N445" t="s">
        <v>63</v>
      </c>
      <c r="O445" t="s">
        <v>2585</v>
      </c>
      <c r="P445">
        <v>9133225861</v>
      </c>
      <c r="Q445" t="s">
        <v>54</v>
      </c>
      <c r="R445" t="s">
        <v>132</v>
      </c>
      <c r="S445" t="s">
        <v>88</v>
      </c>
      <c r="T445" t="s">
        <v>43</v>
      </c>
      <c r="U445" t="s">
        <v>44</v>
      </c>
      <c r="V445" t="s">
        <v>91</v>
      </c>
      <c r="W445" t="s">
        <v>5069</v>
      </c>
      <c r="X445" t="s">
        <v>91</v>
      </c>
      <c r="Y445" t="s">
        <v>46</v>
      </c>
      <c r="Z445" t="s">
        <v>242</v>
      </c>
      <c r="AA445" t="s">
        <v>48</v>
      </c>
      <c r="AB445" t="s">
        <v>49</v>
      </c>
      <c r="AC445" t="s">
        <v>49</v>
      </c>
      <c r="AD445" t="s">
        <v>481</v>
      </c>
      <c r="AE445" t="s">
        <v>185</v>
      </c>
      <c r="AF445" t="s">
        <v>2988</v>
      </c>
      <c r="AG445" t="s">
        <v>196</v>
      </c>
      <c r="AH445" s="93">
        <f>VLOOKUP(Table1[[#This Row],[Caste]],Factor!$H$1:$K$13,4,0)</f>
        <v>1.2612194085121222</v>
      </c>
      <c r="AI44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45">
        <f>Table1[[#This Row],[Factor_1]]*Table1[[#This Row],[2024 Factor]]</f>
        <v>0.92029223709519836</v>
      </c>
      <c r="AK445">
        <f>VLOOKUP(Table1[[#This Row],[Q18: Gender]],Factor!$A$33:$E$35,5,0)</f>
        <v>0.85034013605442171</v>
      </c>
      <c r="AL445">
        <f>VLOOKUP(Table1[[#This Row],[Taluka]],Factor!$A$42:$G$46,7,0)</f>
        <v>1.147984664167413</v>
      </c>
      <c r="AM445">
        <f>VLOOKUP(Table1[[#This Row],[Caste]]&amp;Table1[[#This Row],[Q18: Gender]],Factor!$W$1:$X$23,2,0)</f>
        <v>0.85249089649430487</v>
      </c>
      <c r="AN445">
        <f>VLOOKUP(Table1[[#This Row],[Taluka]]&amp;Table1[[#This Row],[Caste]]&amp;Table1[[#This Row],[Q18: Gender]],Factor!$AK$4:$AL$93,2,0)</f>
        <v>0.41451794778650441</v>
      </c>
      <c r="AO445">
        <f t="shared" si="66"/>
        <v>-1</v>
      </c>
      <c r="AP445">
        <f t="shared" si="67"/>
        <v>-1</v>
      </c>
      <c r="AQ445">
        <f t="shared" si="68"/>
        <v>1</v>
      </c>
      <c r="AR445">
        <f t="shared" si="69"/>
        <v>1</v>
      </c>
      <c r="AS445">
        <f t="shared" si="70"/>
        <v>-1</v>
      </c>
      <c r="AT445">
        <f t="shared" si="71"/>
        <v>-1</v>
      </c>
      <c r="AU445">
        <f t="shared" si="72"/>
        <v>-1.5</v>
      </c>
      <c r="AV445">
        <f>SUM(Table1[[#This Row],[Satis]:[29]])</f>
        <v>-2</v>
      </c>
      <c r="AW445">
        <f t="shared" si="73"/>
        <v>-1</v>
      </c>
      <c r="AX445">
        <f t="shared" si="74"/>
        <v>0</v>
      </c>
      <c r="AY445">
        <f t="shared" si="75"/>
        <v>-3</v>
      </c>
      <c r="AZ445" t="str">
        <f t="shared" si="76"/>
        <v>Neutral TDP</v>
      </c>
    </row>
    <row r="446" spans="1:52" x14ac:dyDescent="0.3">
      <c r="A446" t="s">
        <v>2586</v>
      </c>
      <c r="B446" s="94">
        <v>46045</v>
      </c>
      <c r="C446" t="s">
        <v>2587</v>
      </c>
      <c r="D446" t="s">
        <v>2588</v>
      </c>
      <c r="E446" t="s">
        <v>1352</v>
      </c>
      <c r="F446" t="s">
        <v>69</v>
      </c>
      <c r="G446" t="s">
        <v>39</v>
      </c>
      <c r="H446" t="s">
        <v>2589</v>
      </c>
      <c r="I446" t="s">
        <v>59</v>
      </c>
      <c r="J446" t="s">
        <v>219</v>
      </c>
      <c r="K446" t="s">
        <v>221</v>
      </c>
      <c r="L446" t="s">
        <v>50</v>
      </c>
      <c r="M446" t="s">
        <v>51</v>
      </c>
      <c r="N446" t="s">
        <v>107</v>
      </c>
      <c r="O446" t="s">
        <v>2591</v>
      </c>
      <c r="P446">
        <v>9959930896</v>
      </c>
      <c r="Q446" t="s">
        <v>54</v>
      </c>
      <c r="R446" t="s">
        <v>61</v>
      </c>
      <c r="S446" t="s">
        <v>43</v>
      </c>
      <c r="T446" t="s">
        <v>43</v>
      </c>
      <c r="U446" t="s">
        <v>44</v>
      </c>
      <c r="V446" t="s">
        <v>91</v>
      </c>
      <c r="W446" t="s">
        <v>5077</v>
      </c>
      <c r="X446" t="s">
        <v>91</v>
      </c>
      <c r="Y446" t="s">
        <v>46</v>
      </c>
      <c r="Z446" t="s">
        <v>92</v>
      </c>
      <c r="AA446" t="s">
        <v>92</v>
      </c>
      <c r="AB446" t="s">
        <v>147</v>
      </c>
      <c r="AC446" t="s">
        <v>2590</v>
      </c>
      <c r="AD446" t="s">
        <v>481</v>
      </c>
      <c r="AE446" t="s">
        <v>185</v>
      </c>
      <c r="AF446">
        <v>0</v>
      </c>
      <c r="AG446" t="s">
        <v>196</v>
      </c>
      <c r="AH446" s="93">
        <f>VLOOKUP(Table1[[#This Row],[Caste]],Factor!$H$1:$K$13,4,0)</f>
        <v>1.1461625511156397</v>
      </c>
      <c r="AI446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446">
        <f>Table1[[#This Row],[Factor_1]]*Table1[[#This Row],[2024 Factor]]</f>
        <v>1.2999324650914248</v>
      </c>
      <c r="AK446">
        <f>VLOOKUP(Table1[[#This Row],[Q18: Gender]],Factor!$A$33:$E$35,5,0)</f>
        <v>0.85034013605442171</v>
      </c>
      <c r="AL446">
        <f>VLOOKUP(Table1[[#This Row],[Taluka]],Factor!$A$42:$G$46,7,0)</f>
        <v>1.147984664167413</v>
      </c>
      <c r="AM446">
        <f>VLOOKUP(Table1[[#This Row],[Caste]]&amp;Table1[[#This Row],[Q18: Gender]],Factor!$W$1:$X$23,2,0)</f>
        <v>0.71995135120329123</v>
      </c>
      <c r="AN446">
        <f>VLOOKUP(Table1[[#This Row],[Taluka]]&amp;Table1[[#This Row],[Caste]]&amp;Table1[[#This Row],[Q18: Gender]],Factor!$AK$4:$AL$93,2,0)</f>
        <v>0.54319084681293095</v>
      </c>
      <c r="AO446">
        <f t="shared" si="66"/>
        <v>-1</v>
      </c>
      <c r="AP446">
        <f t="shared" si="67"/>
        <v>-1</v>
      </c>
      <c r="AQ446">
        <f t="shared" si="68"/>
        <v>1</v>
      </c>
      <c r="AR446">
        <f t="shared" si="69"/>
        <v>1</v>
      </c>
      <c r="AS446">
        <f t="shared" si="70"/>
        <v>1</v>
      </c>
      <c r="AT446">
        <f t="shared" si="71"/>
        <v>1</v>
      </c>
      <c r="AU446">
        <f t="shared" si="72"/>
        <v>1.5</v>
      </c>
      <c r="AV446">
        <f>SUM(Table1[[#This Row],[Satis]:[29]])</f>
        <v>2</v>
      </c>
      <c r="AW446">
        <f t="shared" si="73"/>
        <v>3</v>
      </c>
      <c r="AX446">
        <f t="shared" si="74"/>
        <v>4</v>
      </c>
      <c r="AY446">
        <f t="shared" si="75"/>
        <v>2</v>
      </c>
      <c r="AZ446" t="str">
        <f t="shared" si="76"/>
        <v>YSRCP Sympathiser</v>
      </c>
    </row>
    <row r="447" spans="1:52" x14ac:dyDescent="0.3">
      <c r="A447" t="s">
        <v>2592</v>
      </c>
      <c r="B447" s="94">
        <v>46045</v>
      </c>
      <c r="C447" t="s">
        <v>2593</v>
      </c>
      <c r="D447" t="s">
        <v>2594</v>
      </c>
      <c r="E447" t="s">
        <v>2553</v>
      </c>
      <c r="F447" t="s">
        <v>935</v>
      </c>
      <c r="G447" t="s">
        <v>39</v>
      </c>
      <c r="H447" t="s">
        <v>2595</v>
      </c>
      <c r="I447" t="s">
        <v>231</v>
      </c>
      <c r="J447" t="s">
        <v>219</v>
      </c>
      <c r="K447" t="s">
        <v>224</v>
      </c>
      <c r="L447" t="s">
        <v>62</v>
      </c>
      <c r="M447" t="s">
        <v>51</v>
      </c>
      <c r="N447" t="s">
        <v>107</v>
      </c>
      <c r="O447" t="s">
        <v>2596</v>
      </c>
      <c r="P447">
        <v>8179838071</v>
      </c>
      <c r="Q447" t="s">
        <v>54</v>
      </c>
      <c r="R447" t="s">
        <v>61</v>
      </c>
      <c r="S447" t="s">
        <v>43</v>
      </c>
      <c r="T447" t="s">
        <v>43</v>
      </c>
      <c r="U447" t="s">
        <v>44</v>
      </c>
      <c r="V447" t="s">
        <v>45</v>
      </c>
      <c r="W447" t="s">
        <v>5080</v>
      </c>
      <c r="X447" t="s">
        <v>45</v>
      </c>
      <c r="Y447" t="s">
        <v>46</v>
      </c>
      <c r="Z447" t="s">
        <v>47</v>
      </c>
      <c r="AA447" t="s">
        <v>48</v>
      </c>
      <c r="AB447" t="s">
        <v>49</v>
      </c>
      <c r="AC447" t="s">
        <v>49</v>
      </c>
      <c r="AD447" t="s">
        <v>494</v>
      </c>
      <c r="AE447" t="s">
        <v>185</v>
      </c>
      <c r="AF447">
        <v>0</v>
      </c>
      <c r="AG447" t="s">
        <v>196</v>
      </c>
      <c r="AH447" s="93">
        <f>VLOOKUP(Table1[[#This Row],[Caste]],Factor!$H$1:$K$13,4,0)</f>
        <v>1.016226256869897</v>
      </c>
      <c r="AI44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47">
        <f>Table1[[#This Row],[Factor_1]]*Table1[[#This Row],[2024 Factor]]</f>
        <v>0.54852499843435276</v>
      </c>
      <c r="AK447">
        <f>VLOOKUP(Table1[[#This Row],[Q18: Gender]],Factor!$A$33:$E$35,5,0)</f>
        <v>0.85034013605442171</v>
      </c>
      <c r="AL447">
        <f>VLOOKUP(Table1[[#This Row],[Taluka]],Factor!$A$42:$G$46,7,0)</f>
        <v>1.147984664167413</v>
      </c>
      <c r="AM447">
        <f>VLOOKUP(Table1[[#This Row],[Caste]]&amp;Table1[[#This Row],[Q18: Gender]],Factor!$W$1:$X$23,2,0)</f>
        <v>0.50811312843494849</v>
      </c>
      <c r="AN447">
        <f>VLOOKUP(Table1[[#This Row],[Taluka]]&amp;Table1[[#This Row],[Caste]]&amp;Table1[[#This Row],[Q18: Gender]],Factor!$AK$4:$AL$93,2,0)</f>
        <v>0.18301228231933422</v>
      </c>
      <c r="AO447">
        <f t="shared" si="66"/>
        <v>-1</v>
      </c>
      <c r="AP447">
        <f t="shared" si="67"/>
        <v>-1</v>
      </c>
      <c r="AQ447">
        <f t="shared" si="68"/>
        <v>-1</v>
      </c>
      <c r="AR447">
        <f t="shared" si="69"/>
        <v>-1</v>
      </c>
      <c r="AS447">
        <f t="shared" si="70"/>
        <v>-1</v>
      </c>
      <c r="AT447">
        <f t="shared" si="71"/>
        <v>-1</v>
      </c>
      <c r="AU447">
        <f t="shared" si="72"/>
        <v>-5.5</v>
      </c>
      <c r="AV447">
        <f>SUM(Table1[[#This Row],[Satis]:[29]])</f>
        <v>-6</v>
      </c>
      <c r="AW447">
        <f t="shared" si="73"/>
        <v>-5</v>
      </c>
      <c r="AX447">
        <f t="shared" si="74"/>
        <v>-4</v>
      </c>
      <c r="AY447">
        <f t="shared" si="75"/>
        <v>-3</v>
      </c>
      <c r="AZ447" t="str">
        <f t="shared" si="76"/>
        <v>TDP HardCore</v>
      </c>
    </row>
    <row r="448" spans="1:52" x14ac:dyDescent="0.3">
      <c r="A448" t="s">
        <v>2597</v>
      </c>
      <c r="B448" s="94">
        <v>46045</v>
      </c>
      <c r="C448" t="s">
        <v>2593</v>
      </c>
      <c r="D448" t="s">
        <v>2594</v>
      </c>
      <c r="E448" t="s">
        <v>2553</v>
      </c>
      <c r="F448" t="s">
        <v>935</v>
      </c>
      <c r="G448" t="s">
        <v>39</v>
      </c>
      <c r="H448" t="s">
        <v>2598</v>
      </c>
      <c r="I448" t="s">
        <v>231</v>
      </c>
      <c r="J448" t="s">
        <v>219</v>
      </c>
      <c r="K448" t="s">
        <v>224</v>
      </c>
      <c r="L448" t="s">
        <v>62</v>
      </c>
      <c r="M448" t="s">
        <v>51</v>
      </c>
      <c r="N448" t="s">
        <v>107</v>
      </c>
      <c r="O448" t="s">
        <v>2596</v>
      </c>
      <c r="P448">
        <v>8179838071</v>
      </c>
      <c r="Q448" t="s">
        <v>54</v>
      </c>
      <c r="R448" t="s">
        <v>61</v>
      </c>
      <c r="S448" t="s">
        <v>43</v>
      </c>
      <c r="T448" t="s">
        <v>43</v>
      </c>
      <c r="U448" t="s">
        <v>44</v>
      </c>
      <c r="V448" t="s">
        <v>45</v>
      </c>
      <c r="W448" t="s">
        <v>5080</v>
      </c>
      <c r="X448" t="s">
        <v>45</v>
      </c>
      <c r="Y448" t="s">
        <v>46</v>
      </c>
      <c r="Z448" t="s">
        <v>47</v>
      </c>
      <c r="AA448" t="s">
        <v>48</v>
      </c>
      <c r="AB448" t="s">
        <v>49</v>
      </c>
      <c r="AC448" t="s">
        <v>49</v>
      </c>
      <c r="AD448">
        <v>0</v>
      </c>
      <c r="AE448" t="s">
        <v>185</v>
      </c>
      <c r="AF448">
        <v>0</v>
      </c>
      <c r="AG448" t="s">
        <v>196</v>
      </c>
      <c r="AH448" s="93">
        <f>VLOOKUP(Table1[[#This Row],[Caste]],Factor!$H$1:$K$13,4,0)</f>
        <v>1.016226256869897</v>
      </c>
      <c r="AI44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48">
        <f>Table1[[#This Row],[Factor_1]]*Table1[[#This Row],[2024 Factor]]</f>
        <v>0.54852499843435276</v>
      </c>
      <c r="AK448">
        <f>VLOOKUP(Table1[[#This Row],[Q18: Gender]],Factor!$A$33:$E$35,5,0)</f>
        <v>0.85034013605442171</v>
      </c>
      <c r="AL448">
        <f>VLOOKUP(Table1[[#This Row],[Taluka]],Factor!$A$42:$G$46,7,0)</f>
        <v>1.147984664167413</v>
      </c>
      <c r="AM448">
        <f>VLOOKUP(Table1[[#This Row],[Caste]]&amp;Table1[[#This Row],[Q18: Gender]],Factor!$W$1:$X$23,2,0)</f>
        <v>0.50811312843494849</v>
      </c>
      <c r="AN448">
        <f>VLOOKUP(Table1[[#This Row],[Taluka]]&amp;Table1[[#This Row],[Caste]]&amp;Table1[[#This Row],[Q18: Gender]],Factor!$AK$4:$AL$93,2,0)</f>
        <v>0.18301228231933422</v>
      </c>
      <c r="AO448">
        <f t="shared" si="66"/>
        <v>-1</v>
      </c>
      <c r="AP448">
        <f t="shared" si="67"/>
        <v>-1</v>
      </c>
      <c r="AQ448">
        <f t="shared" si="68"/>
        <v>-1</v>
      </c>
      <c r="AR448">
        <f t="shared" si="69"/>
        <v>-1</v>
      </c>
      <c r="AS448">
        <f t="shared" si="70"/>
        <v>-1</v>
      </c>
      <c r="AT448">
        <f t="shared" si="71"/>
        <v>-1</v>
      </c>
      <c r="AU448">
        <f t="shared" si="72"/>
        <v>-5.5</v>
      </c>
      <c r="AV448">
        <f>SUM(Table1[[#This Row],[Satis]:[29]])</f>
        <v>-6</v>
      </c>
      <c r="AW448">
        <f t="shared" si="73"/>
        <v>-5</v>
      </c>
      <c r="AX448">
        <f t="shared" si="74"/>
        <v>-4</v>
      </c>
      <c r="AY448">
        <f t="shared" si="75"/>
        <v>-3</v>
      </c>
      <c r="AZ448" t="str">
        <f t="shared" si="76"/>
        <v>TDP HardCore</v>
      </c>
    </row>
    <row r="449" spans="1:52" x14ac:dyDescent="0.3">
      <c r="A449" t="s">
        <v>2599</v>
      </c>
      <c r="B449" s="94">
        <v>46045</v>
      </c>
      <c r="C449" t="s">
        <v>2600</v>
      </c>
      <c r="D449" t="s">
        <v>2601</v>
      </c>
      <c r="E449" t="s">
        <v>2278</v>
      </c>
      <c r="F449" t="s">
        <v>69</v>
      </c>
      <c r="G449" t="s">
        <v>39</v>
      </c>
      <c r="H449" t="s">
        <v>2602</v>
      </c>
      <c r="I449" t="s">
        <v>227</v>
      </c>
      <c r="J449" t="s">
        <v>219</v>
      </c>
      <c r="K449" t="s">
        <v>221</v>
      </c>
      <c r="L449" t="s">
        <v>50</v>
      </c>
      <c r="M449" t="s">
        <v>51</v>
      </c>
      <c r="N449" t="s">
        <v>63</v>
      </c>
      <c r="O449" t="s">
        <v>1502</v>
      </c>
      <c r="P449">
        <v>9999999999</v>
      </c>
      <c r="Q449" t="s">
        <v>54</v>
      </c>
      <c r="R449" t="s">
        <v>73</v>
      </c>
      <c r="S449" t="s">
        <v>43</v>
      </c>
      <c r="T449" t="s">
        <v>43</v>
      </c>
      <c r="U449" t="s">
        <v>44</v>
      </c>
      <c r="V449" t="s">
        <v>45</v>
      </c>
      <c r="W449" t="s">
        <v>5057</v>
      </c>
      <c r="X449" t="s">
        <v>45</v>
      </c>
      <c r="Y449" t="s">
        <v>46</v>
      </c>
      <c r="Z449" t="s">
        <v>47</v>
      </c>
      <c r="AA449" t="s">
        <v>48</v>
      </c>
      <c r="AB449" t="s">
        <v>49</v>
      </c>
      <c r="AC449" t="s">
        <v>49</v>
      </c>
      <c r="AD449" t="s">
        <v>494</v>
      </c>
      <c r="AE449" t="s">
        <v>189</v>
      </c>
      <c r="AF449" t="s">
        <v>2989</v>
      </c>
      <c r="AG449" t="s">
        <v>196</v>
      </c>
      <c r="AH449" s="93">
        <f>VLOOKUP(Table1[[#This Row],[Caste]],Factor!$H$1:$K$13,4,0)</f>
        <v>1.2612194085121222</v>
      </c>
      <c r="AI44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49">
        <f>Table1[[#This Row],[Factor_1]]*Table1[[#This Row],[2024 Factor]]</f>
        <v>0.92029223709519836</v>
      </c>
      <c r="AK449">
        <f>VLOOKUP(Table1[[#This Row],[Q18: Gender]],Factor!$A$33:$E$35,5,0)</f>
        <v>0.85034013605442171</v>
      </c>
      <c r="AL449">
        <f>VLOOKUP(Table1[[#This Row],[Taluka]],Factor!$A$42:$G$46,7,0)</f>
        <v>1.147984664167413</v>
      </c>
      <c r="AM449">
        <f>VLOOKUP(Table1[[#This Row],[Caste]]&amp;Table1[[#This Row],[Q18: Gender]],Factor!$W$1:$X$23,2,0)</f>
        <v>0.85249089649430487</v>
      </c>
      <c r="AN449">
        <f>VLOOKUP(Table1[[#This Row],[Taluka]]&amp;Table1[[#This Row],[Caste]]&amp;Table1[[#This Row],[Q18: Gender]],Factor!$AK$4:$AL$93,2,0)</f>
        <v>0.41451794778650441</v>
      </c>
      <c r="AO449">
        <f t="shared" si="66"/>
        <v>-1</v>
      </c>
      <c r="AP449">
        <f t="shared" si="67"/>
        <v>-1</v>
      </c>
      <c r="AQ449">
        <f t="shared" si="68"/>
        <v>-1</v>
      </c>
      <c r="AR449">
        <f t="shared" si="69"/>
        <v>-1</v>
      </c>
      <c r="AS449">
        <f t="shared" si="70"/>
        <v>-1</v>
      </c>
      <c r="AT449">
        <f t="shared" si="71"/>
        <v>-1</v>
      </c>
      <c r="AU449">
        <f t="shared" si="72"/>
        <v>-5.5</v>
      </c>
      <c r="AV449">
        <f>SUM(Table1[[#This Row],[Satis]:[29]])</f>
        <v>-6</v>
      </c>
      <c r="AW449">
        <f t="shared" si="73"/>
        <v>-5</v>
      </c>
      <c r="AX449">
        <f t="shared" si="74"/>
        <v>-4</v>
      </c>
      <c r="AY449">
        <f t="shared" si="75"/>
        <v>-3</v>
      </c>
      <c r="AZ449" t="str">
        <f t="shared" si="76"/>
        <v>TDP HardCore</v>
      </c>
    </row>
    <row r="450" spans="1:52" x14ac:dyDescent="0.3">
      <c r="A450" t="s">
        <v>2603</v>
      </c>
      <c r="B450" s="94">
        <v>46045</v>
      </c>
      <c r="C450" t="s">
        <v>2604</v>
      </c>
      <c r="D450" t="s">
        <v>2605</v>
      </c>
      <c r="E450" t="s">
        <v>1718</v>
      </c>
      <c r="F450" t="s">
        <v>935</v>
      </c>
      <c r="G450" t="s">
        <v>39</v>
      </c>
      <c r="H450" t="s">
        <v>2606</v>
      </c>
      <c r="I450" t="s">
        <v>227</v>
      </c>
      <c r="J450" s="112" t="s">
        <v>203</v>
      </c>
      <c r="K450" s="112" t="s">
        <v>205</v>
      </c>
      <c r="L450" t="s">
        <v>62</v>
      </c>
      <c r="M450" t="s">
        <v>51</v>
      </c>
      <c r="N450" t="s">
        <v>52</v>
      </c>
      <c r="O450" t="s">
        <v>2607</v>
      </c>
      <c r="P450">
        <v>9550693746</v>
      </c>
      <c r="Q450" t="s">
        <v>54</v>
      </c>
      <c r="R450" t="s">
        <v>132</v>
      </c>
      <c r="S450" t="s">
        <v>88</v>
      </c>
      <c r="T450" t="s">
        <v>89</v>
      </c>
      <c r="U450" t="s">
        <v>90</v>
      </c>
      <c r="V450" t="s">
        <v>91</v>
      </c>
      <c r="W450" t="s">
        <v>5057</v>
      </c>
      <c r="X450" t="s">
        <v>91</v>
      </c>
      <c r="Y450" t="s">
        <v>46</v>
      </c>
      <c r="Z450" t="s">
        <v>92</v>
      </c>
      <c r="AA450" t="s">
        <v>92</v>
      </c>
      <c r="AB450" t="s">
        <v>93</v>
      </c>
      <c r="AC450" t="s">
        <v>94</v>
      </c>
      <c r="AD450" t="s">
        <v>184</v>
      </c>
      <c r="AE450" t="s">
        <v>189</v>
      </c>
      <c r="AF450" t="s">
        <v>2990</v>
      </c>
      <c r="AG450" t="s">
        <v>196</v>
      </c>
      <c r="AH450" s="93">
        <f>VLOOKUP(Table1[[#This Row],[Caste]],Factor!$H$1:$K$13,4,0)</f>
        <v>1.2612194085121222</v>
      </c>
      <c r="AI450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450">
        <f>Table1[[#This Row],[Factor_1]]*Table1[[#This Row],[2024 Factor]]</f>
        <v>1.5392437151422549</v>
      </c>
      <c r="AK450">
        <f>VLOOKUP(Table1[[#This Row],[Q18: Gender]],Factor!$A$33:$E$35,5,0)</f>
        <v>0.85034013605442171</v>
      </c>
      <c r="AL450">
        <f>VLOOKUP(Table1[[#This Row],[Taluka]],Factor!$A$42:$G$46,7,0)</f>
        <v>1.9264642089343564</v>
      </c>
      <c r="AM450">
        <f>VLOOKUP(Table1[[#This Row],[Caste]]&amp;Table1[[#This Row],[Q18: Gender]],Factor!$W$1:$X$23,2,0)</f>
        <v>0.85249089649430487</v>
      </c>
      <c r="AN450">
        <f>VLOOKUP(Table1[[#This Row],[Taluka]]&amp;Table1[[#This Row],[Caste]]&amp;Table1[[#This Row],[Q18: Gender]],Factor!$AK$4:$AL$93,2,0)</f>
        <v>1.7847621356853685</v>
      </c>
      <c r="AO450">
        <f t="shared" ref="AO450:AO513" si="77">IF(T450="బాగుంది",-1,1)</f>
        <v>1</v>
      </c>
      <c r="AP450">
        <f t="shared" ref="AP450:AP513" si="78">IF(U450="అమలవడం లేదు",1,-1)</f>
        <v>1</v>
      </c>
      <c r="AQ450">
        <f t="shared" ref="AQ450:AQ513" si="79">IF(V450="జగన్ మోహన్ రెడ్డి గారు",1,-1)</f>
        <v>1</v>
      </c>
      <c r="AR450">
        <f t="shared" ref="AR450:AR513" si="80">IF(X450="జగన్ మోహన్ రెడ్డి గారు",1,-1)</f>
        <v>1</v>
      </c>
      <c r="AS450">
        <f t="shared" ref="AS450:AS513" si="81">IF(AA450="YSRCP (వైఎస్‌ఆర్‌సీపీ)",1,-1)</f>
        <v>1</v>
      </c>
      <c r="AT450">
        <f t="shared" ref="AT450:AT513" si="82">IF(Z450="YSRCP (వైఎస్‌ఆర్‌సీపీ)",1,-1)</f>
        <v>1</v>
      </c>
      <c r="AU450">
        <f t="shared" ref="AU450:AU513" si="83">AO450+AP450+AQ450+AR450+(0.5*AS450)+AT450</f>
        <v>5.5</v>
      </c>
      <c r="AV450">
        <f>SUM(Table1[[#This Row],[Satis]:[29]])</f>
        <v>6</v>
      </c>
      <c r="AW450">
        <f t="shared" ref="AW450:AW513" si="84">AO450+AQ450+AR450+AS450+AT450</f>
        <v>5</v>
      </c>
      <c r="AX450">
        <f t="shared" ref="AX450:AX513" si="85">AQ450+AR450+AS450+AT450</f>
        <v>4</v>
      </c>
      <c r="AY450">
        <f t="shared" ref="AY450:AY513" si="86">IF(AND(AO450=1,AS450=1,AT450=1),3,IF(AND(AO450=-1,AS450=-1,AT450=-1),-3,IF(AND(AO450=1,AS450=-1,AT450=1),2,IF(AND(AO450=-1,AS450=1,AT450=-1),-2,IF(AND(AS450=1,AT450=1),2,IF(AND(AS450=-1,AT450=-1),-2,"ND"))))))</f>
        <v>3</v>
      </c>
      <c r="AZ450" t="str">
        <f t="shared" ref="AZ450:AZ513" si="87">IFERROR(IF(AV450=6,"YSRCP HardCore",IF(AV450=-6,"TDP HardCore",IF(AW450&gt;=4,"YSRCP Sympathiser",IF(AW450&lt;=-4,"TDP Sympathiser",IF(AX450&gt;=3,"YSRCP Sympathiser",IF(AX450&lt;=-3,"TDP Sympathiser",IF(AY450="ND","ND",IF(AY450&gt;=2,"Neutral YSRCP",IF(AY450&lt;=-2,"Neutral TDP",0))))))))),"ND")</f>
        <v>YSRCP HardCore</v>
      </c>
    </row>
    <row r="451" spans="1:52" x14ac:dyDescent="0.3">
      <c r="A451" t="s">
        <v>2608</v>
      </c>
      <c r="B451" s="94">
        <v>46045</v>
      </c>
      <c r="C451" t="s">
        <v>2609</v>
      </c>
      <c r="D451" t="s">
        <v>2610</v>
      </c>
      <c r="E451" t="s">
        <v>2611</v>
      </c>
      <c r="F451" t="s">
        <v>2547</v>
      </c>
      <c r="G451" t="s">
        <v>39</v>
      </c>
      <c r="H451" t="s">
        <v>2612</v>
      </c>
      <c r="I451" t="s">
        <v>59</v>
      </c>
      <c r="J451" t="s">
        <v>219</v>
      </c>
      <c r="K451" t="s">
        <v>222</v>
      </c>
      <c r="L451" t="s">
        <v>50</v>
      </c>
      <c r="M451" t="s">
        <v>51</v>
      </c>
      <c r="N451" t="s">
        <v>63</v>
      </c>
      <c r="O451" t="s">
        <v>2613</v>
      </c>
      <c r="P451">
        <v>8919266044</v>
      </c>
      <c r="Q451" t="s">
        <v>54</v>
      </c>
      <c r="R451" t="s">
        <v>139</v>
      </c>
      <c r="S451" t="s">
        <v>88</v>
      </c>
      <c r="T451" t="s">
        <v>43</v>
      </c>
      <c r="U451" t="s">
        <v>44</v>
      </c>
      <c r="V451" t="s">
        <v>91</v>
      </c>
      <c r="W451" t="s">
        <v>5064</v>
      </c>
      <c r="X451" t="s">
        <v>91</v>
      </c>
      <c r="Y451" t="s">
        <v>46</v>
      </c>
      <c r="Z451" t="s">
        <v>92</v>
      </c>
      <c r="AA451" t="s">
        <v>92</v>
      </c>
      <c r="AB451" t="s">
        <v>93</v>
      </c>
      <c r="AC451" t="s">
        <v>381</v>
      </c>
      <c r="AD451" t="s">
        <v>481</v>
      </c>
      <c r="AE451" t="s">
        <v>189</v>
      </c>
      <c r="AF451" t="s">
        <v>2996</v>
      </c>
      <c r="AG451" t="s">
        <v>196</v>
      </c>
      <c r="AH451" s="93">
        <f>VLOOKUP(Table1[[#This Row],[Caste]],Factor!$H$1:$K$13,4,0)</f>
        <v>1.1461625511156397</v>
      </c>
      <c r="AI451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451">
        <f>Table1[[#This Row],[Factor_1]]*Table1[[#This Row],[2024 Factor]]</f>
        <v>1.2999324650914248</v>
      </c>
      <c r="AK451">
        <f>VLOOKUP(Table1[[#This Row],[Q18: Gender]],Factor!$A$33:$E$35,5,0)</f>
        <v>0.85034013605442171</v>
      </c>
      <c r="AL451">
        <f>VLOOKUP(Table1[[#This Row],[Taluka]],Factor!$A$42:$G$46,7,0)</f>
        <v>1.147984664167413</v>
      </c>
      <c r="AM451">
        <f>VLOOKUP(Table1[[#This Row],[Caste]]&amp;Table1[[#This Row],[Q18: Gender]],Factor!$W$1:$X$23,2,0)</f>
        <v>0.71995135120329123</v>
      </c>
      <c r="AN451">
        <f>VLOOKUP(Table1[[#This Row],[Taluka]]&amp;Table1[[#This Row],[Caste]]&amp;Table1[[#This Row],[Q18: Gender]],Factor!$AK$4:$AL$93,2,0)</f>
        <v>0.54319084681293095</v>
      </c>
      <c r="AO451">
        <f t="shared" si="77"/>
        <v>-1</v>
      </c>
      <c r="AP451">
        <f t="shared" si="78"/>
        <v>-1</v>
      </c>
      <c r="AQ451">
        <f t="shared" si="79"/>
        <v>1</v>
      </c>
      <c r="AR451">
        <f t="shared" si="80"/>
        <v>1</v>
      </c>
      <c r="AS451">
        <f t="shared" si="81"/>
        <v>1</v>
      </c>
      <c r="AT451">
        <f t="shared" si="82"/>
        <v>1</v>
      </c>
      <c r="AU451">
        <f t="shared" si="83"/>
        <v>1.5</v>
      </c>
      <c r="AV451">
        <f>SUM(Table1[[#This Row],[Satis]:[29]])</f>
        <v>2</v>
      </c>
      <c r="AW451">
        <f t="shared" si="84"/>
        <v>3</v>
      </c>
      <c r="AX451">
        <f t="shared" si="85"/>
        <v>4</v>
      </c>
      <c r="AY451">
        <f t="shared" si="86"/>
        <v>2</v>
      </c>
      <c r="AZ451" t="str">
        <f t="shared" si="87"/>
        <v>YSRCP Sympathiser</v>
      </c>
    </row>
    <row r="452" spans="1:52" x14ac:dyDescent="0.3">
      <c r="A452" t="s">
        <v>2614</v>
      </c>
      <c r="B452" s="94">
        <v>46045</v>
      </c>
      <c r="C452" t="s">
        <v>2615</v>
      </c>
      <c r="D452" t="s">
        <v>2616</v>
      </c>
      <c r="E452" t="s">
        <v>2617</v>
      </c>
      <c r="F452" t="s">
        <v>240</v>
      </c>
      <c r="G452" t="s">
        <v>39</v>
      </c>
      <c r="H452" t="s">
        <v>2618</v>
      </c>
      <c r="I452" t="s">
        <v>228</v>
      </c>
      <c r="J452" t="s">
        <v>37</v>
      </c>
      <c r="K452" t="s">
        <v>80</v>
      </c>
      <c r="L452" t="s">
        <v>62</v>
      </c>
      <c r="M452" t="s">
        <v>51</v>
      </c>
      <c r="N452" t="s">
        <v>107</v>
      </c>
      <c r="O452" t="s">
        <v>2619</v>
      </c>
      <c r="P452">
        <v>9989036844</v>
      </c>
      <c r="Q452" t="s">
        <v>54</v>
      </c>
      <c r="R452" t="s">
        <v>132</v>
      </c>
      <c r="S452" t="s">
        <v>43</v>
      </c>
      <c r="T452" t="s">
        <v>43</v>
      </c>
      <c r="U452" t="s">
        <v>44</v>
      </c>
      <c r="V452" t="s">
        <v>45</v>
      </c>
      <c r="W452" t="s">
        <v>5042</v>
      </c>
      <c r="X452" t="s">
        <v>45</v>
      </c>
      <c r="Y452" t="s">
        <v>46</v>
      </c>
      <c r="Z452" t="s">
        <v>47</v>
      </c>
      <c r="AA452" t="s">
        <v>48</v>
      </c>
      <c r="AB452" t="s">
        <v>49</v>
      </c>
      <c r="AC452" t="s">
        <v>49</v>
      </c>
      <c r="AD452" t="s">
        <v>481</v>
      </c>
      <c r="AE452" t="s">
        <v>185</v>
      </c>
      <c r="AF452">
        <v>0</v>
      </c>
      <c r="AG452" t="s">
        <v>196</v>
      </c>
      <c r="AH452" s="93">
        <f>VLOOKUP(Table1[[#This Row],[Caste]],Factor!$H$1:$K$13,4,0)</f>
        <v>0.80207032429970992</v>
      </c>
      <c r="AI45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52">
        <f>Table1[[#This Row],[Factor_1]]*Table1[[#This Row],[2024 Factor]]</f>
        <v>0.65595572330316032</v>
      </c>
      <c r="AK452">
        <f>VLOOKUP(Table1[[#This Row],[Q18: Gender]],Factor!$A$33:$E$35,5,0)</f>
        <v>0.85034013605442171</v>
      </c>
      <c r="AL452">
        <f>VLOOKUP(Table1[[#This Row],[Taluka]],Factor!$A$42:$G$46,7,0)</f>
        <v>0.75433779645928134</v>
      </c>
      <c r="AM452">
        <f>VLOOKUP(Table1[[#This Row],[Caste]]&amp;Table1[[#This Row],[Q18: Gender]],Factor!$W$1:$X$23,2,0)</f>
        <v>0.60762903356038633</v>
      </c>
      <c r="AN452">
        <f>VLOOKUP(Table1[[#This Row],[Taluka]]&amp;Table1[[#This Row],[Caste]]&amp;Table1[[#This Row],[Q18: Gender]],Factor!$AK$4:$AL$93,2,0)</f>
        <v>0.22537440548651508</v>
      </c>
      <c r="AO452">
        <f t="shared" si="77"/>
        <v>-1</v>
      </c>
      <c r="AP452">
        <f t="shared" si="78"/>
        <v>-1</v>
      </c>
      <c r="AQ452">
        <f t="shared" si="79"/>
        <v>-1</v>
      </c>
      <c r="AR452">
        <f t="shared" si="80"/>
        <v>-1</v>
      </c>
      <c r="AS452">
        <f t="shared" si="81"/>
        <v>-1</v>
      </c>
      <c r="AT452">
        <f t="shared" si="82"/>
        <v>-1</v>
      </c>
      <c r="AU452">
        <f t="shared" si="83"/>
        <v>-5.5</v>
      </c>
      <c r="AV452">
        <f>SUM(Table1[[#This Row],[Satis]:[29]])</f>
        <v>-6</v>
      </c>
      <c r="AW452">
        <f t="shared" si="84"/>
        <v>-5</v>
      </c>
      <c r="AX452">
        <f t="shared" si="85"/>
        <v>-4</v>
      </c>
      <c r="AY452">
        <f t="shared" si="86"/>
        <v>-3</v>
      </c>
      <c r="AZ452" t="str">
        <f t="shared" si="87"/>
        <v>TDP HardCore</v>
      </c>
    </row>
    <row r="453" spans="1:52" x14ac:dyDescent="0.3">
      <c r="A453" t="s">
        <v>2620</v>
      </c>
      <c r="B453" s="94">
        <v>46045</v>
      </c>
      <c r="C453" t="s">
        <v>2621</v>
      </c>
      <c r="D453" t="s">
        <v>2622</v>
      </c>
      <c r="E453" t="s">
        <v>2623</v>
      </c>
      <c r="F453" t="s">
        <v>2547</v>
      </c>
      <c r="G453" t="s">
        <v>39</v>
      </c>
      <c r="H453" t="s">
        <v>2624</v>
      </c>
      <c r="I453" t="s">
        <v>159</v>
      </c>
      <c r="J453" s="112" t="s">
        <v>203</v>
      </c>
      <c r="K453" s="112" t="s">
        <v>205</v>
      </c>
      <c r="L453" t="s">
        <v>62</v>
      </c>
      <c r="M453" t="s">
        <v>51</v>
      </c>
      <c r="N453" t="s">
        <v>63</v>
      </c>
      <c r="O453" t="s">
        <v>2625</v>
      </c>
      <c r="P453">
        <v>9492712418</v>
      </c>
      <c r="Q453" t="s">
        <v>54</v>
      </c>
      <c r="R453" t="s">
        <v>61</v>
      </c>
      <c r="S453" t="s">
        <v>88</v>
      </c>
      <c r="T453" t="s">
        <v>89</v>
      </c>
      <c r="U453" t="s">
        <v>90</v>
      </c>
      <c r="V453" t="s">
        <v>91</v>
      </c>
      <c r="W453" t="s">
        <v>5080</v>
      </c>
      <c r="X453" t="s">
        <v>91</v>
      </c>
      <c r="Y453" t="s">
        <v>46</v>
      </c>
      <c r="Z453" t="s">
        <v>92</v>
      </c>
      <c r="AA453" t="s">
        <v>92</v>
      </c>
      <c r="AB453" t="s">
        <v>351</v>
      </c>
      <c r="AC453" t="s">
        <v>381</v>
      </c>
      <c r="AD453" t="s">
        <v>481</v>
      </c>
      <c r="AE453" t="s">
        <v>189</v>
      </c>
      <c r="AF453">
        <v>0</v>
      </c>
      <c r="AG453" t="s">
        <v>196</v>
      </c>
      <c r="AH453" s="93">
        <f>VLOOKUP(Table1[[#This Row],[Caste]],Factor!$H$1:$K$13,4,0)</f>
        <v>2.1852575402829908</v>
      </c>
      <c r="AI453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453">
        <f>Table1[[#This Row],[Factor_1]]*Table1[[#This Row],[2024 Factor]]</f>
        <v>2.8496473186752898</v>
      </c>
      <c r="AK453">
        <f>VLOOKUP(Table1[[#This Row],[Q18: Gender]],Factor!$A$33:$E$35,5,0)</f>
        <v>0.85034013605442171</v>
      </c>
      <c r="AL453">
        <f>VLOOKUP(Table1[[#This Row],[Taluka]],Factor!$A$42:$G$46,7,0)</f>
        <v>1.9264642089343564</v>
      </c>
      <c r="AM453">
        <f>VLOOKUP(Table1[[#This Row],[Caste]]&amp;Table1[[#This Row],[Q18: Gender]],Factor!$W$1:$X$23,2,0)</f>
        <v>1.5782415568710491</v>
      </c>
      <c r="AN453">
        <f>VLOOKUP(Table1[[#This Row],[Taluka]]&amp;Table1[[#This Row],[Caste]]&amp;Table1[[#This Row],[Q18: Gender]],Factor!$AK$4:$AL$93,2,0)</f>
        <v>0.88111541781135172</v>
      </c>
      <c r="AO453">
        <f t="shared" si="77"/>
        <v>1</v>
      </c>
      <c r="AP453">
        <f t="shared" si="78"/>
        <v>1</v>
      </c>
      <c r="AQ453">
        <f t="shared" si="79"/>
        <v>1</v>
      </c>
      <c r="AR453">
        <f t="shared" si="80"/>
        <v>1</v>
      </c>
      <c r="AS453">
        <f t="shared" si="81"/>
        <v>1</v>
      </c>
      <c r="AT453">
        <f t="shared" si="82"/>
        <v>1</v>
      </c>
      <c r="AU453">
        <f t="shared" si="83"/>
        <v>5.5</v>
      </c>
      <c r="AV453">
        <f>SUM(Table1[[#This Row],[Satis]:[29]])</f>
        <v>6</v>
      </c>
      <c r="AW453">
        <f t="shared" si="84"/>
        <v>5</v>
      </c>
      <c r="AX453">
        <f t="shared" si="85"/>
        <v>4</v>
      </c>
      <c r="AY453">
        <f t="shared" si="86"/>
        <v>3</v>
      </c>
      <c r="AZ453" t="str">
        <f t="shared" si="87"/>
        <v>YSRCP HardCore</v>
      </c>
    </row>
    <row r="454" spans="1:52" x14ac:dyDescent="0.3">
      <c r="A454" t="s">
        <v>2626</v>
      </c>
      <c r="B454" s="94">
        <v>46045</v>
      </c>
      <c r="C454" t="s">
        <v>2627</v>
      </c>
      <c r="D454" t="s">
        <v>2628</v>
      </c>
      <c r="E454" t="s">
        <v>1197</v>
      </c>
      <c r="F454" t="s">
        <v>69</v>
      </c>
      <c r="G454" t="s">
        <v>39</v>
      </c>
      <c r="H454" t="s">
        <v>2629</v>
      </c>
      <c r="I454" t="s">
        <v>227</v>
      </c>
      <c r="J454" t="s">
        <v>219</v>
      </c>
      <c r="K454" t="s">
        <v>221</v>
      </c>
      <c r="L454" t="s">
        <v>62</v>
      </c>
      <c r="M454" t="s">
        <v>51</v>
      </c>
      <c r="N454" t="s">
        <v>63</v>
      </c>
      <c r="O454" t="s">
        <v>2630</v>
      </c>
      <c r="P454">
        <v>9999999999</v>
      </c>
      <c r="Q454" t="s">
        <v>54</v>
      </c>
      <c r="R454" t="s">
        <v>73</v>
      </c>
      <c r="S454" t="s">
        <v>43</v>
      </c>
      <c r="T454" t="s">
        <v>43</v>
      </c>
      <c r="U454" t="s">
        <v>44</v>
      </c>
      <c r="V454" t="s">
        <v>45</v>
      </c>
      <c r="W454" t="s">
        <v>5083</v>
      </c>
      <c r="X454" t="s">
        <v>45</v>
      </c>
      <c r="Y454" t="s">
        <v>46</v>
      </c>
      <c r="Z454" t="s">
        <v>47</v>
      </c>
      <c r="AA454" t="s">
        <v>48</v>
      </c>
      <c r="AB454" t="s">
        <v>49</v>
      </c>
      <c r="AC454" t="s">
        <v>49</v>
      </c>
      <c r="AD454" t="s">
        <v>481</v>
      </c>
      <c r="AE454" t="s">
        <v>185</v>
      </c>
      <c r="AF454">
        <v>0</v>
      </c>
      <c r="AG454" t="s">
        <v>196</v>
      </c>
      <c r="AH454" s="93">
        <f>VLOOKUP(Table1[[#This Row],[Caste]],Factor!$H$1:$K$13,4,0)</f>
        <v>1.2612194085121222</v>
      </c>
      <c r="AI45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54">
        <f>Table1[[#This Row],[Factor_1]]*Table1[[#This Row],[2024 Factor]]</f>
        <v>0.92029223709519836</v>
      </c>
      <c r="AK454">
        <f>VLOOKUP(Table1[[#This Row],[Q18: Gender]],Factor!$A$33:$E$35,5,0)</f>
        <v>0.85034013605442171</v>
      </c>
      <c r="AL454">
        <f>VLOOKUP(Table1[[#This Row],[Taluka]],Factor!$A$42:$G$46,7,0)</f>
        <v>1.147984664167413</v>
      </c>
      <c r="AM454">
        <f>VLOOKUP(Table1[[#This Row],[Caste]]&amp;Table1[[#This Row],[Q18: Gender]],Factor!$W$1:$X$23,2,0)</f>
        <v>0.85249089649430487</v>
      </c>
      <c r="AN454">
        <f>VLOOKUP(Table1[[#This Row],[Taluka]]&amp;Table1[[#This Row],[Caste]]&amp;Table1[[#This Row],[Q18: Gender]],Factor!$AK$4:$AL$93,2,0)</f>
        <v>0.41451794778650441</v>
      </c>
      <c r="AO454">
        <f t="shared" si="77"/>
        <v>-1</v>
      </c>
      <c r="AP454">
        <f t="shared" si="78"/>
        <v>-1</v>
      </c>
      <c r="AQ454">
        <f t="shared" si="79"/>
        <v>-1</v>
      </c>
      <c r="AR454">
        <f t="shared" si="80"/>
        <v>-1</v>
      </c>
      <c r="AS454">
        <f t="shared" si="81"/>
        <v>-1</v>
      </c>
      <c r="AT454">
        <f t="shared" si="82"/>
        <v>-1</v>
      </c>
      <c r="AU454">
        <f t="shared" si="83"/>
        <v>-5.5</v>
      </c>
      <c r="AV454">
        <f>SUM(Table1[[#This Row],[Satis]:[29]])</f>
        <v>-6</v>
      </c>
      <c r="AW454">
        <f t="shared" si="84"/>
        <v>-5</v>
      </c>
      <c r="AX454">
        <f t="shared" si="85"/>
        <v>-4</v>
      </c>
      <c r="AY454">
        <f t="shared" si="86"/>
        <v>-3</v>
      </c>
      <c r="AZ454" t="str">
        <f t="shared" si="87"/>
        <v>TDP HardCore</v>
      </c>
    </row>
    <row r="455" spans="1:52" x14ac:dyDescent="0.3">
      <c r="A455" t="s">
        <v>2631</v>
      </c>
      <c r="B455" s="94">
        <v>46045</v>
      </c>
      <c r="C455" t="s">
        <v>2632</v>
      </c>
      <c r="D455" t="s">
        <v>2633</v>
      </c>
      <c r="E455" t="s">
        <v>2634</v>
      </c>
      <c r="F455" t="s">
        <v>2547</v>
      </c>
      <c r="G455" t="s">
        <v>39</v>
      </c>
      <c r="H455" t="s">
        <v>2635</v>
      </c>
      <c r="I455" t="s">
        <v>227</v>
      </c>
      <c r="J455" t="s">
        <v>219</v>
      </c>
      <c r="K455" t="s">
        <v>222</v>
      </c>
      <c r="L455" t="s">
        <v>62</v>
      </c>
      <c r="M455" t="s">
        <v>51</v>
      </c>
      <c r="N455" t="s">
        <v>63</v>
      </c>
      <c r="O455" t="s">
        <v>2636</v>
      </c>
      <c r="P455">
        <v>7093213418</v>
      </c>
      <c r="Q455" t="s">
        <v>54</v>
      </c>
      <c r="R455" t="s">
        <v>61</v>
      </c>
      <c r="S455" t="s">
        <v>88</v>
      </c>
      <c r="T455" t="s">
        <v>43</v>
      </c>
      <c r="U455" t="s">
        <v>90</v>
      </c>
      <c r="V455" t="s">
        <v>91</v>
      </c>
      <c r="W455" t="s">
        <v>5089</v>
      </c>
      <c r="X455" t="s">
        <v>91</v>
      </c>
      <c r="Y455" t="s">
        <v>46</v>
      </c>
      <c r="Z455" t="s">
        <v>92</v>
      </c>
      <c r="AA455" t="s">
        <v>48</v>
      </c>
      <c r="AB455" t="s">
        <v>49</v>
      </c>
      <c r="AC455" t="s">
        <v>49</v>
      </c>
      <c r="AD455" t="s">
        <v>481</v>
      </c>
      <c r="AE455" t="s">
        <v>1250</v>
      </c>
      <c r="AF455">
        <v>0</v>
      </c>
      <c r="AG455" t="s">
        <v>498</v>
      </c>
      <c r="AH455" s="93">
        <f>VLOOKUP(Table1[[#This Row],[Caste]],Factor!$H$1:$K$13,4,0)</f>
        <v>1.2612194085121222</v>
      </c>
      <c r="AI45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55">
        <f>Table1[[#This Row],[Factor_1]]*Table1[[#This Row],[2024 Factor]]</f>
        <v>0.92029223709519836</v>
      </c>
      <c r="AK455">
        <f>VLOOKUP(Table1[[#This Row],[Q18: Gender]],Factor!$A$33:$E$35,5,0)</f>
        <v>0.85034013605442171</v>
      </c>
      <c r="AL455">
        <f>VLOOKUP(Table1[[#This Row],[Taluka]],Factor!$A$42:$G$46,7,0)</f>
        <v>1.147984664167413</v>
      </c>
      <c r="AM455">
        <f>VLOOKUP(Table1[[#This Row],[Caste]]&amp;Table1[[#This Row],[Q18: Gender]],Factor!$W$1:$X$23,2,0)</f>
        <v>0.85249089649430487</v>
      </c>
      <c r="AN455">
        <f>VLOOKUP(Table1[[#This Row],[Taluka]]&amp;Table1[[#This Row],[Caste]]&amp;Table1[[#This Row],[Q18: Gender]],Factor!$AK$4:$AL$93,2,0)</f>
        <v>0.41451794778650441</v>
      </c>
      <c r="AO455">
        <f t="shared" si="77"/>
        <v>-1</v>
      </c>
      <c r="AP455">
        <f t="shared" si="78"/>
        <v>1</v>
      </c>
      <c r="AQ455">
        <f t="shared" si="79"/>
        <v>1</v>
      </c>
      <c r="AR455">
        <f t="shared" si="80"/>
        <v>1</v>
      </c>
      <c r="AS455">
        <f t="shared" si="81"/>
        <v>-1</v>
      </c>
      <c r="AT455">
        <f t="shared" si="82"/>
        <v>1</v>
      </c>
      <c r="AU455">
        <f t="shared" si="83"/>
        <v>2.5</v>
      </c>
      <c r="AV455">
        <f>SUM(Table1[[#This Row],[Satis]:[29]])</f>
        <v>2</v>
      </c>
      <c r="AW455">
        <f t="shared" si="84"/>
        <v>1</v>
      </c>
      <c r="AX455">
        <f t="shared" si="85"/>
        <v>2</v>
      </c>
      <c r="AY455" t="str">
        <f t="shared" si="86"/>
        <v>ND</v>
      </c>
      <c r="AZ455" t="str">
        <f t="shared" si="87"/>
        <v>ND</v>
      </c>
    </row>
    <row r="456" spans="1:52" x14ac:dyDescent="0.3">
      <c r="A456" t="s">
        <v>2637</v>
      </c>
      <c r="B456" s="94">
        <v>46045</v>
      </c>
      <c r="C456" t="s">
        <v>2638</v>
      </c>
      <c r="D456" t="s">
        <v>2639</v>
      </c>
      <c r="E456" t="s">
        <v>379</v>
      </c>
      <c r="F456" t="s">
        <v>240</v>
      </c>
      <c r="G456" t="s">
        <v>39</v>
      </c>
      <c r="H456" t="s">
        <v>2640</v>
      </c>
      <c r="I456" t="s">
        <v>70</v>
      </c>
      <c r="J456" t="s">
        <v>37</v>
      </c>
      <c r="K456" t="s">
        <v>80</v>
      </c>
      <c r="L456" t="s">
        <v>62</v>
      </c>
      <c r="M456" t="s">
        <v>51</v>
      </c>
      <c r="N456" t="s">
        <v>63</v>
      </c>
      <c r="O456" t="s">
        <v>2641</v>
      </c>
      <c r="P456">
        <v>9704068260</v>
      </c>
      <c r="Q456" t="s">
        <v>54</v>
      </c>
      <c r="R456" t="s">
        <v>132</v>
      </c>
      <c r="S456" t="s">
        <v>43</v>
      </c>
      <c r="T456" t="s">
        <v>43</v>
      </c>
      <c r="U456" t="s">
        <v>90</v>
      </c>
      <c r="V456" t="s">
        <v>91</v>
      </c>
      <c r="W456" t="s">
        <v>5100</v>
      </c>
      <c r="X456" t="s">
        <v>91</v>
      </c>
      <c r="Y456" t="s">
        <v>46</v>
      </c>
      <c r="Z456" t="s">
        <v>92</v>
      </c>
      <c r="AA456" t="s">
        <v>48</v>
      </c>
      <c r="AB456" t="s">
        <v>49</v>
      </c>
      <c r="AC456" t="s">
        <v>49</v>
      </c>
      <c r="AD456" t="s">
        <v>481</v>
      </c>
      <c r="AE456" t="s">
        <v>185</v>
      </c>
      <c r="AF456">
        <v>0</v>
      </c>
      <c r="AG456" t="s">
        <v>196</v>
      </c>
      <c r="AH456" s="93">
        <f>VLOOKUP(Table1[[#This Row],[Caste]],Factor!$H$1:$K$13,4,0)</f>
        <v>1.3836274505214585</v>
      </c>
      <c r="AI45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56">
        <f>Table1[[#This Row],[Factor_1]]*Table1[[#This Row],[2024 Factor]]</f>
        <v>1.1648410586678206</v>
      </c>
      <c r="AK456">
        <f>VLOOKUP(Table1[[#This Row],[Q18: Gender]],Factor!$A$33:$E$35,5,0)</f>
        <v>0.85034013605442171</v>
      </c>
      <c r="AL456">
        <f>VLOOKUP(Table1[[#This Row],[Taluka]],Factor!$A$42:$G$46,7,0)</f>
        <v>0.75433779645928134</v>
      </c>
      <c r="AM456">
        <f>VLOOKUP(Table1[[#This Row],[Caste]]&amp;Table1[[#This Row],[Q18: Gender]],Factor!$W$1:$X$23,2,0)</f>
        <v>1.0790228998469584</v>
      </c>
      <c r="AN456">
        <f>VLOOKUP(Table1[[#This Row],[Taluka]]&amp;Table1[[#This Row],[Caste]]&amp;Table1[[#This Row],[Q18: Gender]],Factor!$AK$4:$AL$93,2,0)</f>
        <v>0.52423486800867025</v>
      </c>
      <c r="AO456">
        <f t="shared" si="77"/>
        <v>-1</v>
      </c>
      <c r="AP456">
        <f t="shared" si="78"/>
        <v>1</v>
      </c>
      <c r="AQ456">
        <f t="shared" si="79"/>
        <v>1</v>
      </c>
      <c r="AR456">
        <f t="shared" si="80"/>
        <v>1</v>
      </c>
      <c r="AS456">
        <f t="shared" si="81"/>
        <v>-1</v>
      </c>
      <c r="AT456">
        <f t="shared" si="82"/>
        <v>1</v>
      </c>
      <c r="AU456">
        <f t="shared" si="83"/>
        <v>2.5</v>
      </c>
      <c r="AV456">
        <f>SUM(Table1[[#This Row],[Satis]:[29]])</f>
        <v>2</v>
      </c>
      <c r="AW456">
        <f t="shared" si="84"/>
        <v>1</v>
      </c>
      <c r="AX456">
        <f t="shared" si="85"/>
        <v>2</v>
      </c>
      <c r="AY456" t="str">
        <f t="shared" si="86"/>
        <v>ND</v>
      </c>
      <c r="AZ456" t="str">
        <f t="shared" si="87"/>
        <v>ND</v>
      </c>
    </row>
    <row r="457" spans="1:52" x14ac:dyDescent="0.3">
      <c r="A457" t="s">
        <v>2642</v>
      </c>
      <c r="B457" s="94">
        <v>46045</v>
      </c>
      <c r="C457" t="s">
        <v>2643</v>
      </c>
      <c r="D457" t="s">
        <v>2639</v>
      </c>
      <c r="E457" t="s">
        <v>379</v>
      </c>
      <c r="F457" t="s">
        <v>240</v>
      </c>
      <c r="G457" t="s">
        <v>39</v>
      </c>
      <c r="H457" t="s">
        <v>2644</v>
      </c>
      <c r="I457" t="s">
        <v>70</v>
      </c>
      <c r="J457" t="s">
        <v>37</v>
      </c>
      <c r="K457" t="s">
        <v>80</v>
      </c>
      <c r="L457" t="s">
        <v>62</v>
      </c>
      <c r="M457" t="s">
        <v>51</v>
      </c>
      <c r="N457" t="s">
        <v>63</v>
      </c>
      <c r="O457" t="s">
        <v>2641</v>
      </c>
      <c r="P457">
        <v>9704068260</v>
      </c>
      <c r="Q457" t="s">
        <v>54</v>
      </c>
      <c r="R457" t="s">
        <v>132</v>
      </c>
      <c r="S457" t="s">
        <v>43</v>
      </c>
      <c r="T457" t="s">
        <v>43</v>
      </c>
      <c r="U457" t="s">
        <v>90</v>
      </c>
      <c r="V457" t="s">
        <v>91</v>
      </c>
      <c r="W457" t="s">
        <v>5100</v>
      </c>
      <c r="X457" t="s">
        <v>91</v>
      </c>
      <c r="Y457" t="s">
        <v>46</v>
      </c>
      <c r="Z457" t="s">
        <v>92</v>
      </c>
      <c r="AA457" t="s">
        <v>48</v>
      </c>
      <c r="AB457" t="s">
        <v>49</v>
      </c>
      <c r="AC457" t="s">
        <v>49</v>
      </c>
      <c r="AD457">
        <v>0</v>
      </c>
      <c r="AE457" t="s">
        <v>185</v>
      </c>
      <c r="AF457">
        <v>0</v>
      </c>
      <c r="AG457" t="s">
        <v>196</v>
      </c>
      <c r="AH457" s="93">
        <f>VLOOKUP(Table1[[#This Row],[Caste]],Factor!$H$1:$K$13,4,0)</f>
        <v>1.3836274505214585</v>
      </c>
      <c r="AI45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57">
        <f>Table1[[#This Row],[Factor_1]]*Table1[[#This Row],[2024 Factor]]</f>
        <v>1.1648410586678206</v>
      </c>
      <c r="AK457">
        <f>VLOOKUP(Table1[[#This Row],[Q18: Gender]],Factor!$A$33:$E$35,5,0)</f>
        <v>0.85034013605442171</v>
      </c>
      <c r="AL457">
        <f>VLOOKUP(Table1[[#This Row],[Taluka]],Factor!$A$42:$G$46,7,0)</f>
        <v>0.75433779645928134</v>
      </c>
      <c r="AM457">
        <f>VLOOKUP(Table1[[#This Row],[Caste]]&amp;Table1[[#This Row],[Q18: Gender]],Factor!$W$1:$X$23,2,0)</f>
        <v>1.0790228998469584</v>
      </c>
      <c r="AN457">
        <f>VLOOKUP(Table1[[#This Row],[Taluka]]&amp;Table1[[#This Row],[Caste]]&amp;Table1[[#This Row],[Q18: Gender]],Factor!$AK$4:$AL$93,2,0)</f>
        <v>0.52423486800867025</v>
      </c>
      <c r="AO457">
        <f t="shared" si="77"/>
        <v>-1</v>
      </c>
      <c r="AP457">
        <f t="shared" si="78"/>
        <v>1</v>
      </c>
      <c r="AQ457">
        <f t="shared" si="79"/>
        <v>1</v>
      </c>
      <c r="AR457">
        <f t="shared" si="80"/>
        <v>1</v>
      </c>
      <c r="AS457">
        <f t="shared" si="81"/>
        <v>-1</v>
      </c>
      <c r="AT457">
        <f t="shared" si="82"/>
        <v>1</v>
      </c>
      <c r="AU457">
        <f t="shared" si="83"/>
        <v>2.5</v>
      </c>
      <c r="AV457">
        <f>SUM(Table1[[#This Row],[Satis]:[29]])</f>
        <v>2</v>
      </c>
      <c r="AW457">
        <f t="shared" si="84"/>
        <v>1</v>
      </c>
      <c r="AX457">
        <f t="shared" si="85"/>
        <v>2</v>
      </c>
      <c r="AY457" t="str">
        <f t="shared" si="86"/>
        <v>ND</v>
      </c>
      <c r="AZ457" t="str">
        <f t="shared" si="87"/>
        <v>ND</v>
      </c>
    </row>
    <row r="458" spans="1:52" x14ac:dyDescent="0.3">
      <c r="A458" t="s">
        <v>2645</v>
      </c>
      <c r="B458" s="94">
        <v>46045</v>
      </c>
      <c r="C458" t="s">
        <v>2646</v>
      </c>
      <c r="D458" t="s">
        <v>2647</v>
      </c>
      <c r="E458" t="s">
        <v>1549</v>
      </c>
      <c r="F458" t="s">
        <v>935</v>
      </c>
      <c r="G458" t="s">
        <v>39</v>
      </c>
      <c r="H458" t="s">
        <v>2648</v>
      </c>
      <c r="I458" t="s">
        <v>59</v>
      </c>
      <c r="J458" t="s">
        <v>219</v>
      </c>
      <c r="K458" t="s">
        <v>224</v>
      </c>
      <c r="L458" t="s">
        <v>82</v>
      </c>
      <c r="M458" t="s">
        <v>51</v>
      </c>
      <c r="N458" t="s">
        <v>107</v>
      </c>
      <c r="O458" t="s">
        <v>2649</v>
      </c>
      <c r="P458">
        <v>9866344368</v>
      </c>
      <c r="Q458" t="s">
        <v>54</v>
      </c>
      <c r="R458" t="s">
        <v>61</v>
      </c>
      <c r="S458" t="s">
        <v>89</v>
      </c>
      <c r="T458" t="s">
        <v>43</v>
      </c>
      <c r="U458" t="s">
        <v>44</v>
      </c>
      <c r="V458" t="s">
        <v>45</v>
      </c>
      <c r="W458" t="s">
        <v>5057</v>
      </c>
      <c r="X458" t="s">
        <v>45</v>
      </c>
      <c r="Y458" t="s">
        <v>46</v>
      </c>
      <c r="Z458" t="s">
        <v>47</v>
      </c>
      <c r="AA458" t="s">
        <v>48</v>
      </c>
      <c r="AB458" t="s">
        <v>49</v>
      </c>
      <c r="AC458" t="s">
        <v>49</v>
      </c>
      <c r="AD458" t="s">
        <v>481</v>
      </c>
      <c r="AE458" t="s">
        <v>189</v>
      </c>
      <c r="AF458" t="s">
        <v>2997</v>
      </c>
      <c r="AG458" t="s">
        <v>196</v>
      </c>
      <c r="AH458" s="93">
        <f>VLOOKUP(Table1[[#This Row],[Caste]],Factor!$H$1:$K$13,4,0)</f>
        <v>1.1461625511156397</v>
      </c>
      <c r="AI45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58">
        <f>Table1[[#This Row],[Factor_1]]*Table1[[#This Row],[2024 Factor]]</f>
        <v>0.77721139583220644</v>
      </c>
      <c r="AK458">
        <f>VLOOKUP(Table1[[#This Row],[Q18: Gender]],Factor!$A$33:$E$35,5,0)</f>
        <v>0.85034013605442171</v>
      </c>
      <c r="AL458">
        <f>VLOOKUP(Table1[[#This Row],[Taluka]],Factor!$A$42:$G$46,7,0)</f>
        <v>1.147984664167413</v>
      </c>
      <c r="AM458">
        <f>VLOOKUP(Table1[[#This Row],[Caste]]&amp;Table1[[#This Row],[Q18: Gender]],Factor!$W$1:$X$23,2,0)</f>
        <v>0.71995135120329123</v>
      </c>
      <c r="AN458">
        <f>VLOOKUP(Table1[[#This Row],[Taluka]]&amp;Table1[[#This Row],[Caste]]&amp;Table1[[#This Row],[Q18: Gender]],Factor!$AK$4:$AL$93,2,0)</f>
        <v>0.54319084681293095</v>
      </c>
      <c r="AO458">
        <f t="shared" si="77"/>
        <v>-1</v>
      </c>
      <c r="AP458">
        <f t="shared" si="78"/>
        <v>-1</v>
      </c>
      <c r="AQ458">
        <f t="shared" si="79"/>
        <v>-1</v>
      </c>
      <c r="AR458">
        <f t="shared" si="80"/>
        <v>-1</v>
      </c>
      <c r="AS458">
        <f t="shared" si="81"/>
        <v>-1</v>
      </c>
      <c r="AT458">
        <f t="shared" si="82"/>
        <v>-1</v>
      </c>
      <c r="AU458">
        <f t="shared" si="83"/>
        <v>-5.5</v>
      </c>
      <c r="AV458">
        <f>SUM(Table1[[#This Row],[Satis]:[29]])</f>
        <v>-6</v>
      </c>
      <c r="AW458">
        <f t="shared" si="84"/>
        <v>-5</v>
      </c>
      <c r="AX458">
        <f t="shared" si="85"/>
        <v>-4</v>
      </c>
      <c r="AY458">
        <f t="shared" si="86"/>
        <v>-3</v>
      </c>
      <c r="AZ458" t="str">
        <f t="shared" si="87"/>
        <v>TDP HardCore</v>
      </c>
    </row>
    <row r="459" spans="1:52" x14ac:dyDescent="0.3">
      <c r="A459" t="s">
        <v>2650</v>
      </c>
      <c r="B459" s="94">
        <v>46045</v>
      </c>
      <c r="C459" t="s">
        <v>2651</v>
      </c>
      <c r="D459" t="s">
        <v>2652</v>
      </c>
      <c r="E459" t="s">
        <v>392</v>
      </c>
      <c r="F459" t="s">
        <v>240</v>
      </c>
      <c r="G459" t="s">
        <v>39</v>
      </c>
      <c r="H459" t="s">
        <v>2653</v>
      </c>
      <c r="I459" t="s">
        <v>228</v>
      </c>
      <c r="J459" t="s">
        <v>37</v>
      </c>
      <c r="K459" t="s">
        <v>80</v>
      </c>
      <c r="L459" t="s">
        <v>161</v>
      </c>
      <c r="M459" t="s">
        <v>51</v>
      </c>
      <c r="N459" t="s">
        <v>107</v>
      </c>
      <c r="O459" t="s">
        <v>2654</v>
      </c>
      <c r="P459">
        <v>999999999</v>
      </c>
      <c r="Q459" t="s">
        <v>54</v>
      </c>
      <c r="R459" t="s">
        <v>2116</v>
      </c>
      <c r="S459" t="s">
        <v>89</v>
      </c>
      <c r="T459" t="s">
        <v>43</v>
      </c>
      <c r="U459" t="s">
        <v>44</v>
      </c>
      <c r="V459" t="s">
        <v>45</v>
      </c>
      <c r="W459" t="s">
        <v>5057</v>
      </c>
      <c r="X459" t="s">
        <v>91</v>
      </c>
      <c r="Y459" t="s">
        <v>46</v>
      </c>
      <c r="Z459" t="s">
        <v>92</v>
      </c>
      <c r="AA459" t="s">
        <v>92</v>
      </c>
      <c r="AB459" t="s">
        <v>93</v>
      </c>
      <c r="AC459" t="s">
        <v>94</v>
      </c>
      <c r="AD459" t="s">
        <v>481</v>
      </c>
      <c r="AE459" t="s">
        <v>189</v>
      </c>
      <c r="AF459" t="s">
        <v>2998</v>
      </c>
      <c r="AG459" t="s">
        <v>196</v>
      </c>
      <c r="AH459" s="93">
        <f>VLOOKUP(Table1[[#This Row],[Caste]],Factor!$H$1:$K$13,4,0)</f>
        <v>0.80207032429970992</v>
      </c>
      <c r="AI459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459">
        <f>Table1[[#This Row],[Factor_1]]*Table1[[#This Row],[2024 Factor]]</f>
        <v>1.0971251128803523</v>
      </c>
      <c r="AK459">
        <f>VLOOKUP(Table1[[#This Row],[Q18: Gender]],Factor!$A$33:$E$35,5,0)</f>
        <v>0.85034013605442171</v>
      </c>
      <c r="AL459">
        <f>VLOOKUP(Table1[[#This Row],[Taluka]],Factor!$A$42:$G$46,7,0)</f>
        <v>0.75433779645928134</v>
      </c>
      <c r="AM459">
        <f>VLOOKUP(Table1[[#This Row],[Caste]]&amp;Table1[[#This Row],[Q18: Gender]],Factor!$W$1:$X$23,2,0)</f>
        <v>0.60762903356038633</v>
      </c>
      <c r="AN459">
        <f>VLOOKUP(Table1[[#This Row],[Taluka]]&amp;Table1[[#This Row],[Caste]]&amp;Table1[[#This Row],[Q18: Gender]],Factor!$AK$4:$AL$93,2,0)</f>
        <v>0.22537440548651508</v>
      </c>
      <c r="AO459">
        <f t="shared" si="77"/>
        <v>-1</v>
      </c>
      <c r="AP459">
        <f t="shared" si="78"/>
        <v>-1</v>
      </c>
      <c r="AQ459">
        <f t="shared" si="79"/>
        <v>-1</v>
      </c>
      <c r="AR459">
        <f t="shared" si="80"/>
        <v>1</v>
      </c>
      <c r="AS459">
        <f t="shared" si="81"/>
        <v>1</v>
      </c>
      <c r="AT459">
        <f t="shared" si="82"/>
        <v>1</v>
      </c>
      <c r="AU459">
        <f t="shared" si="83"/>
        <v>-0.5</v>
      </c>
      <c r="AV459">
        <f>SUM(Table1[[#This Row],[Satis]:[29]])</f>
        <v>0</v>
      </c>
      <c r="AW459">
        <f t="shared" si="84"/>
        <v>1</v>
      </c>
      <c r="AX459">
        <f t="shared" si="85"/>
        <v>2</v>
      </c>
      <c r="AY459">
        <f t="shared" si="86"/>
        <v>2</v>
      </c>
      <c r="AZ459" t="str">
        <f t="shared" si="87"/>
        <v>Neutral YSRCP</v>
      </c>
    </row>
    <row r="460" spans="1:52" x14ac:dyDescent="0.3">
      <c r="A460" t="s">
        <v>2655</v>
      </c>
      <c r="B460" s="94">
        <v>46045</v>
      </c>
      <c r="C460" t="s">
        <v>2656</v>
      </c>
      <c r="D460" t="s">
        <v>2657</v>
      </c>
      <c r="E460" t="s">
        <v>1521</v>
      </c>
      <c r="F460" t="s">
        <v>935</v>
      </c>
      <c r="G460" t="s">
        <v>39</v>
      </c>
      <c r="H460" t="s">
        <v>2658</v>
      </c>
      <c r="I460" t="s">
        <v>227</v>
      </c>
      <c r="J460" t="s">
        <v>219</v>
      </c>
      <c r="K460" t="s">
        <v>224</v>
      </c>
      <c r="L460" t="s">
        <v>50</v>
      </c>
      <c r="M460" t="s">
        <v>51</v>
      </c>
      <c r="N460" t="s">
        <v>63</v>
      </c>
      <c r="O460" t="s">
        <v>680</v>
      </c>
      <c r="P460">
        <v>8555854550</v>
      </c>
      <c r="Q460" t="s">
        <v>54</v>
      </c>
      <c r="R460" t="s">
        <v>61</v>
      </c>
      <c r="S460" t="s">
        <v>43</v>
      </c>
      <c r="T460" t="s">
        <v>43</v>
      </c>
      <c r="U460" t="s">
        <v>44</v>
      </c>
      <c r="V460" t="s">
        <v>45</v>
      </c>
      <c r="W460" t="s">
        <v>5056</v>
      </c>
      <c r="X460" t="s">
        <v>91</v>
      </c>
      <c r="Y460" t="s">
        <v>46</v>
      </c>
      <c r="Z460" t="s">
        <v>47</v>
      </c>
      <c r="AA460" t="s">
        <v>48</v>
      </c>
      <c r="AB460" t="s">
        <v>49</v>
      </c>
      <c r="AC460" t="s">
        <v>49</v>
      </c>
      <c r="AD460" t="s">
        <v>481</v>
      </c>
      <c r="AE460" t="s">
        <v>1250</v>
      </c>
      <c r="AF460">
        <v>0</v>
      </c>
      <c r="AG460" t="s">
        <v>498</v>
      </c>
      <c r="AH460" s="93">
        <f>VLOOKUP(Table1[[#This Row],[Caste]],Factor!$H$1:$K$13,4,0)</f>
        <v>1.2612194085121222</v>
      </c>
      <c r="AI46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60">
        <f>Table1[[#This Row],[Factor_1]]*Table1[[#This Row],[2024 Factor]]</f>
        <v>0.92029223709519836</v>
      </c>
      <c r="AK460">
        <f>VLOOKUP(Table1[[#This Row],[Q18: Gender]],Factor!$A$33:$E$35,5,0)</f>
        <v>0.85034013605442171</v>
      </c>
      <c r="AL460">
        <f>VLOOKUP(Table1[[#This Row],[Taluka]],Factor!$A$42:$G$46,7,0)</f>
        <v>1.147984664167413</v>
      </c>
      <c r="AM460">
        <f>VLOOKUP(Table1[[#This Row],[Caste]]&amp;Table1[[#This Row],[Q18: Gender]],Factor!$W$1:$X$23,2,0)</f>
        <v>0.85249089649430487</v>
      </c>
      <c r="AN460">
        <f>VLOOKUP(Table1[[#This Row],[Taluka]]&amp;Table1[[#This Row],[Caste]]&amp;Table1[[#This Row],[Q18: Gender]],Factor!$AK$4:$AL$93,2,0)</f>
        <v>0.41451794778650441</v>
      </c>
      <c r="AO460">
        <f t="shared" si="77"/>
        <v>-1</v>
      </c>
      <c r="AP460">
        <f t="shared" si="78"/>
        <v>-1</v>
      </c>
      <c r="AQ460">
        <f t="shared" si="79"/>
        <v>-1</v>
      </c>
      <c r="AR460">
        <f t="shared" si="80"/>
        <v>1</v>
      </c>
      <c r="AS460">
        <f t="shared" si="81"/>
        <v>-1</v>
      </c>
      <c r="AT460">
        <f t="shared" si="82"/>
        <v>-1</v>
      </c>
      <c r="AU460">
        <f t="shared" si="83"/>
        <v>-3.5</v>
      </c>
      <c r="AV460">
        <f>SUM(Table1[[#This Row],[Satis]:[29]])</f>
        <v>-4</v>
      </c>
      <c r="AW460">
        <f t="shared" si="84"/>
        <v>-3</v>
      </c>
      <c r="AX460">
        <f t="shared" si="85"/>
        <v>-2</v>
      </c>
      <c r="AY460">
        <f t="shared" si="86"/>
        <v>-3</v>
      </c>
      <c r="AZ460" t="str">
        <f t="shared" si="87"/>
        <v>Neutral TDP</v>
      </c>
    </row>
    <row r="461" spans="1:52" x14ac:dyDescent="0.3">
      <c r="A461" t="s">
        <v>2659</v>
      </c>
      <c r="B461" s="94">
        <v>46045</v>
      </c>
      <c r="C461" t="s">
        <v>2660</v>
      </c>
      <c r="D461" t="s">
        <v>2661</v>
      </c>
      <c r="E461" t="s">
        <v>392</v>
      </c>
      <c r="F461" t="s">
        <v>240</v>
      </c>
      <c r="G461" t="s">
        <v>39</v>
      </c>
      <c r="H461" t="s">
        <v>2662</v>
      </c>
      <c r="I461" t="s">
        <v>70</v>
      </c>
      <c r="J461" t="s">
        <v>37</v>
      </c>
      <c r="K461" t="s">
        <v>80</v>
      </c>
      <c r="L461" t="s">
        <v>62</v>
      </c>
      <c r="M461" t="s">
        <v>51</v>
      </c>
      <c r="N461" t="s">
        <v>63</v>
      </c>
      <c r="O461" t="s">
        <v>2663</v>
      </c>
      <c r="P461">
        <v>9704011024</v>
      </c>
      <c r="Q461" t="s">
        <v>54</v>
      </c>
      <c r="R461" t="s">
        <v>132</v>
      </c>
      <c r="S461" t="s">
        <v>88</v>
      </c>
      <c r="T461" t="s">
        <v>43</v>
      </c>
      <c r="U461" t="s">
        <v>90</v>
      </c>
      <c r="V461" t="s">
        <v>91</v>
      </c>
      <c r="W461" t="s">
        <v>5064</v>
      </c>
      <c r="X461" t="s">
        <v>91</v>
      </c>
      <c r="Y461" t="s">
        <v>46</v>
      </c>
      <c r="Z461" t="s">
        <v>242</v>
      </c>
      <c r="AA461" t="s">
        <v>242</v>
      </c>
      <c r="AB461" t="s">
        <v>49</v>
      </c>
      <c r="AC461" t="s">
        <v>49</v>
      </c>
      <c r="AD461" t="s">
        <v>481</v>
      </c>
      <c r="AE461" t="s">
        <v>185</v>
      </c>
      <c r="AF461">
        <v>0</v>
      </c>
      <c r="AG461" t="s">
        <v>196</v>
      </c>
      <c r="AH461" s="93">
        <f>VLOOKUP(Table1[[#This Row],[Caste]],Factor!$H$1:$K$13,4,0)</f>
        <v>1.3836274505214585</v>
      </c>
      <c r="AI461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461">
        <f>Table1[[#This Row],[Factor_1]]*Table1[[#This Row],[2024 Factor]]</f>
        <v>0.71381514912952693</v>
      </c>
      <c r="AK461">
        <f>VLOOKUP(Table1[[#This Row],[Q18: Gender]],Factor!$A$33:$E$35,5,0)</f>
        <v>0.85034013605442171</v>
      </c>
      <c r="AL461">
        <f>VLOOKUP(Table1[[#This Row],[Taluka]],Factor!$A$42:$G$46,7,0)</f>
        <v>0.75433779645928134</v>
      </c>
      <c r="AM461">
        <f>VLOOKUP(Table1[[#This Row],[Caste]]&amp;Table1[[#This Row],[Q18: Gender]],Factor!$W$1:$X$23,2,0)</f>
        <v>1.0790228998469584</v>
      </c>
      <c r="AN461">
        <f>VLOOKUP(Table1[[#This Row],[Taluka]]&amp;Table1[[#This Row],[Caste]]&amp;Table1[[#This Row],[Q18: Gender]],Factor!$AK$4:$AL$93,2,0)</f>
        <v>0.52423486800867025</v>
      </c>
      <c r="AO461">
        <f t="shared" si="77"/>
        <v>-1</v>
      </c>
      <c r="AP461">
        <f t="shared" si="78"/>
        <v>1</v>
      </c>
      <c r="AQ461">
        <f t="shared" si="79"/>
        <v>1</v>
      </c>
      <c r="AR461">
        <f t="shared" si="80"/>
        <v>1</v>
      </c>
      <c r="AS461">
        <f t="shared" si="81"/>
        <v>-1</v>
      </c>
      <c r="AT461">
        <f t="shared" si="82"/>
        <v>-1</v>
      </c>
      <c r="AU461">
        <f t="shared" si="83"/>
        <v>0.5</v>
      </c>
      <c r="AV461">
        <f>SUM(Table1[[#This Row],[Satis]:[29]])</f>
        <v>0</v>
      </c>
      <c r="AW461">
        <f t="shared" si="84"/>
        <v>-1</v>
      </c>
      <c r="AX461">
        <f t="shared" si="85"/>
        <v>0</v>
      </c>
      <c r="AY461">
        <f t="shared" si="86"/>
        <v>-3</v>
      </c>
      <c r="AZ461" t="str">
        <f t="shared" si="87"/>
        <v>Neutral TDP</v>
      </c>
    </row>
    <row r="462" spans="1:52" x14ac:dyDescent="0.3">
      <c r="A462" t="s">
        <v>2664</v>
      </c>
      <c r="B462" s="94">
        <v>46045</v>
      </c>
      <c r="C462" t="s">
        <v>2665</v>
      </c>
      <c r="D462" t="s">
        <v>2666</v>
      </c>
      <c r="E462" t="s">
        <v>2667</v>
      </c>
      <c r="F462" t="s">
        <v>69</v>
      </c>
      <c r="G462" t="s">
        <v>39</v>
      </c>
      <c r="H462" t="s">
        <v>2668</v>
      </c>
      <c r="I462" t="s">
        <v>70</v>
      </c>
      <c r="J462" t="s">
        <v>219</v>
      </c>
      <c r="K462" t="s">
        <v>220</v>
      </c>
      <c r="L462" t="s">
        <v>50</v>
      </c>
      <c r="M462" t="s">
        <v>443</v>
      </c>
      <c r="N462" t="s">
        <v>107</v>
      </c>
      <c r="O462" t="s">
        <v>2669</v>
      </c>
      <c r="P462">
        <v>6281059399</v>
      </c>
      <c r="Q462" t="s">
        <v>54</v>
      </c>
      <c r="R462" t="s">
        <v>73</v>
      </c>
      <c r="S462" t="s">
        <v>89</v>
      </c>
      <c r="T462" t="s">
        <v>89</v>
      </c>
      <c r="U462" t="s">
        <v>90</v>
      </c>
      <c r="V462" t="s">
        <v>91</v>
      </c>
      <c r="W462" t="s">
        <v>5046</v>
      </c>
      <c r="X462" t="s">
        <v>91</v>
      </c>
      <c r="Y462" t="s">
        <v>46</v>
      </c>
      <c r="Z462" t="s">
        <v>92</v>
      </c>
      <c r="AA462" t="s">
        <v>92</v>
      </c>
      <c r="AB462" t="s">
        <v>93</v>
      </c>
      <c r="AC462" t="s">
        <v>94</v>
      </c>
      <c r="AD462" t="s">
        <v>481</v>
      </c>
      <c r="AE462" t="s">
        <v>185</v>
      </c>
      <c r="AF462">
        <v>0</v>
      </c>
      <c r="AG462" t="s">
        <v>196</v>
      </c>
      <c r="AH462" s="93">
        <f>VLOOKUP(Table1[[#This Row],[Caste]],Factor!$H$1:$K$13,4,0)</f>
        <v>1.3836274505214585</v>
      </c>
      <c r="AI462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462">
        <f>Table1[[#This Row],[Factor_1]]*Table1[[#This Row],[2024 Factor]]</f>
        <v>1.9482662206881376</v>
      </c>
      <c r="AK462">
        <f>VLOOKUP(Table1[[#This Row],[Q18: Gender]],Factor!$A$33:$E$35,5,0)</f>
        <v>0.85034013605442171</v>
      </c>
      <c r="AL462">
        <f>VLOOKUP(Table1[[#This Row],[Taluka]],Factor!$A$42:$G$46,7,0)</f>
        <v>1.147984664167413</v>
      </c>
      <c r="AM462">
        <f>VLOOKUP(Table1[[#This Row],[Caste]]&amp;Table1[[#This Row],[Q18: Gender]],Factor!$W$1:$X$23,2,0)</f>
        <v>1.0790228998469584</v>
      </c>
      <c r="AN462">
        <f>VLOOKUP(Table1[[#This Row],[Taluka]]&amp;Table1[[#This Row],[Caste]]&amp;Table1[[#This Row],[Q18: Gender]],Factor!$AK$4:$AL$93,2,0)</f>
        <v>1.1572915102003449</v>
      </c>
      <c r="AO462">
        <f t="shared" si="77"/>
        <v>1</v>
      </c>
      <c r="AP462">
        <f t="shared" si="78"/>
        <v>1</v>
      </c>
      <c r="AQ462">
        <f t="shared" si="79"/>
        <v>1</v>
      </c>
      <c r="AR462">
        <f t="shared" si="80"/>
        <v>1</v>
      </c>
      <c r="AS462">
        <f t="shared" si="81"/>
        <v>1</v>
      </c>
      <c r="AT462">
        <f t="shared" si="82"/>
        <v>1</v>
      </c>
      <c r="AU462">
        <f t="shared" si="83"/>
        <v>5.5</v>
      </c>
      <c r="AV462">
        <f>SUM(Table1[[#This Row],[Satis]:[29]])</f>
        <v>6</v>
      </c>
      <c r="AW462">
        <f t="shared" si="84"/>
        <v>5</v>
      </c>
      <c r="AX462">
        <f t="shared" si="85"/>
        <v>4</v>
      </c>
      <c r="AY462">
        <f t="shared" si="86"/>
        <v>3</v>
      </c>
      <c r="AZ462" t="str">
        <f t="shared" si="87"/>
        <v>YSRCP HardCore</v>
      </c>
    </row>
    <row r="463" spans="1:52" x14ac:dyDescent="0.3">
      <c r="A463" t="s">
        <v>2670</v>
      </c>
      <c r="B463" s="94">
        <v>46045</v>
      </c>
      <c r="C463" t="s">
        <v>2671</v>
      </c>
      <c r="D463" t="s">
        <v>2672</v>
      </c>
      <c r="E463" t="s">
        <v>2673</v>
      </c>
      <c r="F463" t="s">
        <v>2547</v>
      </c>
      <c r="G463" t="s">
        <v>39</v>
      </c>
      <c r="H463" t="s">
        <v>2674</v>
      </c>
      <c r="I463" t="s">
        <v>159</v>
      </c>
      <c r="J463" t="s">
        <v>219</v>
      </c>
      <c r="K463" t="s">
        <v>222</v>
      </c>
      <c r="L463" t="s">
        <v>62</v>
      </c>
      <c r="M463" t="s">
        <v>51</v>
      </c>
      <c r="N463" t="s">
        <v>63</v>
      </c>
      <c r="O463" t="s">
        <v>2014</v>
      </c>
      <c r="P463">
        <v>9010827635</v>
      </c>
      <c r="Q463" t="s">
        <v>54</v>
      </c>
      <c r="R463" t="s">
        <v>61</v>
      </c>
      <c r="S463" t="s">
        <v>88</v>
      </c>
      <c r="T463" t="s">
        <v>89</v>
      </c>
      <c r="U463" t="s">
        <v>90</v>
      </c>
      <c r="V463" t="s">
        <v>91</v>
      </c>
      <c r="W463" t="s">
        <v>5079</v>
      </c>
      <c r="X463" t="s">
        <v>91</v>
      </c>
      <c r="Y463" t="s">
        <v>46</v>
      </c>
      <c r="Z463" t="s">
        <v>92</v>
      </c>
      <c r="AA463" t="s">
        <v>92</v>
      </c>
      <c r="AB463" t="s">
        <v>351</v>
      </c>
      <c r="AC463" t="s">
        <v>381</v>
      </c>
      <c r="AD463" t="s">
        <v>481</v>
      </c>
      <c r="AE463" t="s">
        <v>191</v>
      </c>
      <c r="AF463" t="s">
        <v>2999</v>
      </c>
      <c r="AG463" t="s">
        <v>498</v>
      </c>
      <c r="AH463" s="93">
        <f>VLOOKUP(Table1[[#This Row],[Caste]],Factor!$H$1:$K$13,4,0)</f>
        <v>2.1852575402829908</v>
      </c>
      <c r="AI463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463">
        <f>Table1[[#This Row],[Factor_1]]*Table1[[#This Row],[2024 Factor]]</f>
        <v>2.8496473186752898</v>
      </c>
      <c r="AK463">
        <f>VLOOKUP(Table1[[#This Row],[Q18: Gender]],Factor!$A$33:$E$35,5,0)</f>
        <v>0.85034013605442171</v>
      </c>
      <c r="AL463">
        <f>VLOOKUP(Table1[[#This Row],[Taluka]],Factor!$A$42:$G$46,7,0)</f>
        <v>1.147984664167413</v>
      </c>
      <c r="AM463">
        <f>VLOOKUP(Table1[[#This Row],[Caste]]&amp;Table1[[#This Row],[Q18: Gender]],Factor!$W$1:$X$23,2,0)</f>
        <v>1.5782415568710491</v>
      </c>
      <c r="AN463">
        <f>VLOOKUP(Table1[[#This Row],[Taluka]]&amp;Table1[[#This Row],[Caste]]&amp;Table1[[#This Row],[Q18: Gender]],Factor!$AK$4:$AL$93,2,0)</f>
        <v>4.092849657122005</v>
      </c>
      <c r="AO463">
        <f t="shared" si="77"/>
        <v>1</v>
      </c>
      <c r="AP463">
        <f t="shared" si="78"/>
        <v>1</v>
      </c>
      <c r="AQ463">
        <f t="shared" si="79"/>
        <v>1</v>
      </c>
      <c r="AR463">
        <f t="shared" si="80"/>
        <v>1</v>
      </c>
      <c r="AS463">
        <f t="shared" si="81"/>
        <v>1</v>
      </c>
      <c r="AT463">
        <f t="shared" si="82"/>
        <v>1</v>
      </c>
      <c r="AU463">
        <f t="shared" si="83"/>
        <v>5.5</v>
      </c>
      <c r="AV463">
        <f>SUM(Table1[[#This Row],[Satis]:[29]])</f>
        <v>6</v>
      </c>
      <c r="AW463">
        <f t="shared" si="84"/>
        <v>5</v>
      </c>
      <c r="AX463">
        <f t="shared" si="85"/>
        <v>4</v>
      </c>
      <c r="AY463">
        <f t="shared" si="86"/>
        <v>3</v>
      </c>
      <c r="AZ463" t="str">
        <f t="shared" si="87"/>
        <v>YSRCP HardCore</v>
      </c>
    </row>
    <row r="464" spans="1:52" x14ac:dyDescent="0.3">
      <c r="A464" t="s">
        <v>2675</v>
      </c>
      <c r="B464" s="94">
        <v>46045</v>
      </c>
      <c r="C464" t="s">
        <v>2676</v>
      </c>
      <c r="D464" t="s">
        <v>2677</v>
      </c>
      <c r="E464" t="s">
        <v>361</v>
      </c>
      <c r="F464" t="s">
        <v>240</v>
      </c>
      <c r="G464" t="s">
        <v>39</v>
      </c>
      <c r="H464" t="s">
        <v>2678</v>
      </c>
      <c r="I464" t="s">
        <v>70</v>
      </c>
      <c r="J464" t="s">
        <v>37</v>
      </c>
      <c r="K464" t="s">
        <v>80</v>
      </c>
      <c r="L464" t="s">
        <v>50</v>
      </c>
      <c r="M464" t="s">
        <v>51</v>
      </c>
      <c r="N464" t="s">
        <v>52</v>
      </c>
      <c r="O464" t="s">
        <v>542</v>
      </c>
      <c r="P464">
        <v>8636361252</v>
      </c>
      <c r="Q464" t="s">
        <v>54</v>
      </c>
      <c r="R464" t="s">
        <v>132</v>
      </c>
      <c r="S464" t="s">
        <v>89</v>
      </c>
      <c r="T464" t="s">
        <v>89</v>
      </c>
      <c r="U464" t="s">
        <v>90</v>
      </c>
      <c r="V464" t="s">
        <v>91</v>
      </c>
      <c r="W464" t="s">
        <v>5056</v>
      </c>
      <c r="X464" t="s">
        <v>91</v>
      </c>
      <c r="Y464" t="s">
        <v>46</v>
      </c>
      <c r="Z464" t="s">
        <v>92</v>
      </c>
      <c r="AA464" t="s">
        <v>92</v>
      </c>
      <c r="AB464" t="s">
        <v>93</v>
      </c>
      <c r="AC464" t="s">
        <v>94</v>
      </c>
      <c r="AD464" t="s">
        <v>481</v>
      </c>
      <c r="AE464" t="s">
        <v>185</v>
      </c>
      <c r="AF464">
        <v>0</v>
      </c>
      <c r="AG464" t="s">
        <v>196</v>
      </c>
      <c r="AH464" s="93">
        <f>VLOOKUP(Table1[[#This Row],[Caste]],Factor!$H$1:$K$13,4,0)</f>
        <v>1.3836274505214585</v>
      </c>
      <c r="AI464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464">
        <f>Table1[[#This Row],[Factor_1]]*Table1[[#This Row],[2024 Factor]]</f>
        <v>1.9482662206881376</v>
      </c>
      <c r="AK464">
        <f>VLOOKUP(Table1[[#This Row],[Q18: Gender]],Factor!$A$33:$E$35,5,0)</f>
        <v>0.85034013605442171</v>
      </c>
      <c r="AL464">
        <f>VLOOKUP(Table1[[#This Row],[Taluka]],Factor!$A$42:$G$46,7,0)</f>
        <v>0.75433779645928134</v>
      </c>
      <c r="AM464">
        <f>VLOOKUP(Table1[[#This Row],[Caste]]&amp;Table1[[#This Row],[Q18: Gender]],Factor!$W$1:$X$23,2,0)</f>
        <v>1.0790228998469584</v>
      </c>
      <c r="AN464">
        <f>VLOOKUP(Table1[[#This Row],[Taluka]]&amp;Table1[[#This Row],[Caste]]&amp;Table1[[#This Row],[Q18: Gender]],Factor!$AK$4:$AL$93,2,0)</f>
        <v>0.52423486800867025</v>
      </c>
      <c r="AO464">
        <f t="shared" si="77"/>
        <v>1</v>
      </c>
      <c r="AP464">
        <f t="shared" si="78"/>
        <v>1</v>
      </c>
      <c r="AQ464">
        <f t="shared" si="79"/>
        <v>1</v>
      </c>
      <c r="AR464">
        <f t="shared" si="80"/>
        <v>1</v>
      </c>
      <c r="AS464">
        <f t="shared" si="81"/>
        <v>1</v>
      </c>
      <c r="AT464">
        <f t="shared" si="82"/>
        <v>1</v>
      </c>
      <c r="AU464">
        <f t="shared" si="83"/>
        <v>5.5</v>
      </c>
      <c r="AV464">
        <f>SUM(Table1[[#This Row],[Satis]:[29]])</f>
        <v>6</v>
      </c>
      <c r="AW464">
        <f t="shared" si="84"/>
        <v>5</v>
      </c>
      <c r="AX464">
        <f t="shared" si="85"/>
        <v>4</v>
      </c>
      <c r="AY464">
        <f t="shared" si="86"/>
        <v>3</v>
      </c>
      <c r="AZ464" t="str">
        <f t="shared" si="87"/>
        <v>YSRCP HardCore</v>
      </c>
    </row>
    <row r="465" spans="1:52" x14ac:dyDescent="0.3">
      <c r="A465" t="s">
        <v>2679</v>
      </c>
      <c r="B465" s="94">
        <v>46045</v>
      </c>
      <c r="C465" t="s">
        <v>2680</v>
      </c>
      <c r="D465" t="s">
        <v>2681</v>
      </c>
      <c r="E465" t="s">
        <v>2682</v>
      </c>
      <c r="F465" t="s">
        <v>69</v>
      </c>
      <c r="G465" t="s">
        <v>39</v>
      </c>
      <c r="H465" t="s">
        <v>2683</v>
      </c>
      <c r="I465" t="s">
        <v>228</v>
      </c>
      <c r="J465" t="s">
        <v>219</v>
      </c>
      <c r="K465" t="s">
        <v>220</v>
      </c>
      <c r="L465" t="s">
        <v>75</v>
      </c>
      <c r="M465" t="s">
        <v>443</v>
      </c>
      <c r="N465" t="s">
        <v>63</v>
      </c>
      <c r="O465" t="s">
        <v>2684</v>
      </c>
      <c r="P465">
        <v>9999999999</v>
      </c>
      <c r="Q465" t="s">
        <v>445</v>
      </c>
      <c r="R465" t="s">
        <v>73</v>
      </c>
      <c r="S465" t="s">
        <v>43</v>
      </c>
      <c r="T465" t="s">
        <v>43</v>
      </c>
      <c r="U465" t="s">
        <v>44</v>
      </c>
      <c r="V465" t="s">
        <v>45</v>
      </c>
      <c r="W465" t="s">
        <v>5078</v>
      </c>
      <c r="X465" t="s">
        <v>45</v>
      </c>
      <c r="Y465" t="s">
        <v>46</v>
      </c>
      <c r="Z465" t="s">
        <v>47</v>
      </c>
      <c r="AA465" t="s">
        <v>48</v>
      </c>
      <c r="AB465" t="s">
        <v>49</v>
      </c>
      <c r="AC465" t="s">
        <v>49</v>
      </c>
      <c r="AD465" t="s">
        <v>481</v>
      </c>
      <c r="AE465" t="s">
        <v>189</v>
      </c>
      <c r="AF465" t="s">
        <v>1942</v>
      </c>
      <c r="AG465" t="s">
        <v>196</v>
      </c>
      <c r="AH465" s="93">
        <f>VLOOKUP(Table1[[#This Row],[Caste]],Factor!$H$1:$K$13,4,0)</f>
        <v>0.80207032429970992</v>
      </c>
      <c r="AI46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65">
        <f>Table1[[#This Row],[Factor_1]]*Table1[[#This Row],[2024 Factor]]</f>
        <v>1.2733258158237817</v>
      </c>
      <c r="AK465">
        <f>VLOOKUP(Table1[[#This Row],[Q18: Gender]],Factor!$A$33:$E$35,5,0)</f>
        <v>2.1645021645021645</v>
      </c>
      <c r="AL465">
        <f>VLOOKUP(Table1[[#This Row],[Taluka]],Factor!$A$42:$G$46,7,0)</f>
        <v>1.147984664167413</v>
      </c>
      <c r="AM465">
        <f>VLOOKUP(Table1[[#This Row],[Caste]]&amp;Table1[[#This Row],[Q18: Gender]],Factor!$W$1:$X$23,2,0)</f>
        <v>1.1795151827936912</v>
      </c>
      <c r="AN465">
        <f>VLOOKUP(Table1[[#This Row],[Taluka]]&amp;Table1[[#This Row],[Caste]]&amp;Table1[[#This Row],[Q18: Gender]],Factor!$AK$4:$AL$93,2,0)</f>
        <v>1.9259322700153538</v>
      </c>
      <c r="AO465">
        <f t="shared" si="77"/>
        <v>-1</v>
      </c>
      <c r="AP465">
        <f t="shared" si="78"/>
        <v>-1</v>
      </c>
      <c r="AQ465">
        <f t="shared" si="79"/>
        <v>-1</v>
      </c>
      <c r="AR465">
        <f t="shared" si="80"/>
        <v>-1</v>
      </c>
      <c r="AS465">
        <f t="shared" si="81"/>
        <v>-1</v>
      </c>
      <c r="AT465">
        <f t="shared" si="82"/>
        <v>-1</v>
      </c>
      <c r="AU465">
        <f t="shared" si="83"/>
        <v>-5.5</v>
      </c>
      <c r="AV465">
        <f>SUM(Table1[[#This Row],[Satis]:[29]])</f>
        <v>-6</v>
      </c>
      <c r="AW465">
        <f t="shared" si="84"/>
        <v>-5</v>
      </c>
      <c r="AX465">
        <f t="shared" si="85"/>
        <v>-4</v>
      </c>
      <c r="AY465">
        <f t="shared" si="86"/>
        <v>-3</v>
      </c>
      <c r="AZ465" t="str">
        <f t="shared" si="87"/>
        <v>TDP HardCore</v>
      </c>
    </row>
    <row r="466" spans="1:52" x14ac:dyDescent="0.3">
      <c r="A466" t="s">
        <v>2685</v>
      </c>
      <c r="B466" s="94">
        <v>46045</v>
      </c>
      <c r="C466" t="s">
        <v>2686</v>
      </c>
      <c r="D466" t="s">
        <v>2687</v>
      </c>
      <c r="E466" t="s">
        <v>2688</v>
      </c>
      <c r="F466" t="s">
        <v>69</v>
      </c>
      <c r="G466" t="s">
        <v>39</v>
      </c>
      <c r="H466" t="s">
        <v>2689</v>
      </c>
      <c r="I466" t="s">
        <v>70</v>
      </c>
      <c r="J466" t="s">
        <v>219</v>
      </c>
      <c r="K466" t="s">
        <v>220</v>
      </c>
      <c r="L466" t="s">
        <v>75</v>
      </c>
      <c r="M466" t="s">
        <v>443</v>
      </c>
      <c r="N466" t="s">
        <v>162</v>
      </c>
      <c r="O466" t="s">
        <v>2690</v>
      </c>
      <c r="P466">
        <v>9999999999</v>
      </c>
      <c r="Q466" t="s">
        <v>445</v>
      </c>
      <c r="R466" t="s">
        <v>73</v>
      </c>
      <c r="S466" t="s">
        <v>43</v>
      </c>
      <c r="T466" t="s">
        <v>43</v>
      </c>
      <c r="U466" t="s">
        <v>44</v>
      </c>
      <c r="V466" t="s">
        <v>45</v>
      </c>
      <c r="W466" t="s">
        <v>5051</v>
      </c>
      <c r="X466" t="s">
        <v>45</v>
      </c>
      <c r="Y466" t="s">
        <v>46</v>
      </c>
      <c r="Z466" t="s">
        <v>47</v>
      </c>
      <c r="AA466" t="s">
        <v>48</v>
      </c>
      <c r="AB466" t="s">
        <v>49</v>
      </c>
      <c r="AC466" t="s">
        <v>49</v>
      </c>
      <c r="AD466" t="s">
        <v>481</v>
      </c>
      <c r="AE466" t="s">
        <v>189</v>
      </c>
      <c r="AF466" t="s">
        <v>1680</v>
      </c>
      <c r="AG466" t="s">
        <v>196</v>
      </c>
      <c r="AH466" s="93">
        <f>VLOOKUP(Table1[[#This Row],[Caste]],Factor!$H$1:$K$13,4,0)</f>
        <v>1.3836274505214585</v>
      </c>
      <c r="AI46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66">
        <f>Table1[[#This Row],[Factor_1]]*Table1[[#This Row],[2024 Factor]]</f>
        <v>2.0811826914865059</v>
      </c>
      <c r="AK466">
        <f>VLOOKUP(Table1[[#This Row],[Q18: Gender]],Factor!$A$33:$E$35,5,0)</f>
        <v>2.1645021645021645</v>
      </c>
      <c r="AL466">
        <f>VLOOKUP(Table1[[#This Row],[Taluka]],Factor!$A$42:$G$46,7,0)</f>
        <v>1.147984664167413</v>
      </c>
      <c r="AM466">
        <f>VLOOKUP(Table1[[#This Row],[Caste]]&amp;Table1[[#This Row],[Q18: Gender]],Factor!$W$1:$X$23,2,0)</f>
        <v>1.9278542477265657</v>
      </c>
      <c r="AN466">
        <f>VLOOKUP(Table1[[#This Row],[Taluka]]&amp;Table1[[#This Row],[Caste]]&amp;Table1[[#This Row],[Q18: Gender]],Factor!$AK$4:$AL$93,2,0)</f>
        <v>3.2048072590163397</v>
      </c>
      <c r="AO466">
        <f t="shared" si="77"/>
        <v>-1</v>
      </c>
      <c r="AP466">
        <f t="shared" si="78"/>
        <v>-1</v>
      </c>
      <c r="AQ466">
        <f t="shared" si="79"/>
        <v>-1</v>
      </c>
      <c r="AR466">
        <f t="shared" si="80"/>
        <v>-1</v>
      </c>
      <c r="AS466">
        <f t="shared" si="81"/>
        <v>-1</v>
      </c>
      <c r="AT466">
        <f t="shared" si="82"/>
        <v>-1</v>
      </c>
      <c r="AU466">
        <f t="shared" si="83"/>
        <v>-5.5</v>
      </c>
      <c r="AV466">
        <f>SUM(Table1[[#This Row],[Satis]:[29]])</f>
        <v>-6</v>
      </c>
      <c r="AW466">
        <f t="shared" si="84"/>
        <v>-5</v>
      </c>
      <c r="AX466">
        <f t="shared" si="85"/>
        <v>-4</v>
      </c>
      <c r="AY466">
        <f t="shared" si="86"/>
        <v>-3</v>
      </c>
      <c r="AZ466" t="str">
        <f t="shared" si="87"/>
        <v>TDP HardCore</v>
      </c>
    </row>
    <row r="467" spans="1:52" x14ac:dyDescent="0.3">
      <c r="A467" t="s">
        <v>2691</v>
      </c>
      <c r="B467" s="94">
        <v>46045</v>
      </c>
      <c r="C467" t="s">
        <v>2692</v>
      </c>
      <c r="D467" t="s">
        <v>2693</v>
      </c>
      <c r="E467" t="s">
        <v>2694</v>
      </c>
      <c r="F467" t="s">
        <v>2547</v>
      </c>
      <c r="G467" t="s">
        <v>39</v>
      </c>
      <c r="H467" t="s">
        <v>2695</v>
      </c>
      <c r="I467" t="s">
        <v>168</v>
      </c>
      <c r="J467" t="s">
        <v>219</v>
      </c>
      <c r="K467" t="s">
        <v>222</v>
      </c>
      <c r="L467" t="s">
        <v>50</v>
      </c>
      <c r="M467" t="s">
        <v>51</v>
      </c>
      <c r="N467" t="s">
        <v>63</v>
      </c>
      <c r="O467" t="s">
        <v>2696</v>
      </c>
      <c r="P467">
        <v>9949435033</v>
      </c>
      <c r="Q467" t="s">
        <v>54</v>
      </c>
      <c r="R467" t="s">
        <v>132</v>
      </c>
      <c r="S467" t="s">
        <v>43</v>
      </c>
      <c r="T467" t="s">
        <v>43</v>
      </c>
      <c r="U467" t="s">
        <v>90</v>
      </c>
      <c r="V467" t="s">
        <v>91</v>
      </c>
      <c r="W467" t="s">
        <v>5056</v>
      </c>
      <c r="X467" t="s">
        <v>91</v>
      </c>
      <c r="Y467" t="s">
        <v>638</v>
      </c>
      <c r="Z467" t="s">
        <v>47</v>
      </c>
      <c r="AA467" t="s">
        <v>48</v>
      </c>
      <c r="AB467" t="s">
        <v>49</v>
      </c>
      <c r="AC467" t="s">
        <v>49</v>
      </c>
      <c r="AD467" t="s">
        <v>494</v>
      </c>
      <c r="AE467" t="s">
        <v>189</v>
      </c>
      <c r="AF467" t="s">
        <v>1229</v>
      </c>
      <c r="AG467" t="s">
        <v>196</v>
      </c>
      <c r="AH467" s="93">
        <f>VLOOKUP(Table1[[#This Row],[Caste]],Factor!$H$1:$K$13,4,0)</f>
        <v>1.0478809952686368</v>
      </c>
      <c r="AI46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67">
        <f>Table1[[#This Row],[Factor_1]]*Table1[[#This Row],[2024 Factor]]</f>
        <v>0.8266624780172348</v>
      </c>
      <c r="AK467">
        <f>VLOOKUP(Table1[[#This Row],[Q18: Gender]],Factor!$A$33:$E$35,5,0)</f>
        <v>0.85034013605442171</v>
      </c>
      <c r="AL467">
        <f>VLOOKUP(Table1[[#This Row],[Taluka]],Factor!$A$42:$G$46,7,0)</f>
        <v>1.147984664167413</v>
      </c>
      <c r="AM467">
        <f>VLOOKUP(Table1[[#This Row],[Caste]]&amp;Table1[[#This Row],[Q18: Gender]],Factor!$W$1:$X$23,2,0)</f>
        <v>0.7657591888501577</v>
      </c>
      <c r="AN467">
        <f>VLOOKUP(Table1[[#This Row],[Taluka]]&amp;Table1[[#This Row],[Caste]]&amp;Table1[[#This Row],[Q18: Gender]],Factor!$AK$4:$AL$93,2,0)</f>
        <v>0.71710935112881979</v>
      </c>
      <c r="AO467">
        <f t="shared" si="77"/>
        <v>-1</v>
      </c>
      <c r="AP467">
        <f t="shared" si="78"/>
        <v>1</v>
      </c>
      <c r="AQ467">
        <f t="shared" si="79"/>
        <v>1</v>
      </c>
      <c r="AR467">
        <f t="shared" si="80"/>
        <v>1</v>
      </c>
      <c r="AS467">
        <f t="shared" si="81"/>
        <v>-1</v>
      </c>
      <c r="AT467">
        <f t="shared" si="82"/>
        <v>-1</v>
      </c>
      <c r="AU467">
        <f t="shared" si="83"/>
        <v>0.5</v>
      </c>
      <c r="AV467">
        <f>SUM(Table1[[#This Row],[Satis]:[29]])</f>
        <v>0</v>
      </c>
      <c r="AW467">
        <f t="shared" si="84"/>
        <v>-1</v>
      </c>
      <c r="AX467">
        <f t="shared" si="85"/>
        <v>0</v>
      </c>
      <c r="AY467">
        <f t="shared" si="86"/>
        <v>-3</v>
      </c>
      <c r="AZ467" t="str">
        <f t="shared" si="87"/>
        <v>Neutral TDP</v>
      </c>
    </row>
    <row r="468" spans="1:52" x14ac:dyDescent="0.3">
      <c r="A468" t="s">
        <v>2697</v>
      </c>
      <c r="B468" s="94">
        <v>46045</v>
      </c>
      <c r="C468" t="s">
        <v>2698</v>
      </c>
      <c r="D468" t="s">
        <v>2699</v>
      </c>
      <c r="E468" t="s">
        <v>2700</v>
      </c>
      <c r="F468" t="s">
        <v>69</v>
      </c>
      <c r="G468" t="s">
        <v>39</v>
      </c>
      <c r="H468" t="s">
        <v>2701</v>
      </c>
      <c r="I468" t="s">
        <v>59</v>
      </c>
      <c r="J468" t="s">
        <v>219</v>
      </c>
      <c r="K468" t="s">
        <v>220</v>
      </c>
      <c r="L468" t="s">
        <v>50</v>
      </c>
      <c r="M468" t="s">
        <v>51</v>
      </c>
      <c r="N468" t="s">
        <v>107</v>
      </c>
      <c r="O468" t="s">
        <v>2702</v>
      </c>
      <c r="P468">
        <v>9618845077</v>
      </c>
      <c r="Q468" t="s">
        <v>54</v>
      </c>
      <c r="R468" t="s">
        <v>139</v>
      </c>
      <c r="S468" t="s">
        <v>89</v>
      </c>
      <c r="T468" t="s">
        <v>43</v>
      </c>
      <c r="U468" t="s">
        <v>90</v>
      </c>
      <c r="V468" t="s">
        <v>91</v>
      </c>
      <c r="W468" t="s">
        <v>5057</v>
      </c>
      <c r="X468" t="s">
        <v>45</v>
      </c>
      <c r="Y468" t="s">
        <v>46</v>
      </c>
      <c r="Z468" t="s">
        <v>47</v>
      </c>
      <c r="AA468" t="s">
        <v>48</v>
      </c>
      <c r="AB468" t="s">
        <v>49</v>
      </c>
      <c r="AC468" t="s">
        <v>49</v>
      </c>
      <c r="AD468" t="s">
        <v>494</v>
      </c>
      <c r="AE468" t="s">
        <v>185</v>
      </c>
      <c r="AF468">
        <v>0</v>
      </c>
      <c r="AG468" t="s">
        <v>196</v>
      </c>
      <c r="AH468" s="93">
        <f>VLOOKUP(Table1[[#This Row],[Caste]],Factor!$H$1:$K$13,4,0)</f>
        <v>1.1461625511156397</v>
      </c>
      <c r="AI46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68">
        <f>Table1[[#This Row],[Factor_1]]*Table1[[#This Row],[2024 Factor]]</f>
        <v>0.77721139583220644</v>
      </c>
      <c r="AK468">
        <f>VLOOKUP(Table1[[#This Row],[Q18: Gender]],Factor!$A$33:$E$35,5,0)</f>
        <v>0.85034013605442171</v>
      </c>
      <c r="AL468">
        <f>VLOOKUP(Table1[[#This Row],[Taluka]],Factor!$A$42:$G$46,7,0)</f>
        <v>1.147984664167413</v>
      </c>
      <c r="AM468">
        <f>VLOOKUP(Table1[[#This Row],[Caste]]&amp;Table1[[#This Row],[Q18: Gender]],Factor!$W$1:$X$23,2,0)</f>
        <v>0.71995135120329123</v>
      </c>
      <c r="AN468">
        <f>VLOOKUP(Table1[[#This Row],[Taluka]]&amp;Table1[[#This Row],[Caste]]&amp;Table1[[#This Row],[Q18: Gender]],Factor!$AK$4:$AL$93,2,0)</f>
        <v>0.54319084681293095</v>
      </c>
      <c r="AO468">
        <f t="shared" si="77"/>
        <v>-1</v>
      </c>
      <c r="AP468">
        <f t="shared" si="78"/>
        <v>1</v>
      </c>
      <c r="AQ468">
        <f t="shared" si="79"/>
        <v>1</v>
      </c>
      <c r="AR468">
        <f t="shared" si="80"/>
        <v>-1</v>
      </c>
      <c r="AS468">
        <f t="shared" si="81"/>
        <v>-1</v>
      </c>
      <c r="AT468">
        <f t="shared" si="82"/>
        <v>-1</v>
      </c>
      <c r="AU468">
        <f t="shared" si="83"/>
        <v>-1.5</v>
      </c>
      <c r="AV468">
        <f>SUM(Table1[[#This Row],[Satis]:[29]])</f>
        <v>-2</v>
      </c>
      <c r="AW468">
        <f t="shared" si="84"/>
        <v>-3</v>
      </c>
      <c r="AX468">
        <f t="shared" si="85"/>
        <v>-2</v>
      </c>
      <c r="AY468">
        <f t="shared" si="86"/>
        <v>-3</v>
      </c>
      <c r="AZ468" t="str">
        <f t="shared" si="87"/>
        <v>Neutral TDP</v>
      </c>
    </row>
    <row r="469" spans="1:52" x14ac:dyDescent="0.3">
      <c r="A469" t="s">
        <v>2703</v>
      </c>
      <c r="B469" s="94">
        <v>46045</v>
      </c>
      <c r="C469" t="s">
        <v>2704</v>
      </c>
      <c r="D469" t="s">
        <v>2705</v>
      </c>
      <c r="E469" t="s">
        <v>2700</v>
      </c>
      <c r="F469" t="s">
        <v>69</v>
      </c>
      <c r="G469" t="s">
        <v>39</v>
      </c>
      <c r="H469" t="s">
        <v>2706</v>
      </c>
      <c r="I469" t="s">
        <v>36</v>
      </c>
      <c r="J469" t="s">
        <v>219</v>
      </c>
      <c r="K469" t="s">
        <v>220</v>
      </c>
      <c r="L469" t="s">
        <v>75</v>
      </c>
      <c r="M469" t="s">
        <v>51</v>
      </c>
      <c r="N469" t="s">
        <v>63</v>
      </c>
      <c r="O469" t="s">
        <v>2707</v>
      </c>
      <c r="P469">
        <v>9999999999</v>
      </c>
      <c r="Q469" t="s">
        <v>54</v>
      </c>
      <c r="R469" t="s">
        <v>132</v>
      </c>
      <c r="S469" t="s">
        <v>43</v>
      </c>
      <c r="T469" t="s">
        <v>43</v>
      </c>
      <c r="U469" t="s">
        <v>44</v>
      </c>
      <c r="V469" t="s">
        <v>45</v>
      </c>
      <c r="W469" t="s">
        <v>5083</v>
      </c>
      <c r="X469" t="s">
        <v>45</v>
      </c>
      <c r="Y469" t="s">
        <v>46</v>
      </c>
      <c r="Z469" t="s">
        <v>47</v>
      </c>
      <c r="AA469" t="s">
        <v>48</v>
      </c>
      <c r="AB469" t="s">
        <v>49</v>
      </c>
      <c r="AC469" t="s">
        <v>49</v>
      </c>
      <c r="AD469" t="s">
        <v>494</v>
      </c>
      <c r="AE469" t="s">
        <v>189</v>
      </c>
      <c r="AF469" t="s">
        <v>1287</v>
      </c>
      <c r="AG469" t="s">
        <v>196</v>
      </c>
      <c r="AH469" s="93">
        <f>VLOOKUP(Table1[[#This Row],[Caste]],Factor!$H$1:$K$13,4,0)</f>
        <v>1.1705128247062893</v>
      </c>
      <c r="AI46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69">
        <f>Table1[[#This Row],[Factor_1]]*Table1[[#This Row],[2024 Factor]]</f>
        <v>0.86308903171383233</v>
      </c>
      <c r="AK469">
        <f>VLOOKUP(Table1[[#This Row],[Q18: Gender]],Factor!$A$33:$E$35,5,0)</f>
        <v>0.85034013605442171</v>
      </c>
      <c r="AL469">
        <f>VLOOKUP(Table1[[#This Row],[Taluka]],Factor!$A$42:$G$46,7,0)</f>
        <v>1.147984664167413</v>
      </c>
      <c r="AM469">
        <f>VLOOKUP(Table1[[#This Row],[Caste]]&amp;Table1[[#This Row],[Q18: Gender]],Factor!$W$1:$X$23,2,0)</f>
        <v>0.79950206330384943</v>
      </c>
      <c r="AN469">
        <f>VLOOKUP(Table1[[#This Row],[Taluka]]&amp;Table1[[#This Row],[Caste]]&amp;Table1[[#This Row],[Q18: Gender]],Factor!$AK$4:$AL$93,2,0)</f>
        <v>0.92148737207359532</v>
      </c>
      <c r="AO469">
        <f t="shared" si="77"/>
        <v>-1</v>
      </c>
      <c r="AP469">
        <f t="shared" si="78"/>
        <v>-1</v>
      </c>
      <c r="AQ469">
        <f t="shared" si="79"/>
        <v>-1</v>
      </c>
      <c r="AR469">
        <f t="shared" si="80"/>
        <v>-1</v>
      </c>
      <c r="AS469">
        <f t="shared" si="81"/>
        <v>-1</v>
      </c>
      <c r="AT469">
        <f t="shared" si="82"/>
        <v>-1</v>
      </c>
      <c r="AU469">
        <f t="shared" si="83"/>
        <v>-5.5</v>
      </c>
      <c r="AV469">
        <f>SUM(Table1[[#This Row],[Satis]:[29]])</f>
        <v>-6</v>
      </c>
      <c r="AW469">
        <f t="shared" si="84"/>
        <v>-5</v>
      </c>
      <c r="AX469">
        <f t="shared" si="85"/>
        <v>-4</v>
      </c>
      <c r="AY469">
        <f t="shared" si="86"/>
        <v>-3</v>
      </c>
      <c r="AZ469" t="str">
        <f t="shared" si="87"/>
        <v>TDP HardCore</v>
      </c>
    </row>
    <row r="470" spans="1:52" x14ac:dyDescent="0.3">
      <c r="A470" t="s">
        <v>2708</v>
      </c>
      <c r="B470" s="94">
        <v>46045</v>
      </c>
      <c r="C470" t="s">
        <v>2709</v>
      </c>
      <c r="D470" t="s">
        <v>2710</v>
      </c>
      <c r="E470" t="s">
        <v>2711</v>
      </c>
      <c r="F470" t="s">
        <v>2547</v>
      </c>
      <c r="G470" t="s">
        <v>39</v>
      </c>
      <c r="H470" t="s">
        <v>2712</v>
      </c>
      <c r="I470" t="s">
        <v>36</v>
      </c>
      <c r="J470" t="s">
        <v>219</v>
      </c>
      <c r="K470" t="s">
        <v>222</v>
      </c>
      <c r="L470" t="s">
        <v>50</v>
      </c>
      <c r="M470" t="s">
        <v>51</v>
      </c>
      <c r="N470" t="s">
        <v>52</v>
      </c>
      <c r="O470" t="s">
        <v>2713</v>
      </c>
      <c r="P470">
        <v>9849975051</v>
      </c>
      <c r="Q470" t="s">
        <v>445</v>
      </c>
      <c r="R470" t="s">
        <v>61</v>
      </c>
      <c r="S470" t="s">
        <v>88</v>
      </c>
      <c r="T470" t="s">
        <v>43</v>
      </c>
      <c r="U470" t="s">
        <v>44</v>
      </c>
      <c r="V470" t="s">
        <v>45</v>
      </c>
      <c r="W470" t="s">
        <v>5078</v>
      </c>
      <c r="X470" t="s">
        <v>45</v>
      </c>
      <c r="Y470" t="s">
        <v>46</v>
      </c>
      <c r="Z470" t="s">
        <v>47</v>
      </c>
      <c r="AA470" t="s">
        <v>48</v>
      </c>
      <c r="AB470" t="s">
        <v>49</v>
      </c>
      <c r="AC470" t="s">
        <v>49</v>
      </c>
      <c r="AD470" t="s">
        <v>494</v>
      </c>
      <c r="AE470" t="s">
        <v>1250</v>
      </c>
      <c r="AF470" t="s">
        <v>1744</v>
      </c>
      <c r="AG470" t="s">
        <v>498</v>
      </c>
      <c r="AH470" s="93">
        <f>VLOOKUP(Table1[[#This Row],[Caste]],Factor!$H$1:$K$13,4,0)</f>
        <v>1.1705128247062893</v>
      </c>
      <c r="AI47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70">
        <f>Table1[[#This Row],[Factor_1]]*Table1[[#This Row],[2024 Factor]]</f>
        <v>2.3577066232182737</v>
      </c>
      <c r="AK470">
        <f>VLOOKUP(Table1[[#This Row],[Q18: Gender]],Factor!$A$33:$E$35,5,0)</f>
        <v>2.1645021645021645</v>
      </c>
      <c r="AL470">
        <f>VLOOKUP(Table1[[#This Row],[Taluka]],Factor!$A$42:$G$46,7,0)</f>
        <v>1.147984664167413</v>
      </c>
      <c r="AM470">
        <f>VLOOKUP(Table1[[#This Row],[Caste]]&amp;Table1[[#This Row],[Q18: Gender]],Factor!$W$1:$X$23,2,0)</f>
        <v>2.1840056363422229</v>
      </c>
      <c r="AN470">
        <f>VLOOKUP(Table1[[#This Row],[Taluka]]&amp;Table1[[#This Row],[Caste]]&amp;Table1[[#This Row],[Q18: Gender]],Factor!$AK$4:$AL$93,2,0)</f>
        <v>25.80164641806067</v>
      </c>
      <c r="AO470">
        <f t="shared" si="77"/>
        <v>-1</v>
      </c>
      <c r="AP470">
        <f t="shared" si="78"/>
        <v>-1</v>
      </c>
      <c r="AQ470">
        <f t="shared" si="79"/>
        <v>-1</v>
      </c>
      <c r="AR470">
        <f t="shared" si="80"/>
        <v>-1</v>
      </c>
      <c r="AS470">
        <f t="shared" si="81"/>
        <v>-1</v>
      </c>
      <c r="AT470">
        <f t="shared" si="82"/>
        <v>-1</v>
      </c>
      <c r="AU470">
        <f t="shared" si="83"/>
        <v>-5.5</v>
      </c>
      <c r="AV470">
        <f>SUM(Table1[[#This Row],[Satis]:[29]])</f>
        <v>-6</v>
      </c>
      <c r="AW470">
        <f t="shared" si="84"/>
        <v>-5</v>
      </c>
      <c r="AX470">
        <f t="shared" si="85"/>
        <v>-4</v>
      </c>
      <c r="AY470">
        <f t="shared" si="86"/>
        <v>-3</v>
      </c>
      <c r="AZ470" t="str">
        <f t="shared" si="87"/>
        <v>TDP HardCore</v>
      </c>
    </row>
    <row r="471" spans="1:52" x14ac:dyDescent="0.3">
      <c r="A471" t="s">
        <v>2714</v>
      </c>
      <c r="B471" s="94">
        <v>46045</v>
      </c>
      <c r="C471" t="s">
        <v>2715</v>
      </c>
      <c r="D471" t="s">
        <v>2716</v>
      </c>
      <c r="E471" t="s">
        <v>2717</v>
      </c>
      <c r="F471" t="s">
        <v>935</v>
      </c>
      <c r="G471" t="s">
        <v>39</v>
      </c>
      <c r="H471" t="s">
        <v>2718</v>
      </c>
      <c r="I471" t="s">
        <v>59</v>
      </c>
      <c r="J471" t="s">
        <v>219</v>
      </c>
      <c r="K471" t="s">
        <v>224</v>
      </c>
      <c r="L471" t="s">
        <v>82</v>
      </c>
      <c r="M471" t="s">
        <v>51</v>
      </c>
      <c r="N471" t="s">
        <v>52</v>
      </c>
      <c r="O471" t="s">
        <v>2719</v>
      </c>
      <c r="P471">
        <v>9391178121</v>
      </c>
      <c r="Q471" t="s">
        <v>54</v>
      </c>
      <c r="R471" t="s">
        <v>139</v>
      </c>
      <c r="S471" t="s">
        <v>43</v>
      </c>
      <c r="T471" t="s">
        <v>43</v>
      </c>
      <c r="U471" t="s">
        <v>44</v>
      </c>
      <c r="V471" t="s">
        <v>91</v>
      </c>
      <c r="W471" t="s">
        <v>5058</v>
      </c>
      <c r="X471" t="s">
        <v>91</v>
      </c>
      <c r="Y471" t="s">
        <v>46</v>
      </c>
      <c r="Z471" t="s">
        <v>47</v>
      </c>
      <c r="AA471" t="s">
        <v>92</v>
      </c>
      <c r="AB471" t="s">
        <v>93</v>
      </c>
      <c r="AC471" t="s">
        <v>94</v>
      </c>
      <c r="AD471" t="s">
        <v>494</v>
      </c>
      <c r="AE471" t="s">
        <v>185</v>
      </c>
      <c r="AF471">
        <v>0</v>
      </c>
      <c r="AG471" t="s">
        <v>196</v>
      </c>
      <c r="AH471" s="93">
        <f>VLOOKUP(Table1[[#This Row],[Caste]],Factor!$H$1:$K$13,4,0)</f>
        <v>1.1461625511156397</v>
      </c>
      <c r="AI471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471">
        <f>Table1[[#This Row],[Factor_1]]*Table1[[#This Row],[2024 Factor]]</f>
        <v>1.2999324650914248</v>
      </c>
      <c r="AK471">
        <f>VLOOKUP(Table1[[#This Row],[Q18: Gender]],Factor!$A$33:$E$35,5,0)</f>
        <v>0.85034013605442171</v>
      </c>
      <c r="AL471">
        <f>VLOOKUP(Table1[[#This Row],[Taluka]],Factor!$A$42:$G$46,7,0)</f>
        <v>1.147984664167413</v>
      </c>
      <c r="AM471">
        <f>VLOOKUP(Table1[[#This Row],[Caste]]&amp;Table1[[#This Row],[Q18: Gender]],Factor!$W$1:$X$23,2,0)</f>
        <v>0.71995135120329123</v>
      </c>
      <c r="AN471">
        <f>VLOOKUP(Table1[[#This Row],[Taluka]]&amp;Table1[[#This Row],[Caste]]&amp;Table1[[#This Row],[Q18: Gender]],Factor!$AK$4:$AL$93,2,0)</f>
        <v>0.54319084681293095</v>
      </c>
      <c r="AO471">
        <f t="shared" si="77"/>
        <v>-1</v>
      </c>
      <c r="AP471">
        <f t="shared" si="78"/>
        <v>-1</v>
      </c>
      <c r="AQ471">
        <f t="shared" si="79"/>
        <v>1</v>
      </c>
      <c r="AR471">
        <f t="shared" si="80"/>
        <v>1</v>
      </c>
      <c r="AS471">
        <f t="shared" si="81"/>
        <v>1</v>
      </c>
      <c r="AT471">
        <f t="shared" si="82"/>
        <v>-1</v>
      </c>
      <c r="AU471">
        <f t="shared" si="83"/>
        <v>-0.5</v>
      </c>
      <c r="AV471">
        <f>SUM(Table1[[#This Row],[Satis]:[29]])</f>
        <v>0</v>
      </c>
      <c r="AW471">
        <f t="shared" si="84"/>
        <v>1</v>
      </c>
      <c r="AX471">
        <f t="shared" si="85"/>
        <v>2</v>
      </c>
      <c r="AY471">
        <f t="shared" si="86"/>
        <v>-2</v>
      </c>
      <c r="AZ471" t="str">
        <f t="shared" si="87"/>
        <v>Neutral TDP</v>
      </c>
    </row>
    <row r="472" spans="1:52" x14ac:dyDescent="0.3">
      <c r="A472" t="s">
        <v>2720</v>
      </c>
      <c r="B472" s="94">
        <v>46045</v>
      </c>
      <c r="C472" t="s">
        <v>2721</v>
      </c>
      <c r="D472" t="s">
        <v>2722</v>
      </c>
      <c r="E472" t="s">
        <v>2723</v>
      </c>
      <c r="F472" t="s">
        <v>935</v>
      </c>
      <c r="G472" t="s">
        <v>39</v>
      </c>
      <c r="H472" t="s">
        <v>2724</v>
      </c>
      <c r="I472" t="s">
        <v>59</v>
      </c>
      <c r="J472" t="s">
        <v>219</v>
      </c>
      <c r="K472" t="s">
        <v>224</v>
      </c>
      <c r="L472" t="s">
        <v>82</v>
      </c>
      <c r="M472" t="s">
        <v>51</v>
      </c>
      <c r="N472" t="s">
        <v>107</v>
      </c>
      <c r="O472" t="s">
        <v>2725</v>
      </c>
      <c r="P472">
        <v>9999999999</v>
      </c>
      <c r="Q472" t="s">
        <v>54</v>
      </c>
      <c r="R472" t="s">
        <v>2116</v>
      </c>
      <c r="S472" t="s">
        <v>43</v>
      </c>
      <c r="T472" t="s">
        <v>43</v>
      </c>
      <c r="U472" t="s">
        <v>44</v>
      </c>
      <c r="V472" t="s">
        <v>45</v>
      </c>
      <c r="W472" t="s">
        <v>5087</v>
      </c>
      <c r="X472" t="s">
        <v>45</v>
      </c>
      <c r="Y472" t="s">
        <v>46</v>
      </c>
      <c r="Z472" t="s">
        <v>47</v>
      </c>
      <c r="AA472" t="s">
        <v>48</v>
      </c>
      <c r="AB472" t="s">
        <v>49</v>
      </c>
      <c r="AC472" t="s">
        <v>49</v>
      </c>
      <c r="AD472" t="s">
        <v>494</v>
      </c>
      <c r="AE472" t="s">
        <v>185</v>
      </c>
      <c r="AF472">
        <v>0</v>
      </c>
      <c r="AG472" t="s">
        <v>196</v>
      </c>
      <c r="AH472" s="93">
        <f>VLOOKUP(Table1[[#This Row],[Caste]],Factor!$H$1:$K$13,4,0)</f>
        <v>1.1461625511156397</v>
      </c>
      <c r="AI47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72">
        <f>Table1[[#This Row],[Factor_1]]*Table1[[#This Row],[2024 Factor]]</f>
        <v>0.77721139583220644</v>
      </c>
      <c r="AK472">
        <f>VLOOKUP(Table1[[#This Row],[Q18: Gender]],Factor!$A$33:$E$35,5,0)</f>
        <v>0.85034013605442171</v>
      </c>
      <c r="AL472">
        <f>VLOOKUP(Table1[[#This Row],[Taluka]],Factor!$A$42:$G$46,7,0)</f>
        <v>1.147984664167413</v>
      </c>
      <c r="AM472">
        <f>VLOOKUP(Table1[[#This Row],[Caste]]&amp;Table1[[#This Row],[Q18: Gender]],Factor!$W$1:$X$23,2,0)</f>
        <v>0.71995135120329123</v>
      </c>
      <c r="AN472">
        <f>VLOOKUP(Table1[[#This Row],[Taluka]]&amp;Table1[[#This Row],[Caste]]&amp;Table1[[#This Row],[Q18: Gender]],Factor!$AK$4:$AL$93,2,0)</f>
        <v>0.54319084681293095</v>
      </c>
      <c r="AO472">
        <f t="shared" si="77"/>
        <v>-1</v>
      </c>
      <c r="AP472">
        <f t="shared" si="78"/>
        <v>-1</v>
      </c>
      <c r="AQ472">
        <f t="shared" si="79"/>
        <v>-1</v>
      </c>
      <c r="AR472">
        <f t="shared" si="80"/>
        <v>-1</v>
      </c>
      <c r="AS472">
        <f t="shared" si="81"/>
        <v>-1</v>
      </c>
      <c r="AT472">
        <f t="shared" si="82"/>
        <v>-1</v>
      </c>
      <c r="AU472">
        <f t="shared" si="83"/>
        <v>-5.5</v>
      </c>
      <c r="AV472">
        <f>SUM(Table1[[#This Row],[Satis]:[29]])</f>
        <v>-6</v>
      </c>
      <c r="AW472">
        <f t="shared" si="84"/>
        <v>-5</v>
      </c>
      <c r="AX472">
        <f t="shared" si="85"/>
        <v>-4</v>
      </c>
      <c r="AY472">
        <f t="shared" si="86"/>
        <v>-3</v>
      </c>
      <c r="AZ472" t="str">
        <f t="shared" si="87"/>
        <v>TDP HardCore</v>
      </c>
    </row>
    <row r="473" spans="1:52" x14ac:dyDescent="0.3">
      <c r="A473" t="s">
        <v>2741</v>
      </c>
      <c r="B473" s="94">
        <v>46045</v>
      </c>
      <c r="C473" t="s">
        <v>2742</v>
      </c>
      <c r="D473" t="s">
        <v>2743</v>
      </c>
      <c r="E473" t="s">
        <v>2744</v>
      </c>
      <c r="F473" t="s">
        <v>240</v>
      </c>
      <c r="G473" t="s">
        <v>39</v>
      </c>
      <c r="H473" t="s">
        <v>2745</v>
      </c>
      <c r="I473" t="s">
        <v>59</v>
      </c>
      <c r="J473" t="s">
        <v>37</v>
      </c>
      <c r="K473" t="s">
        <v>38</v>
      </c>
      <c r="L473" t="s">
        <v>62</v>
      </c>
      <c r="M473" t="s">
        <v>51</v>
      </c>
      <c r="N473" t="s">
        <v>107</v>
      </c>
      <c r="O473" t="s">
        <v>2746</v>
      </c>
      <c r="P473">
        <v>9949607685</v>
      </c>
      <c r="Q473" t="s">
        <v>54</v>
      </c>
      <c r="R473" t="s">
        <v>139</v>
      </c>
      <c r="S473" t="s">
        <v>43</v>
      </c>
      <c r="T473" t="s">
        <v>43</v>
      </c>
      <c r="U473" t="s">
        <v>90</v>
      </c>
      <c r="V473" t="s">
        <v>91</v>
      </c>
      <c r="W473" t="s">
        <v>5055</v>
      </c>
      <c r="X473" t="s">
        <v>45</v>
      </c>
      <c r="Y473" t="s">
        <v>638</v>
      </c>
      <c r="Z473" t="s">
        <v>242</v>
      </c>
      <c r="AA473" t="s">
        <v>48</v>
      </c>
      <c r="AB473" t="s">
        <v>49</v>
      </c>
      <c r="AC473" t="s">
        <v>49</v>
      </c>
      <c r="AD473" t="s">
        <v>494</v>
      </c>
      <c r="AE473" t="s">
        <v>185</v>
      </c>
      <c r="AF473">
        <v>0</v>
      </c>
      <c r="AG473" t="s">
        <v>196</v>
      </c>
      <c r="AH473" s="93">
        <f>VLOOKUP(Table1[[#This Row],[Caste]],Factor!$H$1:$K$13,4,0)</f>
        <v>1.1461625511156397</v>
      </c>
      <c r="AI47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73">
        <f>Table1[[#This Row],[Factor_1]]*Table1[[#This Row],[2024 Factor]]</f>
        <v>0.77721139583220644</v>
      </c>
      <c r="AK473">
        <f>VLOOKUP(Table1[[#This Row],[Q18: Gender]],Factor!$A$33:$E$35,5,0)</f>
        <v>0.85034013605442171</v>
      </c>
      <c r="AL473">
        <f>VLOOKUP(Table1[[#This Row],[Taluka]],Factor!$A$42:$G$46,7,0)</f>
        <v>0.75433779645928134</v>
      </c>
      <c r="AM473">
        <f>VLOOKUP(Table1[[#This Row],[Caste]]&amp;Table1[[#This Row],[Q18: Gender]],Factor!$W$1:$X$23,2,0)</f>
        <v>0.71995135120329123</v>
      </c>
      <c r="AN473">
        <f>VLOOKUP(Table1[[#This Row],[Taluka]]&amp;Table1[[#This Row],[Caste]]&amp;Table1[[#This Row],[Q18: Gender]],Factor!$AK$4:$AL$93,2,0)</f>
        <v>0.55527787174877274</v>
      </c>
      <c r="AO473">
        <f t="shared" si="77"/>
        <v>-1</v>
      </c>
      <c r="AP473">
        <f t="shared" si="78"/>
        <v>1</v>
      </c>
      <c r="AQ473">
        <f t="shared" si="79"/>
        <v>1</v>
      </c>
      <c r="AR473">
        <f t="shared" si="80"/>
        <v>-1</v>
      </c>
      <c r="AS473">
        <f t="shared" si="81"/>
        <v>-1</v>
      </c>
      <c r="AT473">
        <f t="shared" si="82"/>
        <v>-1</v>
      </c>
      <c r="AU473">
        <f t="shared" si="83"/>
        <v>-1.5</v>
      </c>
      <c r="AV473">
        <f>SUM(Table1[[#This Row],[Satis]:[29]])</f>
        <v>-2</v>
      </c>
      <c r="AW473">
        <f t="shared" si="84"/>
        <v>-3</v>
      </c>
      <c r="AX473">
        <f t="shared" si="85"/>
        <v>-2</v>
      </c>
      <c r="AY473">
        <f t="shared" si="86"/>
        <v>-3</v>
      </c>
      <c r="AZ473" t="str">
        <f t="shared" si="87"/>
        <v>Neutral TDP</v>
      </c>
    </row>
    <row r="474" spans="1:52" x14ac:dyDescent="0.3">
      <c r="A474" t="s">
        <v>2730</v>
      </c>
      <c r="B474" s="94">
        <v>46045</v>
      </c>
      <c r="C474" t="s">
        <v>2731</v>
      </c>
      <c r="D474" t="s">
        <v>2732</v>
      </c>
      <c r="E474" t="s">
        <v>2733</v>
      </c>
      <c r="F474" t="s">
        <v>69</v>
      </c>
      <c r="G474" t="s">
        <v>39</v>
      </c>
      <c r="H474" t="s">
        <v>2734</v>
      </c>
      <c r="I474" t="s">
        <v>59</v>
      </c>
      <c r="J474" t="s">
        <v>219</v>
      </c>
      <c r="K474" t="s">
        <v>220</v>
      </c>
      <c r="L474" t="s">
        <v>50</v>
      </c>
      <c r="M474" t="s">
        <v>51</v>
      </c>
      <c r="N474" t="s">
        <v>52</v>
      </c>
      <c r="O474" t="s">
        <v>406</v>
      </c>
      <c r="P474">
        <v>9999999999</v>
      </c>
      <c r="Q474" t="s">
        <v>445</v>
      </c>
      <c r="R474" t="s">
        <v>73</v>
      </c>
      <c r="S474" t="s">
        <v>43</v>
      </c>
      <c r="T474" t="s">
        <v>43</v>
      </c>
      <c r="U474" t="s">
        <v>44</v>
      </c>
      <c r="V474" t="s">
        <v>45</v>
      </c>
      <c r="W474" t="s">
        <v>5061</v>
      </c>
      <c r="X474" t="s">
        <v>45</v>
      </c>
      <c r="Y474" t="s">
        <v>46</v>
      </c>
      <c r="Z474" t="s">
        <v>47</v>
      </c>
      <c r="AA474" t="s">
        <v>48</v>
      </c>
      <c r="AB474" t="s">
        <v>49</v>
      </c>
      <c r="AC474" t="s">
        <v>49</v>
      </c>
      <c r="AD474" t="s">
        <v>494</v>
      </c>
      <c r="AE474" t="s">
        <v>189</v>
      </c>
      <c r="AF474" t="s">
        <v>1287</v>
      </c>
      <c r="AG474" t="s">
        <v>196</v>
      </c>
      <c r="AH474" s="93">
        <f>VLOOKUP(Table1[[#This Row],[Caste]],Factor!$H$1:$K$13,4,0)</f>
        <v>1.1461625511156397</v>
      </c>
      <c r="AI47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74">
        <f>Table1[[#This Row],[Factor_1]]*Table1[[#This Row],[2024 Factor]]</f>
        <v>3.0326483876590018</v>
      </c>
      <c r="AK474">
        <f>VLOOKUP(Table1[[#This Row],[Q18: Gender]],Factor!$A$33:$E$35,5,0)</f>
        <v>2.1645021645021645</v>
      </c>
      <c r="AL474">
        <f>VLOOKUP(Table1[[#This Row],[Taluka]],Factor!$A$42:$G$46,7,0)</f>
        <v>1.147984664167413</v>
      </c>
      <c r="AM474">
        <f>VLOOKUP(Table1[[#This Row],[Caste]]&amp;Table1[[#This Row],[Q18: Gender]],Factor!$W$1:$X$23,2,0)</f>
        <v>2.8092219390089208</v>
      </c>
      <c r="AN474">
        <f>VLOOKUP(Table1[[#This Row],[Taluka]]&amp;Table1[[#This Row],[Caste]]&amp;Table1[[#This Row],[Q18: Gender]],Factor!$AK$4:$AL$93,2,0)</f>
        <v>2.2934724643212636</v>
      </c>
      <c r="AO474">
        <f t="shared" si="77"/>
        <v>-1</v>
      </c>
      <c r="AP474">
        <f t="shared" si="78"/>
        <v>-1</v>
      </c>
      <c r="AQ474">
        <f t="shared" si="79"/>
        <v>-1</v>
      </c>
      <c r="AR474">
        <f t="shared" si="80"/>
        <v>-1</v>
      </c>
      <c r="AS474">
        <f t="shared" si="81"/>
        <v>-1</v>
      </c>
      <c r="AT474">
        <f t="shared" si="82"/>
        <v>-1</v>
      </c>
      <c r="AU474">
        <f t="shared" si="83"/>
        <v>-5.5</v>
      </c>
      <c r="AV474">
        <f>SUM(Table1[[#This Row],[Satis]:[29]])</f>
        <v>-6</v>
      </c>
      <c r="AW474">
        <f t="shared" si="84"/>
        <v>-5</v>
      </c>
      <c r="AX474">
        <f t="shared" si="85"/>
        <v>-4</v>
      </c>
      <c r="AY474">
        <f t="shared" si="86"/>
        <v>-3</v>
      </c>
      <c r="AZ474" t="str">
        <f t="shared" si="87"/>
        <v>TDP HardCore</v>
      </c>
    </row>
    <row r="475" spans="1:52" x14ac:dyDescent="0.3">
      <c r="A475" t="s">
        <v>2735</v>
      </c>
      <c r="B475" s="94">
        <v>46045</v>
      </c>
      <c r="C475" t="s">
        <v>2736</v>
      </c>
      <c r="D475" t="s">
        <v>2737</v>
      </c>
      <c r="E475" t="s">
        <v>2738</v>
      </c>
      <c r="F475" t="s">
        <v>2547</v>
      </c>
      <c r="G475" t="s">
        <v>39</v>
      </c>
      <c r="H475" t="s">
        <v>2739</v>
      </c>
      <c r="I475" t="s">
        <v>59</v>
      </c>
      <c r="J475" t="s">
        <v>219</v>
      </c>
      <c r="K475" t="s">
        <v>222</v>
      </c>
      <c r="L475" t="s">
        <v>50</v>
      </c>
      <c r="M475" t="s">
        <v>51</v>
      </c>
      <c r="N475" t="s">
        <v>52</v>
      </c>
      <c r="O475" t="s">
        <v>2740</v>
      </c>
      <c r="P475">
        <v>9542734596</v>
      </c>
      <c r="Q475" t="s">
        <v>54</v>
      </c>
      <c r="R475" t="s">
        <v>132</v>
      </c>
      <c r="S475" t="s">
        <v>43</v>
      </c>
      <c r="T475" t="s">
        <v>43</v>
      </c>
      <c r="U475" t="s">
        <v>44</v>
      </c>
      <c r="V475" t="s">
        <v>45</v>
      </c>
      <c r="W475" t="s">
        <v>5078</v>
      </c>
      <c r="X475" t="s">
        <v>45</v>
      </c>
      <c r="Y475" t="s">
        <v>46</v>
      </c>
      <c r="Z475" t="s">
        <v>47</v>
      </c>
      <c r="AA475" t="s">
        <v>48</v>
      </c>
      <c r="AB475" t="s">
        <v>49</v>
      </c>
      <c r="AC475" t="s">
        <v>49</v>
      </c>
      <c r="AD475" t="s">
        <v>494</v>
      </c>
      <c r="AE475" t="s">
        <v>191</v>
      </c>
      <c r="AF475" t="s">
        <v>3000</v>
      </c>
      <c r="AG475" t="s">
        <v>498</v>
      </c>
      <c r="AH475" s="93">
        <f>VLOOKUP(Table1[[#This Row],[Caste]],Factor!$H$1:$K$13,4,0)</f>
        <v>1.1461625511156397</v>
      </c>
      <c r="AI47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75">
        <f>Table1[[#This Row],[Factor_1]]*Table1[[#This Row],[2024 Factor]]</f>
        <v>0.77721139583220644</v>
      </c>
      <c r="AK475">
        <f>VLOOKUP(Table1[[#This Row],[Q18: Gender]],Factor!$A$33:$E$35,5,0)</f>
        <v>0.85034013605442171</v>
      </c>
      <c r="AL475">
        <f>VLOOKUP(Table1[[#This Row],[Taluka]],Factor!$A$42:$G$46,7,0)</f>
        <v>1.147984664167413</v>
      </c>
      <c r="AM475">
        <f>VLOOKUP(Table1[[#This Row],[Caste]]&amp;Table1[[#This Row],[Q18: Gender]],Factor!$W$1:$X$23,2,0)</f>
        <v>0.71995135120329123</v>
      </c>
      <c r="AN475">
        <f>VLOOKUP(Table1[[#This Row],[Taluka]]&amp;Table1[[#This Row],[Caste]]&amp;Table1[[#This Row],[Q18: Gender]],Factor!$AK$4:$AL$93,2,0)</f>
        <v>0.54319084681293095</v>
      </c>
      <c r="AO475">
        <f t="shared" si="77"/>
        <v>-1</v>
      </c>
      <c r="AP475">
        <f t="shared" si="78"/>
        <v>-1</v>
      </c>
      <c r="AQ475">
        <f t="shared" si="79"/>
        <v>-1</v>
      </c>
      <c r="AR475">
        <f t="shared" si="80"/>
        <v>-1</v>
      </c>
      <c r="AS475">
        <f t="shared" si="81"/>
        <v>-1</v>
      </c>
      <c r="AT475">
        <f t="shared" si="82"/>
        <v>-1</v>
      </c>
      <c r="AU475">
        <f t="shared" si="83"/>
        <v>-5.5</v>
      </c>
      <c r="AV475">
        <f>SUM(Table1[[#This Row],[Satis]:[29]])</f>
        <v>-6</v>
      </c>
      <c r="AW475">
        <f t="shared" si="84"/>
        <v>-5</v>
      </c>
      <c r="AX475">
        <f t="shared" si="85"/>
        <v>-4</v>
      </c>
      <c r="AY475">
        <f t="shared" si="86"/>
        <v>-3</v>
      </c>
      <c r="AZ475" t="str">
        <f t="shared" si="87"/>
        <v>TDP HardCore</v>
      </c>
    </row>
    <row r="476" spans="1:52" x14ac:dyDescent="0.3">
      <c r="A476" t="s">
        <v>2747</v>
      </c>
      <c r="B476" s="94">
        <v>46045</v>
      </c>
      <c r="C476" t="s">
        <v>2748</v>
      </c>
      <c r="D476" t="s">
        <v>2743</v>
      </c>
      <c r="E476" t="s">
        <v>2744</v>
      </c>
      <c r="F476" t="s">
        <v>240</v>
      </c>
      <c r="G476" t="s">
        <v>39</v>
      </c>
      <c r="H476" t="s">
        <v>2749</v>
      </c>
      <c r="I476" t="s">
        <v>59</v>
      </c>
      <c r="J476" t="s">
        <v>37</v>
      </c>
      <c r="K476" t="s">
        <v>38</v>
      </c>
      <c r="L476" t="s">
        <v>62</v>
      </c>
      <c r="M476" t="s">
        <v>51</v>
      </c>
      <c r="N476" t="s">
        <v>107</v>
      </c>
      <c r="O476" t="s">
        <v>2746</v>
      </c>
      <c r="P476">
        <v>9949607685</v>
      </c>
      <c r="Q476" t="s">
        <v>54</v>
      </c>
      <c r="R476" t="s">
        <v>139</v>
      </c>
      <c r="S476" t="s">
        <v>43</v>
      </c>
      <c r="T476" t="s">
        <v>43</v>
      </c>
      <c r="U476" t="s">
        <v>90</v>
      </c>
      <c r="V476" t="s">
        <v>91</v>
      </c>
      <c r="W476" t="s">
        <v>5055</v>
      </c>
      <c r="X476" t="s">
        <v>45</v>
      </c>
      <c r="Y476" t="s">
        <v>638</v>
      </c>
      <c r="Z476" t="s">
        <v>242</v>
      </c>
      <c r="AA476" t="s">
        <v>48</v>
      </c>
      <c r="AB476" t="s">
        <v>49</v>
      </c>
      <c r="AC476" t="s">
        <v>49</v>
      </c>
      <c r="AD476">
        <v>0</v>
      </c>
      <c r="AE476" t="s">
        <v>185</v>
      </c>
      <c r="AF476">
        <v>0</v>
      </c>
      <c r="AG476" t="s">
        <v>196</v>
      </c>
      <c r="AH476" s="93">
        <f>VLOOKUP(Table1[[#This Row],[Caste]],Factor!$H$1:$K$13,4,0)</f>
        <v>1.1461625511156397</v>
      </c>
      <c r="AI47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76">
        <f>Table1[[#This Row],[Factor_1]]*Table1[[#This Row],[2024 Factor]]</f>
        <v>0.77721139583220644</v>
      </c>
      <c r="AK476">
        <f>VLOOKUP(Table1[[#This Row],[Q18: Gender]],Factor!$A$33:$E$35,5,0)</f>
        <v>0.85034013605442171</v>
      </c>
      <c r="AL476">
        <f>VLOOKUP(Table1[[#This Row],[Taluka]],Factor!$A$42:$G$46,7,0)</f>
        <v>0.75433779645928134</v>
      </c>
      <c r="AM476">
        <f>VLOOKUP(Table1[[#This Row],[Caste]]&amp;Table1[[#This Row],[Q18: Gender]],Factor!$W$1:$X$23,2,0)</f>
        <v>0.71995135120329123</v>
      </c>
      <c r="AN476">
        <f>VLOOKUP(Table1[[#This Row],[Taluka]]&amp;Table1[[#This Row],[Caste]]&amp;Table1[[#This Row],[Q18: Gender]],Factor!$AK$4:$AL$93,2,0)</f>
        <v>0.55527787174877274</v>
      </c>
      <c r="AO476">
        <f t="shared" si="77"/>
        <v>-1</v>
      </c>
      <c r="AP476">
        <f t="shared" si="78"/>
        <v>1</v>
      </c>
      <c r="AQ476">
        <f t="shared" si="79"/>
        <v>1</v>
      </c>
      <c r="AR476">
        <f t="shared" si="80"/>
        <v>-1</v>
      </c>
      <c r="AS476">
        <f t="shared" si="81"/>
        <v>-1</v>
      </c>
      <c r="AT476">
        <f t="shared" si="82"/>
        <v>-1</v>
      </c>
      <c r="AU476">
        <f t="shared" si="83"/>
        <v>-1.5</v>
      </c>
      <c r="AV476">
        <f>SUM(Table1[[#This Row],[Satis]:[29]])</f>
        <v>-2</v>
      </c>
      <c r="AW476">
        <f t="shared" si="84"/>
        <v>-3</v>
      </c>
      <c r="AX476">
        <f t="shared" si="85"/>
        <v>-2</v>
      </c>
      <c r="AY476">
        <f t="shared" si="86"/>
        <v>-3</v>
      </c>
      <c r="AZ476" t="str">
        <f t="shared" si="87"/>
        <v>Neutral TDP</v>
      </c>
    </row>
    <row r="477" spans="1:52" x14ac:dyDescent="0.3">
      <c r="A477" t="s">
        <v>2756</v>
      </c>
      <c r="B477" s="94">
        <v>46045</v>
      </c>
      <c r="C477" t="s">
        <v>2757</v>
      </c>
      <c r="D477" t="s">
        <v>2758</v>
      </c>
      <c r="E477" t="s">
        <v>2688</v>
      </c>
      <c r="F477" t="s">
        <v>69</v>
      </c>
      <c r="G477" t="s">
        <v>39</v>
      </c>
      <c r="H477" t="s">
        <v>2759</v>
      </c>
      <c r="I477" t="s">
        <v>59</v>
      </c>
      <c r="J477" t="s">
        <v>219</v>
      </c>
      <c r="K477" t="s">
        <v>220</v>
      </c>
      <c r="L477" t="s">
        <v>50</v>
      </c>
      <c r="M477" t="s">
        <v>51</v>
      </c>
      <c r="N477" t="s">
        <v>63</v>
      </c>
      <c r="O477" t="s">
        <v>2760</v>
      </c>
      <c r="P477">
        <v>9999999999</v>
      </c>
      <c r="Q477" t="s">
        <v>54</v>
      </c>
      <c r="R477" t="s">
        <v>73</v>
      </c>
      <c r="S477" t="s">
        <v>43</v>
      </c>
      <c r="T477" t="s">
        <v>89</v>
      </c>
      <c r="U477" t="s">
        <v>90</v>
      </c>
      <c r="V477" t="s">
        <v>91</v>
      </c>
      <c r="W477" t="s">
        <v>5064</v>
      </c>
      <c r="X477" t="s">
        <v>91</v>
      </c>
      <c r="Y477" t="s">
        <v>46</v>
      </c>
      <c r="Z477" t="s">
        <v>92</v>
      </c>
      <c r="AA477" t="s">
        <v>92</v>
      </c>
      <c r="AB477" t="s">
        <v>93</v>
      </c>
      <c r="AC477" t="s">
        <v>94</v>
      </c>
      <c r="AD477" t="s">
        <v>184</v>
      </c>
      <c r="AE477" t="s">
        <v>185</v>
      </c>
      <c r="AF477" t="s">
        <v>3002</v>
      </c>
      <c r="AG477" t="s">
        <v>196</v>
      </c>
      <c r="AH477" s="93">
        <f>VLOOKUP(Table1[[#This Row],[Caste]],Factor!$H$1:$K$13,4,0)</f>
        <v>1.1461625511156397</v>
      </c>
      <c r="AI477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477">
        <f>Table1[[#This Row],[Factor_1]]*Table1[[#This Row],[2024 Factor]]</f>
        <v>1.2999324650914248</v>
      </c>
      <c r="AK477">
        <f>VLOOKUP(Table1[[#This Row],[Q18: Gender]],Factor!$A$33:$E$35,5,0)</f>
        <v>0.85034013605442171</v>
      </c>
      <c r="AL477">
        <f>VLOOKUP(Table1[[#This Row],[Taluka]],Factor!$A$42:$G$46,7,0)</f>
        <v>1.147984664167413</v>
      </c>
      <c r="AM477">
        <f>VLOOKUP(Table1[[#This Row],[Caste]]&amp;Table1[[#This Row],[Q18: Gender]],Factor!$W$1:$X$23,2,0)</f>
        <v>0.71995135120329123</v>
      </c>
      <c r="AN477">
        <f>VLOOKUP(Table1[[#This Row],[Taluka]]&amp;Table1[[#This Row],[Caste]]&amp;Table1[[#This Row],[Q18: Gender]],Factor!$AK$4:$AL$93,2,0)</f>
        <v>0.54319084681293095</v>
      </c>
      <c r="AO477">
        <f t="shared" si="77"/>
        <v>1</v>
      </c>
      <c r="AP477">
        <f t="shared" si="78"/>
        <v>1</v>
      </c>
      <c r="AQ477">
        <f t="shared" si="79"/>
        <v>1</v>
      </c>
      <c r="AR477">
        <f t="shared" si="80"/>
        <v>1</v>
      </c>
      <c r="AS477">
        <f t="shared" si="81"/>
        <v>1</v>
      </c>
      <c r="AT477">
        <f t="shared" si="82"/>
        <v>1</v>
      </c>
      <c r="AU477">
        <f t="shared" si="83"/>
        <v>5.5</v>
      </c>
      <c r="AV477">
        <f>SUM(Table1[[#This Row],[Satis]:[29]])</f>
        <v>6</v>
      </c>
      <c r="AW477">
        <f t="shared" si="84"/>
        <v>5</v>
      </c>
      <c r="AX477">
        <f t="shared" si="85"/>
        <v>4</v>
      </c>
      <c r="AY477">
        <f t="shared" si="86"/>
        <v>3</v>
      </c>
      <c r="AZ477" t="str">
        <f t="shared" si="87"/>
        <v>YSRCP HardCore</v>
      </c>
    </row>
    <row r="478" spans="1:52" x14ac:dyDescent="0.3">
      <c r="A478" t="s">
        <v>2750</v>
      </c>
      <c r="B478" s="94">
        <v>46045</v>
      </c>
      <c r="C478" t="s">
        <v>2751</v>
      </c>
      <c r="D478" t="s">
        <v>2752</v>
      </c>
      <c r="E478" t="s">
        <v>2753</v>
      </c>
      <c r="F478" t="s">
        <v>935</v>
      </c>
      <c r="G478" t="s">
        <v>39</v>
      </c>
      <c r="H478" t="s">
        <v>2754</v>
      </c>
      <c r="I478" t="s">
        <v>59</v>
      </c>
      <c r="J478" t="s">
        <v>219</v>
      </c>
      <c r="K478" t="s">
        <v>224</v>
      </c>
      <c r="L478" t="s">
        <v>82</v>
      </c>
      <c r="M478" t="s">
        <v>51</v>
      </c>
      <c r="N478" t="s">
        <v>63</v>
      </c>
      <c r="O478" t="s">
        <v>2755</v>
      </c>
      <c r="P478">
        <v>6305867374</v>
      </c>
      <c r="Q478" t="s">
        <v>54</v>
      </c>
      <c r="R478" t="s">
        <v>139</v>
      </c>
      <c r="S478" t="s">
        <v>88</v>
      </c>
      <c r="T478" t="s">
        <v>89</v>
      </c>
      <c r="U478" t="s">
        <v>90</v>
      </c>
      <c r="V478" t="s">
        <v>91</v>
      </c>
      <c r="W478" t="s">
        <v>5064</v>
      </c>
      <c r="X478" t="s">
        <v>91</v>
      </c>
      <c r="Y478" t="s">
        <v>46</v>
      </c>
      <c r="Z478" t="s">
        <v>47</v>
      </c>
      <c r="AA478" t="s">
        <v>92</v>
      </c>
      <c r="AB478" t="s">
        <v>147</v>
      </c>
      <c r="AC478" t="s">
        <v>148</v>
      </c>
      <c r="AD478" t="s">
        <v>184</v>
      </c>
      <c r="AE478" t="s">
        <v>191</v>
      </c>
      <c r="AF478" t="s">
        <v>3001</v>
      </c>
      <c r="AG478" t="s">
        <v>498</v>
      </c>
      <c r="AH478" s="93">
        <f>VLOOKUP(Table1[[#This Row],[Caste]],Factor!$H$1:$K$13,4,0)</f>
        <v>1.1461625511156397</v>
      </c>
      <c r="AI478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478">
        <f>Table1[[#This Row],[Factor_1]]*Table1[[#This Row],[2024 Factor]]</f>
        <v>1.2999324650914248</v>
      </c>
      <c r="AK478">
        <f>VLOOKUP(Table1[[#This Row],[Q18: Gender]],Factor!$A$33:$E$35,5,0)</f>
        <v>0.85034013605442171</v>
      </c>
      <c r="AL478">
        <f>VLOOKUP(Table1[[#This Row],[Taluka]],Factor!$A$42:$G$46,7,0)</f>
        <v>1.147984664167413</v>
      </c>
      <c r="AM478">
        <f>VLOOKUP(Table1[[#This Row],[Caste]]&amp;Table1[[#This Row],[Q18: Gender]],Factor!$W$1:$X$23,2,0)</f>
        <v>0.71995135120329123</v>
      </c>
      <c r="AN478">
        <f>VLOOKUP(Table1[[#This Row],[Taluka]]&amp;Table1[[#This Row],[Caste]]&amp;Table1[[#This Row],[Q18: Gender]],Factor!$AK$4:$AL$93,2,0)</f>
        <v>0.54319084681293095</v>
      </c>
      <c r="AO478">
        <f t="shared" si="77"/>
        <v>1</v>
      </c>
      <c r="AP478">
        <f t="shared" si="78"/>
        <v>1</v>
      </c>
      <c r="AQ478">
        <f t="shared" si="79"/>
        <v>1</v>
      </c>
      <c r="AR478">
        <f t="shared" si="80"/>
        <v>1</v>
      </c>
      <c r="AS478">
        <f t="shared" si="81"/>
        <v>1</v>
      </c>
      <c r="AT478">
        <f t="shared" si="82"/>
        <v>-1</v>
      </c>
      <c r="AU478">
        <f t="shared" si="83"/>
        <v>3.5</v>
      </c>
      <c r="AV478">
        <f>SUM(Table1[[#This Row],[Satis]:[29]])</f>
        <v>4</v>
      </c>
      <c r="AW478">
        <f t="shared" si="84"/>
        <v>3</v>
      </c>
      <c r="AX478">
        <f t="shared" si="85"/>
        <v>2</v>
      </c>
      <c r="AY478" t="str">
        <f t="shared" si="86"/>
        <v>ND</v>
      </c>
      <c r="AZ478" t="str">
        <f t="shared" si="87"/>
        <v>ND</v>
      </c>
    </row>
    <row r="479" spans="1:52" x14ac:dyDescent="0.3">
      <c r="A479" t="s">
        <v>2777</v>
      </c>
      <c r="B479" s="94">
        <v>46045</v>
      </c>
      <c r="C479" t="s">
        <v>2778</v>
      </c>
      <c r="D479" t="s">
        <v>2779</v>
      </c>
      <c r="E479" t="s">
        <v>2780</v>
      </c>
      <c r="F479" t="s">
        <v>69</v>
      </c>
      <c r="G479" t="s">
        <v>39</v>
      </c>
      <c r="H479" t="s">
        <v>2781</v>
      </c>
      <c r="I479" t="s">
        <v>36</v>
      </c>
      <c r="J479" t="s">
        <v>219</v>
      </c>
      <c r="K479" t="s">
        <v>220</v>
      </c>
      <c r="L479" t="s">
        <v>75</v>
      </c>
      <c r="M479" t="s">
        <v>51</v>
      </c>
      <c r="N479" t="s">
        <v>162</v>
      </c>
      <c r="O479" t="s">
        <v>2782</v>
      </c>
      <c r="P479">
        <v>8179295871</v>
      </c>
      <c r="Q479" t="s">
        <v>54</v>
      </c>
      <c r="R479" t="s">
        <v>73</v>
      </c>
      <c r="S479" t="s">
        <v>89</v>
      </c>
      <c r="T479" t="s">
        <v>43</v>
      </c>
      <c r="U479" t="s">
        <v>44</v>
      </c>
      <c r="V479" t="s">
        <v>45</v>
      </c>
      <c r="W479" t="s">
        <v>5056</v>
      </c>
      <c r="X479" t="s">
        <v>45</v>
      </c>
      <c r="Y479" t="s">
        <v>46</v>
      </c>
      <c r="Z479" t="s">
        <v>47</v>
      </c>
      <c r="AA479" t="s">
        <v>48</v>
      </c>
      <c r="AB479" t="s">
        <v>49</v>
      </c>
      <c r="AC479" t="s">
        <v>49</v>
      </c>
      <c r="AD479" t="s">
        <v>184</v>
      </c>
      <c r="AE479" t="s">
        <v>185</v>
      </c>
      <c r="AF479" t="s">
        <v>3005</v>
      </c>
      <c r="AG479" t="s">
        <v>196</v>
      </c>
      <c r="AH479" s="93">
        <f>VLOOKUP(Table1[[#This Row],[Caste]],Factor!$H$1:$K$13,4,0)</f>
        <v>1.1705128247062893</v>
      </c>
      <c r="AI47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79">
        <f>Table1[[#This Row],[Factor_1]]*Table1[[#This Row],[2024 Factor]]</f>
        <v>0.86308903171383233</v>
      </c>
      <c r="AK479">
        <f>VLOOKUP(Table1[[#This Row],[Q18: Gender]],Factor!$A$33:$E$35,5,0)</f>
        <v>0.85034013605442171</v>
      </c>
      <c r="AL479">
        <f>VLOOKUP(Table1[[#This Row],[Taluka]],Factor!$A$42:$G$46,7,0)</f>
        <v>1.147984664167413</v>
      </c>
      <c r="AM479">
        <f>VLOOKUP(Table1[[#This Row],[Caste]]&amp;Table1[[#This Row],[Q18: Gender]],Factor!$W$1:$X$23,2,0)</f>
        <v>0.79950206330384943</v>
      </c>
      <c r="AN479">
        <f>VLOOKUP(Table1[[#This Row],[Taluka]]&amp;Table1[[#This Row],[Caste]]&amp;Table1[[#This Row],[Q18: Gender]],Factor!$AK$4:$AL$93,2,0)</f>
        <v>0.92148737207359532</v>
      </c>
      <c r="AO479">
        <f t="shared" si="77"/>
        <v>-1</v>
      </c>
      <c r="AP479">
        <f t="shared" si="78"/>
        <v>-1</v>
      </c>
      <c r="AQ479">
        <f t="shared" si="79"/>
        <v>-1</v>
      </c>
      <c r="AR479">
        <f t="shared" si="80"/>
        <v>-1</v>
      </c>
      <c r="AS479">
        <f t="shared" si="81"/>
        <v>-1</v>
      </c>
      <c r="AT479">
        <f t="shared" si="82"/>
        <v>-1</v>
      </c>
      <c r="AU479">
        <f t="shared" si="83"/>
        <v>-5.5</v>
      </c>
      <c r="AV479">
        <f>SUM(Table1[[#This Row],[Satis]:[29]])</f>
        <v>-6</v>
      </c>
      <c r="AW479">
        <f t="shared" si="84"/>
        <v>-5</v>
      </c>
      <c r="AX479">
        <f t="shared" si="85"/>
        <v>-4</v>
      </c>
      <c r="AY479">
        <f t="shared" si="86"/>
        <v>-3</v>
      </c>
      <c r="AZ479" t="str">
        <f t="shared" si="87"/>
        <v>TDP HardCore</v>
      </c>
    </row>
    <row r="480" spans="1:52" x14ac:dyDescent="0.3">
      <c r="A480" t="s">
        <v>2761</v>
      </c>
      <c r="B480" s="94">
        <v>46045</v>
      </c>
      <c r="C480" t="s">
        <v>2762</v>
      </c>
      <c r="D480" t="s">
        <v>2763</v>
      </c>
      <c r="E480" t="s">
        <v>2700</v>
      </c>
      <c r="F480" t="s">
        <v>69</v>
      </c>
      <c r="G480" t="s">
        <v>39</v>
      </c>
      <c r="H480" t="s">
        <v>2764</v>
      </c>
      <c r="I480" t="s">
        <v>70</v>
      </c>
      <c r="J480" t="s">
        <v>219</v>
      </c>
      <c r="K480" t="s">
        <v>220</v>
      </c>
      <c r="L480" t="s">
        <v>50</v>
      </c>
      <c r="M480" t="s">
        <v>443</v>
      </c>
      <c r="N480" t="s">
        <v>52</v>
      </c>
      <c r="O480" t="s">
        <v>2765</v>
      </c>
      <c r="P480">
        <v>9999999999</v>
      </c>
      <c r="Q480" t="s">
        <v>445</v>
      </c>
      <c r="R480" t="s">
        <v>73</v>
      </c>
      <c r="S480" t="s">
        <v>89</v>
      </c>
      <c r="T480" t="s">
        <v>89</v>
      </c>
      <c r="U480" t="s">
        <v>90</v>
      </c>
      <c r="V480" t="s">
        <v>91</v>
      </c>
      <c r="W480" t="s">
        <v>5087</v>
      </c>
      <c r="X480" t="s">
        <v>91</v>
      </c>
      <c r="Y480" t="s">
        <v>46</v>
      </c>
      <c r="Z480" t="s">
        <v>92</v>
      </c>
      <c r="AA480" t="s">
        <v>92</v>
      </c>
      <c r="AB480" t="s">
        <v>93</v>
      </c>
      <c r="AC480" t="s">
        <v>94</v>
      </c>
      <c r="AD480" t="s">
        <v>184</v>
      </c>
      <c r="AE480" t="s">
        <v>185</v>
      </c>
      <c r="AF480" t="s">
        <v>3003</v>
      </c>
      <c r="AG480" t="s">
        <v>196</v>
      </c>
      <c r="AH480" s="93">
        <f>VLOOKUP(Table1[[#This Row],[Caste]],Factor!$H$1:$K$13,4,0)</f>
        <v>1.3836274505214585</v>
      </c>
      <c r="AI480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480">
        <f>Table1[[#This Row],[Factor_1]]*Table1[[#This Row],[2024 Factor]]</f>
        <v>3.4809023142961388</v>
      </c>
      <c r="AK480">
        <f>VLOOKUP(Table1[[#This Row],[Q18: Gender]],Factor!$A$33:$E$35,5,0)</f>
        <v>2.1645021645021645</v>
      </c>
      <c r="AL480">
        <f>VLOOKUP(Table1[[#This Row],[Taluka]],Factor!$A$42:$G$46,7,0)</f>
        <v>1.147984664167413</v>
      </c>
      <c r="AM480">
        <f>VLOOKUP(Table1[[#This Row],[Caste]]&amp;Table1[[#This Row],[Q18: Gender]],Factor!$W$1:$X$23,2,0)</f>
        <v>1.9278542477265657</v>
      </c>
      <c r="AN480">
        <f>VLOOKUP(Table1[[#This Row],[Taluka]]&amp;Table1[[#This Row],[Caste]]&amp;Table1[[#This Row],[Q18: Gender]],Factor!$AK$4:$AL$93,2,0)</f>
        <v>3.2048072590163397</v>
      </c>
      <c r="AO480">
        <f t="shared" si="77"/>
        <v>1</v>
      </c>
      <c r="AP480">
        <f t="shared" si="78"/>
        <v>1</v>
      </c>
      <c r="AQ480">
        <f t="shared" si="79"/>
        <v>1</v>
      </c>
      <c r="AR480">
        <f t="shared" si="80"/>
        <v>1</v>
      </c>
      <c r="AS480">
        <f t="shared" si="81"/>
        <v>1</v>
      </c>
      <c r="AT480">
        <f t="shared" si="82"/>
        <v>1</v>
      </c>
      <c r="AU480">
        <f t="shared" si="83"/>
        <v>5.5</v>
      </c>
      <c r="AV480">
        <f>SUM(Table1[[#This Row],[Satis]:[29]])</f>
        <v>6</v>
      </c>
      <c r="AW480">
        <f t="shared" si="84"/>
        <v>5</v>
      </c>
      <c r="AX480">
        <f t="shared" si="85"/>
        <v>4</v>
      </c>
      <c r="AY480">
        <f t="shared" si="86"/>
        <v>3</v>
      </c>
      <c r="AZ480" t="str">
        <f t="shared" si="87"/>
        <v>YSRCP HardCore</v>
      </c>
    </row>
    <row r="481" spans="1:52" x14ac:dyDescent="0.3">
      <c r="A481" t="s">
        <v>2766</v>
      </c>
      <c r="B481" s="94">
        <v>46045</v>
      </c>
      <c r="C481" t="s">
        <v>2767</v>
      </c>
      <c r="D481" t="s">
        <v>2768</v>
      </c>
      <c r="E481" t="s">
        <v>2682</v>
      </c>
      <c r="F481" t="s">
        <v>69</v>
      </c>
      <c r="G481" t="s">
        <v>39</v>
      </c>
      <c r="H481" t="s">
        <v>2769</v>
      </c>
      <c r="I481" t="s">
        <v>59</v>
      </c>
      <c r="J481" t="s">
        <v>219</v>
      </c>
      <c r="K481" t="s">
        <v>220</v>
      </c>
      <c r="L481" t="s">
        <v>75</v>
      </c>
      <c r="M481" t="s">
        <v>51</v>
      </c>
      <c r="N481" t="s">
        <v>52</v>
      </c>
      <c r="O481" t="s">
        <v>2770</v>
      </c>
      <c r="P481">
        <v>9999999999</v>
      </c>
      <c r="Q481" t="s">
        <v>54</v>
      </c>
      <c r="R481" t="s">
        <v>61</v>
      </c>
      <c r="S481" t="s">
        <v>43</v>
      </c>
      <c r="T481" t="s">
        <v>43</v>
      </c>
      <c r="U481" t="s">
        <v>90</v>
      </c>
      <c r="V481" t="s">
        <v>45</v>
      </c>
      <c r="W481" t="s">
        <v>5078</v>
      </c>
      <c r="X481" t="s">
        <v>45</v>
      </c>
      <c r="Y481" t="s">
        <v>46</v>
      </c>
      <c r="Z481" t="s">
        <v>47</v>
      </c>
      <c r="AA481" t="s">
        <v>48</v>
      </c>
      <c r="AB481" t="s">
        <v>49</v>
      </c>
      <c r="AC481" t="s">
        <v>49</v>
      </c>
      <c r="AD481" t="s">
        <v>184</v>
      </c>
      <c r="AE481" t="s">
        <v>189</v>
      </c>
      <c r="AF481" t="s">
        <v>3004</v>
      </c>
      <c r="AG481" t="s">
        <v>196</v>
      </c>
      <c r="AH481" s="93">
        <f>VLOOKUP(Table1[[#This Row],[Caste]],Factor!$H$1:$K$13,4,0)</f>
        <v>1.1461625511156397</v>
      </c>
      <c r="AI48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81">
        <f>Table1[[#This Row],[Factor_1]]*Table1[[#This Row],[2024 Factor]]</f>
        <v>0.77721139583220644</v>
      </c>
      <c r="AK481">
        <f>VLOOKUP(Table1[[#This Row],[Q18: Gender]],Factor!$A$33:$E$35,5,0)</f>
        <v>0.85034013605442171</v>
      </c>
      <c r="AL481">
        <f>VLOOKUP(Table1[[#This Row],[Taluka]],Factor!$A$42:$G$46,7,0)</f>
        <v>1.147984664167413</v>
      </c>
      <c r="AM481">
        <f>VLOOKUP(Table1[[#This Row],[Caste]]&amp;Table1[[#This Row],[Q18: Gender]],Factor!$W$1:$X$23,2,0)</f>
        <v>0.71995135120329123</v>
      </c>
      <c r="AN481">
        <f>VLOOKUP(Table1[[#This Row],[Taluka]]&amp;Table1[[#This Row],[Caste]]&amp;Table1[[#This Row],[Q18: Gender]],Factor!$AK$4:$AL$93,2,0)</f>
        <v>0.54319084681293095</v>
      </c>
      <c r="AO481">
        <f t="shared" si="77"/>
        <v>-1</v>
      </c>
      <c r="AP481">
        <f t="shared" si="78"/>
        <v>1</v>
      </c>
      <c r="AQ481">
        <f t="shared" si="79"/>
        <v>-1</v>
      </c>
      <c r="AR481">
        <f t="shared" si="80"/>
        <v>-1</v>
      </c>
      <c r="AS481">
        <f t="shared" si="81"/>
        <v>-1</v>
      </c>
      <c r="AT481">
        <f t="shared" si="82"/>
        <v>-1</v>
      </c>
      <c r="AU481">
        <f t="shared" si="83"/>
        <v>-3.5</v>
      </c>
      <c r="AV481">
        <f>SUM(Table1[[#This Row],[Satis]:[29]])</f>
        <v>-4</v>
      </c>
      <c r="AW481">
        <f t="shared" si="84"/>
        <v>-5</v>
      </c>
      <c r="AX481">
        <f t="shared" si="85"/>
        <v>-4</v>
      </c>
      <c r="AY481">
        <f t="shared" si="86"/>
        <v>-3</v>
      </c>
      <c r="AZ481" t="str">
        <f t="shared" si="87"/>
        <v>TDP Sympathiser</v>
      </c>
    </row>
    <row r="482" spans="1:52" x14ac:dyDescent="0.3">
      <c r="A482" t="s">
        <v>2771</v>
      </c>
      <c r="B482" s="94">
        <v>46045</v>
      </c>
      <c r="C482" t="s">
        <v>2772</v>
      </c>
      <c r="D482" t="s">
        <v>2773</v>
      </c>
      <c r="E482" t="s">
        <v>2774</v>
      </c>
      <c r="F482" t="s">
        <v>2547</v>
      </c>
      <c r="G482" t="s">
        <v>39</v>
      </c>
      <c r="H482" t="s">
        <v>2775</v>
      </c>
      <c r="I482" t="s">
        <v>36</v>
      </c>
      <c r="J482" t="s">
        <v>219</v>
      </c>
      <c r="K482" t="s">
        <v>222</v>
      </c>
      <c r="L482" t="s">
        <v>451</v>
      </c>
      <c r="M482" t="s">
        <v>51</v>
      </c>
      <c r="N482" t="s">
        <v>63</v>
      </c>
      <c r="O482" t="s">
        <v>2776</v>
      </c>
      <c r="P482">
        <v>9010262725</v>
      </c>
      <c r="Q482" t="s">
        <v>445</v>
      </c>
      <c r="R482" t="s">
        <v>61</v>
      </c>
      <c r="S482" t="s">
        <v>43</v>
      </c>
      <c r="T482" t="s">
        <v>43</v>
      </c>
      <c r="U482" t="s">
        <v>44</v>
      </c>
      <c r="V482" t="s">
        <v>45</v>
      </c>
      <c r="W482" t="s">
        <v>5050</v>
      </c>
      <c r="X482" t="s">
        <v>45</v>
      </c>
      <c r="Y482" t="s">
        <v>46</v>
      </c>
      <c r="Z482" t="s">
        <v>47</v>
      </c>
      <c r="AA482" t="s">
        <v>48</v>
      </c>
      <c r="AB482" t="s">
        <v>49</v>
      </c>
      <c r="AC482" t="s">
        <v>49</v>
      </c>
      <c r="AD482" t="s">
        <v>184</v>
      </c>
      <c r="AE482" t="s">
        <v>1250</v>
      </c>
      <c r="AF482">
        <v>0</v>
      </c>
      <c r="AG482" t="s">
        <v>498</v>
      </c>
      <c r="AH482" s="93">
        <f>VLOOKUP(Table1[[#This Row],[Caste]],Factor!$H$1:$K$13,4,0)</f>
        <v>1.1705128247062893</v>
      </c>
      <c r="AI48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82">
        <f>Table1[[#This Row],[Factor_1]]*Table1[[#This Row],[2024 Factor]]</f>
        <v>2.3577066232182737</v>
      </c>
      <c r="AK482">
        <f>VLOOKUP(Table1[[#This Row],[Q18: Gender]],Factor!$A$33:$E$35,5,0)</f>
        <v>2.1645021645021645</v>
      </c>
      <c r="AL482">
        <f>VLOOKUP(Table1[[#This Row],[Taluka]],Factor!$A$42:$G$46,7,0)</f>
        <v>1.147984664167413</v>
      </c>
      <c r="AM482">
        <f>VLOOKUP(Table1[[#This Row],[Caste]]&amp;Table1[[#This Row],[Q18: Gender]],Factor!$W$1:$X$23,2,0)</f>
        <v>2.1840056363422229</v>
      </c>
      <c r="AN482">
        <f>VLOOKUP(Table1[[#This Row],[Taluka]]&amp;Table1[[#This Row],[Caste]]&amp;Table1[[#This Row],[Q18: Gender]],Factor!$AK$4:$AL$93,2,0)</f>
        <v>25.80164641806067</v>
      </c>
      <c r="AO482">
        <f t="shared" si="77"/>
        <v>-1</v>
      </c>
      <c r="AP482">
        <f t="shared" si="78"/>
        <v>-1</v>
      </c>
      <c r="AQ482">
        <f t="shared" si="79"/>
        <v>-1</v>
      </c>
      <c r="AR482">
        <f t="shared" si="80"/>
        <v>-1</v>
      </c>
      <c r="AS482">
        <f t="shared" si="81"/>
        <v>-1</v>
      </c>
      <c r="AT482">
        <f t="shared" si="82"/>
        <v>-1</v>
      </c>
      <c r="AU482">
        <f t="shared" si="83"/>
        <v>-5.5</v>
      </c>
      <c r="AV482">
        <f>SUM(Table1[[#This Row],[Satis]:[29]])</f>
        <v>-6</v>
      </c>
      <c r="AW482">
        <f t="shared" si="84"/>
        <v>-5</v>
      </c>
      <c r="AX482">
        <f t="shared" si="85"/>
        <v>-4</v>
      </c>
      <c r="AY482">
        <f t="shared" si="86"/>
        <v>-3</v>
      </c>
      <c r="AZ482" t="str">
        <f t="shared" si="87"/>
        <v>TDP HardCore</v>
      </c>
    </row>
    <row r="483" spans="1:52" x14ac:dyDescent="0.3">
      <c r="A483" t="s">
        <v>2808</v>
      </c>
      <c r="B483" s="94">
        <v>46045</v>
      </c>
      <c r="C483" t="s">
        <v>2809</v>
      </c>
      <c r="D483" t="s">
        <v>2810</v>
      </c>
      <c r="E483" t="s">
        <v>2811</v>
      </c>
      <c r="F483" t="s">
        <v>2547</v>
      </c>
      <c r="G483" t="s">
        <v>39</v>
      </c>
      <c r="H483" t="s">
        <v>2812</v>
      </c>
      <c r="I483" t="s">
        <v>59</v>
      </c>
      <c r="J483" t="s">
        <v>219</v>
      </c>
      <c r="K483" t="s">
        <v>222</v>
      </c>
      <c r="L483" t="s">
        <v>82</v>
      </c>
      <c r="M483" t="s">
        <v>51</v>
      </c>
      <c r="N483" t="s">
        <v>63</v>
      </c>
      <c r="O483" t="s">
        <v>2813</v>
      </c>
      <c r="P483">
        <v>9989648108</v>
      </c>
      <c r="Q483" t="s">
        <v>54</v>
      </c>
      <c r="R483" t="s">
        <v>61</v>
      </c>
      <c r="S483" t="s">
        <v>43</v>
      </c>
      <c r="T483" t="s">
        <v>43</v>
      </c>
      <c r="U483" t="s">
        <v>44</v>
      </c>
      <c r="V483" t="s">
        <v>91</v>
      </c>
      <c r="W483" t="s">
        <v>5096</v>
      </c>
      <c r="X483" t="s">
        <v>91</v>
      </c>
      <c r="Y483" t="s">
        <v>46</v>
      </c>
      <c r="Z483" t="s">
        <v>47</v>
      </c>
      <c r="AA483" t="s">
        <v>48</v>
      </c>
      <c r="AB483" t="s">
        <v>49</v>
      </c>
      <c r="AC483" t="s">
        <v>49</v>
      </c>
      <c r="AD483" t="s">
        <v>184</v>
      </c>
      <c r="AE483" t="s">
        <v>185</v>
      </c>
      <c r="AF483" t="s">
        <v>3009</v>
      </c>
      <c r="AG483" t="s">
        <v>196</v>
      </c>
      <c r="AH483" s="93">
        <f>VLOOKUP(Table1[[#This Row],[Caste]],Factor!$H$1:$K$13,4,0)</f>
        <v>1.1461625511156397</v>
      </c>
      <c r="AI48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83">
        <f>Table1[[#This Row],[Factor_1]]*Table1[[#This Row],[2024 Factor]]</f>
        <v>0.77721139583220644</v>
      </c>
      <c r="AK483">
        <f>VLOOKUP(Table1[[#This Row],[Q18: Gender]],Factor!$A$33:$E$35,5,0)</f>
        <v>0.85034013605442171</v>
      </c>
      <c r="AL483">
        <f>VLOOKUP(Table1[[#This Row],[Taluka]],Factor!$A$42:$G$46,7,0)</f>
        <v>1.147984664167413</v>
      </c>
      <c r="AM483">
        <f>VLOOKUP(Table1[[#This Row],[Caste]]&amp;Table1[[#This Row],[Q18: Gender]],Factor!$W$1:$X$23,2,0)</f>
        <v>0.71995135120329123</v>
      </c>
      <c r="AN483">
        <f>VLOOKUP(Table1[[#This Row],[Taluka]]&amp;Table1[[#This Row],[Caste]]&amp;Table1[[#This Row],[Q18: Gender]],Factor!$AK$4:$AL$93,2,0)</f>
        <v>0.54319084681293095</v>
      </c>
      <c r="AO483">
        <f t="shared" si="77"/>
        <v>-1</v>
      </c>
      <c r="AP483">
        <f t="shared" si="78"/>
        <v>-1</v>
      </c>
      <c r="AQ483">
        <f t="shared" si="79"/>
        <v>1</v>
      </c>
      <c r="AR483">
        <f t="shared" si="80"/>
        <v>1</v>
      </c>
      <c r="AS483">
        <f t="shared" si="81"/>
        <v>-1</v>
      </c>
      <c r="AT483">
        <f t="shared" si="82"/>
        <v>-1</v>
      </c>
      <c r="AU483">
        <f t="shared" si="83"/>
        <v>-1.5</v>
      </c>
      <c r="AV483">
        <f>SUM(Table1[[#This Row],[Satis]:[29]])</f>
        <v>-2</v>
      </c>
      <c r="AW483">
        <f t="shared" si="84"/>
        <v>-1</v>
      </c>
      <c r="AX483">
        <f t="shared" si="85"/>
        <v>0</v>
      </c>
      <c r="AY483">
        <f t="shared" si="86"/>
        <v>-3</v>
      </c>
      <c r="AZ483" t="str">
        <f t="shared" si="87"/>
        <v>Neutral TDP</v>
      </c>
    </row>
    <row r="484" spans="1:52" x14ac:dyDescent="0.3">
      <c r="A484" t="s">
        <v>2783</v>
      </c>
      <c r="B484" s="94">
        <v>46045</v>
      </c>
      <c r="C484" t="s">
        <v>2784</v>
      </c>
      <c r="D484" t="s">
        <v>2785</v>
      </c>
      <c r="E484" t="s">
        <v>2717</v>
      </c>
      <c r="F484" t="s">
        <v>935</v>
      </c>
      <c r="G484" t="s">
        <v>39</v>
      </c>
      <c r="H484" t="s">
        <v>2786</v>
      </c>
      <c r="I484" t="s">
        <v>59</v>
      </c>
      <c r="J484" s="112" t="s">
        <v>203</v>
      </c>
      <c r="K484" s="112" t="s">
        <v>205</v>
      </c>
      <c r="L484" t="s">
        <v>62</v>
      </c>
      <c r="M484" t="s">
        <v>51</v>
      </c>
      <c r="N484" t="s">
        <v>107</v>
      </c>
      <c r="O484" t="s">
        <v>357</v>
      </c>
      <c r="P484">
        <v>7375084693</v>
      </c>
      <c r="Q484" t="s">
        <v>54</v>
      </c>
      <c r="R484" t="s">
        <v>139</v>
      </c>
      <c r="S484" t="s">
        <v>43</v>
      </c>
      <c r="T484" t="s">
        <v>43</v>
      </c>
      <c r="U484" t="s">
        <v>44</v>
      </c>
      <c r="V484" t="s">
        <v>45</v>
      </c>
      <c r="W484" t="s">
        <v>5057</v>
      </c>
      <c r="X484" t="s">
        <v>45</v>
      </c>
      <c r="Y484" t="s">
        <v>46</v>
      </c>
      <c r="Z484" t="s">
        <v>47</v>
      </c>
      <c r="AA484" t="s">
        <v>92</v>
      </c>
      <c r="AB484" t="s">
        <v>93</v>
      </c>
      <c r="AC484" t="s">
        <v>94</v>
      </c>
      <c r="AD484" t="s">
        <v>184</v>
      </c>
      <c r="AE484" t="s">
        <v>189</v>
      </c>
      <c r="AF484">
        <v>0</v>
      </c>
      <c r="AG484" t="s">
        <v>196</v>
      </c>
      <c r="AH484" s="93">
        <f>VLOOKUP(Table1[[#This Row],[Caste]],Factor!$H$1:$K$13,4,0)</f>
        <v>1.1461625511156397</v>
      </c>
      <c r="AI484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484">
        <f>Table1[[#This Row],[Factor_1]]*Table1[[#This Row],[2024 Factor]]</f>
        <v>1.2999324650914248</v>
      </c>
      <c r="AK484">
        <f>VLOOKUP(Table1[[#This Row],[Q18: Gender]],Factor!$A$33:$E$35,5,0)</f>
        <v>0.85034013605442171</v>
      </c>
      <c r="AL484">
        <f>VLOOKUP(Table1[[#This Row],[Taluka]],Factor!$A$42:$G$46,7,0)</f>
        <v>1.9264642089343564</v>
      </c>
      <c r="AM484">
        <f>VLOOKUP(Table1[[#This Row],[Caste]]&amp;Table1[[#This Row],[Q18: Gender]],Factor!$W$1:$X$23,2,0)</f>
        <v>0.71995135120329123</v>
      </c>
      <c r="AN484">
        <f>VLOOKUP(Table1[[#This Row],[Taluka]]&amp;Table1[[#This Row],[Caste]]&amp;Table1[[#This Row],[Q18: Gender]],Factor!$AK$4:$AL$93,2,0)</f>
        <v>0.70534647283248642</v>
      </c>
      <c r="AO484">
        <f t="shared" si="77"/>
        <v>-1</v>
      </c>
      <c r="AP484">
        <f t="shared" si="78"/>
        <v>-1</v>
      </c>
      <c r="AQ484">
        <f t="shared" si="79"/>
        <v>-1</v>
      </c>
      <c r="AR484">
        <f t="shared" si="80"/>
        <v>-1</v>
      </c>
      <c r="AS484">
        <f t="shared" si="81"/>
        <v>1</v>
      </c>
      <c r="AT484">
        <f t="shared" si="82"/>
        <v>-1</v>
      </c>
      <c r="AU484">
        <f t="shared" si="83"/>
        <v>-4.5</v>
      </c>
      <c r="AV484">
        <f>SUM(Table1[[#This Row],[Satis]:[29]])</f>
        <v>-4</v>
      </c>
      <c r="AW484">
        <f t="shared" si="84"/>
        <v>-3</v>
      </c>
      <c r="AX484">
        <f t="shared" si="85"/>
        <v>-2</v>
      </c>
      <c r="AY484">
        <f t="shared" si="86"/>
        <v>-2</v>
      </c>
      <c r="AZ484" t="str">
        <f t="shared" si="87"/>
        <v>Neutral TDP</v>
      </c>
    </row>
    <row r="485" spans="1:52" x14ac:dyDescent="0.3">
      <c r="A485" t="s">
        <v>2787</v>
      </c>
      <c r="B485" s="94">
        <v>46045</v>
      </c>
      <c r="C485" t="s">
        <v>2788</v>
      </c>
      <c r="D485" t="s">
        <v>2789</v>
      </c>
      <c r="E485" t="s">
        <v>2790</v>
      </c>
      <c r="F485" t="s">
        <v>2547</v>
      </c>
      <c r="G485" t="s">
        <v>39</v>
      </c>
      <c r="H485" t="s">
        <v>2791</v>
      </c>
      <c r="I485" t="s">
        <v>59</v>
      </c>
      <c r="J485" t="s">
        <v>219</v>
      </c>
      <c r="K485" t="s">
        <v>222</v>
      </c>
      <c r="L485" t="s">
        <v>82</v>
      </c>
      <c r="M485" t="s">
        <v>51</v>
      </c>
      <c r="N485" t="s">
        <v>52</v>
      </c>
      <c r="O485" t="s">
        <v>2792</v>
      </c>
      <c r="P485">
        <v>9645025436</v>
      </c>
      <c r="Q485" t="s">
        <v>445</v>
      </c>
      <c r="R485" t="s">
        <v>132</v>
      </c>
      <c r="S485" t="s">
        <v>43</v>
      </c>
      <c r="T485" t="s">
        <v>43</v>
      </c>
      <c r="U485" t="s">
        <v>44</v>
      </c>
      <c r="V485" t="s">
        <v>45</v>
      </c>
      <c r="W485" t="s">
        <v>5055</v>
      </c>
      <c r="X485" t="s">
        <v>45</v>
      </c>
      <c r="Y485" t="s">
        <v>46</v>
      </c>
      <c r="Z485" t="s">
        <v>47</v>
      </c>
      <c r="AA485" t="s">
        <v>48</v>
      </c>
      <c r="AB485" t="s">
        <v>49</v>
      </c>
      <c r="AC485" t="s">
        <v>49</v>
      </c>
      <c r="AD485" t="s">
        <v>184</v>
      </c>
      <c r="AE485" t="s">
        <v>1250</v>
      </c>
      <c r="AF485">
        <v>0</v>
      </c>
      <c r="AG485" t="s">
        <v>498</v>
      </c>
      <c r="AH485" s="93">
        <f>VLOOKUP(Table1[[#This Row],[Caste]],Factor!$H$1:$K$13,4,0)</f>
        <v>1.1461625511156397</v>
      </c>
      <c r="AI48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85">
        <f>Table1[[#This Row],[Factor_1]]*Table1[[#This Row],[2024 Factor]]</f>
        <v>3.0326483876590018</v>
      </c>
      <c r="AK485">
        <f>VLOOKUP(Table1[[#This Row],[Q18: Gender]],Factor!$A$33:$E$35,5,0)</f>
        <v>2.1645021645021645</v>
      </c>
      <c r="AL485">
        <f>VLOOKUP(Table1[[#This Row],[Taluka]],Factor!$A$42:$G$46,7,0)</f>
        <v>1.147984664167413</v>
      </c>
      <c r="AM485">
        <f>VLOOKUP(Table1[[#This Row],[Caste]]&amp;Table1[[#This Row],[Q18: Gender]],Factor!$W$1:$X$23,2,0)</f>
        <v>2.8092219390089208</v>
      </c>
      <c r="AN485">
        <f>VLOOKUP(Table1[[#This Row],[Taluka]]&amp;Table1[[#This Row],[Caste]]&amp;Table1[[#This Row],[Q18: Gender]],Factor!$AK$4:$AL$93,2,0)</f>
        <v>2.2934724643212636</v>
      </c>
      <c r="AO485">
        <f t="shared" si="77"/>
        <v>-1</v>
      </c>
      <c r="AP485">
        <f t="shared" si="78"/>
        <v>-1</v>
      </c>
      <c r="AQ485">
        <f t="shared" si="79"/>
        <v>-1</v>
      </c>
      <c r="AR485">
        <f t="shared" si="80"/>
        <v>-1</v>
      </c>
      <c r="AS485">
        <f t="shared" si="81"/>
        <v>-1</v>
      </c>
      <c r="AT485">
        <f t="shared" si="82"/>
        <v>-1</v>
      </c>
      <c r="AU485">
        <f t="shared" si="83"/>
        <v>-5.5</v>
      </c>
      <c r="AV485">
        <f>SUM(Table1[[#This Row],[Satis]:[29]])</f>
        <v>-6</v>
      </c>
      <c r="AW485">
        <f t="shared" si="84"/>
        <v>-5</v>
      </c>
      <c r="AX485">
        <f t="shared" si="85"/>
        <v>-4</v>
      </c>
      <c r="AY485">
        <f t="shared" si="86"/>
        <v>-3</v>
      </c>
      <c r="AZ485" t="str">
        <f t="shared" si="87"/>
        <v>TDP HardCore</v>
      </c>
    </row>
    <row r="486" spans="1:52" x14ac:dyDescent="0.3">
      <c r="A486" t="s">
        <v>2793</v>
      </c>
      <c r="B486" s="94">
        <v>46045</v>
      </c>
      <c r="C486" t="s">
        <v>2794</v>
      </c>
      <c r="D486" t="s">
        <v>2795</v>
      </c>
      <c r="E486" t="s">
        <v>2796</v>
      </c>
      <c r="F486" t="s">
        <v>69</v>
      </c>
      <c r="G486" t="s">
        <v>39</v>
      </c>
      <c r="H486" t="s">
        <v>2797</v>
      </c>
      <c r="I486" t="s">
        <v>36</v>
      </c>
      <c r="J486" t="s">
        <v>219</v>
      </c>
      <c r="K486" t="s">
        <v>220</v>
      </c>
      <c r="L486" t="s">
        <v>50</v>
      </c>
      <c r="M486" t="s">
        <v>51</v>
      </c>
      <c r="N486" t="s">
        <v>162</v>
      </c>
      <c r="O486" t="s">
        <v>2798</v>
      </c>
      <c r="P486">
        <v>9999999999</v>
      </c>
      <c r="Q486" t="s">
        <v>54</v>
      </c>
      <c r="R486" t="s">
        <v>73</v>
      </c>
      <c r="S486" t="s">
        <v>89</v>
      </c>
      <c r="T486" t="s">
        <v>89</v>
      </c>
      <c r="U486" t="s">
        <v>44</v>
      </c>
      <c r="V486" t="s">
        <v>91</v>
      </c>
      <c r="W486" t="s">
        <v>5046</v>
      </c>
      <c r="X486" t="s">
        <v>91</v>
      </c>
      <c r="Y486" t="s">
        <v>46</v>
      </c>
      <c r="Z486" t="s">
        <v>92</v>
      </c>
      <c r="AA486" t="s">
        <v>92</v>
      </c>
      <c r="AB486" t="s">
        <v>93</v>
      </c>
      <c r="AC486" t="s">
        <v>94</v>
      </c>
      <c r="AD486" t="s">
        <v>184</v>
      </c>
      <c r="AE486" t="s">
        <v>191</v>
      </c>
      <c r="AF486" t="s">
        <v>3006</v>
      </c>
      <c r="AG486" t="s">
        <v>498</v>
      </c>
      <c r="AH486" s="93">
        <f>VLOOKUP(Table1[[#This Row],[Caste]],Factor!$H$1:$K$13,4,0)</f>
        <v>1.1705128247062893</v>
      </c>
      <c r="AI486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486">
        <f>Table1[[#This Row],[Factor_1]]*Table1[[#This Row],[2024 Factor]]</f>
        <v>1.4435679386658844</v>
      </c>
      <c r="AK486">
        <f>VLOOKUP(Table1[[#This Row],[Q18: Gender]],Factor!$A$33:$E$35,5,0)</f>
        <v>0.85034013605442171</v>
      </c>
      <c r="AL486">
        <f>VLOOKUP(Table1[[#This Row],[Taluka]],Factor!$A$42:$G$46,7,0)</f>
        <v>1.147984664167413</v>
      </c>
      <c r="AM486">
        <f>VLOOKUP(Table1[[#This Row],[Caste]]&amp;Table1[[#This Row],[Q18: Gender]],Factor!$W$1:$X$23,2,0)</f>
        <v>0.79950206330384943</v>
      </c>
      <c r="AN486">
        <f>VLOOKUP(Table1[[#This Row],[Taluka]]&amp;Table1[[#This Row],[Caste]]&amp;Table1[[#This Row],[Q18: Gender]],Factor!$AK$4:$AL$93,2,0)</f>
        <v>0.92148737207359532</v>
      </c>
      <c r="AO486">
        <f t="shared" si="77"/>
        <v>1</v>
      </c>
      <c r="AP486">
        <f t="shared" si="78"/>
        <v>-1</v>
      </c>
      <c r="AQ486">
        <f t="shared" si="79"/>
        <v>1</v>
      </c>
      <c r="AR486">
        <f t="shared" si="80"/>
        <v>1</v>
      </c>
      <c r="AS486">
        <f t="shared" si="81"/>
        <v>1</v>
      </c>
      <c r="AT486">
        <f t="shared" si="82"/>
        <v>1</v>
      </c>
      <c r="AU486">
        <f t="shared" si="83"/>
        <v>3.5</v>
      </c>
      <c r="AV486">
        <f>SUM(Table1[[#This Row],[Satis]:[29]])</f>
        <v>4</v>
      </c>
      <c r="AW486">
        <f t="shared" si="84"/>
        <v>5</v>
      </c>
      <c r="AX486">
        <f t="shared" si="85"/>
        <v>4</v>
      </c>
      <c r="AY486">
        <f t="shared" si="86"/>
        <v>3</v>
      </c>
      <c r="AZ486" t="str">
        <f t="shared" si="87"/>
        <v>YSRCP Sympathiser</v>
      </c>
    </row>
    <row r="487" spans="1:52" x14ac:dyDescent="0.3">
      <c r="A487" t="s">
        <v>2799</v>
      </c>
      <c r="B487" s="94">
        <v>46045</v>
      </c>
      <c r="C487" t="s">
        <v>2800</v>
      </c>
      <c r="D487" t="s">
        <v>2801</v>
      </c>
      <c r="E487" t="s">
        <v>144</v>
      </c>
      <c r="F487" t="s">
        <v>240</v>
      </c>
      <c r="G487" t="s">
        <v>39</v>
      </c>
      <c r="H487" t="s">
        <v>2802</v>
      </c>
      <c r="I487" t="s">
        <v>36</v>
      </c>
      <c r="J487" t="s">
        <v>37</v>
      </c>
      <c r="K487" t="s">
        <v>38</v>
      </c>
      <c r="L487" t="s">
        <v>62</v>
      </c>
      <c r="M487" t="s">
        <v>51</v>
      </c>
      <c r="N487" t="s">
        <v>107</v>
      </c>
      <c r="O487" t="s">
        <v>788</v>
      </c>
      <c r="P487">
        <v>939093954</v>
      </c>
      <c r="Q487" t="s">
        <v>54</v>
      </c>
      <c r="R487" t="s">
        <v>2116</v>
      </c>
      <c r="S487" t="s">
        <v>43</v>
      </c>
      <c r="T487" t="s">
        <v>43</v>
      </c>
      <c r="U487" t="s">
        <v>90</v>
      </c>
      <c r="V487" t="s">
        <v>45</v>
      </c>
      <c r="W487" t="s">
        <v>5077</v>
      </c>
      <c r="X487" t="s">
        <v>45</v>
      </c>
      <c r="Y487" t="s">
        <v>46</v>
      </c>
      <c r="Z487" t="s">
        <v>242</v>
      </c>
      <c r="AA487" t="s">
        <v>48</v>
      </c>
      <c r="AB487" t="s">
        <v>49</v>
      </c>
      <c r="AC487" t="s">
        <v>49</v>
      </c>
      <c r="AD487" t="s">
        <v>184</v>
      </c>
      <c r="AE487" t="s">
        <v>189</v>
      </c>
      <c r="AF487" t="s">
        <v>3007</v>
      </c>
      <c r="AG487" t="s">
        <v>196</v>
      </c>
      <c r="AH487" s="93">
        <f>VLOOKUP(Table1[[#This Row],[Caste]],Factor!$H$1:$K$13,4,0)</f>
        <v>1.1705128247062893</v>
      </c>
      <c r="AI48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87">
        <f>Table1[[#This Row],[Factor_1]]*Table1[[#This Row],[2024 Factor]]</f>
        <v>0.86308903171383233</v>
      </c>
      <c r="AK487">
        <f>VLOOKUP(Table1[[#This Row],[Q18: Gender]],Factor!$A$33:$E$35,5,0)</f>
        <v>0.85034013605442171</v>
      </c>
      <c r="AL487">
        <f>VLOOKUP(Table1[[#This Row],[Taluka]],Factor!$A$42:$G$46,7,0)</f>
        <v>0.75433779645928134</v>
      </c>
      <c r="AM487">
        <f>VLOOKUP(Table1[[#This Row],[Caste]]&amp;Table1[[#This Row],[Q18: Gender]],Factor!$W$1:$X$23,2,0)</f>
        <v>0.79950206330384943</v>
      </c>
      <c r="AN487">
        <f>VLOOKUP(Table1[[#This Row],[Taluka]]&amp;Table1[[#This Row],[Caste]]&amp;Table1[[#This Row],[Q18: Gender]],Factor!$AK$4:$AL$93,2,0)</f>
        <v>0.40257772387792479</v>
      </c>
      <c r="AO487">
        <f t="shared" si="77"/>
        <v>-1</v>
      </c>
      <c r="AP487">
        <f t="shared" si="78"/>
        <v>1</v>
      </c>
      <c r="AQ487">
        <f t="shared" si="79"/>
        <v>-1</v>
      </c>
      <c r="AR487">
        <f t="shared" si="80"/>
        <v>-1</v>
      </c>
      <c r="AS487">
        <f t="shared" si="81"/>
        <v>-1</v>
      </c>
      <c r="AT487">
        <f t="shared" si="82"/>
        <v>-1</v>
      </c>
      <c r="AU487">
        <f t="shared" si="83"/>
        <v>-3.5</v>
      </c>
      <c r="AV487">
        <f>SUM(Table1[[#This Row],[Satis]:[29]])</f>
        <v>-4</v>
      </c>
      <c r="AW487">
        <f t="shared" si="84"/>
        <v>-5</v>
      </c>
      <c r="AX487">
        <f t="shared" si="85"/>
        <v>-4</v>
      </c>
      <c r="AY487">
        <f t="shared" si="86"/>
        <v>-3</v>
      </c>
      <c r="AZ487" t="str">
        <f t="shared" si="87"/>
        <v>TDP Sympathiser</v>
      </c>
    </row>
    <row r="488" spans="1:52" x14ac:dyDescent="0.3">
      <c r="A488" t="s">
        <v>2803</v>
      </c>
      <c r="B488" s="94">
        <v>46045</v>
      </c>
      <c r="C488" t="s">
        <v>2804</v>
      </c>
      <c r="D488" t="s">
        <v>2805</v>
      </c>
      <c r="E488" t="s">
        <v>2806</v>
      </c>
      <c r="F488" t="s">
        <v>69</v>
      </c>
      <c r="G488" t="s">
        <v>39</v>
      </c>
      <c r="H488" t="s">
        <v>2807</v>
      </c>
      <c r="I488" t="s">
        <v>36</v>
      </c>
      <c r="J488" t="s">
        <v>219</v>
      </c>
      <c r="K488" t="s">
        <v>220</v>
      </c>
      <c r="L488" t="s">
        <v>75</v>
      </c>
      <c r="M488" t="s">
        <v>51</v>
      </c>
      <c r="N488" t="s">
        <v>162</v>
      </c>
      <c r="O488" t="s">
        <v>1727</v>
      </c>
      <c r="P488">
        <v>9999999999</v>
      </c>
      <c r="Q488" t="s">
        <v>54</v>
      </c>
      <c r="R488" t="s">
        <v>73</v>
      </c>
      <c r="S488" t="s">
        <v>43</v>
      </c>
      <c r="T488" t="s">
        <v>43</v>
      </c>
      <c r="U488" t="s">
        <v>44</v>
      </c>
      <c r="V488" t="s">
        <v>45</v>
      </c>
      <c r="W488" t="s">
        <v>5046</v>
      </c>
      <c r="X488" t="s">
        <v>45</v>
      </c>
      <c r="Y488" t="s">
        <v>46</v>
      </c>
      <c r="Z488" t="s">
        <v>47</v>
      </c>
      <c r="AA488" t="s">
        <v>48</v>
      </c>
      <c r="AB488" t="s">
        <v>49</v>
      </c>
      <c r="AC488" t="s">
        <v>49</v>
      </c>
      <c r="AD488" t="s">
        <v>184</v>
      </c>
      <c r="AE488" t="s">
        <v>189</v>
      </c>
      <c r="AF488" t="s">
        <v>3008</v>
      </c>
      <c r="AG488" t="s">
        <v>196</v>
      </c>
      <c r="AH488" s="93">
        <f>VLOOKUP(Table1[[#This Row],[Caste]],Factor!$H$1:$K$13,4,0)</f>
        <v>1.1705128247062893</v>
      </c>
      <c r="AI48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88">
        <f>Table1[[#This Row],[Factor_1]]*Table1[[#This Row],[2024 Factor]]</f>
        <v>0.86308903171383233</v>
      </c>
      <c r="AK488">
        <f>VLOOKUP(Table1[[#This Row],[Q18: Gender]],Factor!$A$33:$E$35,5,0)</f>
        <v>0.85034013605442171</v>
      </c>
      <c r="AL488">
        <f>VLOOKUP(Table1[[#This Row],[Taluka]],Factor!$A$42:$G$46,7,0)</f>
        <v>1.147984664167413</v>
      </c>
      <c r="AM488">
        <f>VLOOKUP(Table1[[#This Row],[Caste]]&amp;Table1[[#This Row],[Q18: Gender]],Factor!$W$1:$X$23,2,0)</f>
        <v>0.79950206330384943</v>
      </c>
      <c r="AN488">
        <f>VLOOKUP(Table1[[#This Row],[Taluka]]&amp;Table1[[#This Row],[Caste]]&amp;Table1[[#This Row],[Q18: Gender]],Factor!$AK$4:$AL$93,2,0)</f>
        <v>0.92148737207359532</v>
      </c>
      <c r="AO488">
        <f t="shared" si="77"/>
        <v>-1</v>
      </c>
      <c r="AP488">
        <f t="shared" si="78"/>
        <v>-1</v>
      </c>
      <c r="AQ488">
        <f t="shared" si="79"/>
        <v>-1</v>
      </c>
      <c r="AR488">
        <f t="shared" si="80"/>
        <v>-1</v>
      </c>
      <c r="AS488">
        <f t="shared" si="81"/>
        <v>-1</v>
      </c>
      <c r="AT488">
        <f t="shared" si="82"/>
        <v>-1</v>
      </c>
      <c r="AU488">
        <f t="shared" si="83"/>
        <v>-5.5</v>
      </c>
      <c r="AV488">
        <f>SUM(Table1[[#This Row],[Satis]:[29]])</f>
        <v>-6</v>
      </c>
      <c r="AW488">
        <f t="shared" si="84"/>
        <v>-5</v>
      </c>
      <c r="AX488">
        <f t="shared" si="85"/>
        <v>-4</v>
      </c>
      <c r="AY488">
        <f t="shared" si="86"/>
        <v>-3</v>
      </c>
      <c r="AZ488" t="str">
        <f t="shared" si="87"/>
        <v>TDP HardCore</v>
      </c>
    </row>
    <row r="489" spans="1:52" x14ac:dyDescent="0.3">
      <c r="A489" t="s">
        <v>2726</v>
      </c>
      <c r="B489" s="94">
        <v>46045</v>
      </c>
      <c r="C489" t="s">
        <v>2727</v>
      </c>
      <c r="D489" t="s">
        <v>2728</v>
      </c>
      <c r="E489" t="s">
        <v>2667</v>
      </c>
      <c r="F489" t="s">
        <v>69</v>
      </c>
      <c r="G489" t="s">
        <v>39</v>
      </c>
      <c r="H489" t="s">
        <v>2729</v>
      </c>
      <c r="I489" t="s">
        <v>36</v>
      </c>
      <c r="J489" t="s">
        <v>219</v>
      </c>
      <c r="K489" t="s">
        <v>220</v>
      </c>
      <c r="L489" t="s">
        <v>62</v>
      </c>
      <c r="M489" t="s">
        <v>51</v>
      </c>
      <c r="N489" t="s">
        <v>52</v>
      </c>
      <c r="O489" t="s">
        <v>824</v>
      </c>
      <c r="P489">
        <v>9701884418</v>
      </c>
      <c r="Q489" t="s">
        <v>54</v>
      </c>
      <c r="R489" t="s">
        <v>73</v>
      </c>
      <c r="S489" t="s">
        <v>43</v>
      </c>
      <c r="T489" t="s">
        <v>43</v>
      </c>
      <c r="U489" t="s">
        <v>44</v>
      </c>
      <c r="V489" t="s">
        <v>45</v>
      </c>
      <c r="W489" t="s">
        <v>5087</v>
      </c>
      <c r="X489" t="s">
        <v>45</v>
      </c>
      <c r="Y489" t="s">
        <v>46</v>
      </c>
      <c r="Z489" t="s">
        <v>47</v>
      </c>
      <c r="AA489" t="s">
        <v>48</v>
      </c>
      <c r="AB489" t="s">
        <v>49</v>
      </c>
      <c r="AC489" t="s">
        <v>49</v>
      </c>
      <c r="AD489" t="s">
        <v>494</v>
      </c>
      <c r="AE489" t="s">
        <v>185</v>
      </c>
      <c r="AF489" t="s">
        <v>3011</v>
      </c>
      <c r="AG489" t="s">
        <v>196</v>
      </c>
      <c r="AH489" s="93">
        <f>VLOOKUP(Table1[[#This Row],[Caste]],Factor!$H$1:$K$13,4,0)</f>
        <v>1.1705128247062893</v>
      </c>
      <c r="AI48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89">
        <f>Table1[[#This Row],[Factor_1]]*Table1[[#This Row],[2024 Factor]]</f>
        <v>0.86308903171383233</v>
      </c>
      <c r="AK489">
        <f>VLOOKUP(Table1[[#This Row],[Q18: Gender]],Factor!$A$33:$E$35,5,0)</f>
        <v>0.85034013605442171</v>
      </c>
      <c r="AL489">
        <f>VLOOKUP(Table1[[#This Row],[Taluka]],Factor!$A$42:$G$46,7,0)</f>
        <v>1.147984664167413</v>
      </c>
      <c r="AM489">
        <f>VLOOKUP(Table1[[#This Row],[Caste]]&amp;Table1[[#This Row],[Q18: Gender]],Factor!$W$1:$X$23,2,0)</f>
        <v>0.79950206330384943</v>
      </c>
      <c r="AN489">
        <f>VLOOKUP(Table1[[#This Row],[Taluka]]&amp;Table1[[#This Row],[Caste]]&amp;Table1[[#This Row],[Q18: Gender]],Factor!$AK$4:$AL$93,2,0)</f>
        <v>0.92148737207359532</v>
      </c>
      <c r="AO489">
        <f t="shared" si="77"/>
        <v>-1</v>
      </c>
      <c r="AP489">
        <f t="shared" si="78"/>
        <v>-1</v>
      </c>
      <c r="AQ489">
        <f t="shared" si="79"/>
        <v>-1</v>
      </c>
      <c r="AR489">
        <f t="shared" si="80"/>
        <v>-1</v>
      </c>
      <c r="AS489">
        <f t="shared" si="81"/>
        <v>-1</v>
      </c>
      <c r="AT489">
        <f t="shared" si="82"/>
        <v>-1</v>
      </c>
      <c r="AU489">
        <f t="shared" si="83"/>
        <v>-5.5</v>
      </c>
      <c r="AV489">
        <f>SUM(Table1[[#This Row],[Satis]:[29]])</f>
        <v>-6</v>
      </c>
      <c r="AW489">
        <f t="shared" si="84"/>
        <v>-5</v>
      </c>
      <c r="AX489">
        <f t="shared" si="85"/>
        <v>-4</v>
      </c>
      <c r="AY489">
        <f t="shared" si="86"/>
        <v>-3</v>
      </c>
      <c r="AZ489" t="str">
        <f t="shared" si="87"/>
        <v>TDP HardCore</v>
      </c>
    </row>
    <row r="490" spans="1:52" x14ac:dyDescent="0.3">
      <c r="A490" t="s">
        <v>2814</v>
      </c>
      <c r="B490" s="94">
        <v>46045</v>
      </c>
      <c r="C490" t="s">
        <v>2815</v>
      </c>
      <c r="D490" t="s">
        <v>2816</v>
      </c>
      <c r="E490" t="s">
        <v>2817</v>
      </c>
      <c r="F490" t="s">
        <v>240</v>
      </c>
      <c r="G490" t="s">
        <v>39</v>
      </c>
      <c r="H490" t="s">
        <v>2818</v>
      </c>
      <c r="I490" t="s">
        <v>59</v>
      </c>
      <c r="J490" t="s">
        <v>37</v>
      </c>
      <c r="K490" t="s">
        <v>38</v>
      </c>
      <c r="L490" t="s">
        <v>451</v>
      </c>
      <c r="M490" t="s">
        <v>51</v>
      </c>
      <c r="N490" t="s">
        <v>52</v>
      </c>
      <c r="O490" t="s">
        <v>2819</v>
      </c>
      <c r="P490">
        <v>9999999999</v>
      </c>
      <c r="Q490" t="s">
        <v>445</v>
      </c>
      <c r="R490" t="s">
        <v>2116</v>
      </c>
      <c r="S490" t="s">
        <v>89</v>
      </c>
      <c r="T490" t="s">
        <v>89</v>
      </c>
      <c r="U490" t="s">
        <v>44</v>
      </c>
      <c r="V490" t="s">
        <v>91</v>
      </c>
      <c r="W490" t="s">
        <v>5057</v>
      </c>
      <c r="X490" t="s">
        <v>91</v>
      </c>
      <c r="Y490" t="s">
        <v>46</v>
      </c>
      <c r="Z490" t="s">
        <v>242</v>
      </c>
      <c r="AA490" t="s">
        <v>242</v>
      </c>
      <c r="AB490" t="s">
        <v>49</v>
      </c>
      <c r="AC490" t="s">
        <v>49</v>
      </c>
      <c r="AD490" t="s">
        <v>184</v>
      </c>
      <c r="AE490" t="s">
        <v>189</v>
      </c>
      <c r="AF490">
        <v>0</v>
      </c>
      <c r="AG490" t="s">
        <v>196</v>
      </c>
      <c r="AH490" s="93">
        <f>VLOOKUP(Table1[[#This Row],[Caste]],Factor!$H$1:$K$13,4,0)</f>
        <v>1.1461625511156397</v>
      </c>
      <c r="AI490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490">
        <f>Table1[[#This Row],[Factor_1]]*Table1[[#This Row],[2024 Factor]]</f>
        <v>1.8584083596520569</v>
      </c>
      <c r="AK490">
        <f>VLOOKUP(Table1[[#This Row],[Q18: Gender]],Factor!$A$33:$E$35,5,0)</f>
        <v>2.1645021645021645</v>
      </c>
      <c r="AL490">
        <f>VLOOKUP(Table1[[#This Row],[Taluka]],Factor!$A$42:$G$46,7,0)</f>
        <v>0.75433779645928134</v>
      </c>
      <c r="AM490">
        <f>VLOOKUP(Table1[[#This Row],[Caste]]&amp;Table1[[#This Row],[Q18: Gender]],Factor!$W$1:$X$23,2,0)</f>
        <v>2.8092219390089208</v>
      </c>
      <c r="AN490">
        <f>VLOOKUP(Table1[[#This Row],[Taluka]]&amp;Table1[[#This Row],[Caste]]&amp;Table1[[#This Row],[Q18: Gender]],Factor!$AK$4:$AL$93,2,0)</f>
        <v>5.3676860935714705</v>
      </c>
      <c r="AO490">
        <f t="shared" si="77"/>
        <v>1</v>
      </c>
      <c r="AP490">
        <f t="shared" si="78"/>
        <v>-1</v>
      </c>
      <c r="AQ490">
        <f t="shared" si="79"/>
        <v>1</v>
      </c>
      <c r="AR490">
        <f t="shared" si="80"/>
        <v>1</v>
      </c>
      <c r="AS490">
        <f t="shared" si="81"/>
        <v>-1</v>
      </c>
      <c r="AT490">
        <f t="shared" si="82"/>
        <v>-1</v>
      </c>
      <c r="AU490">
        <f t="shared" si="83"/>
        <v>0.5</v>
      </c>
      <c r="AV490">
        <f>SUM(Table1[[#This Row],[Satis]:[29]])</f>
        <v>0</v>
      </c>
      <c r="AW490">
        <f t="shared" si="84"/>
        <v>1</v>
      </c>
      <c r="AX490">
        <f t="shared" si="85"/>
        <v>0</v>
      </c>
      <c r="AY490">
        <f t="shared" si="86"/>
        <v>-2</v>
      </c>
      <c r="AZ490" t="str">
        <f t="shared" si="87"/>
        <v>Neutral TDP</v>
      </c>
    </row>
    <row r="491" spans="1:52" x14ac:dyDescent="0.3">
      <c r="A491" t="s">
        <v>2820</v>
      </c>
      <c r="B491" s="94">
        <v>46045</v>
      </c>
      <c r="C491" t="s">
        <v>2821</v>
      </c>
      <c r="D491" t="s">
        <v>2822</v>
      </c>
      <c r="E491" t="s">
        <v>2780</v>
      </c>
      <c r="F491" t="s">
        <v>69</v>
      </c>
      <c r="G491" t="s">
        <v>39</v>
      </c>
      <c r="H491" t="s">
        <v>2823</v>
      </c>
      <c r="I491" t="s">
        <v>36</v>
      </c>
      <c r="J491" t="s">
        <v>219</v>
      </c>
      <c r="K491" t="s">
        <v>220</v>
      </c>
      <c r="L491" t="s">
        <v>62</v>
      </c>
      <c r="M491" t="s">
        <v>51</v>
      </c>
      <c r="N491" t="s">
        <v>162</v>
      </c>
      <c r="O491" t="s">
        <v>2824</v>
      </c>
      <c r="P491">
        <v>8340096689</v>
      </c>
      <c r="Q491" t="s">
        <v>54</v>
      </c>
      <c r="R491" t="s">
        <v>73</v>
      </c>
      <c r="S491" t="s">
        <v>43</v>
      </c>
      <c r="T491" t="s">
        <v>43</v>
      </c>
      <c r="U491" t="s">
        <v>44</v>
      </c>
      <c r="V491" t="s">
        <v>45</v>
      </c>
      <c r="W491" t="s">
        <v>5046</v>
      </c>
      <c r="X491" t="s">
        <v>45</v>
      </c>
      <c r="Y491" t="s">
        <v>46</v>
      </c>
      <c r="Z491" t="s">
        <v>47</v>
      </c>
      <c r="AA491" t="s">
        <v>48</v>
      </c>
      <c r="AB491" t="s">
        <v>49</v>
      </c>
      <c r="AC491" t="s">
        <v>49</v>
      </c>
      <c r="AD491" t="s">
        <v>494</v>
      </c>
      <c r="AE491" t="s">
        <v>189</v>
      </c>
      <c r="AF491" t="s">
        <v>3010</v>
      </c>
      <c r="AG491" t="s">
        <v>196</v>
      </c>
      <c r="AH491" s="93">
        <f>VLOOKUP(Table1[[#This Row],[Caste]],Factor!$H$1:$K$13,4,0)</f>
        <v>1.1705128247062893</v>
      </c>
      <c r="AI49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91">
        <f>Table1[[#This Row],[Factor_1]]*Table1[[#This Row],[2024 Factor]]</f>
        <v>0.86308903171383233</v>
      </c>
      <c r="AK491">
        <f>VLOOKUP(Table1[[#This Row],[Q18: Gender]],Factor!$A$33:$E$35,5,0)</f>
        <v>0.85034013605442171</v>
      </c>
      <c r="AL491">
        <f>VLOOKUP(Table1[[#This Row],[Taluka]],Factor!$A$42:$G$46,7,0)</f>
        <v>1.147984664167413</v>
      </c>
      <c r="AM491">
        <f>VLOOKUP(Table1[[#This Row],[Caste]]&amp;Table1[[#This Row],[Q18: Gender]],Factor!$W$1:$X$23,2,0)</f>
        <v>0.79950206330384943</v>
      </c>
      <c r="AN491">
        <f>VLOOKUP(Table1[[#This Row],[Taluka]]&amp;Table1[[#This Row],[Caste]]&amp;Table1[[#This Row],[Q18: Gender]],Factor!$AK$4:$AL$93,2,0)</f>
        <v>0.92148737207359532</v>
      </c>
      <c r="AO491">
        <f t="shared" si="77"/>
        <v>-1</v>
      </c>
      <c r="AP491">
        <f t="shared" si="78"/>
        <v>-1</v>
      </c>
      <c r="AQ491">
        <f t="shared" si="79"/>
        <v>-1</v>
      </c>
      <c r="AR491">
        <f t="shared" si="80"/>
        <v>-1</v>
      </c>
      <c r="AS491">
        <f t="shared" si="81"/>
        <v>-1</v>
      </c>
      <c r="AT491">
        <f t="shared" si="82"/>
        <v>-1</v>
      </c>
      <c r="AU491">
        <f t="shared" si="83"/>
        <v>-5.5</v>
      </c>
      <c r="AV491">
        <f>SUM(Table1[[#This Row],[Satis]:[29]])</f>
        <v>-6</v>
      </c>
      <c r="AW491">
        <f t="shared" si="84"/>
        <v>-5</v>
      </c>
      <c r="AX491">
        <f t="shared" si="85"/>
        <v>-4</v>
      </c>
      <c r="AY491">
        <f t="shared" si="86"/>
        <v>-3</v>
      </c>
      <c r="AZ491" t="str">
        <f t="shared" si="87"/>
        <v>TDP HardCore</v>
      </c>
    </row>
    <row r="492" spans="1:52" x14ac:dyDescent="0.3">
      <c r="A492" t="s">
        <v>2825</v>
      </c>
      <c r="B492" s="94">
        <v>46045</v>
      </c>
      <c r="C492" t="s">
        <v>2826</v>
      </c>
      <c r="D492" t="s">
        <v>2827</v>
      </c>
      <c r="E492" t="s">
        <v>1777</v>
      </c>
      <c r="F492" t="s">
        <v>935</v>
      </c>
      <c r="G492" t="s">
        <v>39</v>
      </c>
      <c r="H492" t="s">
        <v>2828</v>
      </c>
      <c r="I492" t="s">
        <v>227</v>
      </c>
      <c r="J492" t="s">
        <v>219</v>
      </c>
      <c r="K492" t="s">
        <v>224</v>
      </c>
      <c r="L492" t="s">
        <v>161</v>
      </c>
      <c r="M492" t="s">
        <v>51</v>
      </c>
      <c r="N492" t="s">
        <v>63</v>
      </c>
      <c r="O492" t="s">
        <v>2829</v>
      </c>
      <c r="P492">
        <v>9550232370</v>
      </c>
      <c r="Q492" t="s">
        <v>54</v>
      </c>
      <c r="R492" t="s">
        <v>132</v>
      </c>
      <c r="S492" t="s">
        <v>43</v>
      </c>
      <c r="T492" t="s">
        <v>43</v>
      </c>
      <c r="U492" t="s">
        <v>90</v>
      </c>
      <c r="V492" t="s">
        <v>91</v>
      </c>
      <c r="W492" t="s">
        <v>5055</v>
      </c>
      <c r="X492" t="s">
        <v>45</v>
      </c>
      <c r="Y492" t="s">
        <v>638</v>
      </c>
      <c r="Z492" t="s">
        <v>47</v>
      </c>
      <c r="AA492" t="s">
        <v>48</v>
      </c>
      <c r="AB492" t="s">
        <v>49</v>
      </c>
      <c r="AC492" t="s">
        <v>49</v>
      </c>
      <c r="AD492" t="s">
        <v>494</v>
      </c>
      <c r="AE492" t="s">
        <v>185</v>
      </c>
      <c r="AF492">
        <v>0</v>
      </c>
      <c r="AG492" t="s">
        <v>196</v>
      </c>
      <c r="AH492" s="93">
        <f>VLOOKUP(Table1[[#This Row],[Caste]],Factor!$H$1:$K$13,4,0)</f>
        <v>1.2612194085121222</v>
      </c>
      <c r="AI49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92">
        <f>Table1[[#This Row],[Factor_1]]*Table1[[#This Row],[2024 Factor]]</f>
        <v>0.92029223709519836</v>
      </c>
      <c r="AK492">
        <f>VLOOKUP(Table1[[#This Row],[Q18: Gender]],Factor!$A$33:$E$35,5,0)</f>
        <v>0.85034013605442171</v>
      </c>
      <c r="AL492">
        <f>VLOOKUP(Table1[[#This Row],[Taluka]],Factor!$A$42:$G$46,7,0)</f>
        <v>1.147984664167413</v>
      </c>
      <c r="AM492">
        <f>VLOOKUP(Table1[[#This Row],[Caste]]&amp;Table1[[#This Row],[Q18: Gender]],Factor!$W$1:$X$23,2,0)</f>
        <v>0.85249089649430487</v>
      </c>
      <c r="AN492">
        <f>VLOOKUP(Table1[[#This Row],[Taluka]]&amp;Table1[[#This Row],[Caste]]&amp;Table1[[#This Row],[Q18: Gender]],Factor!$AK$4:$AL$93,2,0)</f>
        <v>0.41451794778650441</v>
      </c>
      <c r="AO492">
        <f t="shared" si="77"/>
        <v>-1</v>
      </c>
      <c r="AP492">
        <f t="shared" si="78"/>
        <v>1</v>
      </c>
      <c r="AQ492">
        <f t="shared" si="79"/>
        <v>1</v>
      </c>
      <c r="AR492">
        <f t="shared" si="80"/>
        <v>-1</v>
      </c>
      <c r="AS492">
        <f t="shared" si="81"/>
        <v>-1</v>
      </c>
      <c r="AT492">
        <f t="shared" si="82"/>
        <v>-1</v>
      </c>
      <c r="AU492">
        <f t="shared" si="83"/>
        <v>-1.5</v>
      </c>
      <c r="AV492">
        <f>SUM(Table1[[#This Row],[Satis]:[29]])</f>
        <v>-2</v>
      </c>
      <c r="AW492">
        <f t="shared" si="84"/>
        <v>-3</v>
      </c>
      <c r="AX492">
        <f t="shared" si="85"/>
        <v>-2</v>
      </c>
      <c r="AY492">
        <f t="shared" si="86"/>
        <v>-3</v>
      </c>
      <c r="AZ492" t="str">
        <f t="shared" si="87"/>
        <v>Neutral TDP</v>
      </c>
    </row>
    <row r="493" spans="1:52" x14ac:dyDescent="0.3">
      <c r="A493" t="s">
        <v>2830</v>
      </c>
      <c r="B493" s="94">
        <v>46045</v>
      </c>
      <c r="C493" t="s">
        <v>2831</v>
      </c>
      <c r="D493" t="s">
        <v>2832</v>
      </c>
      <c r="E493" t="s">
        <v>2688</v>
      </c>
      <c r="F493" t="s">
        <v>69</v>
      </c>
      <c r="G493" t="s">
        <v>39</v>
      </c>
      <c r="H493" t="s">
        <v>2833</v>
      </c>
      <c r="I493" t="s">
        <v>70</v>
      </c>
      <c r="J493" t="s">
        <v>219</v>
      </c>
      <c r="K493" t="s">
        <v>220</v>
      </c>
      <c r="L493" t="s">
        <v>75</v>
      </c>
      <c r="M493" t="s">
        <v>51</v>
      </c>
      <c r="N493" t="s">
        <v>107</v>
      </c>
      <c r="O493" t="s">
        <v>2834</v>
      </c>
      <c r="P493">
        <v>9999999999</v>
      </c>
      <c r="Q493" t="s">
        <v>54</v>
      </c>
      <c r="R493" t="s">
        <v>73</v>
      </c>
      <c r="S493" t="s">
        <v>43</v>
      </c>
      <c r="T493" t="s">
        <v>43</v>
      </c>
      <c r="U493" t="s">
        <v>90</v>
      </c>
      <c r="V493" t="s">
        <v>91</v>
      </c>
      <c r="W493" t="s">
        <v>5046</v>
      </c>
      <c r="X493" t="s">
        <v>91</v>
      </c>
      <c r="Y493" t="s">
        <v>638</v>
      </c>
      <c r="Z493" t="s">
        <v>92</v>
      </c>
      <c r="AA493" t="s">
        <v>48</v>
      </c>
      <c r="AB493" t="s">
        <v>49</v>
      </c>
      <c r="AC493" t="s">
        <v>49</v>
      </c>
      <c r="AD493" t="s">
        <v>494</v>
      </c>
      <c r="AE493" t="s">
        <v>185</v>
      </c>
      <c r="AF493">
        <v>0</v>
      </c>
      <c r="AG493" t="s">
        <v>196</v>
      </c>
      <c r="AH493" s="93">
        <f>VLOOKUP(Table1[[#This Row],[Caste]],Factor!$H$1:$K$13,4,0)</f>
        <v>1.3836274505214585</v>
      </c>
      <c r="AI49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93">
        <f>Table1[[#This Row],[Factor_1]]*Table1[[#This Row],[2024 Factor]]</f>
        <v>1.1648410586678206</v>
      </c>
      <c r="AK493">
        <f>VLOOKUP(Table1[[#This Row],[Q18: Gender]],Factor!$A$33:$E$35,5,0)</f>
        <v>0.85034013605442171</v>
      </c>
      <c r="AL493">
        <f>VLOOKUP(Table1[[#This Row],[Taluka]],Factor!$A$42:$G$46,7,0)</f>
        <v>1.147984664167413</v>
      </c>
      <c r="AM493">
        <f>VLOOKUP(Table1[[#This Row],[Caste]]&amp;Table1[[#This Row],[Q18: Gender]],Factor!$W$1:$X$23,2,0)</f>
        <v>1.0790228998469584</v>
      </c>
      <c r="AN493">
        <f>VLOOKUP(Table1[[#This Row],[Taluka]]&amp;Table1[[#This Row],[Caste]]&amp;Table1[[#This Row],[Q18: Gender]],Factor!$AK$4:$AL$93,2,0)</f>
        <v>1.1572915102003449</v>
      </c>
      <c r="AO493">
        <f t="shared" si="77"/>
        <v>-1</v>
      </c>
      <c r="AP493">
        <f t="shared" si="78"/>
        <v>1</v>
      </c>
      <c r="AQ493">
        <f t="shared" si="79"/>
        <v>1</v>
      </c>
      <c r="AR493">
        <f t="shared" si="80"/>
        <v>1</v>
      </c>
      <c r="AS493">
        <f t="shared" si="81"/>
        <v>-1</v>
      </c>
      <c r="AT493">
        <f t="shared" si="82"/>
        <v>1</v>
      </c>
      <c r="AU493">
        <f t="shared" si="83"/>
        <v>2.5</v>
      </c>
      <c r="AV493">
        <f>SUM(Table1[[#This Row],[Satis]:[29]])</f>
        <v>2</v>
      </c>
      <c r="AW493">
        <f t="shared" si="84"/>
        <v>1</v>
      </c>
      <c r="AX493">
        <f t="shared" si="85"/>
        <v>2</v>
      </c>
      <c r="AY493" t="str">
        <f t="shared" si="86"/>
        <v>ND</v>
      </c>
      <c r="AZ493" t="str">
        <f t="shared" si="87"/>
        <v>ND</v>
      </c>
    </row>
    <row r="494" spans="1:52" x14ac:dyDescent="0.3">
      <c r="A494" t="s">
        <v>2835</v>
      </c>
      <c r="B494" s="94">
        <v>46045</v>
      </c>
      <c r="C494" t="s">
        <v>2836</v>
      </c>
      <c r="D494" t="s">
        <v>2837</v>
      </c>
      <c r="E494" t="s">
        <v>2838</v>
      </c>
      <c r="F494" t="s">
        <v>2547</v>
      </c>
      <c r="G494" t="s">
        <v>39</v>
      </c>
      <c r="H494" t="s">
        <v>2839</v>
      </c>
      <c r="I494" t="s">
        <v>159</v>
      </c>
      <c r="J494" t="s">
        <v>219</v>
      </c>
      <c r="K494" t="s">
        <v>222</v>
      </c>
      <c r="L494" t="s">
        <v>451</v>
      </c>
      <c r="M494" t="s">
        <v>51</v>
      </c>
      <c r="N494" t="s">
        <v>63</v>
      </c>
      <c r="O494" t="s">
        <v>2840</v>
      </c>
      <c r="P494">
        <v>9666802837</v>
      </c>
      <c r="Q494" t="s">
        <v>445</v>
      </c>
      <c r="R494" t="s">
        <v>132</v>
      </c>
      <c r="S494" t="s">
        <v>88</v>
      </c>
      <c r="T494" t="s">
        <v>89</v>
      </c>
      <c r="U494" t="s">
        <v>44</v>
      </c>
      <c r="V494" t="s">
        <v>91</v>
      </c>
      <c r="W494" t="s">
        <v>5056</v>
      </c>
      <c r="X494" t="s">
        <v>91</v>
      </c>
      <c r="Y494" t="s">
        <v>46</v>
      </c>
      <c r="Z494" t="s">
        <v>92</v>
      </c>
      <c r="AA494" t="s">
        <v>92</v>
      </c>
      <c r="AB494" t="s">
        <v>351</v>
      </c>
      <c r="AC494" t="s">
        <v>381</v>
      </c>
      <c r="AD494" t="s">
        <v>494</v>
      </c>
      <c r="AE494" t="s">
        <v>191</v>
      </c>
      <c r="AF494" t="s">
        <v>3012</v>
      </c>
      <c r="AG494" t="s">
        <v>498</v>
      </c>
      <c r="AH494" s="93">
        <f>VLOOKUP(Table1[[#This Row],[Caste]],Factor!$H$1:$K$13,4,0)</f>
        <v>2.1852575402829908</v>
      </c>
      <c r="AI494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494">
        <f>Table1[[#This Row],[Factor_1]]*Table1[[#This Row],[2024 Factor]]</f>
        <v>6.4117064670194024</v>
      </c>
      <c r="AK494">
        <f>VLOOKUP(Table1[[#This Row],[Q18: Gender]],Factor!$A$33:$E$35,5,0)</f>
        <v>2.1645021645021645</v>
      </c>
      <c r="AL494">
        <f>VLOOKUP(Table1[[#This Row],[Taluka]],Factor!$A$42:$G$46,7,0)</f>
        <v>1.147984664167413</v>
      </c>
      <c r="AM494">
        <f>VLOOKUP(Table1[[#This Row],[Caste]]&amp;Table1[[#This Row],[Q18: Gender]],Factor!$W$1:$X$23,2,0)</f>
        <v>3.5510435029598604</v>
      </c>
      <c r="AN494">
        <f>VLOOKUP(Table1[[#This Row],[Taluka]]&amp;Table1[[#This Row],[Caste]]&amp;Table1[[#This Row],[Q18: Gender]],Factor!$AK$4:$AL$93,2,0)</f>
        <v>0</v>
      </c>
      <c r="AO494">
        <f t="shared" si="77"/>
        <v>1</v>
      </c>
      <c r="AP494">
        <f t="shared" si="78"/>
        <v>-1</v>
      </c>
      <c r="AQ494">
        <f t="shared" si="79"/>
        <v>1</v>
      </c>
      <c r="AR494">
        <f t="shared" si="80"/>
        <v>1</v>
      </c>
      <c r="AS494">
        <f t="shared" si="81"/>
        <v>1</v>
      </c>
      <c r="AT494">
        <f t="shared" si="82"/>
        <v>1</v>
      </c>
      <c r="AU494">
        <f t="shared" si="83"/>
        <v>3.5</v>
      </c>
      <c r="AV494">
        <f>SUM(Table1[[#This Row],[Satis]:[29]])</f>
        <v>4</v>
      </c>
      <c r="AW494">
        <f t="shared" si="84"/>
        <v>5</v>
      </c>
      <c r="AX494">
        <f t="shared" si="85"/>
        <v>4</v>
      </c>
      <c r="AY494">
        <f t="shared" si="86"/>
        <v>3</v>
      </c>
      <c r="AZ494" t="str">
        <f t="shared" si="87"/>
        <v>YSRCP Sympathiser</v>
      </c>
    </row>
    <row r="495" spans="1:52" x14ac:dyDescent="0.3">
      <c r="A495" t="s">
        <v>2841</v>
      </c>
      <c r="B495" s="94">
        <v>46045</v>
      </c>
      <c r="C495" t="s">
        <v>2842</v>
      </c>
      <c r="D495" t="s">
        <v>2843</v>
      </c>
      <c r="E495" t="s">
        <v>2844</v>
      </c>
      <c r="F495" t="s">
        <v>935</v>
      </c>
      <c r="G495" t="s">
        <v>39</v>
      </c>
      <c r="H495" t="s">
        <v>2845</v>
      </c>
      <c r="I495" t="s">
        <v>59</v>
      </c>
      <c r="J495" t="s">
        <v>219</v>
      </c>
      <c r="K495" t="s">
        <v>224</v>
      </c>
      <c r="L495" t="s">
        <v>62</v>
      </c>
      <c r="M495" t="s">
        <v>51</v>
      </c>
      <c r="N495" t="s">
        <v>52</v>
      </c>
      <c r="O495" t="s">
        <v>2846</v>
      </c>
      <c r="P495">
        <v>9885068876</v>
      </c>
      <c r="Q495" t="s">
        <v>54</v>
      </c>
      <c r="R495" t="s">
        <v>132</v>
      </c>
      <c r="S495" t="s">
        <v>43</v>
      </c>
      <c r="T495" t="s">
        <v>43</v>
      </c>
      <c r="U495" t="s">
        <v>44</v>
      </c>
      <c r="V495" t="s">
        <v>45</v>
      </c>
      <c r="W495" t="s">
        <v>5056</v>
      </c>
      <c r="X495" t="s">
        <v>45</v>
      </c>
      <c r="Y495" t="s">
        <v>46</v>
      </c>
      <c r="Z495" t="s">
        <v>92</v>
      </c>
      <c r="AA495" t="s">
        <v>48</v>
      </c>
      <c r="AB495" t="s">
        <v>49</v>
      </c>
      <c r="AC495" t="s">
        <v>49</v>
      </c>
      <c r="AD495" t="s">
        <v>494</v>
      </c>
      <c r="AE495" t="s">
        <v>1250</v>
      </c>
      <c r="AF495" t="s">
        <v>2095</v>
      </c>
      <c r="AG495" t="s">
        <v>498</v>
      </c>
      <c r="AH495" s="93">
        <f>VLOOKUP(Table1[[#This Row],[Caste]],Factor!$H$1:$K$13,4,0)</f>
        <v>1.1461625511156397</v>
      </c>
      <c r="AI49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95">
        <f>Table1[[#This Row],[Factor_1]]*Table1[[#This Row],[2024 Factor]]</f>
        <v>0.77721139583220644</v>
      </c>
      <c r="AK495">
        <f>VLOOKUP(Table1[[#This Row],[Q18: Gender]],Factor!$A$33:$E$35,5,0)</f>
        <v>0.85034013605442171</v>
      </c>
      <c r="AL495">
        <f>VLOOKUP(Table1[[#This Row],[Taluka]],Factor!$A$42:$G$46,7,0)</f>
        <v>1.147984664167413</v>
      </c>
      <c r="AM495">
        <f>VLOOKUP(Table1[[#This Row],[Caste]]&amp;Table1[[#This Row],[Q18: Gender]],Factor!$W$1:$X$23,2,0)</f>
        <v>0.71995135120329123</v>
      </c>
      <c r="AN495">
        <f>VLOOKUP(Table1[[#This Row],[Taluka]]&amp;Table1[[#This Row],[Caste]]&amp;Table1[[#This Row],[Q18: Gender]],Factor!$AK$4:$AL$93,2,0)</f>
        <v>0.54319084681293095</v>
      </c>
      <c r="AO495">
        <f t="shared" si="77"/>
        <v>-1</v>
      </c>
      <c r="AP495">
        <f t="shared" si="78"/>
        <v>-1</v>
      </c>
      <c r="AQ495">
        <f t="shared" si="79"/>
        <v>-1</v>
      </c>
      <c r="AR495">
        <f t="shared" si="80"/>
        <v>-1</v>
      </c>
      <c r="AS495">
        <f t="shared" si="81"/>
        <v>-1</v>
      </c>
      <c r="AT495">
        <f t="shared" si="82"/>
        <v>1</v>
      </c>
      <c r="AU495">
        <f t="shared" si="83"/>
        <v>-3.5</v>
      </c>
      <c r="AV495">
        <f>SUM(Table1[[#This Row],[Satis]:[29]])</f>
        <v>-4</v>
      </c>
      <c r="AW495">
        <f t="shared" si="84"/>
        <v>-3</v>
      </c>
      <c r="AX495">
        <f t="shared" si="85"/>
        <v>-2</v>
      </c>
      <c r="AY495" t="str">
        <f t="shared" si="86"/>
        <v>ND</v>
      </c>
      <c r="AZ495" t="str">
        <f t="shared" si="87"/>
        <v>ND</v>
      </c>
    </row>
    <row r="496" spans="1:52" x14ac:dyDescent="0.3">
      <c r="A496" t="s">
        <v>2847</v>
      </c>
      <c r="B496" s="94">
        <v>46045</v>
      </c>
      <c r="C496" t="s">
        <v>2848</v>
      </c>
      <c r="D496" t="s">
        <v>2849</v>
      </c>
      <c r="E496" t="s">
        <v>2850</v>
      </c>
      <c r="F496" t="s">
        <v>935</v>
      </c>
      <c r="G496" t="s">
        <v>39</v>
      </c>
      <c r="H496" t="s">
        <v>2851</v>
      </c>
      <c r="I496" t="s">
        <v>145</v>
      </c>
      <c r="J496" t="s">
        <v>219</v>
      </c>
      <c r="K496" t="s">
        <v>224</v>
      </c>
      <c r="L496" t="s">
        <v>451</v>
      </c>
      <c r="M496" t="s">
        <v>51</v>
      </c>
      <c r="N496" t="s">
        <v>63</v>
      </c>
      <c r="O496" t="s">
        <v>2852</v>
      </c>
      <c r="P496">
        <v>9701867979</v>
      </c>
      <c r="Q496" t="s">
        <v>445</v>
      </c>
      <c r="R496" t="s">
        <v>139</v>
      </c>
      <c r="S496" t="s">
        <v>43</v>
      </c>
      <c r="T496" t="s">
        <v>43</v>
      </c>
      <c r="U496" t="s">
        <v>44</v>
      </c>
      <c r="V496" t="s">
        <v>91</v>
      </c>
      <c r="W496" t="s">
        <v>5055</v>
      </c>
      <c r="X496" t="s">
        <v>91</v>
      </c>
      <c r="Y496" t="s">
        <v>46</v>
      </c>
      <c r="Z496" t="s">
        <v>47</v>
      </c>
      <c r="AA496" t="s">
        <v>48</v>
      </c>
      <c r="AB496" t="s">
        <v>49</v>
      </c>
      <c r="AC496" t="s">
        <v>49</v>
      </c>
      <c r="AD496" t="s">
        <v>494</v>
      </c>
      <c r="AE496" t="s">
        <v>1250</v>
      </c>
      <c r="AF496" t="s">
        <v>2095</v>
      </c>
      <c r="AG496" t="s">
        <v>498</v>
      </c>
      <c r="AH496" s="93">
        <f>VLOOKUP(Table1[[#This Row],[Caste]],Factor!$H$1:$K$13,4,0)</f>
        <v>1.8452248965186235</v>
      </c>
      <c r="AI49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96">
        <f>Table1[[#This Row],[Factor_1]]*Table1[[#This Row],[2024 Factor]]</f>
        <v>2.738974648348997</v>
      </c>
      <c r="AK496">
        <f>VLOOKUP(Table1[[#This Row],[Q18: Gender]],Factor!$A$33:$E$35,5,0)</f>
        <v>2.1645021645021645</v>
      </c>
      <c r="AL496">
        <f>VLOOKUP(Table1[[#This Row],[Taluka]],Factor!$A$42:$G$46,7,0)</f>
        <v>1.147984664167413</v>
      </c>
      <c r="AM496">
        <f>VLOOKUP(Table1[[#This Row],[Caste]]&amp;Table1[[#This Row],[Q18: Gender]],Factor!$W$1:$X$23,2,0)</f>
        <v>2.5371842327131073</v>
      </c>
      <c r="AN496">
        <f>VLOOKUP(Table1[[#This Row],[Taluka]]&amp;Table1[[#This Row],[Caste]]&amp;Table1[[#This Row],[Q18: Gender]],Factor!$AK$4:$AL$93,2,0)</f>
        <v>2.9242991836792998</v>
      </c>
      <c r="AO496">
        <f t="shared" si="77"/>
        <v>-1</v>
      </c>
      <c r="AP496">
        <f t="shared" si="78"/>
        <v>-1</v>
      </c>
      <c r="AQ496">
        <f t="shared" si="79"/>
        <v>1</v>
      </c>
      <c r="AR496">
        <f t="shared" si="80"/>
        <v>1</v>
      </c>
      <c r="AS496">
        <f t="shared" si="81"/>
        <v>-1</v>
      </c>
      <c r="AT496">
        <f t="shared" si="82"/>
        <v>-1</v>
      </c>
      <c r="AU496">
        <f t="shared" si="83"/>
        <v>-1.5</v>
      </c>
      <c r="AV496">
        <f>SUM(Table1[[#This Row],[Satis]:[29]])</f>
        <v>-2</v>
      </c>
      <c r="AW496">
        <f t="shared" si="84"/>
        <v>-1</v>
      </c>
      <c r="AX496">
        <f t="shared" si="85"/>
        <v>0</v>
      </c>
      <c r="AY496">
        <f t="shared" si="86"/>
        <v>-3</v>
      </c>
      <c r="AZ496" t="str">
        <f t="shared" si="87"/>
        <v>Neutral TDP</v>
      </c>
    </row>
    <row r="497" spans="1:52" x14ac:dyDescent="0.3">
      <c r="A497" t="s">
        <v>2853</v>
      </c>
      <c r="B497" s="94">
        <v>46045</v>
      </c>
      <c r="C497" t="s">
        <v>2854</v>
      </c>
      <c r="D497" t="s">
        <v>2855</v>
      </c>
      <c r="E497" t="s">
        <v>2856</v>
      </c>
      <c r="F497" t="s">
        <v>2547</v>
      </c>
      <c r="G497" t="s">
        <v>39</v>
      </c>
      <c r="H497" t="s">
        <v>2857</v>
      </c>
      <c r="I497" t="s">
        <v>36</v>
      </c>
      <c r="J497" t="s">
        <v>219</v>
      </c>
      <c r="K497" t="s">
        <v>222</v>
      </c>
      <c r="L497" t="s">
        <v>50</v>
      </c>
      <c r="M497" t="s">
        <v>51</v>
      </c>
      <c r="N497" t="s">
        <v>52</v>
      </c>
      <c r="O497" t="s">
        <v>748</v>
      </c>
      <c r="P497">
        <v>9548378952</v>
      </c>
      <c r="Q497" t="s">
        <v>445</v>
      </c>
      <c r="R497" t="s">
        <v>132</v>
      </c>
      <c r="S497" t="s">
        <v>43</v>
      </c>
      <c r="T497" t="s">
        <v>43</v>
      </c>
      <c r="U497" t="s">
        <v>44</v>
      </c>
      <c r="V497" t="s">
        <v>45</v>
      </c>
      <c r="W497" t="s">
        <v>5056</v>
      </c>
      <c r="X497" t="s">
        <v>45</v>
      </c>
      <c r="Y497" t="s">
        <v>46</v>
      </c>
      <c r="Z497" t="s">
        <v>47</v>
      </c>
      <c r="AA497" t="s">
        <v>48</v>
      </c>
      <c r="AB497" t="s">
        <v>49</v>
      </c>
      <c r="AC497" t="s">
        <v>49</v>
      </c>
      <c r="AD497" t="s">
        <v>481</v>
      </c>
      <c r="AE497" t="s">
        <v>191</v>
      </c>
      <c r="AF497" t="s">
        <v>3013</v>
      </c>
      <c r="AG497" t="s">
        <v>498</v>
      </c>
      <c r="AH497" s="93">
        <f>VLOOKUP(Table1[[#This Row],[Caste]],Factor!$H$1:$K$13,4,0)</f>
        <v>1.1705128247062893</v>
      </c>
      <c r="AI49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97">
        <f>Table1[[#This Row],[Factor_1]]*Table1[[#This Row],[2024 Factor]]</f>
        <v>2.3577066232182737</v>
      </c>
      <c r="AK497">
        <f>VLOOKUP(Table1[[#This Row],[Q18: Gender]],Factor!$A$33:$E$35,5,0)</f>
        <v>2.1645021645021645</v>
      </c>
      <c r="AL497">
        <f>VLOOKUP(Table1[[#This Row],[Taluka]],Factor!$A$42:$G$46,7,0)</f>
        <v>1.147984664167413</v>
      </c>
      <c r="AM497">
        <f>VLOOKUP(Table1[[#This Row],[Caste]]&amp;Table1[[#This Row],[Q18: Gender]],Factor!$W$1:$X$23,2,0)</f>
        <v>2.1840056363422229</v>
      </c>
      <c r="AN497">
        <f>VLOOKUP(Table1[[#This Row],[Taluka]]&amp;Table1[[#This Row],[Caste]]&amp;Table1[[#This Row],[Q18: Gender]],Factor!$AK$4:$AL$93,2,0)</f>
        <v>25.80164641806067</v>
      </c>
      <c r="AO497">
        <f t="shared" si="77"/>
        <v>-1</v>
      </c>
      <c r="AP497">
        <f t="shared" si="78"/>
        <v>-1</v>
      </c>
      <c r="AQ497">
        <f t="shared" si="79"/>
        <v>-1</v>
      </c>
      <c r="AR497">
        <f t="shared" si="80"/>
        <v>-1</v>
      </c>
      <c r="AS497">
        <f t="shared" si="81"/>
        <v>-1</v>
      </c>
      <c r="AT497">
        <f t="shared" si="82"/>
        <v>-1</v>
      </c>
      <c r="AU497">
        <f t="shared" si="83"/>
        <v>-5.5</v>
      </c>
      <c r="AV497">
        <f>SUM(Table1[[#This Row],[Satis]:[29]])</f>
        <v>-6</v>
      </c>
      <c r="AW497">
        <f t="shared" si="84"/>
        <v>-5</v>
      </c>
      <c r="AX497">
        <f t="shared" si="85"/>
        <v>-4</v>
      </c>
      <c r="AY497">
        <f t="shared" si="86"/>
        <v>-3</v>
      </c>
      <c r="AZ497" t="str">
        <f t="shared" si="87"/>
        <v>TDP HardCore</v>
      </c>
    </row>
    <row r="498" spans="1:52" x14ac:dyDescent="0.3">
      <c r="A498" t="s">
        <v>2858</v>
      </c>
      <c r="B498" s="94">
        <v>46045</v>
      </c>
      <c r="C498" t="s">
        <v>2859</v>
      </c>
      <c r="D498" t="s">
        <v>2860</v>
      </c>
      <c r="E498" t="s">
        <v>2861</v>
      </c>
      <c r="F498" t="s">
        <v>69</v>
      </c>
      <c r="G498" t="s">
        <v>39</v>
      </c>
      <c r="H498" t="s">
        <v>2862</v>
      </c>
      <c r="I498" t="s">
        <v>36</v>
      </c>
      <c r="J498" t="s">
        <v>219</v>
      </c>
      <c r="K498" t="s">
        <v>220</v>
      </c>
      <c r="L498" t="s">
        <v>82</v>
      </c>
      <c r="M498" t="s">
        <v>51</v>
      </c>
      <c r="N498" t="s">
        <v>107</v>
      </c>
      <c r="O498" t="s">
        <v>2863</v>
      </c>
      <c r="P498">
        <v>999999999</v>
      </c>
      <c r="Q498" t="s">
        <v>54</v>
      </c>
      <c r="R498" t="s">
        <v>132</v>
      </c>
      <c r="S498" t="s">
        <v>43</v>
      </c>
      <c r="T498" t="s">
        <v>43</v>
      </c>
      <c r="U498" t="s">
        <v>44</v>
      </c>
      <c r="V498" t="s">
        <v>91</v>
      </c>
      <c r="W498" t="s">
        <v>5084</v>
      </c>
      <c r="X498" t="s">
        <v>91</v>
      </c>
      <c r="Y498" t="s">
        <v>638</v>
      </c>
      <c r="Z498" t="s">
        <v>92</v>
      </c>
      <c r="AA498" t="s">
        <v>48</v>
      </c>
      <c r="AB498" t="s">
        <v>93</v>
      </c>
      <c r="AC498" t="s">
        <v>49</v>
      </c>
      <c r="AD498" t="s">
        <v>481</v>
      </c>
      <c r="AE498" t="s">
        <v>185</v>
      </c>
      <c r="AF498">
        <v>0</v>
      </c>
      <c r="AG498" t="s">
        <v>196</v>
      </c>
      <c r="AH498" s="93">
        <f>VLOOKUP(Table1[[#This Row],[Caste]],Factor!$H$1:$K$13,4,0)</f>
        <v>1.1705128247062893</v>
      </c>
      <c r="AI49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98">
        <f>Table1[[#This Row],[Factor_1]]*Table1[[#This Row],[2024 Factor]]</f>
        <v>0.86308903171383233</v>
      </c>
      <c r="AK498">
        <f>VLOOKUP(Table1[[#This Row],[Q18: Gender]],Factor!$A$33:$E$35,5,0)</f>
        <v>0.85034013605442171</v>
      </c>
      <c r="AL498">
        <f>VLOOKUP(Table1[[#This Row],[Taluka]],Factor!$A$42:$G$46,7,0)</f>
        <v>1.147984664167413</v>
      </c>
      <c r="AM498">
        <f>VLOOKUP(Table1[[#This Row],[Caste]]&amp;Table1[[#This Row],[Q18: Gender]],Factor!$W$1:$X$23,2,0)</f>
        <v>0.79950206330384943</v>
      </c>
      <c r="AN498">
        <f>VLOOKUP(Table1[[#This Row],[Taluka]]&amp;Table1[[#This Row],[Caste]]&amp;Table1[[#This Row],[Q18: Gender]],Factor!$AK$4:$AL$93,2,0)</f>
        <v>0.92148737207359532</v>
      </c>
      <c r="AO498">
        <f t="shared" si="77"/>
        <v>-1</v>
      </c>
      <c r="AP498">
        <f t="shared" si="78"/>
        <v>-1</v>
      </c>
      <c r="AQ498">
        <f t="shared" si="79"/>
        <v>1</v>
      </c>
      <c r="AR498">
        <f t="shared" si="80"/>
        <v>1</v>
      </c>
      <c r="AS498">
        <f t="shared" si="81"/>
        <v>-1</v>
      </c>
      <c r="AT498">
        <f t="shared" si="82"/>
        <v>1</v>
      </c>
      <c r="AU498">
        <f t="shared" si="83"/>
        <v>0.5</v>
      </c>
      <c r="AV498">
        <f>SUM(Table1[[#This Row],[Satis]:[29]])</f>
        <v>0</v>
      </c>
      <c r="AW498">
        <f t="shared" si="84"/>
        <v>1</v>
      </c>
      <c r="AX498">
        <f t="shared" si="85"/>
        <v>2</v>
      </c>
      <c r="AY498" t="str">
        <f t="shared" si="86"/>
        <v>ND</v>
      </c>
      <c r="AZ498" t="str">
        <f t="shared" si="87"/>
        <v>ND</v>
      </c>
    </row>
    <row r="499" spans="1:52" x14ac:dyDescent="0.3">
      <c r="A499" t="s">
        <v>2864</v>
      </c>
      <c r="B499" s="94">
        <v>46045</v>
      </c>
      <c r="C499" t="s">
        <v>2865</v>
      </c>
      <c r="D499" t="s">
        <v>2866</v>
      </c>
      <c r="E499" t="s">
        <v>2867</v>
      </c>
      <c r="F499" t="s">
        <v>935</v>
      </c>
      <c r="G499" t="s">
        <v>39</v>
      </c>
      <c r="H499" t="s">
        <v>2868</v>
      </c>
      <c r="I499" t="s">
        <v>59</v>
      </c>
      <c r="J499" t="s">
        <v>219</v>
      </c>
      <c r="K499" t="s">
        <v>225</v>
      </c>
      <c r="L499" t="s">
        <v>62</v>
      </c>
      <c r="M499" t="s">
        <v>51</v>
      </c>
      <c r="N499" t="s">
        <v>63</v>
      </c>
      <c r="O499" t="s">
        <v>1905</v>
      </c>
      <c r="P499">
        <v>8121959983</v>
      </c>
      <c r="Q499" t="s">
        <v>54</v>
      </c>
      <c r="R499" t="s">
        <v>139</v>
      </c>
      <c r="S499" t="s">
        <v>43</v>
      </c>
      <c r="T499" t="s">
        <v>43</v>
      </c>
      <c r="U499" t="s">
        <v>44</v>
      </c>
      <c r="V499" t="s">
        <v>45</v>
      </c>
      <c r="W499" t="s">
        <v>5056</v>
      </c>
      <c r="X499" t="s">
        <v>45</v>
      </c>
      <c r="Y499" t="s">
        <v>46</v>
      </c>
      <c r="Z499" t="s">
        <v>47</v>
      </c>
      <c r="AA499" t="s">
        <v>48</v>
      </c>
      <c r="AB499" t="s">
        <v>49</v>
      </c>
      <c r="AC499" t="s">
        <v>49</v>
      </c>
      <c r="AD499" t="s">
        <v>481</v>
      </c>
      <c r="AE499" t="s">
        <v>185</v>
      </c>
      <c r="AF499">
        <v>0</v>
      </c>
      <c r="AG499" t="s">
        <v>196</v>
      </c>
      <c r="AH499" s="93">
        <f>VLOOKUP(Table1[[#This Row],[Caste]],Factor!$H$1:$K$13,4,0)</f>
        <v>1.1461625511156397</v>
      </c>
      <c r="AI49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499">
        <f>Table1[[#This Row],[Factor_1]]*Table1[[#This Row],[2024 Factor]]</f>
        <v>0.77721139583220644</v>
      </c>
      <c r="AK499">
        <f>VLOOKUP(Table1[[#This Row],[Q18: Gender]],Factor!$A$33:$E$35,5,0)</f>
        <v>0.85034013605442171</v>
      </c>
      <c r="AL499">
        <f>VLOOKUP(Table1[[#This Row],[Taluka]],Factor!$A$42:$G$46,7,0)</f>
        <v>1.147984664167413</v>
      </c>
      <c r="AM499">
        <f>VLOOKUP(Table1[[#This Row],[Caste]]&amp;Table1[[#This Row],[Q18: Gender]],Factor!$W$1:$X$23,2,0)</f>
        <v>0.71995135120329123</v>
      </c>
      <c r="AN499">
        <f>VLOOKUP(Table1[[#This Row],[Taluka]]&amp;Table1[[#This Row],[Caste]]&amp;Table1[[#This Row],[Q18: Gender]],Factor!$AK$4:$AL$93,2,0)</f>
        <v>0.54319084681293095</v>
      </c>
      <c r="AO499">
        <f t="shared" si="77"/>
        <v>-1</v>
      </c>
      <c r="AP499">
        <f t="shared" si="78"/>
        <v>-1</v>
      </c>
      <c r="AQ499">
        <f t="shared" si="79"/>
        <v>-1</v>
      </c>
      <c r="AR499">
        <f t="shared" si="80"/>
        <v>-1</v>
      </c>
      <c r="AS499">
        <f t="shared" si="81"/>
        <v>-1</v>
      </c>
      <c r="AT499">
        <f t="shared" si="82"/>
        <v>-1</v>
      </c>
      <c r="AU499">
        <f t="shared" si="83"/>
        <v>-5.5</v>
      </c>
      <c r="AV499">
        <f>SUM(Table1[[#This Row],[Satis]:[29]])</f>
        <v>-6</v>
      </c>
      <c r="AW499">
        <f t="shared" si="84"/>
        <v>-5</v>
      </c>
      <c r="AX499">
        <f t="shared" si="85"/>
        <v>-4</v>
      </c>
      <c r="AY499">
        <f t="shared" si="86"/>
        <v>-3</v>
      </c>
      <c r="AZ499" t="str">
        <f t="shared" si="87"/>
        <v>TDP HardCore</v>
      </c>
    </row>
    <row r="500" spans="1:52" x14ac:dyDescent="0.3">
      <c r="A500" t="s">
        <v>2869</v>
      </c>
      <c r="B500" s="94">
        <v>46045</v>
      </c>
      <c r="C500" t="s">
        <v>2870</v>
      </c>
      <c r="D500" t="s">
        <v>2871</v>
      </c>
      <c r="E500" t="s">
        <v>2861</v>
      </c>
      <c r="F500" t="s">
        <v>69</v>
      </c>
      <c r="G500" t="s">
        <v>39</v>
      </c>
      <c r="H500" t="s">
        <v>2872</v>
      </c>
      <c r="I500" t="s">
        <v>36</v>
      </c>
      <c r="J500" t="s">
        <v>219</v>
      </c>
      <c r="K500" t="s">
        <v>220</v>
      </c>
      <c r="L500" t="s">
        <v>75</v>
      </c>
      <c r="M500" t="s">
        <v>51</v>
      </c>
      <c r="N500" t="s">
        <v>162</v>
      </c>
      <c r="O500" t="s">
        <v>2873</v>
      </c>
      <c r="P500">
        <v>9999999999</v>
      </c>
      <c r="Q500" t="s">
        <v>54</v>
      </c>
      <c r="R500" t="s">
        <v>73</v>
      </c>
      <c r="S500" t="s">
        <v>43</v>
      </c>
      <c r="T500" t="s">
        <v>43</v>
      </c>
      <c r="U500" t="s">
        <v>90</v>
      </c>
      <c r="V500" t="s">
        <v>91</v>
      </c>
      <c r="W500" t="s">
        <v>5067</v>
      </c>
      <c r="X500" t="s">
        <v>91</v>
      </c>
      <c r="Y500" t="s">
        <v>46</v>
      </c>
      <c r="Z500" t="s">
        <v>92</v>
      </c>
      <c r="AA500" t="s">
        <v>92</v>
      </c>
      <c r="AB500" t="s">
        <v>93</v>
      </c>
      <c r="AC500" t="s">
        <v>94</v>
      </c>
      <c r="AD500" t="s">
        <v>481</v>
      </c>
      <c r="AE500" t="s">
        <v>189</v>
      </c>
      <c r="AF500" t="s">
        <v>3014</v>
      </c>
      <c r="AG500" t="s">
        <v>196</v>
      </c>
      <c r="AH500" s="93">
        <f>VLOOKUP(Table1[[#This Row],[Caste]],Factor!$H$1:$K$13,4,0)</f>
        <v>1.1705128247062893</v>
      </c>
      <c r="AI500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500">
        <f>Table1[[#This Row],[Factor_1]]*Table1[[#This Row],[2024 Factor]]</f>
        <v>1.4435679386658844</v>
      </c>
      <c r="AK500">
        <f>VLOOKUP(Table1[[#This Row],[Q18: Gender]],Factor!$A$33:$E$35,5,0)</f>
        <v>0.85034013605442171</v>
      </c>
      <c r="AL500">
        <f>VLOOKUP(Table1[[#This Row],[Taluka]],Factor!$A$42:$G$46,7,0)</f>
        <v>1.147984664167413</v>
      </c>
      <c r="AM500">
        <f>VLOOKUP(Table1[[#This Row],[Caste]]&amp;Table1[[#This Row],[Q18: Gender]],Factor!$W$1:$X$23,2,0)</f>
        <v>0.79950206330384943</v>
      </c>
      <c r="AN500">
        <f>VLOOKUP(Table1[[#This Row],[Taluka]]&amp;Table1[[#This Row],[Caste]]&amp;Table1[[#This Row],[Q18: Gender]],Factor!$AK$4:$AL$93,2,0)</f>
        <v>0.92148737207359532</v>
      </c>
      <c r="AO500">
        <f t="shared" si="77"/>
        <v>-1</v>
      </c>
      <c r="AP500">
        <f t="shared" si="78"/>
        <v>1</v>
      </c>
      <c r="AQ500">
        <f t="shared" si="79"/>
        <v>1</v>
      </c>
      <c r="AR500">
        <f t="shared" si="80"/>
        <v>1</v>
      </c>
      <c r="AS500">
        <f t="shared" si="81"/>
        <v>1</v>
      </c>
      <c r="AT500">
        <f t="shared" si="82"/>
        <v>1</v>
      </c>
      <c r="AU500">
        <f t="shared" si="83"/>
        <v>3.5</v>
      </c>
      <c r="AV500">
        <f>SUM(Table1[[#This Row],[Satis]:[29]])</f>
        <v>4</v>
      </c>
      <c r="AW500">
        <f t="shared" si="84"/>
        <v>3</v>
      </c>
      <c r="AX500">
        <f t="shared" si="85"/>
        <v>4</v>
      </c>
      <c r="AY500">
        <f t="shared" si="86"/>
        <v>2</v>
      </c>
      <c r="AZ500" t="str">
        <f t="shared" si="87"/>
        <v>YSRCP Sympathiser</v>
      </c>
    </row>
    <row r="501" spans="1:52" x14ac:dyDescent="0.3">
      <c r="A501" t="s">
        <v>2874</v>
      </c>
      <c r="B501" s="94">
        <v>46045</v>
      </c>
      <c r="C501" t="s">
        <v>2875</v>
      </c>
      <c r="D501" t="s">
        <v>2876</v>
      </c>
      <c r="E501" t="s">
        <v>2877</v>
      </c>
      <c r="F501" t="s">
        <v>69</v>
      </c>
      <c r="G501" t="s">
        <v>39</v>
      </c>
      <c r="H501" t="s">
        <v>2878</v>
      </c>
      <c r="I501" t="s">
        <v>36</v>
      </c>
      <c r="J501" t="s">
        <v>219</v>
      </c>
      <c r="K501" t="s">
        <v>220</v>
      </c>
      <c r="L501" t="s">
        <v>62</v>
      </c>
      <c r="M501" t="s">
        <v>51</v>
      </c>
      <c r="N501" t="s">
        <v>63</v>
      </c>
      <c r="O501" t="s">
        <v>1502</v>
      </c>
      <c r="P501">
        <v>9999999999</v>
      </c>
      <c r="Q501" t="s">
        <v>54</v>
      </c>
      <c r="R501" t="s">
        <v>73</v>
      </c>
      <c r="S501" t="s">
        <v>43</v>
      </c>
      <c r="T501" t="s">
        <v>43</v>
      </c>
      <c r="U501" t="s">
        <v>44</v>
      </c>
      <c r="V501" t="s">
        <v>45</v>
      </c>
      <c r="W501" t="s">
        <v>5047</v>
      </c>
      <c r="X501" t="s">
        <v>45</v>
      </c>
      <c r="Y501" t="s">
        <v>46</v>
      </c>
      <c r="Z501" t="s">
        <v>47</v>
      </c>
      <c r="AA501" t="s">
        <v>48</v>
      </c>
      <c r="AB501" t="s">
        <v>49</v>
      </c>
      <c r="AC501" t="s">
        <v>49</v>
      </c>
      <c r="AD501" t="s">
        <v>481</v>
      </c>
      <c r="AE501" t="s">
        <v>185</v>
      </c>
      <c r="AF501">
        <v>0</v>
      </c>
      <c r="AG501" t="s">
        <v>196</v>
      </c>
      <c r="AH501" s="93">
        <f>VLOOKUP(Table1[[#This Row],[Caste]],Factor!$H$1:$K$13,4,0)</f>
        <v>1.1705128247062893</v>
      </c>
      <c r="AI50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01">
        <f>Table1[[#This Row],[Factor_1]]*Table1[[#This Row],[2024 Factor]]</f>
        <v>0.86308903171383233</v>
      </c>
      <c r="AK501">
        <f>VLOOKUP(Table1[[#This Row],[Q18: Gender]],Factor!$A$33:$E$35,5,0)</f>
        <v>0.85034013605442171</v>
      </c>
      <c r="AL501">
        <f>VLOOKUP(Table1[[#This Row],[Taluka]],Factor!$A$42:$G$46,7,0)</f>
        <v>1.147984664167413</v>
      </c>
      <c r="AM501">
        <f>VLOOKUP(Table1[[#This Row],[Caste]]&amp;Table1[[#This Row],[Q18: Gender]],Factor!$W$1:$X$23,2,0)</f>
        <v>0.79950206330384943</v>
      </c>
      <c r="AN501">
        <f>VLOOKUP(Table1[[#This Row],[Taluka]]&amp;Table1[[#This Row],[Caste]]&amp;Table1[[#This Row],[Q18: Gender]],Factor!$AK$4:$AL$93,2,0)</f>
        <v>0.92148737207359532</v>
      </c>
      <c r="AO501">
        <f t="shared" si="77"/>
        <v>-1</v>
      </c>
      <c r="AP501">
        <f t="shared" si="78"/>
        <v>-1</v>
      </c>
      <c r="AQ501">
        <f t="shared" si="79"/>
        <v>-1</v>
      </c>
      <c r="AR501">
        <f t="shared" si="80"/>
        <v>-1</v>
      </c>
      <c r="AS501">
        <f t="shared" si="81"/>
        <v>-1</v>
      </c>
      <c r="AT501">
        <f t="shared" si="82"/>
        <v>-1</v>
      </c>
      <c r="AU501">
        <f t="shared" si="83"/>
        <v>-5.5</v>
      </c>
      <c r="AV501">
        <f>SUM(Table1[[#This Row],[Satis]:[29]])</f>
        <v>-6</v>
      </c>
      <c r="AW501">
        <f t="shared" si="84"/>
        <v>-5</v>
      </c>
      <c r="AX501">
        <f t="shared" si="85"/>
        <v>-4</v>
      </c>
      <c r="AY501">
        <f t="shared" si="86"/>
        <v>-3</v>
      </c>
      <c r="AZ501" t="str">
        <f t="shared" si="87"/>
        <v>TDP HardCore</v>
      </c>
    </row>
    <row r="502" spans="1:52" x14ac:dyDescent="0.3">
      <c r="A502" t="s">
        <v>2879</v>
      </c>
      <c r="B502" s="94">
        <v>46045</v>
      </c>
      <c r="C502" t="s">
        <v>2880</v>
      </c>
      <c r="D502" t="s">
        <v>2881</v>
      </c>
      <c r="E502" t="s">
        <v>2882</v>
      </c>
      <c r="F502" t="s">
        <v>69</v>
      </c>
      <c r="G502" t="s">
        <v>39</v>
      </c>
      <c r="H502" t="s">
        <v>2883</v>
      </c>
      <c r="I502" t="s">
        <v>230</v>
      </c>
      <c r="J502" s="112" t="s">
        <v>203</v>
      </c>
      <c r="K502" s="112" t="s">
        <v>205</v>
      </c>
      <c r="L502" t="s">
        <v>50</v>
      </c>
      <c r="M502" t="s">
        <v>51</v>
      </c>
      <c r="N502" t="s">
        <v>63</v>
      </c>
      <c r="O502" t="s">
        <v>1658</v>
      </c>
      <c r="P502">
        <v>9999999999</v>
      </c>
      <c r="Q502" t="s">
        <v>445</v>
      </c>
      <c r="R502" t="s">
        <v>73</v>
      </c>
      <c r="S502" t="s">
        <v>43</v>
      </c>
      <c r="T502" t="s">
        <v>89</v>
      </c>
      <c r="U502" t="s">
        <v>90</v>
      </c>
      <c r="V502" t="s">
        <v>91</v>
      </c>
      <c r="W502" t="s">
        <v>5046</v>
      </c>
      <c r="X502" t="s">
        <v>91</v>
      </c>
      <c r="Y502" t="s">
        <v>638</v>
      </c>
      <c r="Z502" t="s">
        <v>92</v>
      </c>
      <c r="AA502" t="s">
        <v>92</v>
      </c>
      <c r="AB502" t="s">
        <v>147</v>
      </c>
      <c r="AC502" t="s">
        <v>148</v>
      </c>
      <c r="AD502" t="s">
        <v>481</v>
      </c>
      <c r="AE502" t="s">
        <v>189</v>
      </c>
      <c r="AF502" t="s">
        <v>3015</v>
      </c>
      <c r="AG502" t="s">
        <v>196</v>
      </c>
      <c r="AH502" s="93">
        <f>VLOOKUP(Table1[[#This Row],[Caste]],Factor!$H$1:$K$13,4,0)</f>
        <v>1.0786696182614144</v>
      </c>
      <c r="AI502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502">
        <f>Table1[[#This Row],[Factor_1]]*Table1[[#This Row],[2024 Factor]]</f>
        <v>1.9476283411958633</v>
      </c>
      <c r="AK502">
        <f>VLOOKUP(Table1[[#This Row],[Q18: Gender]],Factor!$A$33:$E$35,5,0)</f>
        <v>2.1645021645021645</v>
      </c>
      <c r="AL502">
        <f>VLOOKUP(Table1[[#This Row],[Taluka]],Factor!$A$42:$G$46,7,0)</f>
        <v>1.9264642089343564</v>
      </c>
      <c r="AM502">
        <f>VLOOKUP(Table1[[#This Row],[Caste]]&amp;Table1[[#This Row],[Q18: Gender]],Factor!$W$1:$X$23,2,0)</f>
        <v>1.0786696182614144</v>
      </c>
      <c r="AN502">
        <f>VLOOKUP(Table1[[#This Row],[Taluka]]&amp;Table1[[#This Row],[Caste]]&amp;Table1[[#This Row],[Q18: Gender]],Factor!$AK$4:$AL$93,2,0)</f>
        <v>2.0073657868087529</v>
      </c>
      <c r="AO502">
        <f t="shared" si="77"/>
        <v>1</v>
      </c>
      <c r="AP502">
        <f t="shared" si="78"/>
        <v>1</v>
      </c>
      <c r="AQ502">
        <f t="shared" si="79"/>
        <v>1</v>
      </c>
      <c r="AR502">
        <f t="shared" si="80"/>
        <v>1</v>
      </c>
      <c r="AS502">
        <f t="shared" si="81"/>
        <v>1</v>
      </c>
      <c r="AT502">
        <f t="shared" si="82"/>
        <v>1</v>
      </c>
      <c r="AU502">
        <f t="shared" si="83"/>
        <v>5.5</v>
      </c>
      <c r="AV502">
        <f>SUM(Table1[[#This Row],[Satis]:[29]])</f>
        <v>6</v>
      </c>
      <c r="AW502">
        <f t="shared" si="84"/>
        <v>5</v>
      </c>
      <c r="AX502">
        <f t="shared" si="85"/>
        <v>4</v>
      </c>
      <c r="AY502">
        <f t="shared" si="86"/>
        <v>3</v>
      </c>
      <c r="AZ502" t="str">
        <f t="shared" si="87"/>
        <v>YSRCP HardCore</v>
      </c>
    </row>
    <row r="503" spans="1:52" x14ac:dyDescent="0.3">
      <c r="A503" t="s">
        <v>2884</v>
      </c>
      <c r="B503" s="94">
        <v>46045</v>
      </c>
      <c r="C503" t="s">
        <v>2885</v>
      </c>
      <c r="D503" t="s">
        <v>2886</v>
      </c>
      <c r="E503" t="s">
        <v>2887</v>
      </c>
      <c r="F503" t="s">
        <v>2547</v>
      </c>
      <c r="G503" t="s">
        <v>39</v>
      </c>
      <c r="H503" t="s">
        <v>2888</v>
      </c>
      <c r="I503" t="s">
        <v>36</v>
      </c>
      <c r="J503" t="s">
        <v>219</v>
      </c>
      <c r="K503" t="s">
        <v>222</v>
      </c>
      <c r="L503" t="s">
        <v>62</v>
      </c>
      <c r="M503" t="s">
        <v>51</v>
      </c>
      <c r="N503" t="s">
        <v>52</v>
      </c>
      <c r="O503" t="s">
        <v>2889</v>
      </c>
      <c r="P503">
        <v>9985438474</v>
      </c>
      <c r="Q503" t="s">
        <v>445</v>
      </c>
      <c r="R503" t="s">
        <v>132</v>
      </c>
      <c r="S503" t="s">
        <v>43</v>
      </c>
      <c r="T503" t="s">
        <v>43</v>
      </c>
      <c r="U503" t="s">
        <v>44</v>
      </c>
      <c r="V503" t="s">
        <v>45</v>
      </c>
      <c r="W503" t="s">
        <v>5097</v>
      </c>
      <c r="X503" t="s">
        <v>45</v>
      </c>
      <c r="Y503" t="s">
        <v>46</v>
      </c>
      <c r="Z503" t="s">
        <v>47</v>
      </c>
      <c r="AA503" t="s">
        <v>48</v>
      </c>
      <c r="AB503" t="s">
        <v>49</v>
      </c>
      <c r="AC503" t="s">
        <v>49</v>
      </c>
      <c r="AD503" t="s">
        <v>184</v>
      </c>
      <c r="AE503" t="s">
        <v>1250</v>
      </c>
      <c r="AF503">
        <v>0</v>
      </c>
      <c r="AG503" t="s">
        <v>498</v>
      </c>
      <c r="AH503" s="93">
        <f>VLOOKUP(Table1[[#This Row],[Caste]],Factor!$H$1:$K$13,4,0)</f>
        <v>1.1705128247062893</v>
      </c>
      <c r="AI50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03">
        <f>Table1[[#This Row],[Factor_1]]*Table1[[#This Row],[2024 Factor]]</f>
        <v>2.3577066232182737</v>
      </c>
      <c r="AK503">
        <f>VLOOKUP(Table1[[#This Row],[Q18: Gender]],Factor!$A$33:$E$35,5,0)</f>
        <v>2.1645021645021645</v>
      </c>
      <c r="AL503">
        <f>VLOOKUP(Table1[[#This Row],[Taluka]],Factor!$A$42:$G$46,7,0)</f>
        <v>1.147984664167413</v>
      </c>
      <c r="AM503">
        <f>VLOOKUP(Table1[[#This Row],[Caste]]&amp;Table1[[#This Row],[Q18: Gender]],Factor!$W$1:$X$23,2,0)</f>
        <v>2.1840056363422229</v>
      </c>
      <c r="AN503">
        <f>VLOOKUP(Table1[[#This Row],[Taluka]]&amp;Table1[[#This Row],[Caste]]&amp;Table1[[#This Row],[Q18: Gender]],Factor!$AK$4:$AL$93,2,0)</f>
        <v>25.80164641806067</v>
      </c>
      <c r="AO503">
        <f t="shared" si="77"/>
        <v>-1</v>
      </c>
      <c r="AP503">
        <f t="shared" si="78"/>
        <v>-1</v>
      </c>
      <c r="AQ503">
        <f t="shared" si="79"/>
        <v>-1</v>
      </c>
      <c r="AR503">
        <f t="shared" si="80"/>
        <v>-1</v>
      </c>
      <c r="AS503">
        <f t="shared" si="81"/>
        <v>-1</v>
      </c>
      <c r="AT503">
        <f t="shared" si="82"/>
        <v>-1</v>
      </c>
      <c r="AU503">
        <f t="shared" si="83"/>
        <v>-5.5</v>
      </c>
      <c r="AV503">
        <f>SUM(Table1[[#This Row],[Satis]:[29]])</f>
        <v>-6</v>
      </c>
      <c r="AW503">
        <f t="shared" si="84"/>
        <v>-5</v>
      </c>
      <c r="AX503">
        <f t="shared" si="85"/>
        <v>-4</v>
      </c>
      <c r="AY503">
        <f t="shared" si="86"/>
        <v>-3</v>
      </c>
      <c r="AZ503" t="str">
        <f t="shared" si="87"/>
        <v>TDP HardCore</v>
      </c>
    </row>
    <row r="504" spans="1:52" x14ac:dyDescent="0.3">
      <c r="A504" t="s">
        <v>2890</v>
      </c>
      <c r="B504" s="94">
        <v>46045</v>
      </c>
      <c r="C504" t="s">
        <v>2891</v>
      </c>
      <c r="D504" t="s">
        <v>2892</v>
      </c>
      <c r="E504" t="s">
        <v>2861</v>
      </c>
      <c r="F504" t="s">
        <v>69</v>
      </c>
      <c r="G504" t="s">
        <v>39</v>
      </c>
      <c r="H504" t="s">
        <v>2893</v>
      </c>
      <c r="I504" t="s">
        <v>227</v>
      </c>
      <c r="J504" t="s">
        <v>219</v>
      </c>
      <c r="K504" t="s">
        <v>220</v>
      </c>
      <c r="L504" t="s">
        <v>62</v>
      </c>
      <c r="M504" t="s">
        <v>51</v>
      </c>
      <c r="N504" t="s">
        <v>63</v>
      </c>
      <c r="O504" t="s">
        <v>2894</v>
      </c>
      <c r="P504">
        <v>9999999999</v>
      </c>
      <c r="Q504" t="s">
        <v>54</v>
      </c>
      <c r="R504" t="s">
        <v>73</v>
      </c>
      <c r="S504" t="s">
        <v>43</v>
      </c>
      <c r="T504" t="s">
        <v>43</v>
      </c>
      <c r="U504" t="s">
        <v>90</v>
      </c>
      <c r="V504" t="s">
        <v>45</v>
      </c>
      <c r="W504" t="s">
        <v>5058</v>
      </c>
      <c r="X504" t="s">
        <v>45</v>
      </c>
      <c r="Y504" t="s">
        <v>46</v>
      </c>
      <c r="Z504" t="s">
        <v>47</v>
      </c>
      <c r="AA504" t="s">
        <v>48</v>
      </c>
      <c r="AB504" t="s">
        <v>49</v>
      </c>
      <c r="AC504" t="s">
        <v>49</v>
      </c>
      <c r="AD504" t="s">
        <v>184</v>
      </c>
      <c r="AE504" t="s">
        <v>189</v>
      </c>
      <c r="AF504" t="s">
        <v>3016</v>
      </c>
      <c r="AG504" t="s">
        <v>196</v>
      </c>
      <c r="AH504" s="93">
        <f>VLOOKUP(Table1[[#This Row],[Caste]],Factor!$H$1:$K$13,4,0)</f>
        <v>1.2612194085121222</v>
      </c>
      <c r="AI50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04">
        <f>Table1[[#This Row],[Factor_1]]*Table1[[#This Row],[2024 Factor]]</f>
        <v>0.92029223709519836</v>
      </c>
      <c r="AK504">
        <f>VLOOKUP(Table1[[#This Row],[Q18: Gender]],Factor!$A$33:$E$35,5,0)</f>
        <v>0.85034013605442171</v>
      </c>
      <c r="AL504">
        <f>VLOOKUP(Table1[[#This Row],[Taluka]],Factor!$A$42:$G$46,7,0)</f>
        <v>1.147984664167413</v>
      </c>
      <c r="AM504">
        <f>VLOOKUP(Table1[[#This Row],[Caste]]&amp;Table1[[#This Row],[Q18: Gender]],Factor!$W$1:$X$23,2,0)</f>
        <v>0.85249089649430487</v>
      </c>
      <c r="AN504">
        <f>VLOOKUP(Table1[[#This Row],[Taluka]]&amp;Table1[[#This Row],[Caste]]&amp;Table1[[#This Row],[Q18: Gender]],Factor!$AK$4:$AL$93,2,0)</f>
        <v>0.41451794778650441</v>
      </c>
      <c r="AO504">
        <f t="shared" si="77"/>
        <v>-1</v>
      </c>
      <c r="AP504">
        <f t="shared" si="78"/>
        <v>1</v>
      </c>
      <c r="AQ504">
        <f t="shared" si="79"/>
        <v>-1</v>
      </c>
      <c r="AR504">
        <f t="shared" si="80"/>
        <v>-1</v>
      </c>
      <c r="AS504">
        <f t="shared" si="81"/>
        <v>-1</v>
      </c>
      <c r="AT504">
        <f t="shared" si="82"/>
        <v>-1</v>
      </c>
      <c r="AU504">
        <f t="shared" si="83"/>
        <v>-3.5</v>
      </c>
      <c r="AV504">
        <f>SUM(Table1[[#This Row],[Satis]:[29]])</f>
        <v>-4</v>
      </c>
      <c r="AW504">
        <f t="shared" si="84"/>
        <v>-5</v>
      </c>
      <c r="AX504">
        <f t="shared" si="85"/>
        <v>-4</v>
      </c>
      <c r="AY504">
        <f t="shared" si="86"/>
        <v>-3</v>
      </c>
      <c r="AZ504" t="str">
        <f t="shared" si="87"/>
        <v>TDP Sympathiser</v>
      </c>
    </row>
    <row r="505" spans="1:52" x14ac:dyDescent="0.3">
      <c r="A505" t="s">
        <v>2895</v>
      </c>
      <c r="B505" s="94">
        <v>46045</v>
      </c>
      <c r="C505" t="s">
        <v>2896</v>
      </c>
      <c r="D505" t="s">
        <v>2897</v>
      </c>
      <c r="E505" t="s">
        <v>2898</v>
      </c>
      <c r="F505" t="s">
        <v>69</v>
      </c>
      <c r="G505" t="s">
        <v>39</v>
      </c>
      <c r="H505" t="s">
        <v>2899</v>
      </c>
      <c r="I505" t="s">
        <v>228</v>
      </c>
      <c r="J505" t="s">
        <v>219</v>
      </c>
      <c r="K505" t="s">
        <v>220</v>
      </c>
      <c r="L505" t="s">
        <v>50</v>
      </c>
      <c r="M505" t="s">
        <v>443</v>
      </c>
      <c r="N505" t="s">
        <v>63</v>
      </c>
      <c r="O505" t="s">
        <v>2900</v>
      </c>
      <c r="P505">
        <v>9999999999</v>
      </c>
      <c r="Q505" t="s">
        <v>445</v>
      </c>
      <c r="R505" t="s">
        <v>61</v>
      </c>
      <c r="S505" t="s">
        <v>89</v>
      </c>
      <c r="T505" t="s">
        <v>89</v>
      </c>
      <c r="U505" t="s">
        <v>44</v>
      </c>
      <c r="V505" t="s">
        <v>91</v>
      </c>
      <c r="W505" t="s">
        <v>5093</v>
      </c>
      <c r="X505" t="s">
        <v>45</v>
      </c>
      <c r="Y505" t="s">
        <v>638</v>
      </c>
      <c r="Z505" t="s">
        <v>92</v>
      </c>
      <c r="AA505" t="s">
        <v>48</v>
      </c>
      <c r="AB505" t="s">
        <v>49</v>
      </c>
      <c r="AC505" t="s">
        <v>49</v>
      </c>
      <c r="AD505" t="s">
        <v>184</v>
      </c>
      <c r="AE505" t="s">
        <v>1250</v>
      </c>
      <c r="AF505" t="s">
        <v>3017</v>
      </c>
      <c r="AG505" t="s">
        <v>498</v>
      </c>
      <c r="AH505" s="93">
        <f>VLOOKUP(Table1[[#This Row],[Caste]],Factor!$H$1:$K$13,4,0)</f>
        <v>0.80207032429970992</v>
      </c>
      <c r="AI50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05">
        <f>Table1[[#This Row],[Factor_1]]*Table1[[#This Row],[2024 Factor]]</f>
        <v>1.2733258158237817</v>
      </c>
      <c r="AK505">
        <f>VLOOKUP(Table1[[#This Row],[Q18: Gender]],Factor!$A$33:$E$35,5,0)</f>
        <v>2.1645021645021645</v>
      </c>
      <c r="AL505">
        <f>VLOOKUP(Table1[[#This Row],[Taluka]],Factor!$A$42:$G$46,7,0)</f>
        <v>1.147984664167413</v>
      </c>
      <c r="AM505">
        <f>VLOOKUP(Table1[[#This Row],[Caste]]&amp;Table1[[#This Row],[Q18: Gender]],Factor!$W$1:$X$23,2,0)</f>
        <v>1.1795151827936912</v>
      </c>
      <c r="AN505">
        <f>VLOOKUP(Table1[[#This Row],[Taluka]]&amp;Table1[[#This Row],[Caste]]&amp;Table1[[#This Row],[Q18: Gender]],Factor!$AK$4:$AL$93,2,0)</f>
        <v>1.9259322700153538</v>
      </c>
      <c r="AO505">
        <f t="shared" si="77"/>
        <v>1</v>
      </c>
      <c r="AP505">
        <f t="shared" si="78"/>
        <v>-1</v>
      </c>
      <c r="AQ505">
        <f t="shared" si="79"/>
        <v>1</v>
      </c>
      <c r="AR505">
        <f t="shared" si="80"/>
        <v>-1</v>
      </c>
      <c r="AS505">
        <f t="shared" si="81"/>
        <v>-1</v>
      </c>
      <c r="AT505">
        <f t="shared" si="82"/>
        <v>1</v>
      </c>
      <c r="AU505">
        <f t="shared" si="83"/>
        <v>0.5</v>
      </c>
      <c r="AV505">
        <f>SUM(Table1[[#This Row],[Satis]:[29]])</f>
        <v>0</v>
      </c>
      <c r="AW505">
        <f t="shared" si="84"/>
        <v>1</v>
      </c>
      <c r="AX505">
        <f t="shared" si="85"/>
        <v>0</v>
      </c>
      <c r="AY505">
        <f t="shared" si="86"/>
        <v>2</v>
      </c>
      <c r="AZ505" t="str">
        <f t="shared" si="87"/>
        <v>Neutral YSRCP</v>
      </c>
    </row>
    <row r="506" spans="1:52" x14ac:dyDescent="0.3">
      <c r="A506" t="s">
        <v>2901</v>
      </c>
      <c r="B506" s="94">
        <v>46045</v>
      </c>
      <c r="C506" t="s">
        <v>2902</v>
      </c>
      <c r="D506" t="s">
        <v>2903</v>
      </c>
      <c r="E506" t="s">
        <v>2867</v>
      </c>
      <c r="F506" t="s">
        <v>935</v>
      </c>
      <c r="G506" t="s">
        <v>39</v>
      </c>
      <c r="H506" t="s">
        <v>2904</v>
      </c>
      <c r="I506" t="s">
        <v>227</v>
      </c>
      <c r="J506" t="s">
        <v>219</v>
      </c>
      <c r="K506" t="s">
        <v>225</v>
      </c>
      <c r="L506" t="s">
        <v>170</v>
      </c>
      <c r="M506" t="s">
        <v>51</v>
      </c>
      <c r="N506" t="s">
        <v>162</v>
      </c>
      <c r="O506" t="s">
        <v>2905</v>
      </c>
      <c r="P506">
        <v>9948597790</v>
      </c>
      <c r="Q506" t="s">
        <v>445</v>
      </c>
      <c r="R506" t="s">
        <v>2116</v>
      </c>
      <c r="S506" t="s">
        <v>88</v>
      </c>
      <c r="T506" t="s">
        <v>43</v>
      </c>
      <c r="U506" t="s">
        <v>44</v>
      </c>
      <c r="V506" t="s">
        <v>45</v>
      </c>
      <c r="W506" t="s">
        <v>5062</v>
      </c>
      <c r="X506" t="s">
        <v>45</v>
      </c>
      <c r="Y506" t="s">
        <v>46</v>
      </c>
      <c r="Z506" t="s">
        <v>47</v>
      </c>
      <c r="AA506" t="s">
        <v>691</v>
      </c>
      <c r="AB506" t="s">
        <v>49</v>
      </c>
      <c r="AC506" t="s">
        <v>49</v>
      </c>
      <c r="AD506" t="s">
        <v>184</v>
      </c>
      <c r="AE506" t="s">
        <v>191</v>
      </c>
      <c r="AF506" t="s">
        <v>3018</v>
      </c>
      <c r="AG506" t="s">
        <v>498</v>
      </c>
      <c r="AH506" s="93">
        <f>VLOOKUP(Table1[[#This Row],[Caste]],Factor!$H$1:$K$13,4,0)</f>
        <v>1.2612194085121222</v>
      </c>
      <c r="AI506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506">
        <f>Table1[[#This Row],[Factor_1]]*Table1[[#This Row],[2024 Factor]]</f>
        <v>1.6028209406152043</v>
      </c>
      <c r="AK506">
        <f>VLOOKUP(Table1[[#This Row],[Q18: Gender]],Factor!$A$33:$E$35,5,0)</f>
        <v>2.1645021645021645</v>
      </c>
      <c r="AL506">
        <f>VLOOKUP(Table1[[#This Row],[Taluka]],Factor!$A$42:$G$46,7,0)</f>
        <v>1.147984664167413</v>
      </c>
      <c r="AM506">
        <f>VLOOKUP(Table1[[#This Row],[Caste]]&amp;Table1[[#This Row],[Q18: Gender]],Factor!$W$1:$X$23,2,0)</f>
        <v>2.4228688637206557</v>
      </c>
      <c r="AN506">
        <f>VLOOKUP(Table1[[#This Row],[Taluka]]&amp;Table1[[#This Row],[Caste]]&amp;Table1[[#This Row],[Q18: Gender]],Factor!$AK$4:$AL$93,2,0)</f>
        <v>2.2107623881946901</v>
      </c>
      <c r="AO506">
        <f t="shared" si="77"/>
        <v>-1</v>
      </c>
      <c r="AP506">
        <f t="shared" si="78"/>
        <v>-1</v>
      </c>
      <c r="AQ506">
        <f t="shared" si="79"/>
        <v>-1</v>
      </c>
      <c r="AR506">
        <f t="shared" si="80"/>
        <v>-1</v>
      </c>
      <c r="AS506">
        <f t="shared" si="81"/>
        <v>-1</v>
      </c>
      <c r="AT506">
        <f t="shared" si="82"/>
        <v>-1</v>
      </c>
      <c r="AU506">
        <f t="shared" si="83"/>
        <v>-5.5</v>
      </c>
      <c r="AV506">
        <f>SUM(Table1[[#This Row],[Satis]:[29]])</f>
        <v>-6</v>
      </c>
      <c r="AW506">
        <f t="shared" si="84"/>
        <v>-5</v>
      </c>
      <c r="AX506">
        <f t="shared" si="85"/>
        <v>-4</v>
      </c>
      <c r="AY506">
        <f t="shared" si="86"/>
        <v>-3</v>
      </c>
      <c r="AZ506" t="str">
        <f t="shared" si="87"/>
        <v>TDP HardCore</v>
      </c>
    </row>
    <row r="507" spans="1:52" x14ac:dyDescent="0.3">
      <c r="A507" t="s">
        <v>2906</v>
      </c>
      <c r="B507" s="94">
        <v>46045</v>
      </c>
      <c r="C507" t="s">
        <v>2907</v>
      </c>
      <c r="D507" t="s">
        <v>2908</v>
      </c>
      <c r="E507" t="s">
        <v>2867</v>
      </c>
      <c r="F507" t="s">
        <v>935</v>
      </c>
      <c r="G507" t="s">
        <v>39</v>
      </c>
      <c r="H507" t="s">
        <v>2909</v>
      </c>
      <c r="I507" t="s">
        <v>227</v>
      </c>
      <c r="J507" t="s">
        <v>219</v>
      </c>
      <c r="K507" t="s">
        <v>225</v>
      </c>
      <c r="L507" t="s">
        <v>62</v>
      </c>
      <c r="M507" t="s">
        <v>51</v>
      </c>
      <c r="N507" t="s">
        <v>63</v>
      </c>
      <c r="O507" t="s">
        <v>2406</v>
      </c>
      <c r="P507">
        <v>9618053268</v>
      </c>
      <c r="Q507" t="s">
        <v>445</v>
      </c>
      <c r="R507" t="s">
        <v>139</v>
      </c>
      <c r="S507" t="s">
        <v>88</v>
      </c>
      <c r="T507" t="s">
        <v>43</v>
      </c>
      <c r="U507" t="s">
        <v>44</v>
      </c>
      <c r="V507" t="s">
        <v>91</v>
      </c>
      <c r="W507" t="s">
        <v>5062</v>
      </c>
      <c r="X507" t="s">
        <v>45</v>
      </c>
      <c r="Y507" t="s">
        <v>46</v>
      </c>
      <c r="Z507" t="s">
        <v>47</v>
      </c>
      <c r="AA507" t="s">
        <v>48</v>
      </c>
      <c r="AB507" t="s">
        <v>49</v>
      </c>
      <c r="AC507" t="s">
        <v>49</v>
      </c>
      <c r="AD507" t="s">
        <v>184</v>
      </c>
      <c r="AE507" t="s">
        <v>1250</v>
      </c>
      <c r="AF507">
        <v>0</v>
      </c>
      <c r="AG507" t="s">
        <v>498</v>
      </c>
      <c r="AH507" s="93">
        <f>VLOOKUP(Table1[[#This Row],[Caste]],Factor!$H$1:$K$13,4,0)</f>
        <v>1.2612194085121222</v>
      </c>
      <c r="AI50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07">
        <f>Table1[[#This Row],[Factor_1]]*Table1[[#This Row],[2024 Factor]]</f>
        <v>2.6155674106916162</v>
      </c>
      <c r="AK507">
        <f>VLOOKUP(Table1[[#This Row],[Q18: Gender]],Factor!$A$33:$E$35,5,0)</f>
        <v>2.1645021645021645</v>
      </c>
      <c r="AL507">
        <f>VLOOKUP(Table1[[#This Row],[Taluka]],Factor!$A$42:$G$46,7,0)</f>
        <v>1.147984664167413</v>
      </c>
      <c r="AM507">
        <f>VLOOKUP(Table1[[#This Row],[Caste]]&amp;Table1[[#This Row],[Q18: Gender]],Factor!$W$1:$X$23,2,0)</f>
        <v>2.4228688637206557</v>
      </c>
      <c r="AN507">
        <f>VLOOKUP(Table1[[#This Row],[Taluka]]&amp;Table1[[#This Row],[Caste]]&amp;Table1[[#This Row],[Q18: Gender]],Factor!$AK$4:$AL$93,2,0)</f>
        <v>2.2107623881946901</v>
      </c>
      <c r="AO507">
        <f t="shared" si="77"/>
        <v>-1</v>
      </c>
      <c r="AP507">
        <f t="shared" si="78"/>
        <v>-1</v>
      </c>
      <c r="AQ507">
        <f t="shared" si="79"/>
        <v>1</v>
      </c>
      <c r="AR507">
        <f t="shared" si="80"/>
        <v>-1</v>
      </c>
      <c r="AS507">
        <f t="shared" si="81"/>
        <v>-1</v>
      </c>
      <c r="AT507">
        <f t="shared" si="82"/>
        <v>-1</v>
      </c>
      <c r="AU507">
        <f t="shared" si="83"/>
        <v>-3.5</v>
      </c>
      <c r="AV507">
        <f>SUM(Table1[[#This Row],[Satis]:[29]])</f>
        <v>-4</v>
      </c>
      <c r="AW507">
        <f t="shared" si="84"/>
        <v>-3</v>
      </c>
      <c r="AX507">
        <f t="shared" si="85"/>
        <v>-2</v>
      </c>
      <c r="AY507">
        <f t="shared" si="86"/>
        <v>-3</v>
      </c>
      <c r="AZ507" t="str">
        <f t="shared" si="87"/>
        <v>Neutral TDP</v>
      </c>
    </row>
    <row r="508" spans="1:52" x14ac:dyDescent="0.3">
      <c r="A508" t="s">
        <v>2910</v>
      </c>
      <c r="B508" s="94">
        <v>46045</v>
      </c>
      <c r="C508" t="s">
        <v>2911</v>
      </c>
      <c r="D508" t="s">
        <v>2912</v>
      </c>
      <c r="E508" t="s">
        <v>2913</v>
      </c>
      <c r="F508" t="s">
        <v>2547</v>
      </c>
      <c r="G508" t="s">
        <v>39</v>
      </c>
      <c r="H508" t="s">
        <v>2914</v>
      </c>
      <c r="I508" t="s">
        <v>36</v>
      </c>
      <c r="J508" t="s">
        <v>219</v>
      </c>
      <c r="K508" t="s">
        <v>222</v>
      </c>
      <c r="L508" t="s">
        <v>451</v>
      </c>
      <c r="M508" t="s">
        <v>51</v>
      </c>
      <c r="N508" t="s">
        <v>63</v>
      </c>
      <c r="O508" t="s">
        <v>2915</v>
      </c>
      <c r="P508">
        <v>7749527345</v>
      </c>
      <c r="Q508" t="s">
        <v>445</v>
      </c>
      <c r="R508" t="s">
        <v>132</v>
      </c>
      <c r="S508" t="s">
        <v>43</v>
      </c>
      <c r="T508" t="s">
        <v>43</v>
      </c>
      <c r="U508" t="s">
        <v>44</v>
      </c>
      <c r="V508" t="s">
        <v>45</v>
      </c>
      <c r="W508" t="s">
        <v>74</v>
      </c>
      <c r="X508" t="s">
        <v>45</v>
      </c>
      <c r="Y508" t="s">
        <v>46</v>
      </c>
      <c r="Z508" t="s">
        <v>47</v>
      </c>
      <c r="AA508" t="s">
        <v>48</v>
      </c>
      <c r="AB508" t="s">
        <v>49</v>
      </c>
      <c r="AC508" t="s">
        <v>49</v>
      </c>
      <c r="AD508" t="s">
        <v>184</v>
      </c>
      <c r="AE508" t="s">
        <v>1250</v>
      </c>
      <c r="AF508">
        <v>0</v>
      </c>
      <c r="AG508" t="s">
        <v>498</v>
      </c>
      <c r="AH508" s="93">
        <f>VLOOKUP(Table1[[#This Row],[Caste]],Factor!$H$1:$K$13,4,0)</f>
        <v>1.1705128247062893</v>
      </c>
      <c r="AI50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08">
        <f>Table1[[#This Row],[Factor_1]]*Table1[[#This Row],[2024 Factor]]</f>
        <v>2.3577066232182737</v>
      </c>
      <c r="AK508">
        <f>VLOOKUP(Table1[[#This Row],[Q18: Gender]],Factor!$A$33:$E$35,5,0)</f>
        <v>2.1645021645021645</v>
      </c>
      <c r="AL508">
        <f>VLOOKUP(Table1[[#This Row],[Taluka]],Factor!$A$42:$G$46,7,0)</f>
        <v>1.147984664167413</v>
      </c>
      <c r="AM508">
        <f>VLOOKUP(Table1[[#This Row],[Caste]]&amp;Table1[[#This Row],[Q18: Gender]],Factor!$W$1:$X$23,2,0)</f>
        <v>2.1840056363422229</v>
      </c>
      <c r="AN508">
        <f>VLOOKUP(Table1[[#This Row],[Taluka]]&amp;Table1[[#This Row],[Caste]]&amp;Table1[[#This Row],[Q18: Gender]],Factor!$AK$4:$AL$93,2,0)</f>
        <v>25.80164641806067</v>
      </c>
      <c r="AO508">
        <f t="shared" si="77"/>
        <v>-1</v>
      </c>
      <c r="AP508">
        <f t="shared" si="78"/>
        <v>-1</v>
      </c>
      <c r="AQ508">
        <f t="shared" si="79"/>
        <v>-1</v>
      </c>
      <c r="AR508">
        <f t="shared" si="80"/>
        <v>-1</v>
      </c>
      <c r="AS508">
        <f t="shared" si="81"/>
        <v>-1</v>
      </c>
      <c r="AT508">
        <f t="shared" si="82"/>
        <v>-1</v>
      </c>
      <c r="AU508">
        <f t="shared" si="83"/>
        <v>-5.5</v>
      </c>
      <c r="AV508">
        <f>SUM(Table1[[#This Row],[Satis]:[29]])</f>
        <v>-6</v>
      </c>
      <c r="AW508">
        <f t="shared" si="84"/>
        <v>-5</v>
      </c>
      <c r="AX508">
        <f t="shared" si="85"/>
        <v>-4</v>
      </c>
      <c r="AY508">
        <f t="shared" si="86"/>
        <v>-3</v>
      </c>
      <c r="AZ508" t="str">
        <f t="shared" si="87"/>
        <v>TDP HardCore</v>
      </c>
    </row>
    <row r="509" spans="1:52" x14ac:dyDescent="0.3">
      <c r="A509" t="s">
        <v>2916</v>
      </c>
      <c r="B509" s="94">
        <v>46045</v>
      </c>
      <c r="C509" t="s">
        <v>2917</v>
      </c>
      <c r="D509" t="s">
        <v>2918</v>
      </c>
      <c r="E509" t="s">
        <v>2919</v>
      </c>
      <c r="F509" t="s">
        <v>935</v>
      </c>
      <c r="G509" t="s">
        <v>39</v>
      </c>
      <c r="H509" t="s">
        <v>2920</v>
      </c>
      <c r="I509" t="s">
        <v>227</v>
      </c>
      <c r="J509" t="s">
        <v>219</v>
      </c>
      <c r="K509" t="s">
        <v>225</v>
      </c>
      <c r="L509" t="s">
        <v>82</v>
      </c>
      <c r="M509" t="s">
        <v>51</v>
      </c>
      <c r="N509" t="s">
        <v>107</v>
      </c>
      <c r="O509" t="s">
        <v>2921</v>
      </c>
      <c r="P509">
        <v>8008355795</v>
      </c>
      <c r="Q509" t="s">
        <v>54</v>
      </c>
      <c r="R509" t="s">
        <v>139</v>
      </c>
      <c r="S509" t="s">
        <v>43</v>
      </c>
      <c r="T509" t="s">
        <v>43</v>
      </c>
      <c r="U509" t="s">
        <v>44</v>
      </c>
      <c r="V509" t="s">
        <v>45</v>
      </c>
      <c r="W509" t="s">
        <v>5057</v>
      </c>
      <c r="X509" t="s">
        <v>45</v>
      </c>
      <c r="Y509" t="s">
        <v>46</v>
      </c>
      <c r="Z509" t="s">
        <v>47</v>
      </c>
      <c r="AA509" t="s">
        <v>48</v>
      </c>
      <c r="AB509" t="s">
        <v>49</v>
      </c>
      <c r="AC509" t="s">
        <v>49</v>
      </c>
      <c r="AD509" t="s">
        <v>184</v>
      </c>
      <c r="AE509" t="s">
        <v>185</v>
      </c>
      <c r="AF509" t="s">
        <v>3019</v>
      </c>
      <c r="AG509" t="s">
        <v>196</v>
      </c>
      <c r="AH509" s="93">
        <f>VLOOKUP(Table1[[#This Row],[Caste]],Factor!$H$1:$K$13,4,0)</f>
        <v>1.2612194085121222</v>
      </c>
      <c r="AI50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09">
        <f>Table1[[#This Row],[Factor_1]]*Table1[[#This Row],[2024 Factor]]</f>
        <v>0.92029223709519836</v>
      </c>
      <c r="AK509">
        <f>VLOOKUP(Table1[[#This Row],[Q18: Gender]],Factor!$A$33:$E$35,5,0)</f>
        <v>0.85034013605442171</v>
      </c>
      <c r="AL509">
        <f>VLOOKUP(Table1[[#This Row],[Taluka]],Factor!$A$42:$G$46,7,0)</f>
        <v>1.147984664167413</v>
      </c>
      <c r="AM509">
        <f>VLOOKUP(Table1[[#This Row],[Caste]]&amp;Table1[[#This Row],[Q18: Gender]],Factor!$W$1:$X$23,2,0)</f>
        <v>0.85249089649430487</v>
      </c>
      <c r="AN509">
        <f>VLOOKUP(Table1[[#This Row],[Taluka]]&amp;Table1[[#This Row],[Caste]]&amp;Table1[[#This Row],[Q18: Gender]],Factor!$AK$4:$AL$93,2,0)</f>
        <v>0.41451794778650441</v>
      </c>
      <c r="AO509">
        <f t="shared" si="77"/>
        <v>-1</v>
      </c>
      <c r="AP509">
        <f t="shared" si="78"/>
        <v>-1</v>
      </c>
      <c r="AQ509">
        <f t="shared" si="79"/>
        <v>-1</v>
      </c>
      <c r="AR509">
        <f t="shared" si="80"/>
        <v>-1</v>
      </c>
      <c r="AS509">
        <f t="shared" si="81"/>
        <v>-1</v>
      </c>
      <c r="AT509">
        <f t="shared" si="82"/>
        <v>-1</v>
      </c>
      <c r="AU509">
        <f t="shared" si="83"/>
        <v>-5.5</v>
      </c>
      <c r="AV509">
        <f>SUM(Table1[[#This Row],[Satis]:[29]])</f>
        <v>-6</v>
      </c>
      <c r="AW509">
        <f t="shared" si="84"/>
        <v>-5</v>
      </c>
      <c r="AX509">
        <f t="shared" si="85"/>
        <v>-4</v>
      </c>
      <c r="AY509">
        <f t="shared" si="86"/>
        <v>-3</v>
      </c>
      <c r="AZ509" t="str">
        <f t="shared" si="87"/>
        <v>TDP HardCore</v>
      </c>
    </row>
    <row r="510" spans="1:52" x14ac:dyDescent="0.3">
      <c r="A510" t="s">
        <v>2922</v>
      </c>
      <c r="B510" s="94">
        <v>46045</v>
      </c>
      <c r="C510" t="s">
        <v>2923</v>
      </c>
      <c r="D510" t="s">
        <v>2924</v>
      </c>
      <c r="E510" t="s">
        <v>2925</v>
      </c>
      <c r="F510" t="s">
        <v>2547</v>
      </c>
      <c r="G510" t="s">
        <v>39</v>
      </c>
      <c r="H510" t="s">
        <v>2926</v>
      </c>
      <c r="I510" t="s">
        <v>36</v>
      </c>
      <c r="J510" t="s">
        <v>219</v>
      </c>
      <c r="K510" t="s">
        <v>222</v>
      </c>
      <c r="L510" t="s">
        <v>50</v>
      </c>
      <c r="M510" t="s">
        <v>51</v>
      </c>
      <c r="N510" t="s">
        <v>52</v>
      </c>
      <c r="O510" t="s">
        <v>2927</v>
      </c>
      <c r="P510">
        <v>9618715671</v>
      </c>
      <c r="Q510" t="s">
        <v>445</v>
      </c>
      <c r="R510" t="s">
        <v>132</v>
      </c>
      <c r="S510" t="s">
        <v>43</v>
      </c>
      <c r="T510" t="s">
        <v>43</v>
      </c>
      <c r="U510" t="s">
        <v>44</v>
      </c>
      <c r="V510" t="s">
        <v>45</v>
      </c>
      <c r="W510" t="s">
        <v>5056</v>
      </c>
      <c r="X510" t="s">
        <v>45</v>
      </c>
      <c r="Y510" t="s">
        <v>46</v>
      </c>
      <c r="Z510" t="s">
        <v>47</v>
      </c>
      <c r="AA510" t="s">
        <v>48</v>
      </c>
      <c r="AB510" t="s">
        <v>49</v>
      </c>
      <c r="AC510" t="s">
        <v>49</v>
      </c>
      <c r="AD510" t="s">
        <v>184</v>
      </c>
      <c r="AE510" t="s">
        <v>1250</v>
      </c>
      <c r="AF510">
        <v>0</v>
      </c>
      <c r="AG510" t="s">
        <v>498</v>
      </c>
      <c r="AH510" s="93">
        <f>VLOOKUP(Table1[[#This Row],[Caste]],Factor!$H$1:$K$13,4,0)</f>
        <v>1.1705128247062893</v>
      </c>
      <c r="AI51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10">
        <f>Table1[[#This Row],[Factor_1]]*Table1[[#This Row],[2024 Factor]]</f>
        <v>2.3577066232182737</v>
      </c>
      <c r="AK510">
        <f>VLOOKUP(Table1[[#This Row],[Q18: Gender]],Factor!$A$33:$E$35,5,0)</f>
        <v>2.1645021645021645</v>
      </c>
      <c r="AL510">
        <f>VLOOKUP(Table1[[#This Row],[Taluka]],Factor!$A$42:$G$46,7,0)</f>
        <v>1.147984664167413</v>
      </c>
      <c r="AM510">
        <f>VLOOKUP(Table1[[#This Row],[Caste]]&amp;Table1[[#This Row],[Q18: Gender]],Factor!$W$1:$X$23,2,0)</f>
        <v>2.1840056363422229</v>
      </c>
      <c r="AN510">
        <f>VLOOKUP(Table1[[#This Row],[Taluka]]&amp;Table1[[#This Row],[Caste]]&amp;Table1[[#This Row],[Q18: Gender]],Factor!$AK$4:$AL$93,2,0)</f>
        <v>25.80164641806067</v>
      </c>
      <c r="AO510">
        <f t="shared" si="77"/>
        <v>-1</v>
      </c>
      <c r="AP510">
        <f t="shared" si="78"/>
        <v>-1</v>
      </c>
      <c r="AQ510">
        <f t="shared" si="79"/>
        <v>-1</v>
      </c>
      <c r="AR510">
        <f t="shared" si="80"/>
        <v>-1</v>
      </c>
      <c r="AS510">
        <f t="shared" si="81"/>
        <v>-1</v>
      </c>
      <c r="AT510">
        <f t="shared" si="82"/>
        <v>-1</v>
      </c>
      <c r="AU510">
        <f t="shared" si="83"/>
        <v>-5.5</v>
      </c>
      <c r="AV510">
        <f>SUM(Table1[[#This Row],[Satis]:[29]])</f>
        <v>-6</v>
      </c>
      <c r="AW510">
        <f t="shared" si="84"/>
        <v>-5</v>
      </c>
      <c r="AX510">
        <f t="shared" si="85"/>
        <v>-4</v>
      </c>
      <c r="AY510">
        <f t="shared" si="86"/>
        <v>-3</v>
      </c>
      <c r="AZ510" t="str">
        <f t="shared" si="87"/>
        <v>TDP HardCore</v>
      </c>
    </row>
    <row r="511" spans="1:52" x14ac:dyDescent="0.3">
      <c r="A511" t="s">
        <v>2928</v>
      </c>
      <c r="B511" s="94">
        <v>46045</v>
      </c>
      <c r="C511" t="s">
        <v>2929</v>
      </c>
      <c r="D511" t="s">
        <v>2930</v>
      </c>
      <c r="E511" t="s">
        <v>2919</v>
      </c>
      <c r="F511" t="s">
        <v>935</v>
      </c>
      <c r="G511" t="s">
        <v>39</v>
      </c>
      <c r="H511" t="s">
        <v>2931</v>
      </c>
      <c r="I511" t="s">
        <v>227</v>
      </c>
      <c r="J511" t="s">
        <v>219</v>
      </c>
      <c r="K511" t="s">
        <v>225</v>
      </c>
      <c r="L511" t="s">
        <v>62</v>
      </c>
      <c r="M511" t="s">
        <v>51</v>
      </c>
      <c r="N511" t="s">
        <v>52</v>
      </c>
      <c r="O511" t="s">
        <v>2932</v>
      </c>
      <c r="P511">
        <v>6308549660</v>
      </c>
      <c r="Q511" t="s">
        <v>54</v>
      </c>
      <c r="R511" t="s">
        <v>139</v>
      </c>
      <c r="S511" t="s">
        <v>43</v>
      </c>
      <c r="T511" t="s">
        <v>43</v>
      </c>
      <c r="U511" t="s">
        <v>44</v>
      </c>
      <c r="V511" t="s">
        <v>45</v>
      </c>
      <c r="W511" t="s">
        <v>5055</v>
      </c>
      <c r="X511" t="s">
        <v>45</v>
      </c>
      <c r="Y511" t="s">
        <v>46</v>
      </c>
      <c r="Z511" t="s">
        <v>47</v>
      </c>
      <c r="AA511" t="s">
        <v>48</v>
      </c>
      <c r="AB511" t="s">
        <v>49</v>
      </c>
      <c r="AC511" t="s">
        <v>49</v>
      </c>
      <c r="AD511" t="s">
        <v>184</v>
      </c>
      <c r="AE511" t="s">
        <v>1250</v>
      </c>
      <c r="AF511">
        <v>0</v>
      </c>
      <c r="AG511" t="s">
        <v>498</v>
      </c>
      <c r="AH511" s="93">
        <f>VLOOKUP(Table1[[#This Row],[Caste]],Factor!$H$1:$K$13,4,0)</f>
        <v>1.2612194085121222</v>
      </c>
      <c r="AI51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11">
        <f>Table1[[#This Row],[Factor_1]]*Table1[[#This Row],[2024 Factor]]</f>
        <v>0.92029223709519836</v>
      </c>
      <c r="AK511">
        <f>VLOOKUP(Table1[[#This Row],[Q18: Gender]],Factor!$A$33:$E$35,5,0)</f>
        <v>0.85034013605442171</v>
      </c>
      <c r="AL511">
        <f>VLOOKUP(Table1[[#This Row],[Taluka]],Factor!$A$42:$G$46,7,0)</f>
        <v>1.147984664167413</v>
      </c>
      <c r="AM511">
        <f>VLOOKUP(Table1[[#This Row],[Caste]]&amp;Table1[[#This Row],[Q18: Gender]],Factor!$W$1:$X$23,2,0)</f>
        <v>0.85249089649430487</v>
      </c>
      <c r="AN511">
        <f>VLOOKUP(Table1[[#This Row],[Taluka]]&amp;Table1[[#This Row],[Caste]]&amp;Table1[[#This Row],[Q18: Gender]],Factor!$AK$4:$AL$93,2,0)</f>
        <v>0.41451794778650441</v>
      </c>
      <c r="AO511">
        <f t="shared" si="77"/>
        <v>-1</v>
      </c>
      <c r="AP511">
        <f t="shared" si="78"/>
        <v>-1</v>
      </c>
      <c r="AQ511">
        <f t="shared" si="79"/>
        <v>-1</v>
      </c>
      <c r="AR511">
        <f t="shared" si="80"/>
        <v>-1</v>
      </c>
      <c r="AS511">
        <f t="shared" si="81"/>
        <v>-1</v>
      </c>
      <c r="AT511">
        <f t="shared" si="82"/>
        <v>-1</v>
      </c>
      <c r="AU511">
        <f t="shared" si="83"/>
        <v>-5.5</v>
      </c>
      <c r="AV511">
        <f>SUM(Table1[[#This Row],[Satis]:[29]])</f>
        <v>-6</v>
      </c>
      <c r="AW511">
        <f t="shared" si="84"/>
        <v>-5</v>
      </c>
      <c r="AX511">
        <f t="shared" si="85"/>
        <v>-4</v>
      </c>
      <c r="AY511">
        <f t="shared" si="86"/>
        <v>-3</v>
      </c>
      <c r="AZ511" t="str">
        <f t="shared" si="87"/>
        <v>TDP HardCore</v>
      </c>
    </row>
    <row r="512" spans="1:52" x14ac:dyDescent="0.3">
      <c r="A512" t="s">
        <v>2933</v>
      </c>
      <c r="B512" s="94">
        <v>46045</v>
      </c>
      <c r="C512" t="s">
        <v>2934</v>
      </c>
      <c r="D512" t="s">
        <v>2935</v>
      </c>
      <c r="E512" t="s">
        <v>2936</v>
      </c>
      <c r="F512" t="s">
        <v>2547</v>
      </c>
      <c r="G512" t="s">
        <v>39</v>
      </c>
      <c r="H512" t="s">
        <v>2937</v>
      </c>
      <c r="I512" t="s">
        <v>230</v>
      </c>
      <c r="J512" t="s">
        <v>219</v>
      </c>
      <c r="K512" t="s">
        <v>222</v>
      </c>
      <c r="L512" t="s">
        <v>62</v>
      </c>
      <c r="M512" t="s">
        <v>49</v>
      </c>
      <c r="N512" t="s">
        <v>49</v>
      </c>
      <c r="O512" t="s">
        <v>49</v>
      </c>
      <c r="P512" t="s">
        <v>49</v>
      </c>
      <c r="Q512" t="s">
        <v>49</v>
      </c>
      <c r="R512" t="s">
        <v>132</v>
      </c>
      <c r="S512" t="s">
        <v>43</v>
      </c>
      <c r="T512" t="s">
        <v>43</v>
      </c>
      <c r="U512" t="s">
        <v>44</v>
      </c>
      <c r="V512" t="s">
        <v>45</v>
      </c>
      <c r="W512" t="s">
        <v>5056</v>
      </c>
      <c r="X512" t="s">
        <v>45</v>
      </c>
      <c r="Y512" t="s">
        <v>46</v>
      </c>
      <c r="Z512" t="s">
        <v>47</v>
      </c>
      <c r="AA512" t="s">
        <v>48</v>
      </c>
      <c r="AB512" t="s">
        <v>49</v>
      </c>
      <c r="AC512" t="s">
        <v>49</v>
      </c>
      <c r="AD512" t="s">
        <v>494</v>
      </c>
      <c r="AE512" t="s">
        <v>191</v>
      </c>
      <c r="AF512" t="s">
        <v>3020</v>
      </c>
      <c r="AG512" t="s">
        <v>498</v>
      </c>
      <c r="AH512" s="93">
        <f>VLOOKUP(Table1[[#This Row],[Caste]],Factor!$H$1:$K$13,4,0)</f>
        <v>1.0786696182614144</v>
      </c>
      <c r="AI51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12" t="e">
        <f>Table1[[#This Row],[Factor_1]]*Table1[[#This Row],[2024 Factor]]</f>
        <v>#N/A</v>
      </c>
      <c r="AK512" t="e">
        <f>VLOOKUP(Table1[[#This Row],[Q18: Gender]],Factor!$A$33:$E$35,5,0)</f>
        <v>#N/A</v>
      </c>
      <c r="AL512">
        <f>VLOOKUP(Table1[[#This Row],[Taluka]],Factor!$A$42:$G$46,7,0)</f>
        <v>1.147984664167413</v>
      </c>
      <c r="AM512" t="e">
        <f>VLOOKUP(Table1[[#This Row],[Caste]]&amp;Table1[[#This Row],[Q18: Gender]],Factor!$W$1:$X$23,2,0)</f>
        <v>#N/A</v>
      </c>
      <c r="AN512" t="e">
        <f>VLOOKUP(Table1[[#This Row],[Taluka]]&amp;Table1[[#This Row],[Caste]]&amp;Table1[[#This Row],[Q18: Gender]],Factor!$AK$4:$AL$93,2,0)</f>
        <v>#N/A</v>
      </c>
      <c r="AO512">
        <f t="shared" si="77"/>
        <v>-1</v>
      </c>
      <c r="AP512">
        <f t="shared" si="78"/>
        <v>-1</v>
      </c>
      <c r="AQ512">
        <f t="shared" si="79"/>
        <v>-1</v>
      </c>
      <c r="AR512">
        <f t="shared" si="80"/>
        <v>-1</v>
      </c>
      <c r="AS512">
        <f t="shared" si="81"/>
        <v>-1</v>
      </c>
      <c r="AT512">
        <f t="shared" si="82"/>
        <v>-1</v>
      </c>
      <c r="AU512">
        <f t="shared" si="83"/>
        <v>-5.5</v>
      </c>
      <c r="AV512">
        <f>SUM(Table1[[#This Row],[Satis]:[29]])</f>
        <v>-6</v>
      </c>
      <c r="AW512">
        <f t="shared" si="84"/>
        <v>-5</v>
      </c>
      <c r="AX512">
        <f t="shared" si="85"/>
        <v>-4</v>
      </c>
      <c r="AY512">
        <f t="shared" si="86"/>
        <v>-3</v>
      </c>
      <c r="AZ512" t="str">
        <f t="shared" si="87"/>
        <v>TDP HardCore</v>
      </c>
    </row>
    <row r="513" spans="1:52" x14ac:dyDescent="0.3">
      <c r="A513" t="s">
        <v>2938</v>
      </c>
      <c r="B513" s="94">
        <v>46045</v>
      </c>
      <c r="C513" t="s">
        <v>2939</v>
      </c>
      <c r="D513" t="s">
        <v>2940</v>
      </c>
      <c r="E513" t="s">
        <v>2941</v>
      </c>
      <c r="F513" t="s">
        <v>935</v>
      </c>
      <c r="G513" t="s">
        <v>39</v>
      </c>
      <c r="H513" t="s">
        <v>2942</v>
      </c>
      <c r="I513" t="s">
        <v>59</v>
      </c>
      <c r="J513" t="s">
        <v>219</v>
      </c>
      <c r="K513" t="s">
        <v>225</v>
      </c>
      <c r="L513" t="s">
        <v>62</v>
      </c>
      <c r="M513" t="s">
        <v>51</v>
      </c>
      <c r="N513" t="s">
        <v>63</v>
      </c>
      <c r="O513" t="s">
        <v>2696</v>
      </c>
      <c r="P513">
        <v>8008569320</v>
      </c>
      <c r="Q513" t="s">
        <v>54</v>
      </c>
      <c r="R513" t="s">
        <v>139</v>
      </c>
      <c r="S513" t="s">
        <v>43</v>
      </c>
      <c r="T513" t="s">
        <v>43</v>
      </c>
      <c r="U513" t="s">
        <v>44</v>
      </c>
      <c r="V513" t="s">
        <v>91</v>
      </c>
      <c r="W513" t="s">
        <v>5058</v>
      </c>
      <c r="X513" t="s">
        <v>45</v>
      </c>
      <c r="Y513" t="s">
        <v>46</v>
      </c>
      <c r="Z513" t="s">
        <v>47</v>
      </c>
      <c r="AA513" t="s">
        <v>48</v>
      </c>
      <c r="AB513" t="s">
        <v>49</v>
      </c>
      <c r="AC513" t="s">
        <v>49</v>
      </c>
      <c r="AD513" t="s">
        <v>481</v>
      </c>
      <c r="AE513" t="s">
        <v>1250</v>
      </c>
      <c r="AF513">
        <v>0</v>
      </c>
      <c r="AG513" t="s">
        <v>498</v>
      </c>
      <c r="AH513" s="93">
        <f>VLOOKUP(Table1[[#This Row],[Caste]],Factor!$H$1:$K$13,4,0)</f>
        <v>1.1461625511156397</v>
      </c>
      <c r="AI51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13">
        <f>Table1[[#This Row],[Factor_1]]*Table1[[#This Row],[2024 Factor]]</f>
        <v>0.77721139583220644</v>
      </c>
      <c r="AK513">
        <f>VLOOKUP(Table1[[#This Row],[Q18: Gender]],Factor!$A$33:$E$35,5,0)</f>
        <v>0.85034013605442171</v>
      </c>
      <c r="AL513">
        <f>VLOOKUP(Table1[[#This Row],[Taluka]],Factor!$A$42:$G$46,7,0)</f>
        <v>1.147984664167413</v>
      </c>
      <c r="AM513">
        <f>VLOOKUP(Table1[[#This Row],[Caste]]&amp;Table1[[#This Row],[Q18: Gender]],Factor!$W$1:$X$23,2,0)</f>
        <v>0.71995135120329123</v>
      </c>
      <c r="AN513">
        <f>VLOOKUP(Table1[[#This Row],[Taluka]]&amp;Table1[[#This Row],[Caste]]&amp;Table1[[#This Row],[Q18: Gender]],Factor!$AK$4:$AL$93,2,0)</f>
        <v>0.54319084681293095</v>
      </c>
      <c r="AO513">
        <f t="shared" si="77"/>
        <v>-1</v>
      </c>
      <c r="AP513">
        <f t="shared" si="78"/>
        <v>-1</v>
      </c>
      <c r="AQ513">
        <f t="shared" si="79"/>
        <v>1</v>
      </c>
      <c r="AR513">
        <f t="shared" si="80"/>
        <v>-1</v>
      </c>
      <c r="AS513">
        <f t="shared" si="81"/>
        <v>-1</v>
      </c>
      <c r="AT513">
        <f t="shared" si="82"/>
        <v>-1</v>
      </c>
      <c r="AU513">
        <f t="shared" si="83"/>
        <v>-3.5</v>
      </c>
      <c r="AV513">
        <f>SUM(Table1[[#This Row],[Satis]:[29]])</f>
        <v>-4</v>
      </c>
      <c r="AW513">
        <f t="shared" si="84"/>
        <v>-3</v>
      </c>
      <c r="AX513">
        <f t="shared" si="85"/>
        <v>-2</v>
      </c>
      <c r="AY513">
        <f t="shared" si="86"/>
        <v>-3</v>
      </c>
      <c r="AZ513" t="str">
        <f t="shared" si="87"/>
        <v>Neutral TDP</v>
      </c>
    </row>
    <row r="514" spans="1:52" x14ac:dyDescent="0.3">
      <c r="A514" t="s">
        <v>2943</v>
      </c>
      <c r="B514" s="94">
        <v>46045</v>
      </c>
      <c r="C514" t="s">
        <v>2944</v>
      </c>
      <c r="D514" t="s">
        <v>2945</v>
      </c>
      <c r="E514" t="s">
        <v>2946</v>
      </c>
      <c r="F514" t="s">
        <v>2547</v>
      </c>
      <c r="G514" t="s">
        <v>39</v>
      </c>
      <c r="H514" t="s">
        <v>2947</v>
      </c>
      <c r="I514" t="s">
        <v>59</v>
      </c>
      <c r="J514" t="s">
        <v>219</v>
      </c>
      <c r="K514" t="s">
        <v>222</v>
      </c>
      <c r="L514" t="s">
        <v>62</v>
      </c>
      <c r="M514" t="s">
        <v>51</v>
      </c>
      <c r="N514" t="s">
        <v>63</v>
      </c>
      <c r="O514" t="s">
        <v>480</v>
      </c>
      <c r="P514">
        <v>7995101925</v>
      </c>
      <c r="Q514" t="s">
        <v>54</v>
      </c>
      <c r="R514" t="s">
        <v>132</v>
      </c>
      <c r="S514" t="s">
        <v>43</v>
      </c>
      <c r="T514" t="s">
        <v>43</v>
      </c>
      <c r="U514" t="s">
        <v>44</v>
      </c>
      <c r="V514" t="s">
        <v>45</v>
      </c>
      <c r="W514" t="s">
        <v>5078</v>
      </c>
      <c r="X514" t="s">
        <v>45</v>
      </c>
      <c r="Y514" t="s">
        <v>46</v>
      </c>
      <c r="Z514" t="s">
        <v>47</v>
      </c>
      <c r="AA514" t="s">
        <v>48</v>
      </c>
      <c r="AB514" t="s">
        <v>49</v>
      </c>
      <c r="AC514" t="s">
        <v>49</v>
      </c>
      <c r="AD514" t="s">
        <v>481</v>
      </c>
      <c r="AE514" t="s">
        <v>185</v>
      </c>
      <c r="AF514">
        <v>0</v>
      </c>
      <c r="AG514" t="s">
        <v>196</v>
      </c>
      <c r="AH514" s="93">
        <f>VLOOKUP(Table1[[#This Row],[Caste]],Factor!$H$1:$K$13,4,0)</f>
        <v>1.1461625511156397</v>
      </c>
      <c r="AI51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14">
        <f>Table1[[#This Row],[Factor_1]]*Table1[[#This Row],[2024 Factor]]</f>
        <v>0.77721139583220644</v>
      </c>
      <c r="AK514">
        <f>VLOOKUP(Table1[[#This Row],[Q18: Gender]],Factor!$A$33:$E$35,5,0)</f>
        <v>0.85034013605442171</v>
      </c>
      <c r="AL514">
        <f>VLOOKUP(Table1[[#This Row],[Taluka]],Factor!$A$42:$G$46,7,0)</f>
        <v>1.147984664167413</v>
      </c>
      <c r="AM514">
        <f>VLOOKUP(Table1[[#This Row],[Caste]]&amp;Table1[[#This Row],[Q18: Gender]],Factor!$W$1:$X$23,2,0)</f>
        <v>0.71995135120329123</v>
      </c>
      <c r="AN514">
        <f>VLOOKUP(Table1[[#This Row],[Taluka]]&amp;Table1[[#This Row],[Caste]]&amp;Table1[[#This Row],[Q18: Gender]],Factor!$AK$4:$AL$93,2,0)</f>
        <v>0.54319084681293095</v>
      </c>
      <c r="AO514">
        <f t="shared" ref="AO514:AO577" si="88">IF(T514="బాగుంది",-1,1)</f>
        <v>-1</v>
      </c>
      <c r="AP514">
        <f t="shared" ref="AP514:AP577" si="89">IF(U514="అమలవడం లేదు",1,-1)</f>
        <v>-1</v>
      </c>
      <c r="AQ514">
        <f t="shared" ref="AQ514:AQ577" si="90">IF(V514="జగన్ మోహన్ రెడ్డి గారు",1,-1)</f>
        <v>-1</v>
      </c>
      <c r="AR514">
        <f t="shared" ref="AR514:AR577" si="91">IF(X514="జగన్ మోహన్ రెడ్డి గారు",1,-1)</f>
        <v>-1</v>
      </c>
      <c r="AS514">
        <f t="shared" ref="AS514:AS577" si="92">IF(AA514="YSRCP (వైఎస్‌ఆర్‌సీపీ)",1,-1)</f>
        <v>-1</v>
      </c>
      <c r="AT514">
        <f t="shared" ref="AT514:AT577" si="93">IF(Z514="YSRCP (వైఎస్‌ఆర్‌సీపీ)",1,-1)</f>
        <v>-1</v>
      </c>
      <c r="AU514">
        <f t="shared" ref="AU514:AU577" si="94">AO514+AP514+AQ514+AR514+(0.5*AS514)+AT514</f>
        <v>-5.5</v>
      </c>
      <c r="AV514">
        <f>SUM(Table1[[#This Row],[Satis]:[29]])</f>
        <v>-6</v>
      </c>
      <c r="AW514">
        <f t="shared" ref="AW514:AW577" si="95">AO514+AQ514+AR514+AS514+AT514</f>
        <v>-5</v>
      </c>
      <c r="AX514">
        <f t="shared" ref="AX514:AX577" si="96">AQ514+AR514+AS514+AT514</f>
        <v>-4</v>
      </c>
      <c r="AY514">
        <f t="shared" ref="AY514:AY577" si="97">IF(AND(AO514=1,AS514=1,AT514=1),3,IF(AND(AO514=-1,AS514=-1,AT514=-1),-3,IF(AND(AO514=1,AS514=-1,AT514=1),2,IF(AND(AO514=-1,AS514=1,AT514=-1),-2,IF(AND(AS514=1,AT514=1),2,IF(AND(AS514=-1,AT514=-1),-2,"ND"))))))</f>
        <v>-3</v>
      </c>
      <c r="AZ514" t="str">
        <f t="shared" ref="AZ514:AZ577" si="98">IFERROR(IF(AV514=6,"YSRCP HardCore",IF(AV514=-6,"TDP HardCore",IF(AW514&gt;=4,"YSRCP Sympathiser",IF(AW514&lt;=-4,"TDP Sympathiser",IF(AX514&gt;=3,"YSRCP Sympathiser",IF(AX514&lt;=-3,"TDP Sympathiser",IF(AY514="ND","ND",IF(AY514&gt;=2,"Neutral YSRCP",IF(AY514&lt;=-2,"Neutral TDP",0))))))))),"ND")</f>
        <v>TDP HardCore</v>
      </c>
    </row>
    <row r="515" spans="1:52" x14ac:dyDescent="0.3">
      <c r="A515" t="s">
        <v>2948</v>
      </c>
      <c r="B515" s="94">
        <v>46045</v>
      </c>
      <c r="C515" t="s">
        <v>2949</v>
      </c>
      <c r="D515" t="s">
        <v>2950</v>
      </c>
      <c r="E515" t="s">
        <v>2951</v>
      </c>
      <c r="F515" t="s">
        <v>935</v>
      </c>
      <c r="G515" t="s">
        <v>39</v>
      </c>
      <c r="H515" t="s">
        <v>2952</v>
      </c>
      <c r="I515" t="s">
        <v>227</v>
      </c>
      <c r="J515" t="s">
        <v>219</v>
      </c>
      <c r="K515" t="s">
        <v>225</v>
      </c>
      <c r="L515" t="s">
        <v>62</v>
      </c>
      <c r="M515" t="s">
        <v>51</v>
      </c>
      <c r="N515" t="s">
        <v>63</v>
      </c>
      <c r="O515" t="s">
        <v>2953</v>
      </c>
      <c r="P515">
        <v>7093916493</v>
      </c>
      <c r="Q515" t="s">
        <v>54</v>
      </c>
      <c r="R515" t="s">
        <v>61</v>
      </c>
      <c r="S515" t="s">
        <v>43</v>
      </c>
      <c r="T515" t="s">
        <v>43</v>
      </c>
      <c r="U515" t="s">
        <v>44</v>
      </c>
      <c r="V515" t="s">
        <v>45</v>
      </c>
      <c r="W515" t="s">
        <v>5087</v>
      </c>
      <c r="X515" t="s">
        <v>45</v>
      </c>
      <c r="Y515" t="s">
        <v>46</v>
      </c>
      <c r="Z515" t="s">
        <v>47</v>
      </c>
      <c r="AA515" t="s">
        <v>48</v>
      </c>
      <c r="AB515" t="s">
        <v>49</v>
      </c>
      <c r="AC515" t="s">
        <v>49</v>
      </c>
      <c r="AD515" t="s">
        <v>481</v>
      </c>
      <c r="AE515" t="s">
        <v>185</v>
      </c>
      <c r="AF515">
        <v>0</v>
      </c>
      <c r="AG515" t="s">
        <v>196</v>
      </c>
      <c r="AH515" s="93">
        <f>VLOOKUP(Table1[[#This Row],[Caste]],Factor!$H$1:$K$13,4,0)</f>
        <v>1.2612194085121222</v>
      </c>
      <c r="AI51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15">
        <f>Table1[[#This Row],[Factor_1]]*Table1[[#This Row],[2024 Factor]]</f>
        <v>0.92029223709519836</v>
      </c>
      <c r="AK515">
        <f>VLOOKUP(Table1[[#This Row],[Q18: Gender]],Factor!$A$33:$E$35,5,0)</f>
        <v>0.85034013605442171</v>
      </c>
      <c r="AL515">
        <f>VLOOKUP(Table1[[#This Row],[Taluka]],Factor!$A$42:$G$46,7,0)</f>
        <v>1.147984664167413</v>
      </c>
      <c r="AM515">
        <f>VLOOKUP(Table1[[#This Row],[Caste]]&amp;Table1[[#This Row],[Q18: Gender]],Factor!$W$1:$X$23,2,0)</f>
        <v>0.85249089649430487</v>
      </c>
      <c r="AN515">
        <f>VLOOKUP(Table1[[#This Row],[Taluka]]&amp;Table1[[#This Row],[Caste]]&amp;Table1[[#This Row],[Q18: Gender]],Factor!$AK$4:$AL$93,2,0)</f>
        <v>0.41451794778650441</v>
      </c>
      <c r="AO515">
        <f t="shared" si="88"/>
        <v>-1</v>
      </c>
      <c r="AP515">
        <f t="shared" si="89"/>
        <v>-1</v>
      </c>
      <c r="AQ515">
        <f t="shared" si="90"/>
        <v>-1</v>
      </c>
      <c r="AR515">
        <f t="shared" si="91"/>
        <v>-1</v>
      </c>
      <c r="AS515">
        <f t="shared" si="92"/>
        <v>-1</v>
      </c>
      <c r="AT515">
        <f t="shared" si="93"/>
        <v>-1</v>
      </c>
      <c r="AU515">
        <f t="shared" si="94"/>
        <v>-5.5</v>
      </c>
      <c r="AV515">
        <f>SUM(Table1[[#This Row],[Satis]:[29]])</f>
        <v>-6</v>
      </c>
      <c r="AW515">
        <f t="shared" si="95"/>
        <v>-5</v>
      </c>
      <c r="AX515">
        <f t="shared" si="96"/>
        <v>-4</v>
      </c>
      <c r="AY515">
        <f t="shared" si="97"/>
        <v>-3</v>
      </c>
      <c r="AZ515" t="str">
        <f t="shared" si="98"/>
        <v>TDP HardCore</v>
      </c>
    </row>
    <row r="516" spans="1:52" x14ac:dyDescent="0.3">
      <c r="A516" t="s">
        <v>2954</v>
      </c>
      <c r="B516" s="94">
        <v>46045</v>
      </c>
      <c r="C516" t="s">
        <v>2955</v>
      </c>
      <c r="D516" t="s">
        <v>2956</v>
      </c>
      <c r="E516" t="s">
        <v>2941</v>
      </c>
      <c r="F516" t="s">
        <v>935</v>
      </c>
      <c r="G516" t="s">
        <v>39</v>
      </c>
      <c r="H516" t="s">
        <v>2957</v>
      </c>
      <c r="I516" t="s">
        <v>227</v>
      </c>
      <c r="J516" t="s">
        <v>219</v>
      </c>
      <c r="K516" t="s">
        <v>225</v>
      </c>
      <c r="L516" t="s">
        <v>82</v>
      </c>
      <c r="M516" t="s">
        <v>51</v>
      </c>
      <c r="N516" t="s">
        <v>52</v>
      </c>
      <c r="O516" t="s">
        <v>680</v>
      </c>
      <c r="P516">
        <v>9908407212</v>
      </c>
      <c r="Q516" t="s">
        <v>54</v>
      </c>
      <c r="R516" t="s">
        <v>139</v>
      </c>
      <c r="S516" t="s">
        <v>43</v>
      </c>
      <c r="T516" t="s">
        <v>43</v>
      </c>
      <c r="U516" t="s">
        <v>44</v>
      </c>
      <c r="V516" t="s">
        <v>45</v>
      </c>
      <c r="W516" t="s">
        <v>5080</v>
      </c>
      <c r="X516" t="s">
        <v>45</v>
      </c>
      <c r="Y516" t="s">
        <v>46</v>
      </c>
      <c r="Z516" t="s">
        <v>47</v>
      </c>
      <c r="AA516" t="s">
        <v>48</v>
      </c>
      <c r="AB516" t="s">
        <v>49</v>
      </c>
      <c r="AC516" t="s">
        <v>49</v>
      </c>
      <c r="AD516" t="s">
        <v>481</v>
      </c>
      <c r="AE516" t="s">
        <v>189</v>
      </c>
      <c r="AF516" t="s">
        <v>3021</v>
      </c>
      <c r="AG516" t="s">
        <v>196</v>
      </c>
      <c r="AH516" s="93">
        <f>VLOOKUP(Table1[[#This Row],[Caste]],Factor!$H$1:$K$13,4,0)</f>
        <v>1.2612194085121222</v>
      </c>
      <c r="AI51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16">
        <f>Table1[[#This Row],[Factor_1]]*Table1[[#This Row],[2024 Factor]]</f>
        <v>0.92029223709519836</v>
      </c>
      <c r="AK516">
        <f>VLOOKUP(Table1[[#This Row],[Q18: Gender]],Factor!$A$33:$E$35,5,0)</f>
        <v>0.85034013605442171</v>
      </c>
      <c r="AL516">
        <f>VLOOKUP(Table1[[#This Row],[Taluka]],Factor!$A$42:$G$46,7,0)</f>
        <v>1.147984664167413</v>
      </c>
      <c r="AM516">
        <f>VLOOKUP(Table1[[#This Row],[Caste]]&amp;Table1[[#This Row],[Q18: Gender]],Factor!$W$1:$X$23,2,0)</f>
        <v>0.85249089649430487</v>
      </c>
      <c r="AN516">
        <f>VLOOKUP(Table1[[#This Row],[Taluka]]&amp;Table1[[#This Row],[Caste]]&amp;Table1[[#This Row],[Q18: Gender]],Factor!$AK$4:$AL$93,2,0)</f>
        <v>0.41451794778650441</v>
      </c>
      <c r="AO516">
        <f t="shared" si="88"/>
        <v>-1</v>
      </c>
      <c r="AP516">
        <f t="shared" si="89"/>
        <v>-1</v>
      </c>
      <c r="AQ516">
        <f t="shared" si="90"/>
        <v>-1</v>
      </c>
      <c r="AR516">
        <f t="shared" si="91"/>
        <v>-1</v>
      </c>
      <c r="AS516">
        <f t="shared" si="92"/>
        <v>-1</v>
      </c>
      <c r="AT516">
        <f t="shared" si="93"/>
        <v>-1</v>
      </c>
      <c r="AU516">
        <f t="shared" si="94"/>
        <v>-5.5</v>
      </c>
      <c r="AV516">
        <f>SUM(Table1[[#This Row],[Satis]:[29]])</f>
        <v>-6</v>
      </c>
      <c r="AW516">
        <f t="shared" si="95"/>
        <v>-5</v>
      </c>
      <c r="AX516">
        <f t="shared" si="96"/>
        <v>-4</v>
      </c>
      <c r="AY516">
        <f t="shared" si="97"/>
        <v>-3</v>
      </c>
      <c r="AZ516" t="str">
        <f t="shared" si="98"/>
        <v>TDP HardCore</v>
      </c>
    </row>
    <row r="517" spans="1:52" x14ac:dyDescent="0.3">
      <c r="A517" t="s">
        <v>2958</v>
      </c>
      <c r="B517" s="94">
        <v>46045</v>
      </c>
      <c r="C517" t="s">
        <v>2959</v>
      </c>
      <c r="D517" t="s">
        <v>2960</v>
      </c>
      <c r="E517" t="s">
        <v>2941</v>
      </c>
      <c r="F517" t="s">
        <v>935</v>
      </c>
      <c r="G517" t="s">
        <v>39</v>
      </c>
      <c r="H517" t="s">
        <v>2961</v>
      </c>
      <c r="I517" t="s">
        <v>70</v>
      </c>
      <c r="J517" t="s">
        <v>219</v>
      </c>
      <c r="K517" t="s">
        <v>225</v>
      </c>
      <c r="L517" t="s">
        <v>62</v>
      </c>
      <c r="M517" t="s">
        <v>443</v>
      </c>
      <c r="N517" t="s">
        <v>52</v>
      </c>
      <c r="O517" t="s">
        <v>2962</v>
      </c>
      <c r="P517">
        <v>8096782311</v>
      </c>
      <c r="Q517" t="s">
        <v>445</v>
      </c>
      <c r="R517" t="s">
        <v>139</v>
      </c>
      <c r="S517" t="s">
        <v>43</v>
      </c>
      <c r="T517" t="s">
        <v>43</v>
      </c>
      <c r="U517" t="s">
        <v>44</v>
      </c>
      <c r="V517" t="s">
        <v>45</v>
      </c>
      <c r="W517" t="s">
        <v>5056</v>
      </c>
      <c r="X517" t="s">
        <v>45</v>
      </c>
      <c r="Y517" t="s">
        <v>46</v>
      </c>
      <c r="Z517" t="s">
        <v>47</v>
      </c>
      <c r="AA517" t="s">
        <v>48</v>
      </c>
      <c r="AB517" t="s">
        <v>49</v>
      </c>
      <c r="AC517" t="s">
        <v>49</v>
      </c>
      <c r="AD517" t="s">
        <v>481</v>
      </c>
      <c r="AE517" t="s">
        <v>1250</v>
      </c>
      <c r="AF517">
        <v>0</v>
      </c>
      <c r="AG517" t="s">
        <v>498</v>
      </c>
      <c r="AH517" s="93">
        <f>VLOOKUP(Table1[[#This Row],[Caste]],Factor!$H$1:$K$13,4,0)</f>
        <v>1.3836274505214585</v>
      </c>
      <c r="AI51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17">
        <f>Table1[[#This Row],[Factor_1]]*Table1[[#This Row],[2024 Factor]]</f>
        <v>2.0811826914865059</v>
      </c>
      <c r="AK517">
        <f>VLOOKUP(Table1[[#This Row],[Q18: Gender]],Factor!$A$33:$E$35,5,0)</f>
        <v>2.1645021645021645</v>
      </c>
      <c r="AL517">
        <f>VLOOKUP(Table1[[#This Row],[Taluka]],Factor!$A$42:$G$46,7,0)</f>
        <v>1.147984664167413</v>
      </c>
      <c r="AM517">
        <f>VLOOKUP(Table1[[#This Row],[Caste]]&amp;Table1[[#This Row],[Q18: Gender]],Factor!$W$1:$X$23,2,0)</f>
        <v>1.9278542477265657</v>
      </c>
      <c r="AN517">
        <f>VLOOKUP(Table1[[#This Row],[Taluka]]&amp;Table1[[#This Row],[Caste]]&amp;Table1[[#This Row],[Q18: Gender]],Factor!$AK$4:$AL$93,2,0)</f>
        <v>3.2048072590163397</v>
      </c>
      <c r="AO517">
        <f t="shared" si="88"/>
        <v>-1</v>
      </c>
      <c r="AP517">
        <f t="shared" si="89"/>
        <v>-1</v>
      </c>
      <c r="AQ517">
        <f t="shared" si="90"/>
        <v>-1</v>
      </c>
      <c r="AR517">
        <f t="shared" si="91"/>
        <v>-1</v>
      </c>
      <c r="AS517">
        <f t="shared" si="92"/>
        <v>-1</v>
      </c>
      <c r="AT517">
        <f t="shared" si="93"/>
        <v>-1</v>
      </c>
      <c r="AU517">
        <f t="shared" si="94"/>
        <v>-5.5</v>
      </c>
      <c r="AV517">
        <f>SUM(Table1[[#This Row],[Satis]:[29]])</f>
        <v>-6</v>
      </c>
      <c r="AW517">
        <f t="shared" si="95"/>
        <v>-5</v>
      </c>
      <c r="AX517">
        <f t="shared" si="96"/>
        <v>-4</v>
      </c>
      <c r="AY517">
        <f t="shared" si="97"/>
        <v>-3</v>
      </c>
      <c r="AZ517" t="str">
        <f t="shared" si="98"/>
        <v>TDP HardCore</v>
      </c>
    </row>
    <row r="518" spans="1:52" x14ac:dyDescent="0.3">
      <c r="A518" t="s">
        <v>2963</v>
      </c>
      <c r="B518" s="94">
        <v>46045</v>
      </c>
      <c r="C518" t="s">
        <v>2964</v>
      </c>
      <c r="D518" t="s">
        <v>2965</v>
      </c>
      <c r="E518" t="s">
        <v>2867</v>
      </c>
      <c r="F518" t="s">
        <v>935</v>
      </c>
      <c r="G518" t="s">
        <v>39</v>
      </c>
      <c r="H518" t="s">
        <v>2966</v>
      </c>
      <c r="I518" t="s">
        <v>145</v>
      </c>
      <c r="J518" t="s">
        <v>219</v>
      </c>
      <c r="K518" t="s">
        <v>225</v>
      </c>
      <c r="L518" t="s">
        <v>50</v>
      </c>
      <c r="M518" t="s">
        <v>51</v>
      </c>
      <c r="N518" t="s">
        <v>52</v>
      </c>
      <c r="O518" t="s">
        <v>2967</v>
      </c>
      <c r="P518">
        <v>8688521393</v>
      </c>
      <c r="Q518" t="s">
        <v>54</v>
      </c>
      <c r="R518" t="s">
        <v>139</v>
      </c>
      <c r="S518" t="s">
        <v>43</v>
      </c>
      <c r="T518" t="s">
        <v>43</v>
      </c>
      <c r="U518" t="s">
        <v>44</v>
      </c>
      <c r="V518" t="s">
        <v>45</v>
      </c>
      <c r="W518" t="s">
        <v>5056</v>
      </c>
      <c r="X518" t="s">
        <v>45</v>
      </c>
      <c r="Y518" t="s">
        <v>46</v>
      </c>
      <c r="Z518" t="s">
        <v>47</v>
      </c>
      <c r="AA518" t="s">
        <v>48</v>
      </c>
      <c r="AB518" t="s">
        <v>49</v>
      </c>
      <c r="AC518" t="s">
        <v>49</v>
      </c>
      <c r="AD518" t="s">
        <v>481</v>
      </c>
      <c r="AE518" t="s">
        <v>1250</v>
      </c>
      <c r="AF518">
        <v>0</v>
      </c>
      <c r="AG518" t="s">
        <v>498</v>
      </c>
      <c r="AH518" s="93">
        <f>VLOOKUP(Table1[[#This Row],[Caste]],Factor!$H$1:$K$13,4,0)</f>
        <v>1.8452248965186235</v>
      </c>
      <c r="AI51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18">
        <f>Table1[[#This Row],[Factor_1]]*Table1[[#This Row],[2024 Factor]]</f>
        <v>1.5651283704851411</v>
      </c>
      <c r="AK518">
        <f>VLOOKUP(Table1[[#This Row],[Q18: Gender]],Factor!$A$33:$E$35,5,0)</f>
        <v>0.85034013605442171</v>
      </c>
      <c r="AL518">
        <f>VLOOKUP(Table1[[#This Row],[Taluka]],Factor!$A$42:$G$46,7,0)</f>
        <v>1.147984664167413</v>
      </c>
      <c r="AM518">
        <f>VLOOKUP(Table1[[#This Row],[Caste]]&amp;Table1[[#This Row],[Q18: Gender]],Factor!$W$1:$X$23,2,0)</f>
        <v>1.4498195615503471</v>
      </c>
      <c r="AN518">
        <f>VLOOKUP(Table1[[#This Row],[Taluka]]&amp;Table1[[#This Row],[Caste]]&amp;Table1[[#This Row],[Q18: Gender]],Factor!$AK$4:$AL$93,2,0)</f>
        <v>2.9242991836792998</v>
      </c>
      <c r="AO518">
        <f t="shared" si="88"/>
        <v>-1</v>
      </c>
      <c r="AP518">
        <f t="shared" si="89"/>
        <v>-1</v>
      </c>
      <c r="AQ518">
        <f t="shared" si="90"/>
        <v>-1</v>
      </c>
      <c r="AR518">
        <f t="shared" si="91"/>
        <v>-1</v>
      </c>
      <c r="AS518">
        <f t="shared" si="92"/>
        <v>-1</v>
      </c>
      <c r="AT518">
        <f t="shared" si="93"/>
        <v>-1</v>
      </c>
      <c r="AU518">
        <f t="shared" si="94"/>
        <v>-5.5</v>
      </c>
      <c r="AV518">
        <f>SUM(Table1[[#This Row],[Satis]:[29]])</f>
        <v>-6</v>
      </c>
      <c r="AW518">
        <f t="shared" si="95"/>
        <v>-5</v>
      </c>
      <c r="AX518">
        <f t="shared" si="96"/>
        <v>-4</v>
      </c>
      <c r="AY518">
        <f t="shared" si="97"/>
        <v>-3</v>
      </c>
      <c r="AZ518" t="str">
        <f t="shared" si="98"/>
        <v>TDP HardCore</v>
      </c>
    </row>
    <row r="519" spans="1:52" x14ac:dyDescent="0.3">
      <c r="A519" t="s">
        <v>3633</v>
      </c>
      <c r="B519" s="94">
        <v>46046</v>
      </c>
      <c r="C519" t="s">
        <v>3634</v>
      </c>
      <c r="D519" t="s">
        <v>3635</v>
      </c>
      <c r="E519" t="s">
        <v>3636</v>
      </c>
      <c r="F519" t="s">
        <v>935</v>
      </c>
      <c r="G519" t="s">
        <v>39</v>
      </c>
      <c r="H519" t="s">
        <v>3637</v>
      </c>
      <c r="I519" t="s">
        <v>59</v>
      </c>
      <c r="J519" t="s">
        <v>203</v>
      </c>
      <c r="K519" t="s">
        <v>208</v>
      </c>
      <c r="L519" t="s">
        <v>62</v>
      </c>
      <c r="M519" t="s">
        <v>51</v>
      </c>
      <c r="N519" t="s">
        <v>63</v>
      </c>
      <c r="O519" t="s">
        <v>1438</v>
      </c>
      <c r="P519">
        <v>6301318500</v>
      </c>
      <c r="Q519" t="s">
        <v>54</v>
      </c>
      <c r="R519" t="s">
        <v>2116</v>
      </c>
      <c r="S519" t="s">
        <v>43</v>
      </c>
      <c r="T519" t="s">
        <v>43</v>
      </c>
      <c r="U519" t="s">
        <v>90</v>
      </c>
      <c r="V519" t="s">
        <v>91</v>
      </c>
      <c r="W519" t="s">
        <v>5056</v>
      </c>
      <c r="X519" t="s">
        <v>45</v>
      </c>
      <c r="Y519" t="s">
        <v>46</v>
      </c>
      <c r="Z519" t="s">
        <v>47</v>
      </c>
      <c r="AA519" t="s">
        <v>48</v>
      </c>
      <c r="AB519" t="s">
        <v>49</v>
      </c>
      <c r="AC519" t="s">
        <v>49</v>
      </c>
      <c r="AD519" t="s">
        <v>494</v>
      </c>
      <c r="AE519" t="s">
        <v>185</v>
      </c>
      <c r="AF519" t="s">
        <v>2971</v>
      </c>
      <c r="AG519" t="s">
        <v>196</v>
      </c>
      <c r="AH519" s="93">
        <f>VLOOKUP(Table1[[#This Row],[Caste]],Factor!$H$1:$K$13,4,0)</f>
        <v>1.1461625511156397</v>
      </c>
      <c r="AI51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19">
        <f>Table1[[#This Row],[Factor_1]]*Table1[[#This Row],[2024 Factor]]</f>
        <v>0.77721139583220644</v>
      </c>
      <c r="AK519">
        <f>VLOOKUP(Table1[[#This Row],[Q18: Gender]],Factor!$A$33:$E$35,5,0)</f>
        <v>0.85034013605442171</v>
      </c>
      <c r="AL519">
        <f>VLOOKUP(Table1[[#This Row],[Taluka]],Factor!$A$42:$G$46,7,0)</f>
        <v>1.9264642089343564</v>
      </c>
      <c r="AM519">
        <f>VLOOKUP(Table1[[#This Row],[Caste]]&amp;Table1[[#This Row],[Q18: Gender]],Factor!$W$1:$X$23,2,0)</f>
        <v>0.71995135120329123</v>
      </c>
      <c r="AN519">
        <f>VLOOKUP(Table1[[#This Row],[Taluka]]&amp;Table1[[#This Row],[Caste]]&amp;Table1[[#This Row],[Q18: Gender]],Factor!$AK$4:$AL$93,2,0)</f>
        <v>0.70534647283248642</v>
      </c>
      <c r="AO519">
        <f t="shared" si="88"/>
        <v>-1</v>
      </c>
      <c r="AP519">
        <f t="shared" si="89"/>
        <v>1</v>
      </c>
      <c r="AQ519">
        <f t="shared" si="90"/>
        <v>1</v>
      </c>
      <c r="AR519">
        <f t="shared" si="91"/>
        <v>-1</v>
      </c>
      <c r="AS519">
        <f t="shared" si="92"/>
        <v>-1</v>
      </c>
      <c r="AT519">
        <f t="shared" si="93"/>
        <v>-1</v>
      </c>
      <c r="AU519">
        <f t="shared" si="94"/>
        <v>-1.5</v>
      </c>
      <c r="AV519">
        <f>SUM(Table1[[#This Row],[Satis]:[29]])</f>
        <v>-2</v>
      </c>
      <c r="AW519">
        <f t="shared" si="95"/>
        <v>-3</v>
      </c>
      <c r="AX519">
        <f t="shared" si="96"/>
        <v>-2</v>
      </c>
      <c r="AY519">
        <f t="shared" si="97"/>
        <v>-3</v>
      </c>
      <c r="AZ519" t="str">
        <f t="shared" si="98"/>
        <v>Neutral TDP</v>
      </c>
    </row>
    <row r="520" spans="1:52" x14ac:dyDescent="0.3">
      <c r="A520" t="s">
        <v>3986</v>
      </c>
      <c r="B520" s="94">
        <v>46046</v>
      </c>
      <c r="C520" t="s">
        <v>3987</v>
      </c>
      <c r="D520" t="s">
        <v>3988</v>
      </c>
      <c r="E520" t="s">
        <v>3989</v>
      </c>
      <c r="F520" t="s">
        <v>35</v>
      </c>
      <c r="G520" t="s">
        <v>39</v>
      </c>
      <c r="H520" t="s">
        <v>3990</v>
      </c>
      <c r="I520" t="s">
        <v>70</v>
      </c>
      <c r="J520" t="s">
        <v>71</v>
      </c>
      <c r="K520" t="s">
        <v>217</v>
      </c>
      <c r="L520" t="s">
        <v>62</v>
      </c>
      <c r="M520" t="s">
        <v>443</v>
      </c>
      <c r="N520" t="s">
        <v>52</v>
      </c>
      <c r="O520" t="s">
        <v>3991</v>
      </c>
      <c r="P520">
        <v>8179445385</v>
      </c>
      <c r="Q520" t="s">
        <v>54</v>
      </c>
      <c r="R520" t="s">
        <v>61</v>
      </c>
      <c r="S520" t="s">
        <v>89</v>
      </c>
      <c r="T520" t="s">
        <v>43</v>
      </c>
      <c r="U520" t="s">
        <v>90</v>
      </c>
      <c r="V520" t="s">
        <v>91</v>
      </c>
      <c r="W520" t="s">
        <v>5100</v>
      </c>
      <c r="X520" t="s">
        <v>91</v>
      </c>
      <c r="Y520" t="s">
        <v>46</v>
      </c>
      <c r="Z520" t="s">
        <v>92</v>
      </c>
      <c r="AA520" t="s">
        <v>92</v>
      </c>
      <c r="AB520" t="s">
        <v>93</v>
      </c>
      <c r="AC520" t="s">
        <v>94</v>
      </c>
      <c r="AD520" t="s">
        <v>184</v>
      </c>
      <c r="AE520" t="s">
        <v>185</v>
      </c>
      <c r="AF520">
        <v>0</v>
      </c>
      <c r="AG520" t="s">
        <v>196</v>
      </c>
      <c r="AH520" s="93">
        <f>VLOOKUP(Table1[[#This Row],[Caste]],Factor!$H$1:$K$13,4,0)</f>
        <v>1.3836274505214585</v>
      </c>
      <c r="AI520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520">
        <f>Table1[[#This Row],[Factor_1]]*Table1[[#This Row],[2024 Factor]]</f>
        <v>1.9482662206881376</v>
      </c>
      <c r="AK520">
        <f>VLOOKUP(Table1[[#This Row],[Q18: Gender]],Factor!$A$33:$E$35,5,0)</f>
        <v>0.85034013605442171</v>
      </c>
      <c r="AL520">
        <f>VLOOKUP(Table1[[#This Row],[Taluka]],Factor!$A$42:$G$46,7,0)</f>
        <v>1.1213131007097483</v>
      </c>
      <c r="AM520">
        <f>VLOOKUP(Table1[[#This Row],[Caste]]&amp;Table1[[#This Row],[Q18: Gender]],Factor!$W$1:$X$23,2,0)</f>
        <v>1.0790228998469584</v>
      </c>
      <c r="AN520">
        <f>VLOOKUP(Table1[[#This Row],[Taluka]]&amp;Table1[[#This Row],[Caste]]&amp;Table1[[#This Row],[Q18: Gender]],Factor!$AK$4:$AL$93,2,0)</f>
        <v>0.90933567693352424</v>
      </c>
      <c r="AO520">
        <f t="shared" si="88"/>
        <v>-1</v>
      </c>
      <c r="AP520">
        <f t="shared" si="89"/>
        <v>1</v>
      </c>
      <c r="AQ520">
        <f t="shared" si="90"/>
        <v>1</v>
      </c>
      <c r="AR520">
        <f t="shared" si="91"/>
        <v>1</v>
      </c>
      <c r="AS520">
        <f t="shared" si="92"/>
        <v>1</v>
      </c>
      <c r="AT520">
        <f t="shared" si="93"/>
        <v>1</v>
      </c>
      <c r="AU520">
        <f t="shared" si="94"/>
        <v>3.5</v>
      </c>
      <c r="AV520">
        <f>SUM(Table1[[#This Row],[Satis]:[29]])</f>
        <v>4</v>
      </c>
      <c r="AW520">
        <f t="shared" si="95"/>
        <v>3</v>
      </c>
      <c r="AX520">
        <f t="shared" si="96"/>
        <v>4</v>
      </c>
      <c r="AY520">
        <f t="shared" si="97"/>
        <v>2</v>
      </c>
      <c r="AZ520" t="str">
        <f t="shared" si="98"/>
        <v>YSRCP Sympathiser</v>
      </c>
    </row>
    <row r="521" spans="1:52" x14ac:dyDescent="0.3">
      <c r="A521" t="s">
        <v>4002</v>
      </c>
      <c r="B521" s="94">
        <v>46046</v>
      </c>
      <c r="C521" t="s">
        <v>4003</v>
      </c>
      <c r="D521" t="s">
        <v>4004</v>
      </c>
      <c r="E521" t="s">
        <v>1197</v>
      </c>
      <c r="F521" t="s">
        <v>2547</v>
      </c>
      <c r="G521" t="s">
        <v>39</v>
      </c>
      <c r="H521" t="s">
        <v>4005</v>
      </c>
      <c r="I521" t="s">
        <v>36</v>
      </c>
      <c r="J521" t="s">
        <v>203</v>
      </c>
      <c r="K521" t="s">
        <v>204</v>
      </c>
      <c r="L521" t="s">
        <v>82</v>
      </c>
      <c r="M521" t="s">
        <v>51</v>
      </c>
      <c r="N521" t="s">
        <v>52</v>
      </c>
      <c r="O521" t="s">
        <v>4006</v>
      </c>
      <c r="P521">
        <v>9000000000</v>
      </c>
      <c r="Q521" t="s">
        <v>54</v>
      </c>
      <c r="R521" t="s">
        <v>61</v>
      </c>
      <c r="S521" t="s">
        <v>89</v>
      </c>
      <c r="T521" t="s">
        <v>43</v>
      </c>
      <c r="U521" t="s">
        <v>44</v>
      </c>
      <c r="V521" t="s">
        <v>45</v>
      </c>
      <c r="W521" t="s">
        <v>5087</v>
      </c>
      <c r="X521" t="s">
        <v>45</v>
      </c>
      <c r="Y521" t="s">
        <v>46</v>
      </c>
      <c r="Z521" t="s">
        <v>47</v>
      </c>
      <c r="AA521" t="s">
        <v>48</v>
      </c>
      <c r="AB521" t="s">
        <v>49</v>
      </c>
      <c r="AC521" t="s">
        <v>49</v>
      </c>
      <c r="AD521" t="s">
        <v>494</v>
      </c>
      <c r="AE521" t="s">
        <v>185</v>
      </c>
      <c r="AF521">
        <v>0</v>
      </c>
      <c r="AG521" t="s">
        <v>196</v>
      </c>
      <c r="AH521" s="93">
        <f>VLOOKUP(Table1[[#This Row],[Caste]],Factor!$H$1:$K$13,4,0)</f>
        <v>1.1705128247062893</v>
      </c>
      <c r="AI52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21">
        <f>Table1[[#This Row],[Factor_1]]*Table1[[#This Row],[2024 Factor]]</f>
        <v>0.86308903171383233</v>
      </c>
      <c r="AK521">
        <f>VLOOKUP(Table1[[#This Row],[Q18: Gender]],Factor!$A$33:$E$35,5,0)</f>
        <v>0.85034013605442171</v>
      </c>
      <c r="AL521">
        <f>VLOOKUP(Table1[[#This Row],[Taluka]],Factor!$A$42:$G$46,7,0)</f>
        <v>1.9264642089343564</v>
      </c>
      <c r="AM521">
        <f>VLOOKUP(Table1[[#This Row],[Caste]]&amp;Table1[[#This Row],[Q18: Gender]],Factor!$W$1:$X$23,2,0)</f>
        <v>0.79950206330384943</v>
      </c>
      <c r="AN521">
        <f>VLOOKUP(Table1[[#This Row],[Taluka]]&amp;Table1[[#This Row],[Caste]]&amp;Table1[[#This Row],[Q18: Gender]],Factor!$AK$4:$AL$93,2,0)</f>
        <v>1.1572126985895925</v>
      </c>
      <c r="AO521">
        <f t="shared" si="88"/>
        <v>-1</v>
      </c>
      <c r="AP521">
        <f t="shared" si="89"/>
        <v>-1</v>
      </c>
      <c r="AQ521">
        <f t="shared" si="90"/>
        <v>-1</v>
      </c>
      <c r="AR521">
        <f t="shared" si="91"/>
        <v>-1</v>
      </c>
      <c r="AS521">
        <f t="shared" si="92"/>
        <v>-1</v>
      </c>
      <c r="AT521">
        <f t="shared" si="93"/>
        <v>-1</v>
      </c>
      <c r="AU521">
        <f t="shared" si="94"/>
        <v>-5.5</v>
      </c>
      <c r="AV521">
        <f>SUM(Table1[[#This Row],[Satis]:[29]])</f>
        <v>-6</v>
      </c>
      <c r="AW521">
        <f t="shared" si="95"/>
        <v>-5</v>
      </c>
      <c r="AX521">
        <f t="shared" si="96"/>
        <v>-4</v>
      </c>
      <c r="AY521">
        <f t="shared" si="97"/>
        <v>-3</v>
      </c>
      <c r="AZ521" t="str">
        <f t="shared" si="98"/>
        <v>TDP HardCore</v>
      </c>
    </row>
    <row r="522" spans="1:52" x14ac:dyDescent="0.3">
      <c r="A522" t="s">
        <v>3643</v>
      </c>
      <c r="B522" s="94">
        <v>46046</v>
      </c>
      <c r="C522" t="s">
        <v>3644</v>
      </c>
      <c r="D522" t="s">
        <v>3645</v>
      </c>
      <c r="E522" t="s">
        <v>3646</v>
      </c>
      <c r="F522" t="s">
        <v>2547</v>
      </c>
      <c r="G522" t="s">
        <v>39</v>
      </c>
      <c r="H522" t="s">
        <v>3647</v>
      </c>
      <c r="I522" t="s">
        <v>36</v>
      </c>
      <c r="J522" t="s">
        <v>203</v>
      </c>
      <c r="K522" t="s">
        <v>204</v>
      </c>
      <c r="L522" t="s">
        <v>75</v>
      </c>
      <c r="M522" t="s">
        <v>51</v>
      </c>
      <c r="N522" t="s">
        <v>63</v>
      </c>
      <c r="O522" t="s">
        <v>3648</v>
      </c>
      <c r="P522">
        <v>7093526248</v>
      </c>
      <c r="Q522" t="s">
        <v>54</v>
      </c>
      <c r="R522" t="s">
        <v>132</v>
      </c>
      <c r="S522" t="s">
        <v>89</v>
      </c>
      <c r="T522" t="s">
        <v>89</v>
      </c>
      <c r="U522" t="s">
        <v>90</v>
      </c>
      <c r="V522" t="s">
        <v>91</v>
      </c>
      <c r="W522" t="s">
        <v>5101</v>
      </c>
      <c r="X522" t="s">
        <v>91</v>
      </c>
      <c r="Y522" t="s">
        <v>46</v>
      </c>
      <c r="Z522" t="s">
        <v>92</v>
      </c>
      <c r="AA522" t="s">
        <v>92</v>
      </c>
      <c r="AB522" t="s">
        <v>93</v>
      </c>
      <c r="AC522" t="s">
        <v>94</v>
      </c>
      <c r="AD522" t="s">
        <v>494</v>
      </c>
      <c r="AE522" t="s">
        <v>185</v>
      </c>
      <c r="AF522">
        <v>0</v>
      </c>
      <c r="AG522" t="s">
        <v>196</v>
      </c>
      <c r="AH522" s="93">
        <f>VLOOKUP(Table1[[#This Row],[Caste]],Factor!$H$1:$K$13,4,0)</f>
        <v>1.1705128247062893</v>
      </c>
      <c r="AI522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522">
        <f>Table1[[#This Row],[Factor_1]]*Table1[[#This Row],[2024 Factor]]</f>
        <v>1.4435679386658844</v>
      </c>
      <c r="AK522">
        <f>VLOOKUP(Table1[[#This Row],[Q18: Gender]],Factor!$A$33:$E$35,5,0)</f>
        <v>0.85034013605442171</v>
      </c>
      <c r="AL522">
        <f>VLOOKUP(Table1[[#This Row],[Taluka]],Factor!$A$42:$G$46,7,0)</f>
        <v>1.9264642089343564</v>
      </c>
      <c r="AM522">
        <f>VLOOKUP(Table1[[#This Row],[Caste]]&amp;Table1[[#This Row],[Q18: Gender]],Factor!$W$1:$X$23,2,0)</f>
        <v>0.79950206330384943</v>
      </c>
      <c r="AN522">
        <f>VLOOKUP(Table1[[#This Row],[Taluka]]&amp;Table1[[#This Row],[Caste]]&amp;Table1[[#This Row],[Q18: Gender]],Factor!$AK$4:$AL$93,2,0)</f>
        <v>1.1572126985895925</v>
      </c>
      <c r="AO522">
        <f t="shared" si="88"/>
        <v>1</v>
      </c>
      <c r="AP522">
        <f t="shared" si="89"/>
        <v>1</v>
      </c>
      <c r="AQ522">
        <f t="shared" si="90"/>
        <v>1</v>
      </c>
      <c r="AR522">
        <f t="shared" si="91"/>
        <v>1</v>
      </c>
      <c r="AS522">
        <f t="shared" si="92"/>
        <v>1</v>
      </c>
      <c r="AT522">
        <f t="shared" si="93"/>
        <v>1</v>
      </c>
      <c r="AU522">
        <f t="shared" si="94"/>
        <v>5.5</v>
      </c>
      <c r="AV522">
        <f>SUM(Table1[[#This Row],[Satis]:[29]])</f>
        <v>6</v>
      </c>
      <c r="AW522">
        <f t="shared" si="95"/>
        <v>5</v>
      </c>
      <c r="AX522">
        <f t="shared" si="96"/>
        <v>4</v>
      </c>
      <c r="AY522">
        <f t="shared" si="97"/>
        <v>3</v>
      </c>
      <c r="AZ522" t="str">
        <f t="shared" si="98"/>
        <v>YSRCP HardCore</v>
      </c>
    </row>
    <row r="523" spans="1:52" x14ac:dyDescent="0.3">
      <c r="A523" t="s">
        <v>3094</v>
      </c>
      <c r="B523" s="94">
        <v>46046</v>
      </c>
      <c r="C523" t="s">
        <v>3095</v>
      </c>
      <c r="D523" t="s">
        <v>3096</v>
      </c>
      <c r="E523" t="s">
        <v>3097</v>
      </c>
      <c r="F523" t="s">
        <v>35</v>
      </c>
      <c r="G523" t="s">
        <v>39</v>
      </c>
      <c r="H523" t="s">
        <v>3098</v>
      </c>
      <c r="I523" t="s">
        <v>70</v>
      </c>
      <c r="J523" t="s">
        <v>71</v>
      </c>
      <c r="K523" t="s">
        <v>217</v>
      </c>
      <c r="L523" t="s">
        <v>925</v>
      </c>
      <c r="M523" t="s">
        <v>443</v>
      </c>
      <c r="N523" t="s">
        <v>107</v>
      </c>
      <c r="O523" t="s">
        <v>3099</v>
      </c>
      <c r="P523">
        <v>0</v>
      </c>
      <c r="Q523" t="s">
        <v>445</v>
      </c>
      <c r="R523" t="s">
        <v>132</v>
      </c>
      <c r="S523" t="s">
        <v>43</v>
      </c>
      <c r="T523" t="s">
        <v>89</v>
      </c>
      <c r="U523" t="s">
        <v>90</v>
      </c>
      <c r="V523" t="s">
        <v>91</v>
      </c>
      <c r="W523" t="s">
        <v>5100</v>
      </c>
      <c r="X523" t="s">
        <v>91</v>
      </c>
      <c r="Y523" t="s">
        <v>46</v>
      </c>
      <c r="Z523" t="s">
        <v>92</v>
      </c>
      <c r="AA523" t="s">
        <v>92</v>
      </c>
      <c r="AB523" t="s">
        <v>351</v>
      </c>
      <c r="AC523" t="s">
        <v>148</v>
      </c>
      <c r="AD523" t="s">
        <v>494</v>
      </c>
      <c r="AE523" t="s">
        <v>185</v>
      </c>
      <c r="AF523">
        <v>0</v>
      </c>
      <c r="AG523" t="s">
        <v>196</v>
      </c>
      <c r="AH523" s="93">
        <f>VLOOKUP(Table1[[#This Row],[Caste]],Factor!$H$1:$K$13,4,0)</f>
        <v>1.3836274505214585</v>
      </c>
      <c r="AI523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523">
        <f>Table1[[#This Row],[Factor_1]]*Table1[[#This Row],[2024 Factor]]</f>
        <v>3.4809023142961388</v>
      </c>
      <c r="AK523">
        <f>VLOOKUP(Table1[[#This Row],[Q18: Gender]],Factor!$A$33:$E$35,5,0)</f>
        <v>2.1645021645021645</v>
      </c>
      <c r="AL523">
        <f>VLOOKUP(Table1[[#This Row],[Taluka]],Factor!$A$42:$G$46,7,0)</f>
        <v>1.1213131007097483</v>
      </c>
      <c r="AM523">
        <f>VLOOKUP(Table1[[#This Row],[Caste]]&amp;Table1[[#This Row],[Q18: Gender]],Factor!$W$1:$X$23,2,0)</f>
        <v>1.9278542477265657</v>
      </c>
      <c r="AN523">
        <f>VLOOKUP(Table1[[#This Row],[Taluka]]&amp;Table1[[#This Row],[Caste]]&amp;Table1[[#This Row],[Q18: Gender]],Factor!$AK$4:$AL$93,2,0)</f>
        <v>1.2302776805571209</v>
      </c>
      <c r="AO523">
        <f t="shared" si="88"/>
        <v>1</v>
      </c>
      <c r="AP523">
        <f t="shared" si="89"/>
        <v>1</v>
      </c>
      <c r="AQ523">
        <f t="shared" si="90"/>
        <v>1</v>
      </c>
      <c r="AR523">
        <f t="shared" si="91"/>
        <v>1</v>
      </c>
      <c r="AS523">
        <f t="shared" si="92"/>
        <v>1</v>
      </c>
      <c r="AT523">
        <f t="shared" si="93"/>
        <v>1</v>
      </c>
      <c r="AU523">
        <f t="shared" si="94"/>
        <v>5.5</v>
      </c>
      <c r="AV523">
        <f>SUM(Table1[[#This Row],[Satis]:[29]])</f>
        <v>6</v>
      </c>
      <c r="AW523">
        <f t="shared" si="95"/>
        <v>5</v>
      </c>
      <c r="AX523">
        <f t="shared" si="96"/>
        <v>4</v>
      </c>
      <c r="AY523">
        <f t="shared" si="97"/>
        <v>3</v>
      </c>
      <c r="AZ523" t="str">
        <f t="shared" si="98"/>
        <v>YSRCP HardCore</v>
      </c>
    </row>
    <row r="524" spans="1:52" x14ac:dyDescent="0.3">
      <c r="A524" t="s">
        <v>3374</v>
      </c>
      <c r="B524" s="94">
        <v>46046</v>
      </c>
      <c r="C524" t="s">
        <v>3375</v>
      </c>
      <c r="D524" t="s">
        <v>3376</v>
      </c>
      <c r="E524" t="s">
        <v>3377</v>
      </c>
      <c r="F524" t="s">
        <v>935</v>
      </c>
      <c r="G524" t="s">
        <v>39</v>
      </c>
      <c r="H524" t="s">
        <v>3378</v>
      </c>
      <c r="I524" s="112" t="s">
        <v>36</v>
      </c>
      <c r="J524" t="s">
        <v>203</v>
      </c>
      <c r="K524" t="s">
        <v>208</v>
      </c>
      <c r="L524" t="s">
        <v>82</v>
      </c>
      <c r="M524" t="s">
        <v>51</v>
      </c>
      <c r="N524" t="s">
        <v>63</v>
      </c>
      <c r="O524" t="s">
        <v>3379</v>
      </c>
      <c r="P524">
        <v>9704658158</v>
      </c>
      <c r="Q524" t="s">
        <v>54</v>
      </c>
      <c r="R524" t="s">
        <v>139</v>
      </c>
      <c r="S524" t="s">
        <v>89</v>
      </c>
      <c r="T524" t="s">
        <v>43</v>
      </c>
      <c r="U524" t="s">
        <v>90</v>
      </c>
      <c r="V524" t="s">
        <v>45</v>
      </c>
      <c r="W524" t="s">
        <v>5070</v>
      </c>
      <c r="X524" t="s">
        <v>45</v>
      </c>
      <c r="Y524" t="s">
        <v>46</v>
      </c>
      <c r="Z524" t="s">
        <v>47</v>
      </c>
      <c r="AA524" t="s">
        <v>48</v>
      </c>
      <c r="AB524" t="s">
        <v>49</v>
      </c>
      <c r="AC524" t="s">
        <v>49</v>
      </c>
      <c r="AD524" t="s">
        <v>494</v>
      </c>
      <c r="AE524" t="s">
        <v>185</v>
      </c>
      <c r="AF524" t="s">
        <v>4084</v>
      </c>
      <c r="AG524" t="s">
        <v>196</v>
      </c>
      <c r="AH524" s="93">
        <f>VLOOKUP(Table1[[#This Row],[Caste]],Factor!$H$1:$K$13,4,0)</f>
        <v>1.1705128247062893</v>
      </c>
      <c r="AI52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24">
        <f>Table1[[#This Row],[Factor_1]]*Table1[[#This Row],[2024 Factor]]</f>
        <v>0.86308903171383233</v>
      </c>
      <c r="AK524">
        <f>VLOOKUP(Table1[[#This Row],[Q18: Gender]],Factor!$A$33:$E$35,5,0)</f>
        <v>0.85034013605442171</v>
      </c>
      <c r="AL524">
        <f>VLOOKUP(Table1[[#This Row],[Taluka]],Factor!$A$42:$G$46,7,0)</f>
        <v>1.9264642089343564</v>
      </c>
      <c r="AM524">
        <f>VLOOKUP(Table1[[#This Row],[Caste]]&amp;Table1[[#This Row],[Q18: Gender]],Factor!$W$1:$X$23,2,0)</f>
        <v>0.79950206330384943</v>
      </c>
      <c r="AN524">
        <f>VLOOKUP(Table1[[#This Row],[Taluka]]&amp;Table1[[#This Row],[Caste]]&amp;Table1[[#This Row],[Q18: Gender]],Factor!$AK$4:$AL$93,2,0)</f>
        <v>1.1572126985895925</v>
      </c>
      <c r="AO524">
        <f t="shared" si="88"/>
        <v>-1</v>
      </c>
      <c r="AP524">
        <f t="shared" si="89"/>
        <v>1</v>
      </c>
      <c r="AQ524">
        <f t="shared" si="90"/>
        <v>-1</v>
      </c>
      <c r="AR524">
        <f t="shared" si="91"/>
        <v>-1</v>
      </c>
      <c r="AS524">
        <f t="shared" si="92"/>
        <v>-1</v>
      </c>
      <c r="AT524">
        <f t="shared" si="93"/>
        <v>-1</v>
      </c>
      <c r="AU524">
        <f t="shared" si="94"/>
        <v>-3.5</v>
      </c>
      <c r="AV524">
        <f>SUM(Table1[[#This Row],[Satis]:[29]])</f>
        <v>-4</v>
      </c>
      <c r="AW524">
        <f t="shared" si="95"/>
        <v>-5</v>
      </c>
      <c r="AX524">
        <f t="shared" si="96"/>
        <v>-4</v>
      </c>
      <c r="AY524">
        <f t="shared" si="97"/>
        <v>-3</v>
      </c>
      <c r="AZ524" t="str">
        <f t="shared" si="98"/>
        <v>TDP Sympathiser</v>
      </c>
    </row>
    <row r="525" spans="1:52" x14ac:dyDescent="0.3">
      <c r="A525" t="s">
        <v>3469</v>
      </c>
      <c r="B525" s="94">
        <v>46046</v>
      </c>
      <c r="C525" t="s">
        <v>3470</v>
      </c>
      <c r="D525" t="s">
        <v>3471</v>
      </c>
      <c r="E525" t="s">
        <v>3192</v>
      </c>
      <c r="F525" t="s">
        <v>2547</v>
      </c>
      <c r="G525" t="s">
        <v>39</v>
      </c>
      <c r="H525" t="s">
        <v>3472</v>
      </c>
      <c r="I525" t="s">
        <v>70</v>
      </c>
      <c r="J525" t="s">
        <v>203</v>
      </c>
      <c r="K525" t="s">
        <v>204</v>
      </c>
      <c r="L525" t="s">
        <v>451</v>
      </c>
      <c r="M525" t="s">
        <v>443</v>
      </c>
      <c r="N525" t="s">
        <v>63</v>
      </c>
      <c r="O525" t="s">
        <v>3473</v>
      </c>
      <c r="P525">
        <v>6304734474</v>
      </c>
      <c r="Q525" t="s">
        <v>445</v>
      </c>
      <c r="R525" t="s">
        <v>2116</v>
      </c>
      <c r="S525" t="s">
        <v>43</v>
      </c>
      <c r="T525" t="s">
        <v>43</v>
      </c>
      <c r="U525" t="s">
        <v>44</v>
      </c>
      <c r="V525" t="s">
        <v>45</v>
      </c>
      <c r="W525" t="s">
        <v>5087</v>
      </c>
      <c r="X525" t="s">
        <v>45</v>
      </c>
      <c r="Y525" t="s">
        <v>46</v>
      </c>
      <c r="Z525" t="s">
        <v>47</v>
      </c>
      <c r="AA525" t="s">
        <v>48</v>
      </c>
      <c r="AB525" t="s">
        <v>49</v>
      </c>
      <c r="AC525" t="s">
        <v>49</v>
      </c>
      <c r="AD525" t="s">
        <v>494</v>
      </c>
      <c r="AE525" t="s">
        <v>185</v>
      </c>
      <c r="AF525">
        <v>0</v>
      </c>
      <c r="AG525" t="s">
        <v>196</v>
      </c>
      <c r="AH525" s="93">
        <f>VLOOKUP(Table1[[#This Row],[Caste]],Factor!$H$1:$K$13,4,0)</f>
        <v>1.3836274505214585</v>
      </c>
      <c r="AI52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25">
        <f>Table1[[#This Row],[Factor_1]]*Table1[[#This Row],[2024 Factor]]</f>
        <v>2.0811826914865059</v>
      </c>
      <c r="AK525">
        <f>VLOOKUP(Table1[[#This Row],[Q18: Gender]],Factor!$A$33:$E$35,5,0)</f>
        <v>2.1645021645021645</v>
      </c>
      <c r="AL525">
        <f>VLOOKUP(Table1[[#This Row],[Taluka]],Factor!$A$42:$G$46,7,0)</f>
        <v>1.9264642089343564</v>
      </c>
      <c r="AM525">
        <f>VLOOKUP(Table1[[#This Row],[Caste]]&amp;Table1[[#This Row],[Q18: Gender]],Factor!$W$1:$X$23,2,0)</f>
        <v>1.9278542477265657</v>
      </c>
      <c r="AN525">
        <f>VLOOKUP(Table1[[#This Row],[Taluka]]&amp;Table1[[#This Row],[Caste]]&amp;Table1[[#This Row],[Q18: Gender]],Factor!$AK$4:$AL$93,2,0)</f>
        <v>4.0768956513699193</v>
      </c>
      <c r="AO525">
        <f t="shared" si="88"/>
        <v>-1</v>
      </c>
      <c r="AP525">
        <f t="shared" si="89"/>
        <v>-1</v>
      </c>
      <c r="AQ525">
        <f t="shared" si="90"/>
        <v>-1</v>
      </c>
      <c r="AR525">
        <f t="shared" si="91"/>
        <v>-1</v>
      </c>
      <c r="AS525">
        <f t="shared" si="92"/>
        <v>-1</v>
      </c>
      <c r="AT525">
        <f t="shared" si="93"/>
        <v>-1</v>
      </c>
      <c r="AU525">
        <f t="shared" si="94"/>
        <v>-5.5</v>
      </c>
      <c r="AV525">
        <f>SUM(Table1[[#This Row],[Satis]:[29]])</f>
        <v>-6</v>
      </c>
      <c r="AW525">
        <f t="shared" si="95"/>
        <v>-5</v>
      </c>
      <c r="AX525">
        <f t="shared" si="96"/>
        <v>-4</v>
      </c>
      <c r="AY525">
        <f t="shared" si="97"/>
        <v>-3</v>
      </c>
      <c r="AZ525" t="str">
        <f t="shared" si="98"/>
        <v>TDP HardCore</v>
      </c>
    </row>
    <row r="526" spans="1:52" x14ac:dyDescent="0.3">
      <c r="A526" t="s">
        <v>3852</v>
      </c>
      <c r="B526" s="94">
        <v>46046</v>
      </c>
      <c r="C526" t="s">
        <v>3853</v>
      </c>
      <c r="D526" t="s">
        <v>3854</v>
      </c>
      <c r="E526" t="s">
        <v>3855</v>
      </c>
      <c r="F526" t="s">
        <v>935</v>
      </c>
      <c r="G526" t="s">
        <v>39</v>
      </c>
      <c r="H526" t="s">
        <v>3856</v>
      </c>
      <c r="I526" t="s">
        <v>59</v>
      </c>
      <c r="J526" t="s">
        <v>203</v>
      </c>
      <c r="K526" t="s">
        <v>208</v>
      </c>
      <c r="L526" t="s">
        <v>62</v>
      </c>
      <c r="M526" t="s">
        <v>51</v>
      </c>
      <c r="N526" t="s">
        <v>63</v>
      </c>
      <c r="O526" t="s">
        <v>3857</v>
      </c>
      <c r="P526">
        <v>9</v>
      </c>
      <c r="Q526" t="s">
        <v>54</v>
      </c>
      <c r="R526" t="s">
        <v>132</v>
      </c>
      <c r="S526" t="s">
        <v>89</v>
      </c>
      <c r="T526" t="s">
        <v>43</v>
      </c>
      <c r="U526" t="s">
        <v>90</v>
      </c>
      <c r="V526" t="s">
        <v>91</v>
      </c>
      <c r="W526" t="s">
        <v>5057</v>
      </c>
      <c r="X526" t="s">
        <v>45</v>
      </c>
      <c r="Y526" t="s">
        <v>46</v>
      </c>
      <c r="Z526" t="s">
        <v>47</v>
      </c>
      <c r="AA526" t="s">
        <v>48</v>
      </c>
      <c r="AB526" t="s">
        <v>49</v>
      </c>
      <c r="AC526" t="s">
        <v>49</v>
      </c>
      <c r="AD526" t="s">
        <v>494</v>
      </c>
      <c r="AE526" t="s">
        <v>185</v>
      </c>
      <c r="AF526">
        <v>0</v>
      </c>
      <c r="AG526" t="s">
        <v>196</v>
      </c>
      <c r="AH526" s="93">
        <f>VLOOKUP(Table1[[#This Row],[Caste]],Factor!$H$1:$K$13,4,0)</f>
        <v>1.1461625511156397</v>
      </c>
      <c r="AI52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26">
        <f>Table1[[#This Row],[Factor_1]]*Table1[[#This Row],[2024 Factor]]</f>
        <v>0.77721139583220644</v>
      </c>
      <c r="AK526">
        <f>VLOOKUP(Table1[[#This Row],[Q18: Gender]],Factor!$A$33:$E$35,5,0)</f>
        <v>0.85034013605442171</v>
      </c>
      <c r="AL526">
        <f>VLOOKUP(Table1[[#This Row],[Taluka]],Factor!$A$42:$G$46,7,0)</f>
        <v>1.9264642089343564</v>
      </c>
      <c r="AM526">
        <f>VLOOKUP(Table1[[#This Row],[Caste]]&amp;Table1[[#This Row],[Q18: Gender]],Factor!$W$1:$X$23,2,0)</f>
        <v>0.71995135120329123</v>
      </c>
      <c r="AN526">
        <f>VLOOKUP(Table1[[#This Row],[Taluka]]&amp;Table1[[#This Row],[Caste]]&amp;Table1[[#This Row],[Q18: Gender]],Factor!$AK$4:$AL$93,2,0)</f>
        <v>0.70534647283248642</v>
      </c>
      <c r="AO526">
        <f t="shared" si="88"/>
        <v>-1</v>
      </c>
      <c r="AP526">
        <f t="shared" si="89"/>
        <v>1</v>
      </c>
      <c r="AQ526">
        <f t="shared" si="90"/>
        <v>1</v>
      </c>
      <c r="AR526">
        <f t="shared" si="91"/>
        <v>-1</v>
      </c>
      <c r="AS526">
        <f t="shared" si="92"/>
        <v>-1</v>
      </c>
      <c r="AT526">
        <f t="shared" si="93"/>
        <v>-1</v>
      </c>
      <c r="AU526">
        <f t="shared" si="94"/>
        <v>-1.5</v>
      </c>
      <c r="AV526">
        <f>SUM(Table1[[#This Row],[Satis]:[29]])</f>
        <v>-2</v>
      </c>
      <c r="AW526">
        <f t="shared" si="95"/>
        <v>-3</v>
      </c>
      <c r="AX526">
        <f t="shared" si="96"/>
        <v>-2</v>
      </c>
      <c r="AY526">
        <f t="shared" si="97"/>
        <v>-3</v>
      </c>
      <c r="AZ526" t="str">
        <f t="shared" si="98"/>
        <v>Neutral TDP</v>
      </c>
    </row>
    <row r="527" spans="1:52" x14ac:dyDescent="0.3">
      <c r="A527" t="s">
        <v>3748</v>
      </c>
      <c r="B527" s="94">
        <v>46046</v>
      </c>
      <c r="C527" t="s">
        <v>3749</v>
      </c>
      <c r="D527" t="s">
        <v>3750</v>
      </c>
      <c r="E527" t="s">
        <v>1197</v>
      </c>
      <c r="F527" t="s">
        <v>35</v>
      </c>
      <c r="G527" t="s">
        <v>39</v>
      </c>
      <c r="H527" t="s">
        <v>3751</v>
      </c>
      <c r="I527" t="s">
        <v>70</v>
      </c>
      <c r="J527" t="s">
        <v>71</v>
      </c>
      <c r="K527" t="s">
        <v>217</v>
      </c>
      <c r="L527" t="s">
        <v>82</v>
      </c>
      <c r="M527" t="s">
        <v>51</v>
      </c>
      <c r="N527" t="s">
        <v>107</v>
      </c>
      <c r="O527" t="s">
        <v>3752</v>
      </c>
      <c r="P527">
        <v>0</v>
      </c>
      <c r="Q527" t="s">
        <v>54</v>
      </c>
      <c r="R527" t="s">
        <v>2116</v>
      </c>
      <c r="S527" t="s">
        <v>43</v>
      </c>
      <c r="T527" t="s">
        <v>89</v>
      </c>
      <c r="U527" t="s">
        <v>44</v>
      </c>
      <c r="V527" t="s">
        <v>45</v>
      </c>
      <c r="W527" t="s">
        <v>5101</v>
      </c>
      <c r="X527" t="s">
        <v>45</v>
      </c>
      <c r="Y527" t="s">
        <v>46</v>
      </c>
      <c r="Z527" t="s">
        <v>47</v>
      </c>
      <c r="AA527" t="s">
        <v>92</v>
      </c>
      <c r="AB527" t="s">
        <v>93</v>
      </c>
      <c r="AC527" t="s">
        <v>94</v>
      </c>
      <c r="AD527" t="s">
        <v>494</v>
      </c>
      <c r="AE527" t="s">
        <v>185</v>
      </c>
      <c r="AF527">
        <v>0</v>
      </c>
      <c r="AG527" t="s">
        <v>196</v>
      </c>
      <c r="AH527" s="93">
        <f>VLOOKUP(Table1[[#This Row],[Caste]],Factor!$H$1:$K$13,4,0)</f>
        <v>1.3836274505214585</v>
      </c>
      <c r="AI527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527">
        <f>Table1[[#This Row],[Factor_1]]*Table1[[#This Row],[2024 Factor]]</f>
        <v>1.9482662206881376</v>
      </c>
      <c r="AK527">
        <f>VLOOKUP(Table1[[#This Row],[Q18: Gender]],Factor!$A$33:$E$35,5,0)</f>
        <v>0.85034013605442171</v>
      </c>
      <c r="AL527">
        <f>VLOOKUP(Table1[[#This Row],[Taluka]],Factor!$A$42:$G$46,7,0)</f>
        <v>1.1213131007097483</v>
      </c>
      <c r="AM527">
        <f>VLOOKUP(Table1[[#This Row],[Caste]]&amp;Table1[[#This Row],[Q18: Gender]],Factor!$W$1:$X$23,2,0)</f>
        <v>1.0790228998469584</v>
      </c>
      <c r="AN527">
        <f>VLOOKUP(Table1[[#This Row],[Taluka]]&amp;Table1[[#This Row],[Caste]]&amp;Table1[[#This Row],[Q18: Gender]],Factor!$AK$4:$AL$93,2,0)</f>
        <v>0.90933567693352424</v>
      </c>
      <c r="AO527">
        <f t="shared" si="88"/>
        <v>1</v>
      </c>
      <c r="AP527">
        <f t="shared" si="89"/>
        <v>-1</v>
      </c>
      <c r="AQ527">
        <f t="shared" si="90"/>
        <v>-1</v>
      </c>
      <c r="AR527">
        <f t="shared" si="91"/>
        <v>-1</v>
      </c>
      <c r="AS527">
        <f t="shared" si="92"/>
        <v>1</v>
      </c>
      <c r="AT527">
        <f t="shared" si="93"/>
        <v>-1</v>
      </c>
      <c r="AU527">
        <f t="shared" si="94"/>
        <v>-2.5</v>
      </c>
      <c r="AV527">
        <f>SUM(Table1[[#This Row],[Satis]:[29]])</f>
        <v>-2</v>
      </c>
      <c r="AW527">
        <f t="shared" si="95"/>
        <v>-1</v>
      </c>
      <c r="AX527">
        <f t="shared" si="96"/>
        <v>-2</v>
      </c>
      <c r="AY527" t="str">
        <f t="shared" si="97"/>
        <v>ND</v>
      </c>
      <c r="AZ527" t="str">
        <f t="shared" si="98"/>
        <v>ND</v>
      </c>
    </row>
    <row r="528" spans="1:52" x14ac:dyDescent="0.3">
      <c r="A528" t="s">
        <v>3707</v>
      </c>
      <c r="B528" s="94">
        <v>46046</v>
      </c>
      <c r="C528" t="s">
        <v>3708</v>
      </c>
      <c r="D528" t="s">
        <v>3024</v>
      </c>
      <c r="E528" t="s">
        <v>3025</v>
      </c>
      <c r="F528" t="s">
        <v>2547</v>
      </c>
      <c r="G528" t="s">
        <v>39</v>
      </c>
      <c r="H528" t="s">
        <v>3709</v>
      </c>
      <c r="I528" t="s">
        <v>227</v>
      </c>
      <c r="J528" t="s">
        <v>203</v>
      </c>
      <c r="K528" t="s">
        <v>204</v>
      </c>
      <c r="L528" t="s">
        <v>82</v>
      </c>
      <c r="M528" t="s">
        <v>51</v>
      </c>
      <c r="N528" t="s">
        <v>52</v>
      </c>
      <c r="O528" t="s">
        <v>3027</v>
      </c>
      <c r="P528">
        <v>9000000000</v>
      </c>
      <c r="Q528" t="s">
        <v>445</v>
      </c>
      <c r="R528" t="s">
        <v>132</v>
      </c>
      <c r="S528" t="s">
        <v>43</v>
      </c>
      <c r="T528" t="s">
        <v>43</v>
      </c>
      <c r="U528" t="s">
        <v>44</v>
      </c>
      <c r="V528" t="s">
        <v>45</v>
      </c>
      <c r="W528" t="s">
        <v>5056</v>
      </c>
      <c r="X528" t="s">
        <v>45</v>
      </c>
      <c r="Y528" t="s">
        <v>46</v>
      </c>
      <c r="Z528" t="s">
        <v>47</v>
      </c>
      <c r="AA528" t="s">
        <v>48</v>
      </c>
      <c r="AB528" t="s">
        <v>49</v>
      </c>
      <c r="AC528" t="s">
        <v>49</v>
      </c>
      <c r="AD528" t="s">
        <v>494</v>
      </c>
      <c r="AE528" t="s">
        <v>185</v>
      </c>
      <c r="AF528">
        <v>0</v>
      </c>
      <c r="AG528" t="s">
        <v>196</v>
      </c>
      <c r="AH528" s="93">
        <f>VLOOKUP(Table1[[#This Row],[Caste]],Factor!$H$1:$K$13,4,0)</f>
        <v>1.2612194085121222</v>
      </c>
      <c r="AI52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28">
        <f>Table1[[#This Row],[Factor_1]]*Table1[[#This Row],[2024 Factor]]</f>
        <v>2.6155674106916162</v>
      </c>
      <c r="AK528">
        <f>VLOOKUP(Table1[[#This Row],[Q18: Gender]],Factor!$A$33:$E$35,5,0)</f>
        <v>2.1645021645021645</v>
      </c>
      <c r="AL528">
        <f>VLOOKUP(Table1[[#This Row],[Taluka]],Factor!$A$42:$G$46,7,0)</f>
        <v>1.9264642089343564</v>
      </c>
      <c r="AM528">
        <f>VLOOKUP(Table1[[#This Row],[Caste]]&amp;Table1[[#This Row],[Q18: Gender]],Factor!$W$1:$X$23,2,0)</f>
        <v>2.4228688637206557</v>
      </c>
      <c r="AN528">
        <f>VLOOKUP(Table1[[#This Row],[Taluka]]&amp;Table1[[#This Row],[Caste]]&amp;Table1[[#This Row],[Q18: Gender]],Factor!$AK$4:$AL$93,2,0)</f>
        <v>3.5695242713707369</v>
      </c>
      <c r="AO528">
        <f t="shared" si="88"/>
        <v>-1</v>
      </c>
      <c r="AP528">
        <f t="shared" si="89"/>
        <v>-1</v>
      </c>
      <c r="AQ528">
        <f t="shared" si="90"/>
        <v>-1</v>
      </c>
      <c r="AR528">
        <f t="shared" si="91"/>
        <v>-1</v>
      </c>
      <c r="AS528">
        <f t="shared" si="92"/>
        <v>-1</v>
      </c>
      <c r="AT528">
        <f t="shared" si="93"/>
        <v>-1</v>
      </c>
      <c r="AU528">
        <f t="shared" si="94"/>
        <v>-5.5</v>
      </c>
      <c r="AV528">
        <f>SUM(Table1[[#This Row],[Satis]:[29]])</f>
        <v>-6</v>
      </c>
      <c r="AW528">
        <f t="shared" si="95"/>
        <v>-5</v>
      </c>
      <c r="AX528">
        <f t="shared" si="96"/>
        <v>-4</v>
      </c>
      <c r="AY528">
        <f t="shared" si="97"/>
        <v>-3</v>
      </c>
      <c r="AZ528" t="str">
        <f t="shared" si="98"/>
        <v>TDP HardCore</v>
      </c>
    </row>
    <row r="529" spans="1:52" x14ac:dyDescent="0.3">
      <c r="A529" t="s">
        <v>3078</v>
      </c>
      <c r="B529" s="94">
        <v>46046</v>
      </c>
      <c r="C529" t="s">
        <v>3079</v>
      </c>
      <c r="D529" t="s">
        <v>3080</v>
      </c>
      <c r="E529" t="s">
        <v>3081</v>
      </c>
      <c r="F529" t="s">
        <v>69</v>
      </c>
      <c r="G529" t="s">
        <v>39</v>
      </c>
      <c r="H529" t="s">
        <v>3082</v>
      </c>
      <c r="I529" t="s">
        <v>59</v>
      </c>
      <c r="J529" t="s">
        <v>203</v>
      </c>
      <c r="K529" t="s">
        <v>203</v>
      </c>
      <c r="L529" t="s">
        <v>75</v>
      </c>
      <c r="M529" t="s">
        <v>51</v>
      </c>
      <c r="N529" t="s">
        <v>52</v>
      </c>
      <c r="O529" t="s">
        <v>435</v>
      </c>
      <c r="P529">
        <v>999999999999</v>
      </c>
      <c r="Q529" t="s">
        <v>54</v>
      </c>
      <c r="R529" t="s">
        <v>132</v>
      </c>
      <c r="S529" t="s">
        <v>43</v>
      </c>
      <c r="T529" t="s">
        <v>43</v>
      </c>
      <c r="U529" t="s">
        <v>44</v>
      </c>
      <c r="V529" t="s">
        <v>45</v>
      </c>
      <c r="W529" t="s">
        <v>5077</v>
      </c>
      <c r="X529" t="s">
        <v>45</v>
      </c>
      <c r="Y529" t="s">
        <v>46</v>
      </c>
      <c r="Z529" t="s">
        <v>47</v>
      </c>
      <c r="AA529" t="s">
        <v>242</v>
      </c>
      <c r="AB529" t="s">
        <v>49</v>
      </c>
      <c r="AC529" t="s">
        <v>49</v>
      </c>
      <c r="AD529" t="s">
        <v>494</v>
      </c>
      <c r="AE529" t="s">
        <v>189</v>
      </c>
      <c r="AF529" t="s">
        <v>4061</v>
      </c>
      <c r="AG529" t="s">
        <v>196</v>
      </c>
      <c r="AH529" s="93">
        <f>VLOOKUP(Table1[[#This Row],[Caste]],Factor!$H$1:$K$13,4,0)</f>
        <v>1.1461625511156397</v>
      </c>
      <c r="AI529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529">
        <f>Table1[[#This Row],[Factor_1]]*Table1[[#This Row],[2024 Factor]]</f>
        <v>0.47627550925756229</v>
      </c>
      <c r="AK529">
        <f>VLOOKUP(Table1[[#This Row],[Q18: Gender]],Factor!$A$33:$E$35,5,0)</f>
        <v>0.85034013605442171</v>
      </c>
      <c r="AL529">
        <f>VLOOKUP(Table1[[#This Row],[Taluka]],Factor!$A$42:$G$46,7,0)</f>
        <v>1.9264642089343564</v>
      </c>
      <c r="AM529">
        <f>VLOOKUP(Table1[[#This Row],[Caste]]&amp;Table1[[#This Row],[Q18: Gender]],Factor!$W$1:$X$23,2,0)</f>
        <v>0.71995135120329123</v>
      </c>
      <c r="AN529">
        <f>VLOOKUP(Table1[[#This Row],[Taluka]]&amp;Table1[[#This Row],[Caste]]&amp;Table1[[#This Row],[Q18: Gender]],Factor!$AK$4:$AL$93,2,0)</f>
        <v>0.70534647283248642</v>
      </c>
      <c r="AO529">
        <f t="shared" si="88"/>
        <v>-1</v>
      </c>
      <c r="AP529">
        <f t="shared" si="89"/>
        <v>-1</v>
      </c>
      <c r="AQ529">
        <f t="shared" si="90"/>
        <v>-1</v>
      </c>
      <c r="AR529">
        <f t="shared" si="91"/>
        <v>-1</v>
      </c>
      <c r="AS529">
        <f t="shared" si="92"/>
        <v>-1</v>
      </c>
      <c r="AT529">
        <f t="shared" si="93"/>
        <v>-1</v>
      </c>
      <c r="AU529">
        <f t="shared" si="94"/>
        <v>-5.5</v>
      </c>
      <c r="AV529">
        <f>SUM(Table1[[#This Row],[Satis]:[29]])</f>
        <v>-6</v>
      </c>
      <c r="AW529">
        <f t="shared" si="95"/>
        <v>-5</v>
      </c>
      <c r="AX529">
        <f t="shared" si="96"/>
        <v>-4</v>
      </c>
      <c r="AY529">
        <f t="shared" si="97"/>
        <v>-3</v>
      </c>
      <c r="AZ529" t="str">
        <f t="shared" si="98"/>
        <v>TDP HardCore</v>
      </c>
    </row>
    <row r="530" spans="1:52" x14ac:dyDescent="0.3">
      <c r="A530" t="s">
        <v>3361</v>
      </c>
      <c r="B530" s="94">
        <v>46046</v>
      </c>
      <c r="C530" t="s">
        <v>3362</v>
      </c>
      <c r="D530" t="s">
        <v>3024</v>
      </c>
      <c r="E530" t="s">
        <v>3025</v>
      </c>
      <c r="F530" t="s">
        <v>2547</v>
      </c>
      <c r="G530" t="s">
        <v>39</v>
      </c>
      <c r="H530" t="s">
        <v>3363</v>
      </c>
      <c r="I530" t="s">
        <v>227</v>
      </c>
      <c r="J530" t="s">
        <v>203</v>
      </c>
      <c r="K530" t="s">
        <v>204</v>
      </c>
      <c r="L530" t="s">
        <v>82</v>
      </c>
      <c r="M530" t="s">
        <v>51</v>
      </c>
      <c r="N530" t="s">
        <v>52</v>
      </c>
      <c r="O530" t="s">
        <v>3027</v>
      </c>
      <c r="P530">
        <v>9000000000</v>
      </c>
      <c r="Q530" t="s">
        <v>445</v>
      </c>
      <c r="R530" t="s">
        <v>132</v>
      </c>
      <c r="S530" t="s">
        <v>43</v>
      </c>
      <c r="T530" t="s">
        <v>43</v>
      </c>
      <c r="U530" t="s">
        <v>44</v>
      </c>
      <c r="V530" t="s">
        <v>45</v>
      </c>
      <c r="W530" t="s">
        <v>5056</v>
      </c>
      <c r="X530" t="s">
        <v>45</v>
      </c>
      <c r="Y530" t="s">
        <v>46</v>
      </c>
      <c r="Z530" t="s">
        <v>47</v>
      </c>
      <c r="AA530" t="s">
        <v>48</v>
      </c>
      <c r="AB530" t="s">
        <v>49</v>
      </c>
      <c r="AC530" t="s">
        <v>49</v>
      </c>
      <c r="AD530">
        <v>0</v>
      </c>
      <c r="AE530" t="s">
        <v>185</v>
      </c>
      <c r="AF530">
        <v>0</v>
      </c>
      <c r="AG530" t="s">
        <v>196</v>
      </c>
      <c r="AH530" s="93">
        <f>VLOOKUP(Table1[[#This Row],[Caste]],Factor!$H$1:$K$13,4,0)</f>
        <v>1.2612194085121222</v>
      </c>
      <c r="AI53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30">
        <f>Table1[[#This Row],[Factor_1]]*Table1[[#This Row],[2024 Factor]]</f>
        <v>2.6155674106916162</v>
      </c>
      <c r="AK530">
        <f>VLOOKUP(Table1[[#This Row],[Q18: Gender]],Factor!$A$33:$E$35,5,0)</f>
        <v>2.1645021645021645</v>
      </c>
      <c r="AL530">
        <f>VLOOKUP(Table1[[#This Row],[Taluka]],Factor!$A$42:$G$46,7,0)</f>
        <v>1.9264642089343564</v>
      </c>
      <c r="AM530">
        <f>VLOOKUP(Table1[[#This Row],[Caste]]&amp;Table1[[#This Row],[Q18: Gender]],Factor!$W$1:$X$23,2,0)</f>
        <v>2.4228688637206557</v>
      </c>
      <c r="AN530">
        <f>VLOOKUP(Table1[[#This Row],[Taluka]]&amp;Table1[[#This Row],[Caste]]&amp;Table1[[#This Row],[Q18: Gender]],Factor!$AK$4:$AL$93,2,0)</f>
        <v>3.5695242713707369</v>
      </c>
      <c r="AO530">
        <f t="shared" si="88"/>
        <v>-1</v>
      </c>
      <c r="AP530">
        <f t="shared" si="89"/>
        <v>-1</v>
      </c>
      <c r="AQ530">
        <f t="shared" si="90"/>
        <v>-1</v>
      </c>
      <c r="AR530">
        <f t="shared" si="91"/>
        <v>-1</v>
      </c>
      <c r="AS530">
        <f t="shared" si="92"/>
        <v>-1</v>
      </c>
      <c r="AT530">
        <f t="shared" si="93"/>
        <v>-1</v>
      </c>
      <c r="AU530">
        <f t="shared" si="94"/>
        <v>-5.5</v>
      </c>
      <c r="AV530">
        <f>SUM(Table1[[#This Row],[Satis]:[29]])</f>
        <v>-6</v>
      </c>
      <c r="AW530">
        <f t="shared" si="95"/>
        <v>-5</v>
      </c>
      <c r="AX530">
        <f t="shared" si="96"/>
        <v>-4</v>
      </c>
      <c r="AY530">
        <f t="shared" si="97"/>
        <v>-3</v>
      </c>
      <c r="AZ530" t="str">
        <f t="shared" si="98"/>
        <v>TDP HardCore</v>
      </c>
    </row>
    <row r="531" spans="1:52" x14ac:dyDescent="0.3">
      <c r="A531" t="s">
        <v>3089</v>
      </c>
      <c r="B531" s="94">
        <v>46046</v>
      </c>
      <c r="C531" t="s">
        <v>3090</v>
      </c>
      <c r="D531" t="s">
        <v>3091</v>
      </c>
      <c r="E531" t="s">
        <v>3092</v>
      </c>
      <c r="F531" t="s">
        <v>69</v>
      </c>
      <c r="G531" t="s">
        <v>39</v>
      </c>
      <c r="H531" t="s">
        <v>3093</v>
      </c>
      <c r="I531" t="s">
        <v>70</v>
      </c>
      <c r="J531" t="s">
        <v>203</v>
      </c>
      <c r="K531" t="s">
        <v>203</v>
      </c>
      <c r="L531" t="s">
        <v>75</v>
      </c>
      <c r="M531" t="s">
        <v>443</v>
      </c>
      <c r="N531" t="s">
        <v>63</v>
      </c>
      <c r="O531" t="s">
        <v>1606</v>
      </c>
      <c r="P531">
        <v>9999999999</v>
      </c>
      <c r="Q531" t="s">
        <v>54</v>
      </c>
      <c r="R531" t="s">
        <v>132</v>
      </c>
      <c r="S531" t="s">
        <v>43</v>
      </c>
      <c r="T531" t="s">
        <v>43</v>
      </c>
      <c r="U531" t="s">
        <v>44</v>
      </c>
      <c r="V531" t="s">
        <v>45</v>
      </c>
      <c r="W531" t="s">
        <v>5058</v>
      </c>
      <c r="X531" t="s">
        <v>45</v>
      </c>
      <c r="Y531" t="s">
        <v>46</v>
      </c>
      <c r="Z531" t="s">
        <v>47</v>
      </c>
      <c r="AA531" t="s">
        <v>92</v>
      </c>
      <c r="AB531" t="s">
        <v>147</v>
      </c>
      <c r="AC531" t="s">
        <v>94</v>
      </c>
      <c r="AD531" t="s">
        <v>494</v>
      </c>
      <c r="AE531" t="s">
        <v>189</v>
      </c>
      <c r="AF531" t="s">
        <v>4075</v>
      </c>
      <c r="AG531" t="s">
        <v>196</v>
      </c>
      <c r="AH531" s="93">
        <f>VLOOKUP(Table1[[#This Row],[Caste]],Factor!$H$1:$K$13,4,0)</f>
        <v>1.3836274505214585</v>
      </c>
      <c r="AI531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531">
        <f>Table1[[#This Row],[Factor_1]]*Table1[[#This Row],[2024 Factor]]</f>
        <v>1.9482662206881376</v>
      </c>
      <c r="AK531">
        <f>VLOOKUP(Table1[[#This Row],[Q18: Gender]],Factor!$A$33:$E$35,5,0)</f>
        <v>0.85034013605442171</v>
      </c>
      <c r="AL531">
        <f>VLOOKUP(Table1[[#This Row],[Taluka]],Factor!$A$42:$G$46,7,0)</f>
        <v>1.9264642089343564</v>
      </c>
      <c r="AM531">
        <f>VLOOKUP(Table1[[#This Row],[Caste]]&amp;Table1[[#This Row],[Q18: Gender]],Factor!$W$1:$X$23,2,0)</f>
        <v>1.0790228998469584</v>
      </c>
      <c r="AN531">
        <f>VLOOKUP(Table1[[#This Row],[Taluka]]&amp;Table1[[#This Row],[Caste]]&amp;Table1[[#This Row],[Q18: Gender]],Factor!$AK$4:$AL$93,2,0)</f>
        <v>2.1355167697651956</v>
      </c>
      <c r="AO531">
        <f t="shared" si="88"/>
        <v>-1</v>
      </c>
      <c r="AP531">
        <f t="shared" si="89"/>
        <v>-1</v>
      </c>
      <c r="AQ531">
        <f t="shared" si="90"/>
        <v>-1</v>
      </c>
      <c r="AR531">
        <f t="shared" si="91"/>
        <v>-1</v>
      </c>
      <c r="AS531">
        <f t="shared" si="92"/>
        <v>1</v>
      </c>
      <c r="AT531">
        <f t="shared" si="93"/>
        <v>-1</v>
      </c>
      <c r="AU531">
        <f t="shared" si="94"/>
        <v>-4.5</v>
      </c>
      <c r="AV531">
        <f>SUM(Table1[[#This Row],[Satis]:[29]])</f>
        <v>-4</v>
      </c>
      <c r="AW531">
        <f t="shared" si="95"/>
        <v>-3</v>
      </c>
      <c r="AX531">
        <f t="shared" si="96"/>
        <v>-2</v>
      </c>
      <c r="AY531">
        <f t="shared" si="97"/>
        <v>-2</v>
      </c>
      <c r="AZ531" t="str">
        <f t="shared" si="98"/>
        <v>Neutral TDP</v>
      </c>
    </row>
    <row r="532" spans="1:52" x14ac:dyDescent="0.3">
      <c r="A532" t="s">
        <v>3022</v>
      </c>
      <c r="B532" s="94">
        <v>46046</v>
      </c>
      <c r="C532" t="s">
        <v>3023</v>
      </c>
      <c r="D532" t="s">
        <v>3024</v>
      </c>
      <c r="E532" t="s">
        <v>3025</v>
      </c>
      <c r="F532" t="s">
        <v>2547</v>
      </c>
      <c r="G532" t="s">
        <v>39</v>
      </c>
      <c r="H532" t="s">
        <v>3026</v>
      </c>
      <c r="I532" t="s">
        <v>227</v>
      </c>
      <c r="J532" t="s">
        <v>203</v>
      </c>
      <c r="K532" t="s">
        <v>204</v>
      </c>
      <c r="L532" t="s">
        <v>82</v>
      </c>
      <c r="M532" t="s">
        <v>51</v>
      </c>
      <c r="N532" t="s">
        <v>52</v>
      </c>
      <c r="O532" t="s">
        <v>3027</v>
      </c>
      <c r="P532">
        <v>9000000000</v>
      </c>
      <c r="Q532" t="s">
        <v>445</v>
      </c>
      <c r="R532" t="s">
        <v>132</v>
      </c>
      <c r="S532" t="s">
        <v>43</v>
      </c>
      <c r="T532" t="s">
        <v>43</v>
      </c>
      <c r="U532" t="s">
        <v>44</v>
      </c>
      <c r="V532" t="s">
        <v>45</v>
      </c>
      <c r="W532" t="s">
        <v>5056</v>
      </c>
      <c r="X532" t="s">
        <v>45</v>
      </c>
      <c r="Y532" t="s">
        <v>46</v>
      </c>
      <c r="Z532" t="s">
        <v>47</v>
      </c>
      <c r="AA532" t="s">
        <v>48</v>
      </c>
      <c r="AB532" t="s">
        <v>49</v>
      </c>
      <c r="AC532" t="s">
        <v>49</v>
      </c>
      <c r="AD532">
        <v>0</v>
      </c>
      <c r="AE532" t="s">
        <v>185</v>
      </c>
      <c r="AF532">
        <v>0</v>
      </c>
      <c r="AG532" t="s">
        <v>196</v>
      </c>
      <c r="AH532" s="93">
        <f>VLOOKUP(Table1[[#This Row],[Caste]],Factor!$H$1:$K$13,4,0)</f>
        <v>1.2612194085121222</v>
      </c>
      <c r="AI53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32">
        <f>Table1[[#This Row],[Factor_1]]*Table1[[#This Row],[2024 Factor]]</f>
        <v>2.6155674106916162</v>
      </c>
      <c r="AK532">
        <f>VLOOKUP(Table1[[#This Row],[Q18: Gender]],Factor!$A$33:$E$35,5,0)</f>
        <v>2.1645021645021645</v>
      </c>
      <c r="AL532">
        <f>VLOOKUP(Table1[[#This Row],[Taluka]],Factor!$A$42:$G$46,7,0)</f>
        <v>1.9264642089343564</v>
      </c>
      <c r="AM532">
        <f>VLOOKUP(Table1[[#This Row],[Caste]]&amp;Table1[[#This Row],[Q18: Gender]],Factor!$W$1:$X$23,2,0)</f>
        <v>2.4228688637206557</v>
      </c>
      <c r="AN532">
        <f>VLOOKUP(Table1[[#This Row],[Taluka]]&amp;Table1[[#This Row],[Caste]]&amp;Table1[[#This Row],[Q18: Gender]],Factor!$AK$4:$AL$93,2,0)</f>
        <v>3.5695242713707369</v>
      </c>
      <c r="AO532">
        <f t="shared" si="88"/>
        <v>-1</v>
      </c>
      <c r="AP532">
        <f t="shared" si="89"/>
        <v>-1</v>
      </c>
      <c r="AQ532">
        <f t="shared" si="90"/>
        <v>-1</v>
      </c>
      <c r="AR532">
        <f t="shared" si="91"/>
        <v>-1</v>
      </c>
      <c r="AS532">
        <f t="shared" si="92"/>
        <v>-1</v>
      </c>
      <c r="AT532">
        <f t="shared" si="93"/>
        <v>-1</v>
      </c>
      <c r="AU532">
        <f t="shared" si="94"/>
        <v>-5.5</v>
      </c>
      <c r="AV532">
        <f>SUM(Table1[[#This Row],[Satis]:[29]])</f>
        <v>-6</v>
      </c>
      <c r="AW532">
        <f t="shared" si="95"/>
        <v>-5</v>
      </c>
      <c r="AX532">
        <f t="shared" si="96"/>
        <v>-4</v>
      </c>
      <c r="AY532">
        <f t="shared" si="97"/>
        <v>-3</v>
      </c>
      <c r="AZ532" t="str">
        <f t="shared" si="98"/>
        <v>TDP HardCore</v>
      </c>
    </row>
    <row r="533" spans="1:52" x14ac:dyDescent="0.3">
      <c r="A533" t="s">
        <v>4007</v>
      </c>
      <c r="B533" s="94">
        <v>46046</v>
      </c>
      <c r="C533" t="s">
        <v>3893</v>
      </c>
      <c r="D533" t="s">
        <v>3460</v>
      </c>
      <c r="E533" t="s">
        <v>3461</v>
      </c>
      <c r="F533" t="s">
        <v>935</v>
      </c>
      <c r="G533" t="s">
        <v>39</v>
      </c>
      <c r="H533" t="s">
        <v>4008</v>
      </c>
      <c r="I533" t="s">
        <v>59</v>
      </c>
      <c r="J533" t="s">
        <v>203</v>
      </c>
      <c r="K533" t="s">
        <v>208</v>
      </c>
      <c r="L533" t="s">
        <v>62</v>
      </c>
      <c r="M533" t="s">
        <v>51</v>
      </c>
      <c r="N533" t="s">
        <v>107</v>
      </c>
      <c r="O533" t="s">
        <v>69</v>
      </c>
      <c r="P533">
        <v>7337274638</v>
      </c>
      <c r="Q533" t="s">
        <v>54</v>
      </c>
      <c r="R533" t="s">
        <v>132</v>
      </c>
      <c r="S533" t="s">
        <v>89</v>
      </c>
      <c r="T533" t="s">
        <v>89</v>
      </c>
      <c r="U533" t="s">
        <v>90</v>
      </c>
      <c r="V533" t="s">
        <v>91</v>
      </c>
      <c r="W533" t="s">
        <v>5057</v>
      </c>
      <c r="X533" t="s">
        <v>91</v>
      </c>
      <c r="Y533" t="s">
        <v>46</v>
      </c>
      <c r="Z533" t="s">
        <v>47</v>
      </c>
      <c r="AA533" t="s">
        <v>48</v>
      </c>
      <c r="AB533" t="s">
        <v>49</v>
      </c>
      <c r="AC533" t="s">
        <v>49</v>
      </c>
      <c r="AD533">
        <v>0</v>
      </c>
      <c r="AE533" t="s">
        <v>185</v>
      </c>
      <c r="AF533">
        <v>0</v>
      </c>
      <c r="AG533" t="s">
        <v>196</v>
      </c>
      <c r="AH533" s="93">
        <f>VLOOKUP(Table1[[#This Row],[Caste]],Factor!$H$1:$K$13,4,0)</f>
        <v>1.1461625511156397</v>
      </c>
      <c r="AI53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33">
        <f>Table1[[#This Row],[Factor_1]]*Table1[[#This Row],[2024 Factor]]</f>
        <v>0.77721139583220644</v>
      </c>
      <c r="AK533">
        <f>VLOOKUP(Table1[[#This Row],[Q18: Gender]],Factor!$A$33:$E$35,5,0)</f>
        <v>0.85034013605442171</v>
      </c>
      <c r="AL533">
        <f>VLOOKUP(Table1[[#This Row],[Taluka]],Factor!$A$42:$G$46,7,0)</f>
        <v>1.9264642089343564</v>
      </c>
      <c r="AM533">
        <f>VLOOKUP(Table1[[#This Row],[Caste]]&amp;Table1[[#This Row],[Q18: Gender]],Factor!$W$1:$X$23,2,0)</f>
        <v>0.71995135120329123</v>
      </c>
      <c r="AN533">
        <f>VLOOKUP(Table1[[#This Row],[Taluka]]&amp;Table1[[#This Row],[Caste]]&amp;Table1[[#This Row],[Q18: Gender]],Factor!$AK$4:$AL$93,2,0)</f>
        <v>0.70534647283248642</v>
      </c>
      <c r="AO533">
        <f t="shared" si="88"/>
        <v>1</v>
      </c>
      <c r="AP533">
        <f t="shared" si="89"/>
        <v>1</v>
      </c>
      <c r="AQ533">
        <f t="shared" si="90"/>
        <v>1</v>
      </c>
      <c r="AR533">
        <f t="shared" si="91"/>
        <v>1</v>
      </c>
      <c r="AS533">
        <f t="shared" si="92"/>
        <v>-1</v>
      </c>
      <c r="AT533">
        <f t="shared" si="93"/>
        <v>-1</v>
      </c>
      <c r="AU533">
        <f t="shared" si="94"/>
        <v>2.5</v>
      </c>
      <c r="AV533">
        <f>SUM(Table1[[#This Row],[Satis]:[29]])</f>
        <v>2</v>
      </c>
      <c r="AW533">
        <f t="shared" si="95"/>
        <v>1</v>
      </c>
      <c r="AX533">
        <f t="shared" si="96"/>
        <v>0</v>
      </c>
      <c r="AY533">
        <f t="shared" si="97"/>
        <v>-2</v>
      </c>
      <c r="AZ533" t="str">
        <f t="shared" si="98"/>
        <v>Neutral TDP</v>
      </c>
    </row>
    <row r="534" spans="1:52" x14ac:dyDescent="0.3">
      <c r="A534" t="s">
        <v>3671</v>
      </c>
      <c r="B534" s="94">
        <v>46046</v>
      </c>
      <c r="C534" t="s">
        <v>3672</v>
      </c>
      <c r="D534" t="s">
        <v>3460</v>
      </c>
      <c r="E534" t="s">
        <v>3461</v>
      </c>
      <c r="F534" t="s">
        <v>935</v>
      </c>
      <c r="G534" t="s">
        <v>39</v>
      </c>
      <c r="H534" t="s">
        <v>3673</v>
      </c>
      <c r="I534" t="s">
        <v>59</v>
      </c>
      <c r="J534" t="s">
        <v>203</v>
      </c>
      <c r="K534" t="s">
        <v>208</v>
      </c>
      <c r="L534" t="s">
        <v>62</v>
      </c>
      <c r="M534" t="s">
        <v>51</v>
      </c>
      <c r="N534" t="s">
        <v>107</v>
      </c>
      <c r="O534" t="s">
        <v>69</v>
      </c>
      <c r="P534">
        <v>7337274638</v>
      </c>
      <c r="Q534" t="s">
        <v>54</v>
      </c>
      <c r="R534" t="s">
        <v>132</v>
      </c>
      <c r="S534" t="s">
        <v>89</v>
      </c>
      <c r="T534" t="s">
        <v>89</v>
      </c>
      <c r="U534" t="s">
        <v>90</v>
      </c>
      <c r="V534" t="s">
        <v>91</v>
      </c>
      <c r="W534" t="s">
        <v>5057</v>
      </c>
      <c r="X534" t="s">
        <v>91</v>
      </c>
      <c r="Y534" t="s">
        <v>46</v>
      </c>
      <c r="Z534" t="s">
        <v>47</v>
      </c>
      <c r="AA534" t="s">
        <v>48</v>
      </c>
      <c r="AB534" t="s">
        <v>49</v>
      </c>
      <c r="AC534" t="s">
        <v>49</v>
      </c>
      <c r="AD534">
        <v>0</v>
      </c>
      <c r="AE534" t="s">
        <v>185</v>
      </c>
      <c r="AF534">
        <v>0</v>
      </c>
      <c r="AG534" t="s">
        <v>196</v>
      </c>
      <c r="AH534" s="93">
        <f>VLOOKUP(Table1[[#This Row],[Caste]],Factor!$H$1:$K$13,4,0)</f>
        <v>1.1461625511156397</v>
      </c>
      <c r="AI53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34">
        <f>Table1[[#This Row],[Factor_1]]*Table1[[#This Row],[2024 Factor]]</f>
        <v>0.77721139583220644</v>
      </c>
      <c r="AK534">
        <f>VLOOKUP(Table1[[#This Row],[Q18: Gender]],Factor!$A$33:$E$35,5,0)</f>
        <v>0.85034013605442171</v>
      </c>
      <c r="AL534">
        <f>VLOOKUP(Table1[[#This Row],[Taluka]],Factor!$A$42:$G$46,7,0)</f>
        <v>1.9264642089343564</v>
      </c>
      <c r="AM534">
        <f>VLOOKUP(Table1[[#This Row],[Caste]]&amp;Table1[[#This Row],[Q18: Gender]],Factor!$W$1:$X$23,2,0)</f>
        <v>0.71995135120329123</v>
      </c>
      <c r="AN534">
        <f>VLOOKUP(Table1[[#This Row],[Taluka]]&amp;Table1[[#This Row],[Caste]]&amp;Table1[[#This Row],[Q18: Gender]],Factor!$AK$4:$AL$93,2,0)</f>
        <v>0.70534647283248642</v>
      </c>
      <c r="AO534">
        <f t="shared" si="88"/>
        <v>1</v>
      </c>
      <c r="AP534">
        <f t="shared" si="89"/>
        <v>1</v>
      </c>
      <c r="AQ534">
        <f t="shared" si="90"/>
        <v>1</v>
      </c>
      <c r="AR534">
        <f t="shared" si="91"/>
        <v>1</v>
      </c>
      <c r="AS534">
        <f t="shared" si="92"/>
        <v>-1</v>
      </c>
      <c r="AT534">
        <f t="shared" si="93"/>
        <v>-1</v>
      </c>
      <c r="AU534">
        <f t="shared" si="94"/>
        <v>2.5</v>
      </c>
      <c r="AV534">
        <f>SUM(Table1[[#This Row],[Satis]:[29]])</f>
        <v>2</v>
      </c>
      <c r="AW534">
        <f t="shared" si="95"/>
        <v>1</v>
      </c>
      <c r="AX534">
        <f t="shared" si="96"/>
        <v>0</v>
      </c>
      <c r="AY534">
        <f t="shared" si="97"/>
        <v>-2</v>
      </c>
      <c r="AZ534" t="str">
        <f t="shared" si="98"/>
        <v>Neutral TDP</v>
      </c>
    </row>
    <row r="535" spans="1:52" x14ac:dyDescent="0.3">
      <c r="A535" t="s">
        <v>3111</v>
      </c>
      <c r="B535" s="94">
        <v>46046</v>
      </c>
      <c r="C535" t="s">
        <v>3112</v>
      </c>
      <c r="D535" t="s">
        <v>3113</v>
      </c>
      <c r="E535" t="s">
        <v>3114</v>
      </c>
      <c r="F535" t="s">
        <v>69</v>
      </c>
      <c r="G535" t="s">
        <v>39</v>
      </c>
      <c r="H535" t="s">
        <v>3115</v>
      </c>
      <c r="I535" t="s">
        <v>59</v>
      </c>
      <c r="J535" t="s">
        <v>203</v>
      </c>
      <c r="K535" t="s">
        <v>203</v>
      </c>
      <c r="L535" t="s">
        <v>82</v>
      </c>
      <c r="M535" t="s">
        <v>51</v>
      </c>
      <c r="N535" t="s">
        <v>63</v>
      </c>
      <c r="O535" t="s">
        <v>278</v>
      </c>
      <c r="P535">
        <v>9948218387</v>
      </c>
      <c r="Q535" t="s">
        <v>54</v>
      </c>
      <c r="R535" t="s">
        <v>132</v>
      </c>
      <c r="S535" t="s">
        <v>89</v>
      </c>
      <c r="T535" t="s">
        <v>43</v>
      </c>
      <c r="U535" t="s">
        <v>44</v>
      </c>
      <c r="V535" t="s">
        <v>45</v>
      </c>
      <c r="W535" t="s">
        <v>5056</v>
      </c>
      <c r="X535" t="s">
        <v>45</v>
      </c>
      <c r="Y535" t="s">
        <v>46</v>
      </c>
      <c r="Z535" t="s">
        <v>47</v>
      </c>
      <c r="AA535" t="s">
        <v>48</v>
      </c>
      <c r="AB535" t="s">
        <v>49</v>
      </c>
      <c r="AC535" t="s">
        <v>49</v>
      </c>
      <c r="AD535" t="s">
        <v>494</v>
      </c>
      <c r="AE535" t="s">
        <v>185</v>
      </c>
      <c r="AF535" t="s">
        <v>2971</v>
      </c>
      <c r="AG535" t="s">
        <v>196</v>
      </c>
      <c r="AH535" s="93">
        <f>VLOOKUP(Table1[[#This Row],[Caste]],Factor!$H$1:$K$13,4,0)</f>
        <v>1.1461625511156397</v>
      </c>
      <c r="AI53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35">
        <f>Table1[[#This Row],[Factor_1]]*Table1[[#This Row],[2024 Factor]]</f>
        <v>0.77721139583220644</v>
      </c>
      <c r="AK535">
        <f>VLOOKUP(Table1[[#This Row],[Q18: Gender]],Factor!$A$33:$E$35,5,0)</f>
        <v>0.85034013605442171</v>
      </c>
      <c r="AL535">
        <f>VLOOKUP(Table1[[#This Row],[Taluka]],Factor!$A$42:$G$46,7,0)</f>
        <v>1.9264642089343564</v>
      </c>
      <c r="AM535">
        <f>VLOOKUP(Table1[[#This Row],[Caste]]&amp;Table1[[#This Row],[Q18: Gender]],Factor!$W$1:$X$23,2,0)</f>
        <v>0.71995135120329123</v>
      </c>
      <c r="AN535">
        <f>VLOOKUP(Table1[[#This Row],[Taluka]]&amp;Table1[[#This Row],[Caste]]&amp;Table1[[#This Row],[Q18: Gender]],Factor!$AK$4:$AL$93,2,0)</f>
        <v>0.70534647283248642</v>
      </c>
      <c r="AO535">
        <f t="shared" si="88"/>
        <v>-1</v>
      </c>
      <c r="AP535">
        <f t="shared" si="89"/>
        <v>-1</v>
      </c>
      <c r="AQ535">
        <f t="shared" si="90"/>
        <v>-1</v>
      </c>
      <c r="AR535">
        <f t="shared" si="91"/>
        <v>-1</v>
      </c>
      <c r="AS535">
        <f t="shared" si="92"/>
        <v>-1</v>
      </c>
      <c r="AT535">
        <f t="shared" si="93"/>
        <v>-1</v>
      </c>
      <c r="AU535">
        <f t="shared" si="94"/>
        <v>-5.5</v>
      </c>
      <c r="AV535">
        <f>SUM(Table1[[#This Row],[Satis]:[29]])</f>
        <v>-6</v>
      </c>
      <c r="AW535">
        <f t="shared" si="95"/>
        <v>-5</v>
      </c>
      <c r="AX535">
        <f t="shared" si="96"/>
        <v>-4</v>
      </c>
      <c r="AY535">
        <f t="shared" si="97"/>
        <v>-3</v>
      </c>
      <c r="AZ535" t="str">
        <f t="shared" si="98"/>
        <v>TDP HardCore</v>
      </c>
    </row>
    <row r="536" spans="1:52" x14ac:dyDescent="0.3">
      <c r="A536" t="s">
        <v>3116</v>
      </c>
      <c r="B536" s="94">
        <v>46046</v>
      </c>
      <c r="C536" t="s">
        <v>3117</v>
      </c>
      <c r="D536" t="s">
        <v>3118</v>
      </c>
      <c r="E536" t="s">
        <v>3119</v>
      </c>
      <c r="F536" t="s">
        <v>935</v>
      </c>
      <c r="G536" t="s">
        <v>39</v>
      </c>
      <c r="H536" t="s">
        <v>3120</v>
      </c>
      <c r="I536" t="s">
        <v>70</v>
      </c>
      <c r="J536" t="s">
        <v>203</v>
      </c>
      <c r="K536" t="s">
        <v>208</v>
      </c>
      <c r="L536" t="s">
        <v>62</v>
      </c>
      <c r="M536" t="s">
        <v>443</v>
      </c>
      <c r="N536" t="s">
        <v>162</v>
      </c>
      <c r="O536" t="s">
        <v>3121</v>
      </c>
      <c r="P536">
        <v>9390374522</v>
      </c>
      <c r="Q536" t="s">
        <v>54</v>
      </c>
      <c r="R536" t="s">
        <v>132</v>
      </c>
      <c r="S536" t="s">
        <v>43</v>
      </c>
      <c r="T536" t="s">
        <v>43</v>
      </c>
      <c r="U536" t="s">
        <v>44</v>
      </c>
      <c r="V536" t="s">
        <v>91</v>
      </c>
      <c r="W536" t="s">
        <v>5056</v>
      </c>
      <c r="X536" t="s">
        <v>91</v>
      </c>
      <c r="Y536" t="s">
        <v>46</v>
      </c>
      <c r="Z536" t="s">
        <v>242</v>
      </c>
      <c r="AA536" t="s">
        <v>691</v>
      </c>
      <c r="AB536" t="s">
        <v>49</v>
      </c>
      <c r="AC536" t="s">
        <v>49</v>
      </c>
      <c r="AD536" t="s">
        <v>481</v>
      </c>
      <c r="AE536" t="s">
        <v>189</v>
      </c>
      <c r="AF536" t="s">
        <v>4063</v>
      </c>
      <c r="AG536" t="s">
        <v>196</v>
      </c>
      <c r="AH536" s="93">
        <f>VLOOKUP(Table1[[#This Row],[Caste]],Factor!$H$1:$K$13,4,0)</f>
        <v>1.3836274505214585</v>
      </c>
      <c r="AI536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536">
        <f>Table1[[#This Row],[Factor_1]]*Table1[[#This Row],[2024 Factor]]</f>
        <v>0.71381514912952693</v>
      </c>
      <c r="AK536">
        <f>VLOOKUP(Table1[[#This Row],[Q18: Gender]],Factor!$A$33:$E$35,5,0)</f>
        <v>0.85034013605442171</v>
      </c>
      <c r="AL536">
        <f>VLOOKUP(Table1[[#This Row],[Taluka]],Factor!$A$42:$G$46,7,0)</f>
        <v>1.9264642089343564</v>
      </c>
      <c r="AM536">
        <f>VLOOKUP(Table1[[#This Row],[Caste]]&amp;Table1[[#This Row],[Q18: Gender]],Factor!$W$1:$X$23,2,0)</f>
        <v>1.0790228998469584</v>
      </c>
      <c r="AN536">
        <f>VLOOKUP(Table1[[#This Row],[Taluka]]&amp;Table1[[#This Row],[Caste]]&amp;Table1[[#This Row],[Q18: Gender]],Factor!$AK$4:$AL$93,2,0)</f>
        <v>2.1355167697651956</v>
      </c>
      <c r="AO536">
        <f t="shared" si="88"/>
        <v>-1</v>
      </c>
      <c r="AP536">
        <f t="shared" si="89"/>
        <v>-1</v>
      </c>
      <c r="AQ536">
        <f t="shared" si="90"/>
        <v>1</v>
      </c>
      <c r="AR536">
        <f t="shared" si="91"/>
        <v>1</v>
      </c>
      <c r="AS536">
        <f t="shared" si="92"/>
        <v>-1</v>
      </c>
      <c r="AT536">
        <f t="shared" si="93"/>
        <v>-1</v>
      </c>
      <c r="AU536">
        <f t="shared" si="94"/>
        <v>-1.5</v>
      </c>
      <c r="AV536">
        <f>SUM(Table1[[#This Row],[Satis]:[29]])</f>
        <v>-2</v>
      </c>
      <c r="AW536">
        <f t="shared" si="95"/>
        <v>-1</v>
      </c>
      <c r="AX536">
        <f t="shared" si="96"/>
        <v>0</v>
      </c>
      <c r="AY536">
        <f t="shared" si="97"/>
        <v>-3</v>
      </c>
      <c r="AZ536" t="str">
        <f t="shared" si="98"/>
        <v>Neutral TDP</v>
      </c>
    </row>
    <row r="537" spans="1:52" x14ac:dyDescent="0.3">
      <c r="A537" t="s">
        <v>3458</v>
      </c>
      <c r="B537" s="94">
        <v>46046</v>
      </c>
      <c r="C537" t="s">
        <v>3459</v>
      </c>
      <c r="D537" t="s">
        <v>3460</v>
      </c>
      <c r="E537" t="s">
        <v>3461</v>
      </c>
      <c r="F537" t="s">
        <v>935</v>
      </c>
      <c r="G537" t="s">
        <v>39</v>
      </c>
      <c r="H537" t="s">
        <v>3462</v>
      </c>
      <c r="I537" t="s">
        <v>59</v>
      </c>
      <c r="J537" t="s">
        <v>203</v>
      </c>
      <c r="K537" t="s">
        <v>208</v>
      </c>
      <c r="L537" t="s">
        <v>62</v>
      </c>
      <c r="M537" t="s">
        <v>51</v>
      </c>
      <c r="N537" t="s">
        <v>107</v>
      </c>
      <c r="O537" t="s">
        <v>69</v>
      </c>
      <c r="P537">
        <v>7337274638</v>
      </c>
      <c r="Q537" t="s">
        <v>54</v>
      </c>
      <c r="R537" t="s">
        <v>132</v>
      </c>
      <c r="S537" t="s">
        <v>89</v>
      </c>
      <c r="T537" t="s">
        <v>89</v>
      </c>
      <c r="U537" t="s">
        <v>90</v>
      </c>
      <c r="V537" t="s">
        <v>91</v>
      </c>
      <c r="W537" t="s">
        <v>5057</v>
      </c>
      <c r="X537" t="s">
        <v>91</v>
      </c>
      <c r="Y537" t="s">
        <v>46</v>
      </c>
      <c r="Z537" t="s">
        <v>47</v>
      </c>
      <c r="AA537" t="s">
        <v>48</v>
      </c>
      <c r="AB537" t="s">
        <v>49</v>
      </c>
      <c r="AC537" t="s">
        <v>49</v>
      </c>
      <c r="AD537">
        <v>0</v>
      </c>
      <c r="AE537" t="s">
        <v>185</v>
      </c>
      <c r="AF537">
        <v>0</v>
      </c>
      <c r="AG537" t="s">
        <v>196</v>
      </c>
      <c r="AH537" s="93">
        <f>VLOOKUP(Table1[[#This Row],[Caste]],Factor!$H$1:$K$13,4,0)</f>
        <v>1.1461625511156397</v>
      </c>
      <c r="AI53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37">
        <f>Table1[[#This Row],[Factor_1]]*Table1[[#This Row],[2024 Factor]]</f>
        <v>0.77721139583220644</v>
      </c>
      <c r="AK537">
        <f>VLOOKUP(Table1[[#This Row],[Q18: Gender]],Factor!$A$33:$E$35,5,0)</f>
        <v>0.85034013605442171</v>
      </c>
      <c r="AL537">
        <f>VLOOKUP(Table1[[#This Row],[Taluka]],Factor!$A$42:$G$46,7,0)</f>
        <v>1.9264642089343564</v>
      </c>
      <c r="AM537">
        <f>VLOOKUP(Table1[[#This Row],[Caste]]&amp;Table1[[#This Row],[Q18: Gender]],Factor!$W$1:$X$23,2,0)</f>
        <v>0.71995135120329123</v>
      </c>
      <c r="AN537">
        <f>VLOOKUP(Table1[[#This Row],[Taluka]]&amp;Table1[[#This Row],[Caste]]&amp;Table1[[#This Row],[Q18: Gender]],Factor!$AK$4:$AL$93,2,0)</f>
        <v>0.70534647283248642</v>
      </c>
      <c r="AO537">
        <f t="shared" si="88"/>
        <v>1</v>
      </c>
      <c r="AP537">
        <f t="shared" si="89"/>
        <v>1</v>
      </c>
      <c r="AQ537">
        <f t="shared" si="90"/>
        <v>1</v>
      </c>
      <c r="AR537">
        <f t="shared" si="91"/>
        <v>1</v>
      </c>
      <c r="AS537">
        <f t="shared" si="92"/>
        <v>-1</v>
      </c>
      <c r="AT537">
        <f t="shared" si="93"/>
        <v>-1</v>
      </c>
      <c r="AU537">
        <f t="shared" si="94"/>
        <v>2.5</v>
      </c>
      <c r="AV537">
        <f>SUM(Table1[[#This Row],[Satis]:[29]])</f>
        <v>2</v>
      </c>
      <c r="AW537">
        <f t="shared" si="95"/>
        <v>1</v>
      </c>
      <c r="AX537">
        <f t="shared" si="96"/>
        <v>0</v>
      </c>
      <c r="AY537">
        <f t="shared" si="97"/>
        <v>-2</v>
      </c>
      <c r="AZ537" t="str">
        <f t="shared" si="98"/>
        <v>Neutral TDP</v>
      </c>
    </row>
    <row r="538" spans="1:52" x14ac:dyDescent="0.3">
      <c r="A538" t="s">
        <v>3380</v>
      </c>
      <c r="B538" s="94">
        <v>46046</v>
      </c>
      <c r="C538" t="s">
        <v>3381</v>
      </c>
      <c r="D538" t="s">
        <v>3382</v>
      </c>
      <c r="E538" t="s">
        <v>1197</v>
      </c>
      <c r="F538" t="s">
        <v>2547</v>
      </c>
      <c r="G538" t="s">
        <v>39</v>
      </c>
      <c r="H538" t="s">
        <v>3383</v>
      </c>
      <c r="I538" t="s">
        <v>59</v>
      </c>
      <c r="J538" t="s">
        <v>203</v>
      </c>
      <c r="K538" t="s">
        <v>204</v>
      </c>
      <c r="L538" t="s">
        <v>62</v>
      </c>
      <c r="M538" t="s">
        <v>51</v>
      </c>
      <c r="N538" t="s">
        <v>63</v>
      </c>
      <c r="O538" t="s">
        <v>3384</v>
      </c>
      <c r="P538">
        <v>9515075152</v>
      </c>
      <c r="Q538" t="s">
        <v>54</v>
      </c>
      <c r="R538" t="s">
        <v>2116</v>
      </c>
      <c r="S538" t="s">
        <v>43</v>
      </c>
      <c r="T538" t="s">
        <v>43</v>
      </c>
      <c r="U538" t="s">
        <v>44</v>
      </c>
      <c r="V538" t="s">
        <v>45</v>
      </c>
      <c r="W538" t="s">
        <v>5056</v>
      </c>
      <c r="X538" t="s">
        <v>45</v>
      </c>
      <c r="Y538" t="s">
        <v>46</v>
      </c>
      <c r="Z538" t="s">
        <v>47</v>
      </c>
      <c r="AA538" t="s">
        <v>48</v>
      </c>
      <c r="AB538" t="s">
        <v>49</v>
      </c>
      <c r="AC538" t="s">
        <v>49</v>
      </c>
      <c r="AD538" t="s">
        <v>481</v>
      </c>
      <c r="AE538" t="s">
        <v>185</v>
      </c>
      <c r="AF538">
        <v>0</v>
      </c>
      <c r="AG538" t="s">
        <v>196</v>
      </c>
      <c r="AH538" s="93">
        <f>VLOOKUP(Table1[[#This Row],[Caste]],Factor!$H$1:$K$13,4,0)</f>
        <v>1.1461625511156397</v>
      </c>
      <c r="AI53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38">
        <f>Table1[[#This Row],[Factor_1]]*Table1[[#This Row],[2024 Factor]]</f>
        <v>0.77721139583220644</v>
      </c>
      <c r="AK538">
        <f>VLOOKUP(Table1[[#This Row],[Q18: Gender]],Factor!$A$33:$E$35,5,0)</f>
        <v>0.85034013605442171</v>
      </c>
      <c r="AL538">
        <f>VLOOKUP(Table1[[#This Row],[Taluka]],Factor!$A$42:$G$46,7,0)</f>
        <v>1.9264642089343564</v>
      </c>
      <c r="AM538">
        <f>VLOOKUP(Table1[[#This Row],[Caste]]&amp;Table1[[#This Row],[Q18: Gender]],Factor!$W$1:$X$23,2,0)</f>
        <v>0.71995135120329123</v>
      </c>
      <c r="AN538">
        <f>VLOOKUP(Table1[[#This Row],[Taluka]]&amp;Table1[[#This Row],[Caste]]&amp;Table1[[#This Row],[Q18: Gender]],Factor!$AK$4:$AL$93,2,0)</f>
        <v>0.70534647283248642</v>
      </c>
      <c r="AO538">
        <f t="shared" si="88"/>
        <v>-1</v>
      </c>
      <c r="AP538">
        <f t="shared" si="89"/>
        <v>-1</v>
      </c>
      <c r="AQ538">
        <f t="shared" si="90"/>
        <v>-1</v>
      </c>
      <c r="AR538">
        <f t="shared" si="91"/>
        <v>-1</v>
      </c>
      <c r="AS538">
        <f t="shared" si="92"/>
        <v>-1</v>
      </c>
      <c r="AT538">
        <f t="shared" si="93"/>
        <v>-1</v>
      </c>
      <c r="AU538">
        <f t="shared" si="94"/>
        <v>-5.5</v>
      </c>
      <c r="AV538">
        <f>SUM(Table1[[#This Row],[Satis]:[29]])</f>
        <v>-6</v>
      </c>
      <c r="AW538">
        <f t="shared" si="95"/>
        <v>-5</v>
      </c>
      <c r="AX538">
        <f t="shared" si="96"/>
        <v>-4</v>
      </c>
      <c r="AY538">
        <f t="shared" si="97"/>
        <v>-3</v>
      </c>
      <c r="AZ538" t="str">
        <f t="shared" si="98"/>
        <v>TDP HardCore</v>
      </c>
    </row>
    <row r="539" spans="1:52" x14ac:dyDescent="0.3">
      <c r="A539" t="s">
        <v>3474</v>
      </c>
      <c r="B539" s="94">
        <v>46046</v>
      </c>
      <c r="C539" t="s">
        <v>3475</v>
      </c>
      <c r="D539" t="s">
        <v>3476</v>
      </c>
      <c r="E539" t="s">
        <v>3477</v>
      </c>
      <c r="F539" t="s">
        <v>35</v>
      </c>
      <c r="G539" t="s">
        <v>39</v>
      </c>
      <c r="H539" t="s">
        <v>3478</v>
      </c>
      <c r="I539" t="s">
        <v>36</v>
      </c>
      <c r="J539" t="s">
        <v>71</v>
      </c>
      <c r="K539" t="s">
        <v>217</v>
      </c>
      <c r="L539" t="s">
        <v>62</v>
      </c>
      <c r="M539" t="s">
        <v>51</v>
      </c>
      <c r="N539" t="s">
        <v>107</v>
      </c>
      <c r="O539" t="s">
        <v>3479</v>
      </c>
      <c r="P539">
        <v>0</v>
      </c>
      <c r="Q539" t="s">
        <v>54</v>
      </c>
      <c r="R539" t="s">
        <v>2116</v>
      </c>
      <c r="S539" t="s">
        <v>43</v>
      </c>
      <c r="T539" t="s">
        <v>43</v>
      </c>
      <c r="U539" t="s">
        <v>90</v>
      </c>
      <c r="V539" t="s">
        <v>45</v>
      </c>
      <c r="W539" t="s">
        <v>5100</v>
      </c>
      <c r="X539" t="s">
        <v>45</v>
      </c>
      <c r="Y539" t="s">
        <v>46</v>
      </c>
      <c r="Z539" t="s">
        <v>47</v>
      </c>
      <c r="AA539" t="s">
        <v>48</v>
      </c>
      <c r="AB539" t="s">
        <v>49</v>
      </c>
      <c r="AC539" t="s">
        <v>49</v>
      </c>
      <c r="AD539" t="s">
        <v>481</v>
      </c>
      <c r="AE539" t="s">
        <v>185</v>
      </c>
      <c r="AF539">
        <v>0</v>
      </c>
      <c r="AG539" t="s">
        <v>196</v>
      </c>
      <c r="AH539" s="93">
        <f>VLOOKUP(Table1[[#This Row],[Caste]],Factor!$H$1:$K$13,4,0)</f>
        <v>1.1705128247062893</v>
      </c>
      <c r="AI53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39">
        <f>Table1[[#This Row],[Factor_1]]*Table1[[#This Row],[2024 Factor]]</f>
        <v>0.86308903171383233</v>
      </c>
      <c r="AK539">
        <f>VLOOKUP(Table1[[#This Row],[Q18: Gender]],Factor!$A$33:$E$35,5,0)</f>
        <v>0.85034013605442171</v>
      </c>
      <c r="AL539">
        <f>VLOOKUP(Table1[[#This Row],[Taluka]],Factor!$A$42:$G$46,7,0)</f>
        <v>1.1213131007097483</v>
      </c>
      <c r="AM539">
        <f>VLOOKUP(Table1[[#This Row],[Caste]]&amp;Table1[[#This Row],[Q18: Gender]],Factor!$W$1:$X$23,2,0)</f>
        <v>0.79950206330384943</v>
      </c>
      <c r="AN539">
        <f>VLOOKUP(Table1[[#This Row],[Taluka]]&amp;Table1[[#This Row],[Caste]]&amp;Table1[[#This Row],[Q18: Gender]],Factor!$AK$4:$AL$93,2,0)</f>
        <v>0.7401439088249181</v>
      </c>
      <c r="AO539">
        <f t="shared" si="88"/>
        <v>-1</v>
      </c>
      <c r="AP539">
        <f t="shared" si="89"/>
        <v>1</v>
      </c>
      <c r="AQ539">
        <f t="shared" si="90"/>
        <v>-1</v>
      </c>
      <c r="AR539">
        <f t="shared" si="91"/>
        <v>-1</v>
      </c>
      <c r="AS539">
        <f t="shared" si="92"/>
        <v>-1</v>
      </c>
      <c r="AT539">
        <f t="shared" si="93"/>
        <v>-1</v>
      </c>
      <c r="AU539">
        <f t="shared" si="94"/>
        <v>-3.5</v>
      </c>
      <c r="AV539">
        <f>SUM(Table1[[#This Row],[Satis]:[29]])</f>
        <v>-4</v>
      </c>
      <c r="AW539">
        <f t="shared" si="95"/>
        <v>-5</v>
      </c>
      <c r="AX539">
        <f t="shared" si="96"/>
        <v>-4</v>
      </c>
      <c r="AY539">
        <f t="shared" si="97"/>
        <v>-3</v>
      </c>
      <c r="AZ539" t="str">
        <f t="shared" si="98"/>
        <v>TDP Sympathiser</v>
      </c>
    </row>
    <row r="540" spans="1:52" x14ac:dyDescent="0.3">
      <c r="A540" t="s">
        <v>3530</v>
      </c>
      <c r="B540" s="94">
        <v>46046</v>
      </c>
      <c r="C540" t="s">
        <v>3502</v>
      </c>
      <c r="D540" t="s">
        <v>3503</v>
      </c>
      <c r="E540" t="s">
        <v>3064</v>
      </c>
      <c r="F540" t="s">
        <v>935</v>
      </c>
      <c r="G540" t="s">
        <v>39</v>
      </c>
      <c r="H540" t="s">
        <v>3531</v>
      </c>
      <c r="I540" t="s">
        <v>59</v>
      </c>
      <c r="J540" t="s">
        <v>203</v>
      </c>
      <c r="K540" t="s">
        <v>208</v>
      </c>
      <c r="L540" t="s">
        <v>50</v>
      </c>
      <c r="M540" t="s">
        <v>51</v>
      </c>
      <c r="N540" t="s">
        <v>52</v>
      </c>
      <c r="O540" t="s">
        <v>542</v>
      </c>
      <c r="P540">
        <v>90000000</v>
      </c>
      <c r="Q540" t="s">
        <v>54</v>
      </c>
      <c r="R540" t="s">
        <v>132</v>
      </c>
      <c r="S540" t="s">
        <v>89</v>
      </c>
      <c r="T540" t="s">
        <v>43</v>
      </c>
      <c r="U540" t="s">
        <v>44</v>
      </c>
      <c r="V540" t="s">
        <v>91</v>
      </c>
      <c r="W540" t="s">
        <v>5056</v>
      </c>
      <c r="X540" t="s">
        <v>45</v>
      </c>
      <c r="Y540" t="s">
        <v>46</v>
      </c>
      <c r="Z540" t="s">
        <v>47</v>
      </c>
      <c r="AA540" t="s">
        <v>48</v>
      </c>
      <c r="AB540" t="s">
        <v>49</v>
      </c>
      <c r="AC540" t="s">
        <v>49</v>
      </c>
      <c r="AD540">
        <v>0</v>
      </c>
      <c r="AE540" t="s">
        <v>185</v>
      </c>
      <c r="AF540">
        <v>0</v>
      </c>
      <c r="AG540" t="s">
        <v>196</v>
      </c>
      <c r="AH540" s="93">
        <f>VLOOKUP(Table1[[#This Row],[Caste]],Factor!$H$1:$K$13,4,0)</f>
        <v>1.1461625511156397</v>
      </c>
      <c r="AI54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40">
        <f>Table1[[#This Row],[Factor_1]]*Table1[[#This Row],[2024 Factor]]</f>
        <v>0.77721139583220644</v>
      </c>
      <c r="AK540">
        <f>VLOOKUP(Table1[[#This Row],[Q18: Gender]],Factor!$A$33:$E$35,5,0)</f>
        <v>0.85034013605442171</v>
      </c>
      <c r="AL540">
        <f>VLOOKUP(Table1[[#This Row],[Taluka]],Factor!$A$42:$G$46,7,0)</f>
        <v>1.9264642089343564</v>
      </c>
      <c r="AM540">
        <f>VLOOKUP(Table1[[#This Row],[Caste]]&amp;Table1[[#This Row],[Q18: Gender]],Factor!$W$1:$X$23,2,0)</f>
        <v>0.71995135120329123</v>
      </c>
      <c r="AN540">
        <f>VLOOKUP(Table1[[#This Row],[Taluka]]&amp;Table1[[#This Row],[Caste]]&amp;Table1[[#This Row],[Q18: Gender]],Factor!$AK$4:$AL$93,2,0)</f>
        <v>0.70534647283248642</v>
      </c>
      <c r="AO540">
        <f t="shared" si="88"/>
        <v>-1</v>
      </c>
      <c r="AP540">
        <f t="shared" si="89"/>
        <v>-1</v>
      </c>
      <c r="AQ540">
        <f t="shared" si="90"/>
        <v>1</v>
      </c>
      <c r="AR540">
        <f t="shared" si="91"/>
        <v>-1</v>
      </c>
      <c r="AS540">
        <f t="shared" si="92"/>
        <v>-1</v>
      </c>
      <c r="AT540">
        <f t="shared" si="93"/>
        <v>-1</v>
      </c>
      <c r="AU540">
        <f t="shared" si="94"/>
        <v>-3.5</v>
      </c>
      <c r="AV540">
        <f>SUM(Table1[[#This Row],[Satis]:[29]])</f>
        <v>-4</v>
      </c>
      <c r="AW540">
        <f t="shared" si="95"/>
        <v>-3</v>
      </c>
      <c r="AX540">
        <f t="shared" si="96"/>
        <v>-2</v>
      </c>
      <c r="AY540">
        <f t="shared" si="97"/>
        <v>-3</v>
      </c>
      <c r="AZ540" t="str">
        <f t="shared" si="98"/>
        <v>Neutral TDP</v>
      </c>
    </row>
    <row r="541" spans="1:52" x14ac:dyDescent="0.3">
      <c r="A541" t="s">
        <v>3615</v>
      </c>
      <c r="B541" s="94">
        <v>46046</v>
      </c>
      <c r="C541" t="s">
        <v>3456</v>
      </c>
      <c r="D541" t="s">
        <v>3153</v>
      </c>
      <c r="E541" t="s">
        <v>3154</v>
      </c>
      <c r="F541" t="s">
        <v>935</v>
      </c>
      <c r="G541" t="s">
        <v>39</v>
      </c>
      <c r="H541" t="s">
        <v>3616</v>
      </c>
      <c r="I541" t="s">
        <v>59</v>
      </c>
      <c r="J541" t="s">
        <v>203</v>
      </c>
      <c r="K541" t="s">
        <v>208</v>
      </c>
      <c r="L541" t="s">
        <v>170</v>
      </c>
      <c r="M541" t="s">
        <v>51</v>
      </c>
      <c r="N541" t="s">
        <v>162</v>
      </c>
      <c r="O541" t="s">
        <v>3156</v>
      </c>
      <c r="P541">
        <v>9110394828</v>
      </c>
      <c r="Q541" t="s">
        <v>54</v>
      </c>
      <c r="R541" t="s">
        <v>132</v>
      </c>
      <c r="S541" t="s">
        <v>43</v>
      </c>
      <c r="T541" t="s">
        <v>43</v>
      </c>
      <c r="U541" t="s">
        <v>44</v>
      </c>
      <c r="V541" t="s">
        <v>91</v>
      </c>
      <c r="W541" t="s">
        <v>5046</v>
      </c>
      <c r="X541" t="s">
        <v>45</v>
      </c>
      <c r="Y541" t="s">
        <v>46</v>
      </c>
      <c r="Z541" t="s">
        <v>47</v>
      </c>
      <c r="AA541" t="s">
        <v>48</v>
      </c>
      <c r="AB541" t="s">
        <v>49</v>
      </c>
      <c r="AC541" t="s">
        <v>49</v>
      </c>
      <c r="AD541">
        <v>0</v>
      </c>
      <c r="AE541" t="s">
        <v>185</v>
      </c>
      <c r="AF541">
        <v>0</v>
      </c>
      <c r="AG541" t="s">
        <v>196</v>
      </c>
      <c r="AH541" s="93">
        <f>VLOOKUP(Table1[[#This Row],[Caste]],Factor!$H$1:$K$13,4,0)</f>
        <v>1.1461625511156397</v>
      </c>
      <c r="AI54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41">
        <f>Table1[[#This Row],[Factor_1]]*Table1[[#This Row],[2024 Factor]]</f>
        <v>0.77721139583220644</v>
      </c>
      <c r="AK541">
        <f>VLOOKUP(Table1[[#This Row],[Q18: Gender]],Factor!$A$33:$E$35,5,0)</f>
        <v>0.85034013605442171</v>
      </c>
      <c r="AL541">
        <f>VLOOKUP(Table1[[#This Row],[Taluka]],Factor!$A$42:$G$46,7,0)</f>
        <v>1.9264642089343564</v>
      </c>
      <c r="AM541">
        <f>VLOOKUP(Table1[[#This Row],[Caste]]&amp;Table1[[#This Row],[Q18: Gender]],Factor!$W$1:$X$23,2,0)</f>
        <v>0.71995135120329123</v>
      </c>
      <c r="AN541">
        <f>VLOOKUP(Table1[[#This Row],[Taluka]]&amp;Table1[[#This Row],[Caste]]&amp;Table1[[#This Row],[Q18: Gender]],Factor!$AK$4:$AL$93,2,0)</f>
        <v>0.70534647283248642</v>
      </c>
      <c r="AO541">
        <f t="shared" si="88"/>
        <v>-1</v>
      </c>
      <c r="AP541">
        <f t="shared" si="89"/>
        <v>-1</v>
      </c>
      <c r="AQ541">
        <f t="shared" si="90"/>
        <v>1</v>
      </c>
      <c r="AR541">
        <f t="shared" si="91"/>
        <v>-1</v>
      </c>
      <c r="AS541">
        <f t="shared" si="92"/>
        <v>-1</v>
      </c>
      <c r="AT541">
        <f t="shared" si="93"/>
        <v>-1</v>
      </c>
      <c r="AU541">
        <f t="shared" si="94"/>
        <v>-3.5</v>
      </c>
      <c r="AV541">
        <f>SUM(Table1[[#This Row],[Satis]:[29]])</f>
        <v>-4</v>
      </c>
      <c r="AW541">
        <f t="shared" si="95"/>
        <v>-3</v>
      </c>
      <c r="AX541">
        <f t="shared" si="96"/>
        <v>-2</v>
      </c>
      <c r="AY541">
        <f t="shared" si="97"/>
        <v>-3</v>
      </c>
      <c r="AZ541" t="str">
        <f t="shared" si="98"/>
        <v>Neutral TDP</v>
      </c>
    </row>
    <row r="542" spans="1:52" x14ac:dyDescent="0.3">
      <c r="A542" t="s">
        <v>3770</v>
      </c>
      <c r="B542" s="94">
        <v>46046</v>
      </c>
      <c r="C542" t="s">
        <v>3456</v>
      </c>
      <c r="D542" t="s">
        <v>3153</v>
      </c>
      <c r="E542" t="s">
        <v>3154</v>
      </c>
      <c r="F542" t="s">
        <v>935</v>
      </c>
      <c r="G542" t="s">
        <v>39</v>
      </c>
      <c r="H542" t="s">
        <v>3771</v>
      </c>
      <c r="I542" t="s">
        <v>59</v>
      </c>
      <c r="J542" t="s">
        <v>203</v>
      </c>
      <c r="K542" t="s">
        <v>208</v>
      </c>
      <c r="L542" t="s">
        <v>170</v>
      </c>
      <c r="M542" t="s">
        <v>51</v>
      </c>
      <c r="N542" t="s">
        <v>162</v>
      </c>
      <c r="O542" t="s">
        <v>3156</v>
      </c>
      <c r="P542">
        <v>9110394828</v>
      </c>
      <c r="Q542" t="s">
        <v>54</v>
      </c>
      <c r="R542" t="s">
        <v>132</v>
      </c>
      <c r="S542" t="s">
        <v>43</v>
      </c>
      <c r="T542" t="s">
        <v>43</v>
      </c>
      <c r="U542" t="s">
        <v>44</v>
      </c>
      <c r="V542" t="s">
        <v>91</v>
      </c>
      <c r="W542" t="s">
        <v>5046</v>
      </c>
      <c r="X542" t="s">
        <v>45</v>
      </c>
      <c r="Y542" t="s">
        <v>46</v>
      </c>
      <c r="Z542" t="s">
        <v>47</v>
      </c>
      <c r="AA542" t="s">
        <v>48</v>
      </c>
      <c r="AB542" t="s">
        <v>49</v>
      </c>
      <c r="AC542" t="s">
        <v>49</v>
      </c>
      <c r="AD542">
        <v>0</v>
      </c>
      <c r="AE542" t="s">
        <v>185</v>
      </c>
      <c r="AF542">
        <v>0</v>
      </c>
      <c r="AG542" t="s">
        <v>196</v>
      </c>
      <c r="AH542" s="93">
        <f>VLOOKUP(Table1[[#This Row],[Caste]],Factor!$H$1:$K$13,4,0)</f>
        <v>1.1461625511156397</v>
      </c>
      <c r="AI54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42">
        <f>Table1[[#This Row],[Factor_1]]*Table1[[#This Row],[2024 Factor]]</f>
        <v>0.77721139583220644</v>
      </c>
      <c r="AK542">
        <f>VLOOKUP(Table1[[#This Row],[Q18: Gender]],Factor!$A$33:$E$35,5,0)</f>
        <v>0.85034013605442171</v>
      </c>
      <c r="AL542">
        <f>VLOOKUP(Table1[[#This Row],[Taluka]],Factor!$A$42:$G$46,7,0)</f>
        <v>1.9264642089343564</v>
      </c>
      <c r="AM542">
        <f>VLOOKUP(Table1[[#This Row],[Caste]]&amp;Table1[[#This Row],[Q18: Gender]],Factor!$W$1:$X$23,2,0)</f>
        <v>0.71995135120329123</v>
      </c>
      <c r="AN542">
        <f>VLOOKUP(Table1[[#This Row],[Taluka]]&amp;Table1[[#This Row],[Caste]]&amp;Table1[[#This Row],[Q18: Gender]],Factor!$AK$4:$AL$93,2,0)</f>
        <v>0.70534647283248642</v>
      </c>
      <c r="AO542">
        <f t="shared" si="88"/>
        <v>-1</v>
      </c>
      <c r="AP542">
        <f t="shared" si="89"/>
        <v>-1</v>
      </c>
      <c r="AQ542">
        <f t="shared" si="90"/>
        <v>1</v>
      </c>
      <c r="AR542">
        <f t="shared" si="91"/>
        <v>-1</v>
      </c>
      <c r="AS542">
        <f t="shared" si="92"/>
        <v>-1</v>
      </c>
      <c r="AT542">
        <f t="shared" si="93"/>
        <v>-1</v>
      </c>
      <c r="AU542">
        <f t="shared" si="94"/>
        <v>-3.5</v>
      </c>
      <c r="AV542">
        <f>SUM(Table1[[#This Row],[Satis]:[29]])</f>
        <v>-4</v>
      </c>
      <c r="AW542">
        <f t="shared" si="95"/>
        <v>-3</v>
      </c>
      <c r="AX542">
        <f t="shared" si="96"/>
        <v>-2</v>
      </c>
      <c r="AY542">
        <f t="shared" si="97"/>
        <v>-3</v>
      </c>
      <c r="AZ542" t="str">
        <f t="shared" si="98"/>
        <v>Neutral TDP</v>
      </c>
    </row>
    <row r="543" spans="1:52" x14ac:dyDescent="0.3">
      <c r="A543" t="s">
        <v>3157</v>
      </c>
      <c r="B543" s="94">
        <v>46046</v>
      </c>
      <c r="C543" t="s">
        <v>3158</v>
      </c>
      <c r="D543" t="s">
        <v>3159</v>
      </c>
      <c r="E543" t="s">
        <v>3160</v>
      </c>
      <c r="F543" t="s">
        <v>69</v>
      </c>
      <c r="G543" t="s">
        <v>39</v>
      </c>
      <c r="H543" t="s">
        <v>3161</v>
      </c>
      <c r="I543" t="s">
        <v>36</v>
      </c>
      <c r="J543" t="s">
        <v>203</v>
      </c>
      <c r="K543" t="s">
        <v>203</v>
      </c>
      <c r="L543" t="s">
        <v>50</v>
      </c>
      <c r="M543" t="s">
        <v>51</v>
      </c>
      <c r="N543" t="s">
        <v>107</v>
      </c>
      <c r="O543" t="s">
        <v>406</v>
      </c>
      <c r="P543">
        <v>9912687474</v>
      </c>
      <c r="Q543" t="s">
        <v>54</v>
      </c>
      <c r="R543" t="s">
        <v>2116</v>
      </c>
      <c r="S543" t="s">
        <v>43</v>
      </c>
      <c r="T543" t="s">
        <v>43</v>
      </c>
      <c r="U543" t="s">
        <v>44</v>
      </c>
      <c r="V543" t="s">
        <v>45</v>
      </c>
      <c r="W543" t="s">
        <v>74</v>
      </c>
      <c r="X543" t="s">
        <v>45</v>
      </c>
      <c r="Y543" t="s">
        <v>46</v>
      </c>
      <c r="Z543" t="s">
        <v>47</v>
      </c>
      <c r="AA543" t="s">
        <v>48</v>
      </c>
      <c r="AB543" t="s">
        <v>49</v>
      </c>
      <c r="AC543" t="s">
        <v>49</v>
      </c>
      <c r="AD543" t="s">
        <v>184</v>
      </c>
      <c r="AE543" t="s">
        <v>189</v>
      </c>
      <c r="AF543" t="s">
        <v>3008</v>
      </c>
      <c r="AG543" t="s">
        <v>196</v>
      </c>
      <c r="AH543" s="93">
        <f>VLOOKUP(Table1[[#This Row],[Caste]],Factor!$H$1:$K$13,4,0)</f>
        <v>1.1705128247062893</v>
      </c>
      <c r="AI54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43">
        <f>Table1[[#This Row],[Factor_1]]*Table1[[#This Row],[2024 Factor]]</f>
        <v>0.86308903171383233</v>
      </c>
      <c r="AK543">
        <f>VLOOKUP(Table1[[#This Row],[Q18: Gender]],Factor!$A$33:$E$35,5,0)</f>
        <v>0.85034013605442171</v>
      </c>
      <c r="AL543">
        <f>VLOOKUP(Table1[[#This Row],[Taluka]],Factor!$A$42:$G$46,7,0)</f>
        <v>1.9264642089343564</v>
      </c>
      <c r="AM543">
        <f>VLOOKUP(Table1[[#This Row],[Caste]]&amp;Table1[[#This Row],[Q18: Gender]],Factor!$W$1:$X$23,2,0)</f>
        <v>0.79950206330384943</v>
      </c>
      <c r="AN543">
        <f>VLOOKUP(Table1[[#This Row],[Taluka]]&amp;Table1[[#This Row],[Caste]]&amp;Table1[[#This Row],[Q18: Gender]],Factor!$AK$4:$AL$93,2,0)</f>
        <v>1.1572126985895925</v>
      </c>
      <c r="AO543">
        <f t="shared" si="88"/>
        <v>-1</v>
      </c>
      <c r="AP543">
        <f t="shared" si="89"/>
        <v>-1</v>
      </c>
      <c r="AQ543">
        <f t="shared" si="90"/>
        <v>-1</v>
      </c>
      <c r="AR543">
        <f t="shared" si="91"/>
        <v>-1</v>
      </c>
      <c r="AS543">
        <f t="shared" si="92"/>
        <v>-1</v>
      </c>
      <c r="AT543">
        <f t="shared" si="93"/>
        <v>-1</v>
      </c>
      <c r="AU543">
        <f t="shared" si="94"/>
        <v>-5.5</v>
      </c>
      <c r="AV543">
        <f>SUM(Table1[[#This Row],[Satis]:[29]])</f>
        <v>-6</v>
      </c>
      <c r="AW543">
        <f t="shared" si="95"/>
        <v>-5</v>
      </c>
      <c r="AX543">
        <f t="shared" si="96"/>
        <v>-4</v>
      </c>
      <c r="AY543">
        <f t="shared" si="97"/>
        <v>-3</v>
      </c>
      <c r="AZ543" t="str">
        <f t="shared" si="98"/>
        <v>TDP HardCore</v>
      </c>
    </row>
    <row r="544" spans="1:52" x14ac:dyDescent="0.3">
      <c r="A544" t="s">
        <v>3884</v>
      </c>
      <c r="B544" s="94">
        <v>46046</v>
      </c>
      <c r="C544" t="s">
        <v>3456</v>
      </c>
      <c r="D544" t="s">
        <v>3153</v>
      </c>
      <c r="E544" t="s">
        <v>3154</v>
      </c>
      <c r="F544" t="s">
        <v>935</v>
      </c>
      <c r="G544" t="s">
        <v>39</v>
      </c>
      <c r="H544" t="s">
        <v>3885</v>
      </c>
      <c r="I544" t="s">
        <v>59</v>
      </c>
      <c r="J544" t="s">
        <v>203</v>
      </c>
      <c r="K544" t="s">
        <v>208</v>
      </c>
      <c r="L544" t="s">
        <v>170</v>
      </c>
      <c r="M544" t="s">
        <v>51</v>
      </c>
      <c r="N544" t="s">
        <v>162</v>
      </c>
      <c r="O544" t="s">
        <v>3156</v>
      </c>
      <c r="P544">
        <v>9110394828</v>
      </c>
      <c r="Q544" t="s">
        <v>54</v>
      </c>
      <c r="R544" t="s">
        <v>132</v>
      </c>
      <c r="S544" t="s">
        <v>43</v>
      </c>
      <c r="T544" t="s">
        <v>43</v>
      </c>
      <c r="U544" t="s">
        <v>44</v>
      </c>
      <c r="V544" t="s">
        <v>91</v>
      </c>
      <c r="W544" t="s">
        <v>5046</v>
      </c>
      <c r="X544" t="s">
        <v>45</v>
      </c>
      <c r="Y544" t="s">
        <v>46</v>
      </c>
      <c r="Z544" t="s">
        <v>47</v>
      </c>
      <c r="AA544" t="s">
        <v>48</v>
      </c>
      <c r="AB544" t="s">
        <v>49</v>
      </c>
      <c r="AC544" t="s">
        <v>49</v>
      </c>
      <c r="AD544">
        <v>0</v>
      </c>
      <c r="AE544" t="s">
        <v>185</v>
      </c>
      <c r="AF544">
        <v>0</v>
      </c>
      <c r="AG544" t="s">
        <v>196</v>
      </c>
      <c r="AH544" s="93">
        <f>VLOOKUP(Table1[[#This Row],[Caste]],Factor!$H$1:$K$13,4,0)</f>
        <v>1.1461625511156397</v>
      </c>
      <c r="AI54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44">
        <f>Table1[[#This Row],[Factor_1]]*Table1[[#This Row],[2024 Factor]]</f>
        <v>0.77721139583220644</v>
      </c>
      <c r="AK544">
        <f>VLOOKUP(Table1[[#This Row],[Q18: Gender]],Factor!$A$33:$E$35,5,0)</f>
        <v>0.85034013605442171</v>
      </c>
      <c r="AL544">
        <f>VLOOKUP(Table1[[#This Row],[Taluka]],Factor!$A$42:$G$46,7,0)</f>
        <v>1.9264642089343564</v>
      </c>
      <c r="AM544">
        <f>VLOOKUP(Table1[[#This Row],[Caste]]&amp;Table1[[#This Row],[Q18: Gender]],Factor!$W$1:$X$23,2,0)</f>
        <v>0.71995135120329123</v>
      </c>
      <c r="AN544">
        <f>VLOOKUP(Table1[[#This Row],[Taluka]]&amp;Table1[[#This Row],[Caste]]&amp;Table1[[#This Row],[Q18: Gender]],Factor!$AK$4:$AL$93,2,0)</f>
        <v>0.70534647283248642</v>
      </c>
      <c r="AO544">
        <f t="shared" si="88"/>
        <v>-1</v>
      </c>
      <c r="AP544">
        <f t="shared" si="89"/>
        <v>-1</v>
      </c>
      <c r="AQ544">
        <f t="shared" si="90"/>
        <v>1</v>
      </c>
      <c r="AR544">
        <f t="shared" si="91"/>
        <v>-1</v>
      </c>
      <c r="AS544">
        <f t="shared" si="92"/>
        <v>-1</v>
      </c>
      <c r="AT544">
        <f t="shared" si="93"/>
        <v>-1</v>
      </c>
      <c r="AU544">
        <f t="shared" si="94"/>
        <v>-3.5</v>
      </c>
      <c r="AV544">
        <f>SUM(Table1[[#This Row],[Satis]:[29]])</f>
        <v>-4</v>
      </c>
      <c r="AW544">
        <f t="shared" si="95"/>
        <v>-3</v>
      </c>
      <c r="AX544">
        <f t="shared" si="96"/>
        <v>-2</v>
      </c>
      <c r="AY544">
        <f t="shared" si="97"/>
        <v>-3</v>
      </c>
      <c r="AZ544" t="str">
        <f t="shared" si="98"/>
        <v>Neutral TDP</v>
      </c>
    </row>
    <row r="545" spans="1:52" x14ac:dyDescent="0.3">
      <c r="A545" t="s">
        <v>3168</v>
      </c>
      <c r="B545" s="94">
        <v>46046</v>
      </c>
      <c r="C545" t="s">
        <v>3169</v>
      </c>
      <c r="D545" t="s">
        <v>3170</v>
      </c>
      <c r="E545" t="s">
        <v>3075</v>
      </c>
      <c r="F545" t="s">
        <v>935</v>
      </c>
      <c r="G545" t="s">
        <v>39</v>
      </c>
      <c r="H545" t="s">
        <v>3171</v>
      </c>
      <c r="I545" t="s">
        <v>59</v>
      </c>
      <c r="J545" t="s">
        <v>203</v>
      </c>
      <c r="K545" t="s">
        <v>208</v>
      </c>
      <c r="L545" t="s">
        <v>451</v>
      </c>
      <c r="M545" t="s">
        <v>51</v>
      </c>
      <c r="N545" t="s">
        <v>63</v>
      </c>
      <c r="O545" t="s">
        <v>2776</v>
      </c>
      <c r="P545">
        <v>9999999999</v>
      </c>
      <c r="Q545" t="s">
        <v>445</v>
      </c>
      <c r="R545" t="s">
        <v>139</v>
      </c>
      <c r="S545" t="s">
        <v>89</v>
      </c>
      <c r="T545" t="s">
        <v>43</v>
      </c>
      <c r="U545" t="s">
        <v>90</v>
      </c>
      <c r="V545" t="s">
        <v>45</v>
      </c>
      <c r="W545" t="s">
        <v>5055</v>
      </c>
      <c r="X545" t="s">
        <v>45</v>
      </c>
      <c r="Y545" t="s">
        <v>46</v>
      </c>
      <c r="Z545" t="s">
        <v>47</v>
      </c>
      <c r="AA545" t="s">
        <v>48</v>
      </c>
      <c r="AB545" t="s">
        <v>49</v>
      </c>
      <c r="AC545" t="s">
        <v>49</v>
      </c>
      <c r="AD545">
        <v>0</v>
      </c>
      <c r="AE545" t="s">
        <v>185</v>
      </c>
      <c r="AF545">
        <v>0</v>
      </c>
      <c r="AG545" t="s">
        <v>196</v>
      </c>
      <c r="AH545" s="93">
        <f>VLOOKUP(Table1[[#This Row],[Caste]],Factor!$H$1:$K$13,4,0)</f>
        <v>1.1461625511156397</v>
      </c>
      <c r="AI54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45">
        <f>Table1[[#This Row],[Factor_1]]*Table1[[#This Row],[2024 Factor]]</f>
        <v>3.0326483876590018</v>
      </c>
      <c r="AK545">
        <f>VLOOKUP(Table1[[#This Row],[Q18: Gender]],Factor!$A$33:$E$35,5,0)</f>
        <v>2.1645021645021645</v>
      </c>
      <c r="AL545">
        <f>VLOOKUP(Table1[[#This Row],[Taluka]],Factor!$A$42:$G$46,7,0)</f>
        <v>1.9264642089343564</v>
      </c>
      <c r="AM545">
        <f>VLOOKUP(Table1[[#This Row],[Caste]]&amp;Table1[[#This Row],[Q18: Gender]],Factor!$W$1:$X$23,2,0)</f>
        <v>2.8092219390089208</v>
      </c>
      <c r="AN545">
        <f>VLOOKUP(Table1[[#This Row],[Taluka]]&amp;Table1[[#This Row],[Caste]]&amp;Table1[[#This Row],[Q18: Gender]],Factor!$AK$4:$AL$93,2,0)</f>
        <v>6.3481182554923778</v>
      </c>
      <c r="AO545">
        <f t="shared" si="88"/>
        <v>-1</v>
      </c>
      <c r="AP545">
        <f t="shared" si="89"/>
        <v>1</v>
      </c>
      <c r="AQ545">
        <f t="shared" si="90"/>
        <v>-1</v>
      </c>
      <c r="AR545">
        <f t="shared" si="91"/>
        <v>-1</v>
      </c>
      <c r="AS545">
        <f t="shared" si="92"/>
        <v>-1</v>
      </c>
      <c r="AT545">
        <f t="shared" si="93"/>
        <v>-1</v>
      </c>
      <c r="AU545">
        <f t="shared" si="94"/>
        <v>-3.5</v>
      </c>
      <c r="AV545">
        <f>SUM(Table1[[#This Row],[Satis]:[29]])</f>
        <v>-4</v>
      </c>
      <c r="AW545">
        <f t="shared" si="95"/>
        <v>-5</v>
      </c>
      <c r="AX545">
        <f t="shared" si="96"/>
        <v>-4</v>
      </c>
      <c r="AY545">
        <f t="shared" si="97"/>
        <v>-3</v>
      </c>
      <c r="AZ545" t="str">
        <f t="shared" si="98"/>
        <v>TDP Sympathiser</v>
      </c>
    </row>
    <row r="546" spans="1:52" x14ac:dyDescent="0.3">
      <c r="A546" t="s">
        <v>3151</v>
      </c>
      <c r="B546" s="94">
        <v>46046</v>
      </c>
      <c r="C546" t="s">
        <v>3152</v>
      </c>
      <c r="D546" t="s">
        <v>3153</v>
      </c>
      <c r="E546" t="s">
        <v>3154</v>
      </c>
      <c r="F546" t="s">
        <v>935</v>
      </c>
      <c r="G546" t="s">
        <v>39</v>
      </c>
      <c r="H546" t="s">
        <v>3155</v>
      </c>
      <c r="I546" t="s">
        <v>59</v>
      </c>
      <c r="J546" t="s">
        <v>203</v>
      </c>
      <c r="K546" t="s">
        <v>208</v>
      </c>
      <c r="L546" t="s">
        <v>170</v>
      </c>
      <c r="M546" t="s">
        <v>51</v>
      </c>
      <c r="N546" t="s">
        <v>162</v>
      </c>
      <c r="O546" t="s">
        <v>3156</v>
      </c>
      <c r="P546">
        <v>9110394828</v>
      </c>
      <c r="Q546" t="s">
        <v>54</v>
      </c>
      <c r="R546" t="s">
        <v>132</v>
      </c>
      <c r="S546" t="s">
        <v>43</v>
      </c>
      <c r="T546" t="s">
        <v>43</v>
      </c>
      <c r="U546" t="s">
        <v>44</v>
      </c>
      <c r="V546" t="s">
        <v>91</v>
      </c>
      <c r="W546" t="s">
        <v>5046</v>
      </c>
      <c r="X546" t="s">
        <v>45</v>
      </c>
      <c r="Y546" t="s">
        <v>46</v>
      </c>
      <c r="Z546" t="s">
        <v>47</v>
      </c>
      <c r="AA546" t="s">
        <v>48</v>
      </c>
      <c r="AB546" t="s">
        <v>49</v>
      </c>
      <c r="AC546" t="s">
        <v>49</v>
      </c>
      <c r="AD546">
        <v>0</v>
      </c>
      <c r="AE546" t="s">
        <v>185</v>
      </c>
      <c r="AF546">
        <v>0</v>
      </c>
      <c r="AG546" t="s">
        <v>196</v>
      </c>
      <c r="AH546" s="93">
        <f>VLOOKUP(Table1[[#This Row],[Caste]],Factor!$H$1:$K$13,4,0)</f>
        <v>1.1461625511156397</v>
      </c>
      <c r="AI54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46">
        <f>Table1[[#This Row],[Factor_1]]*Table1[[#This Row],[2024 Factor]]</f>
        <v>0.77721139583220644</v>
      </c>
      <c r="AK546">
        <f>VLOOKUP(Table1[[#This Row],[Q18: Gender]],Factor!$A$33:$E$35,5,0)</f>
        <v>0.85034013605442171</v>
      </c>
      <c r="AL546">
        <f>VLOOKUP(Table1[[#This Row],[Taluka]],Factor!$A$42:$G$46,7,0)</f>
        <v>1.9264642089343564</v>
      </c>
      <c r="AM546">
        <f>VLOOKUP(Table1[[#This Row],[Caste]]&amp;Table1[[#This Row],[Q18: Gender]],Factor!$W$1:$X$23,2,0)</f>
        <v>0.71995135120329123</v>
      </c>
      <c r="AN546">
        <f>VLOOKUP(Table1[[#This Row],[Taluka]]&amp;Table1[[#This Row],[Caste]]&amp;Table1[[#This Row],[Q18: Gender]],Factor!$AK$4:$AL$93,2,0)</f>
        <v>0.70534647283248642</v>
      </c>
      <c r="AO546">
        <f t="shared" si="88"/>
        <v>-1</v>
      </c>
      <c r="AP546">
        <f t="shared" si="89"/>
        <v>-1</v>
      </c>
      <c r="AQ546">
        <f t="shared" si="90"/>
        <v>1</v>
      </c>
      <c r="AR546">
        <f t="shared" si="91"/>
        <v>-1</v>
      </c>
      <c r="AS546">
        <f t="shared" si="92"/>
        <v>-1</v>
      </c>
      <c r="AT546">
        <f t="shared" si="93"/>
        <v>-1</v>
      </c>
      <c r="AU546">
        <f t="shared" si="94"/>
        <v>-3.5</v>
      </c>
      <c r="AV546">
        <f>SUM(Table1[[#This Row],[Satis]:[29]])</f>
        <v>-4</v>
      </c>
      <c r="AW546">
        <f t="shared" si="95"/>
        <v>-3</v>
      </c>
      <c r="AX546">
        <f t="shared" si="96"/>
        <v>-2</v>
      </c>
      <c r="AY546">
        <f t="shared" si="97"/>
        <v>-3</v>
      </c>
      <c r="AZ546" t="str">
        <f t="shared" si="98"/>
        <v>Neutral TDP</v>
      </c>
    </row>
    <row r="547" spans="1:52" x14ac:dyDescent="0.3">
      <c r="A547" t="s">
        <v>3177</v>
      </c>
      <c r="B547" s="94">
        <v>46046</v>
      </c>
      <c r="C547" t="s">
        <v>3178</v>
      </c>
      <c r="D547" t="s">
        <v>3179</v>
      </c>
      <c r="E547" t="s">
        <v>3180</v>
      </c>
      <c r="F547" t="s">
        <v>240</v>
      </c>
      <c r="G547" t="s">
        <v>39</v>
      </c>
      <c r="H547" t="s">
        <v>3181</v>
      </c>
      <c r="I547" t="s">
        <v>168</v>
      </c>
      <c r="J547" t="s">
        <v>71</v>
      </c>
      <c r="K547" t="s">
        <v>71</v>
      </c>
      <c r="L547" t="s">
        <v>170</v>
      </c>
      <c r="M547" t="s">
        <v>51</v>
      </c>
      <c r="N547" t="s">
        <v>162</v>
      </c>
      <c r="O547" t="s">
        <v>3182</v>
      </c>
      <c r="P547">
        <v>7660841388</v>
      </c>
      <c r="Q547" t="s">
        <v>445</v>
      </c>
      <c r="R547" t="s">
        <v>2116</v>
      </c>
      <c r="S547" t="s">
        <v>43</v>
      </c>
      <c r="T547" t="s">
        <v>43</v>
      </c>
      <c r="U547" t="s">
        <v>44</v>
      </c>
      <c r="V547" t="s">
        <v>45</v>
      </c>
      <c r="W547" t="s">
        <v>5058</v>
      </c>
      <c r="X547" t="s">
        <v>45</v>
      </c>
      <c r="Y547" t="s">
        <v>638</v>
      </c>
      <c r="Z547" t="s">
        <v>47</v>
      </c>
      <c r="AA547" t="s">
        <v>92</v>
      </c>
      <c r="AB547" t="s">
        <v>351</v>
      </c>
      <c r="AC547" t="s">
        <v>94</v>
      </c>
      <c r="AD547" t="s">
        <v>494</v>
      </c>
      <c r="AE547" t="s">
        <v>189</v>
      </c>
      <c r="AF547" t="s">
        <v>4092</v>
      </c>
      <c r="AG547" t="s">
        <v>196</v>
      </c>
      <c r="AH547" s="93">
        <f>VLOOKUP(Table1[[#This Row],[Caste]],Factor!$H$1:$K$13,4,0)</f>
        <v>1.0478809952686368</v>
      </c>
      <c r="AI547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547">
        <f>Table1[[#This Row],[Factor_1]]*Table1[[#This Row],[2024 Factor]]</f>
        <v>2.9957250974297915</v>
      </c>
      <c r="AK547">
        <f>VLOOKUP(Table1[[#This Row],[Q18: Gender]],Factor!$A$33:$E$35,5,0)</f>
        <v>2.1645021645021645</v>
      </c>
      <c r="AL547">
        <f>VLOOKUP(Table1[[#This Row],[Taluka]],Factor!$A$42:$G$46,7,0)</f>
        <v>1.1213131007097483</v>
      </c>
      <c r="AM547">
        <f>VLOOKUP(Table1[[#This Row],[Caste]]&amp;Table1[[#This Row],[Q18: Gender]],Factor!$W$1:$X$23,2,0)</f>
        <v>1.6591449091753416</v>
      </c>
      <c r="AN547">
        <f>VLOOKUP(Table1[[#This Row],[Taluka]]&amp;Table1[[#This Row],[Caste]]&amp;Table1[[#This Row],[Q18: Gender]],Factor!$AK$4:$AL$93,2,0)</f>
        <v>1.4399657941188679</v>
      </c>
      <c r="AO547">
        <f t="shared" si="88"/>
        <v>-1</v>
      </c>
      <c r="AP547">
        <f t="shared" si="89"/>
        <v>-1</v>
      </c>
      <c r="AQ547">
        <f t="shared" si="90"/>
        <v>-1</v>
      </c>
      <c r="AR547">
        <f t="shared" si="91"/>
        <v>-1</v>
      </c>
      <c r="AS547">
        <f t="shared" si="92"/>
        <v>1</v>
      </c>
      <c r="AT547">
        <f t="shared" si="93"/>
        <v>-1</v>
      </c>
      <c r="AU547">
        <f t="shared" si="94"/>
        <v>-4.5</v>
      </c>
      <c r="AV547">
        <f>SUM(Table1[[#This Row],[Satis]:[29]])</f>
        <v>-4</v>
      </c>
      <c r="AW547">
        <f t="shared" si="95"/>
        <v>-3</v>
      </c>
      <c r="AX547">
        <f t="shared" si="96"/>
        <v>-2</v>
      </c>
      <c r="AY547">
        <f t="shared" si="97"/>
        <v>-2</v>
      </c>
      <c r="AZ547" t="str">
        <f t="shared" si="98"/>
        <v>Neutral TDP</v>
      </c>
    </row>
    <row r="548" spans="1:52" x14ac:dyDescent="0.3">
      <c r="A548" t="s">
        <v>3572</v>
      </c>
      <c r="B548" s="94">
        <v>46046</v>
      </c>
      <c r="C548" t="s">
        <v>3573</v>
      </c>
      <c r="D548" t="s">
        <v>3574</v>
      </c>
      <c r="E548" t="s">
        <v>3575</v>
      </c>
      <c r="F548" t="s">
        <v>2547</v>
      </c>
      <c r="G548" t="s">
        <v>39</v>
      </c>
      <c r="H548" t="s">
        <v>3576</v>
      </c>
      <c r="I548" t="s">
        <v>70</v>
      </c>
      <c r="J548" t="s">
        <v>203</v>
      </c>
      <c r="K548" t="s">
        <v>204</v>
      </c>
      <c r="L548" t="s">
        <v>62</v>
      </c>
      <c r="M548" t="s">
        <v>3577</v>
      </c>
      <c r="N548" t="s">
        <v>52</v>
      </c>
      <c r="O548" t="s">
        <v>3578</v>
      </c>
      <c r="P548">
        <v>9000000000</v>
      </c>
      <c r="Q548" t="s">
        <v>54</v>
      </c>
      <c r="R548" t="s">
        <v>42</v>
      </c>
      <c r="S548" t="s">
        <v>89</v>
      </c>
      <c r="T548" t="s">
        <v>43</v>
      </c>
      <c r="U548" t="s">
        <v>90</v>
      </c>
      <c r="V548" t="s">
        <v>91</v>
      </c>
      <c r="W548" t="s">
        <v>5079</v>
      </c>
      <c r="X548" t="s">
        <v>91</v>
      </c>
      <c r="Y548" t="s">
        <v>46</v>
      </c>
      <c r="Z548" t="s">
        <v>92</v>
      </c>
      <c r="AA548" t="s">
        <v>92</v>
      </c>
      <c r="AB548" t="s">
        <v>93</v>
      </c>
      <c r="AC548" t="s">
        <v>381</v>
      </c>
      <c r="AD548" t="s">
        <v>481</v>
      </c>
      <c r="AE548" t="s">
        <v>185</v>
      </c>
      <c r="AF548">
        <v>0</v>
      </c>
      <c r="AG548" t="s">
        <v>196</v>
      </c>
      <c r="AH548" s="93">
        <f>VLOOKUP(Table1[[#This Row],[Caste]],Factor!$H$1:$K$13,4,0)</f>
        <v>1.3836274505214585</v>
      </c>
      <c r="AI548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548">
        <f>Table1[[#This Row],[Factor_1]]*Table1[[#This Row],[2024 Factor]]</f>
        <v>1.9482662206881376</v>
      </c>
      <c r="AK548">
        <f>VLOOKUP(Table1[[#This Row],[Q18: Gender]],Factor!$A$33:$E$35,5,0)</f>
        <v>0.85034013605442171</v>
      </c>
      <c r="AL548">
        <f>VLOOKUP(Table1[[#This Row],[Taluka]],Factor!$A$42:$G$46,7,0)</f>
        <v>1.9264642089343564</v>
      </c>
      <c r="AM548">
        <f>VLOOKUP(Table1[[#This Row],[Caste]]&amp;Table1[[#This Row],[Q18: Gender]],Factor!$W$1:$X$23,2,0)</f>
        <v>1.0790228998469584</v>
      </c>
      <c r="AN548">
        <f>VLOOKUP(Table1[[#This Row],[Taluka]]&amp;Table1[[#This Row],[Caste]]&amp;Table1[[#This Row],[Q18: Gender]],Factor!$AK$4:$AL$93,2,0)</f>
        <v>2.1355167697651956</v>
      </c>
      <c r="AO548">
        <f t="shared" si="88"/>
        <v>-1</v>
      </c>
      <c r="AP548">
        <f t="shared" si="89"/>
        <v>1</v>
      </c>
      <c r="AQ548">
        <f t="shared" si="90"/>
        <v>1</v>
      </c>
      <c r="AR548">
        <f t="shared" si="91"/>
        <v>1</v>
      </c>
      <c r="AS548">
        <f t="shared" si="92"/>
        <v>1</v>
      </c>
      <c r="AT548">
        <f t="shared" si="93"/>
        <v>1</v>
      </c>
      <c r="AU548">
        <f t="shared" si="94"/>
        <v>3.5</v>
      </c>
      <c r="AV548">
        <f>SUM(Table1[[#This Row],[Satis]:[29]])</f>
        <v>4</v>
      </c>
      <c r="AW548">
        <f t="shared" si="95"/>
        <v>3</v>
      </c>
      <c r="AX548">
        <f t="shared" si="96"/>
        <v>4</v>
      </c>
      <c r="AY548">
        <f t="shared" si="97"/>
        <v>2</v>
      </c>
      <c r="AZ548" t="str">
        <f t="shared" si="98"/>
        <v>YSRCP Sympathiser</v>
      </c>
    </row>
    <row r="549" spans="1:52" x14ac:dyDescent="0.3">
      <c r="A549" t="s">
        <v>3921</v>
      </c>
      <c r="B549" s="94">
        <v>46046</v>
      </c>
      <c r="C549" t="s">
        <v>3922</v>
      </c>
      <c r="D549" t="s">
        <v>3923</v>
      </c>
      <c r="E549" t="s">
        <v>3924</v>
      </c>
      <c r="F549" t="s">
        <v>240</v>
      </c>
      <c r="G549" t="s">
        <v>39</v>
      </c>
      <c r="H549" t="s">
        <v>3925</v>
      </c>
      <c r="I549" t="s">
        <v>36</v>
      </c>
      <c r="J549" t="s">
        <v>37</v>
      </c>
      <c r="K549" t="s">
        <v>38</v>
      </c>
      <c r="L549" t="s">
        <v>82</v>
      </c>
      <c r="M549" t="s">
        <v>51</v>
      </c>
      <c r="N549" t="s">
        <v>107</v>
      </c>
      <c r="O549" t="s">
        <v>3926</v>
      </c>
      <c r="P549">
        <v>9948509750</v>
      </c>
      <c r="Q549" t="s">
        <v>54</v>
      </c>
      <c r="R549" t="s">
        <v>2116</v>
      </c>
      <c r="S549" t="s">
        <v>43</v>
      </c>
      <c r="T549" t="s">
        <v>43</v>
      </c>
      <c r="U549" t="s">
        <v>90</v>
      </c>
      <c r="V549" t="s">
        <v>91</v>
      </c>
      <c r="W549" t="s">
        <v>5055</v>
      </c>
      <c r="X549" t="s">
        <v>45</v>
      </c>
      <c r="Y549" t="s">
        <v>46</v>
      </c>
      <c r="Z549" t="s">
        <v>92</v>
      </c>
      <c r="AA549" t="s">
        <v>92</v>
      </c>
      <c r="AB549" t="s">
        <v>93</v>
      </c>
      <c r="AC549" t="s">
        <v>94</v>
      </c>
      <c r="AD549" t="s">
        <v>481</v>
      </c>
      <c r="AE549" t="s">
        <v>185</v>
      </c>
      <c r="AF549">
        <v>0</v>
      </c>
      <c r="AG549" t="s">
        <v>196</v>
      </c>
      <c r="AH549" s="93">
        <f>VLOOKUP(Table1[[#This Row],[Caste]],Factor!$H$1:$K$13,4,0)</f>
        <v>1.1705128247062893</v>
      </c>
      <c r="AI549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549">
        <f>Table1[[#This Row],[Factor_1]]*Table1[[#This Row],[2024 Factor]]</f>
        <v>1.4435679386658844</v>
      </c>
      <c r="AK549">
        <f>VLOOKUP(Table1[[#This Row],[Q18: Gender]],Factor!$A$33:$E$35,5,0)</f>
        <v>0.85034013605442171</v>
      </c>
      <c r="AL549">
        <f>VLOOKUP(Table1[[#This Row],[Taluka]],Factor!$A$42:$G$46,7,0)</f>
        <v>0.75433779645928134</v>
      </c>
      <c r="AM549">
        <f>VLOOKUP(Table1[[#This Row],[Caste]]&amp;Table1[[#This Row],[Q18: Gender]],Factor!$W$1:$X$23,2,0)</f>
        <v>0.79950206330384943</v>
      </c>
      <c r="AN549">
        <f>VLOOKUP(Table1[[#This Row],[Taluka]]&amp;Table1[[#This Row],[Caste]]&amp;Table1[[#This Row],[Q18: Gender]],Factor!$AK$4:$AL$93,2,0)</f>
        <v>0.40257772387792479</v>
      </c>
      <c r="AO549">
        <f t="shared" si="88"/>
        <v>-1</v>
      </c>
      <c r="AP549">
        <f t="shared" si="89"/>
        <v>1</v>
      </c>
      <c r="AQ549">
        <f t="shared" si="90"/>
        <v>1</v>
      </c>
      <c r="AR549">
        <f t="shared" si="91"/>
        <v>-1</v>
      </c>
      <c r="AS549">
        <f t="shared" si="92"/>
        <v>1</v>
      </c>
      <c r="AT549">
        <f t="shared" si="93"/>
        <v>1</v>
      </c>
      <c r="AU549">
        <f t="shared" si="94"/>
        <v>1.5</v>
      </c>
      <c r="AV549">
        <f>SUM(Table1[[#This Row],[Satis]:[29]])</f>
        <v>2</v>
      </c>
      <c r="AW549">
        <f t="shared" si="95"/>
        <v>1</v>
      </c>
      <c r="AX549">
        <f t="shared" si="96"/>
        <v>2</v>
      </c>
      <c r="AY549">
        <f t="shared" si="97"/>
        <v>2</v>
      </c>
      <c r="AZ549" t="str">
        <f t="shared" si="98"/>
        <v>Neutral YSRCP</v>
      </c>
    </row>
    <row r="550" spans="1:52" x14ac:dyDescent="0.3">
      <c r="A550" t="s">
        <v>3910</v>
      </c>
      <c r="B550" s="94">
        <v>46046</v>
      </c>
      <c r="C550" t="s">
        <v>3911</v>
      </c>
      <c r="D550" t="s">
        <v>3912</v>
      </c>
      <c r="E550" t="s">
        <v>3508</v>
      </c>
      <c r="F550" t="s">
        <v>935</v>
      </c>
      <c r="G550" t="s">
        <v>39</v>
      </c>
      <c r="H550" t="s">
        <v>3913</v>
      </c>
      <c r="I550" t="s">
        <v>59</v>
      </c>
      <c r="J550" t="s">
        <v>203</v>
      </c>
      <c r="K550" t="s">
        <v>208</v>
      </c>
      <c r="L550" t="s">
        <v>75</v>
      </c>
      <c r="M550" t="s">
        <v>51</v>
      </c>
      <c r="N550" t="s">
        <v>52</v>
      </c>
      <c r="O550" t="s">
        <v>3914</v>
      </c>
      <c r="P550">
        <v>9959578866</v>
      </c>
      <c r="Q550" t="s">
        <v>54</v>
      </c>
      <c r="R550" t="s">
        <v>61</v>
      </c>
      <c r="S550" t="s">
        <v>89</v>
      </c>
      <c r="T550" t="s">
        <v>43</v>
      </c>
      <c r="U550" t="s">
        <v>44</v>
      </c>
      <c r="V550" t="s">
        <v>45</v>
      </c>
      <c r="W550" t="s">
        <v>5079</v>
      </c>
      <c r="X550" t="s">
        <v>45</v>
      </c>
      <c r="Y550" t="s">
        <v>46</v>
      </c>
      <c r="Z550" t="s">
        <v>47</v>
      </c>
      <c r="AA550" t="s">
        <v>48</v>
      </c>
      <c r="AB550" t="s">
        <v>49</v>
      </c>
      <c r="AC550" t="s">
        <v>49</v>
      </c>
      <c r="AD550" t="s">
        <v>481</v>
      </c>
      <c r="AE550" t="s">
        <v>185</v>
      </c>
      <c r="AF550">
        <v>0</v>
      </c>
      <c r="AG550" t="s">
        <v>196</v>
      </c>
      <c r="AH550" s="93">
        <f>VLOOKUP(Table1[[#This Row],[Caste]],Factor!$H$1:$K$13,4,0)</f>
        <v>1.1461625511156397</v>
      </c>
      <c r="AI55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50">
        <f>Table1[[#This Row],[Factor_1]]*Table1[[#This Row],[2024 Factor]]</f>
        <v>0.77721139583220644</v>
      </c>
      <c r="AK550">
        <f>VLOOKUP(Table1[[#This Row],[Q18: Gender]],Factor!$A$33:$E$35,5,0)</f>
        <v>0.85034013605442171</v>
      </c>
      <c r="AL550">
        <f>VLOOKUP(Table1[[#This Row],[Taluka]],Factor!$A$42:$G$46,7,0)</f>
        <v>1.9264642089343564</v>
      </c>
      <c r="AM550">
        <f>VLOOKUP(Table1[[#This Row],[Caste]]&amp;Table1[[#This Row],[Q18: Gender]],Factor!$W$1:$X$23,2,0)</f>
        <v>0.71995135120329123</v>
      </c>
      <c r="AN550">
        <f>VLOOKUP(Table1[[#This Row],[Taluka]]&amp;Table1[[#This Row],[Caste]]&amp;Table1[[#This Row],[Q18: Gender]],Factor!$AK$4:$AL$93,2,0)</f>
        <v>0.70534647283248642</v>
      </c>
      <c r="AO550">
        <f t="shared" si="88"/>
        <v>-1</v>
      </c>
      <c r="AP550">
        <f t="shared" si="89"/>
        <v>-1</v>
      </c>
      <c r="AQ550">
        <f t="shared" si="90"/>
        <v>-1</v>
      </c>
      <c r="AR550">
        <f t="shared" si="91"/>
        <v>-1</v>
      </c>
      <c r="AS550">
        <f t="shared" si="92"/>
        <v>-1</v>
      </c>
      <c r="AT550">
        <f t="shared" si="93"/>
        <v>-1</v>
      </c>
      <c r="AU550">
        <f t="shared" si="94"/>
        <v>-5.5</v>
      </c>
      <c r="AV550">
        <f>SUM(Table1[[#This Row],[Satis]:[29]])</f>
        <v>-6</v>
      </c>
      <c r="AW550">
        <f t="shared" si="95"/>
        <v>-5</v>
      </c>
      <c r="AX550">
        <f t="shared" si="96"/>
        <v>-4</v>
      </c>
      <c r="AY550">
        <f t="shared" si="97"/>
        <v>-3</v>
      </c>
      <c r="AZ550" t="str">
        <f t="shared" si="98"/>
        <v>TDP HardCore</v>
      </c>
    </row>
    <row r="551" spans="1:52" x14ac:dyDescent="0.3">
      <c r="A551" t="s">
        <v>3162</v>
      </c>
      <c r="B551" s="94">
        <v>46046</v>
      </c>
      <c r="C551" t="s">
        <v>3163</v>
      </c>
      <c r="D551" t="s">
        <v>3164</v>
      </c>
      <c r="E551" t="s">
        <v>3165</v>
      </c>
      <c r="F551" t="s">
        <v>2547</v>
      </c>
      <c r="G551" t="s">
        <v>39</v>
      </c>
      <c r="H551" t="s">
        <v>3166</v>
      </c>
      <c r="I551" t="s">
        <v>70</v>
      </c>
      <c r="J551" t="s">
        <v>203</v>
      </c>
      <c r="K551" t="s">
        <v>204</v>
      </c>
      <c r="L551" t="s">
        <v>161</v>
      </c>
      <c r="M551" t="s">
        <v>443</v>
      </c>
      <c r="N551" t="s">
        <v>52</v>
      </c>
      <c r="O551" t="s">
        <v>3167</v>
      </c>
      <c r="P551">
        <v>6301888030</v>
      </c>
      <c r="Q551" t="s">
        <v>54</v>
      </c>
      <c r="R551" t="s">
        <v>61</v>
      </c>
      <c r="S551" t="s">
        <v>89</v>
      </c>
      <c r="T551" t="s">
        <v>89</v>
      </c>
      <c r="U551" t="s">
        <v>90</v>
      </c>
      <c r="V551" t="s">
        <v>91</v>
      </c>
      <c r="W551" t="s">
        <v>5056</v>
      </c>
      <c r="X551" t="s">
        <v>91</v>
      </c>
      <c r="Y551" t="s">
        <v>638</v>
      </c>
      <c r="Z551" t="s">
        <v>242</v>
      </c>
      <c r="AA551" t="s">
        <v>48</v>
      </c>
      <c r="AB551" t="s">
        <v>49</v>
      </c>
      <c r="AC551" t="s">
        <v>49</v>
      </c>
      <c r="AD551" t="s">
        <v>481</v>
      </c>
      <c r="AE551" t="s">
        <v>185</v>
      </c>
      <c r="AF551">
        <v>0</v>
      </c>
      <c r="AG551" t="s">
        <v>196</v>
      </c>
      <c r="AH551" s="93">
        <f>VLOOKUP(Table1[[#This Row],[Caste]],Factor!$H$1:$K$13,4,0)</f>
        <v>1.3836274505214585</v>
      </c>
      <c r="AI55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51">
        <f>Table1[[#This Row],[Factor_1]]*Table1[[#This Row],[2024 Factor]]</f>
        <v>1.1648410586678206</v>
      </c>
      <c r="AK551">
        <f>VLOOKUP(Table1[[#This Row],[Q18: Gender]],Factor!$A$33:$E$35,5,0)</f>
        <v>0.85034013605442171</v>
      </c>
      <c r="AL551">
        <f>VLOOKUP(Table1[[#This Row],[Taluka]],Factor!$A$42:$G$46,7,0)</f>
        <v>1.9264642089343564</v>
      </c>
      <c r="AM551">
        <f>VLOOKUP(Table1[[#This Row],[Caste]]&amp;Table1[[#This Row],[Q18: Gender]],Factor!$W$1:$X$23,2,0)</f>
        <v>1.0790228998469584</v>
      </c>
      <c r="AN551">
        <f>VLOOKUP(Table1[[#This Row],[Taluka]]&amp;Table1[[#This Row],[Caste]]&amp;Table1[[#This Row],[Q18: Gender]],Factor!$AK$4:$AL$93,2,0)</f>
        <v>2.1355167697651956</v>
      </c>
      <c r="AO551">
        <f t="shared" si="88"/>
        <v>1</v>
      </c>
      <c r="AP551">
        <f t="shared" si="89"/>
        <v>1</v>
      </c>
      <c r="AQ551">
        <f t="shared" si="90"/>
        <v>1</v>
      </c>
      <c r="AR551">
        <f t="shared" si="91"/>
        <v>1</v>
      </c>
      <c r="AS551">
        <f t="shared" si="92"/>
        <v>-1</v>
      </c>
      <c r="AT551">
        <f t="shared" si="93"/>
        <v>-1</v>
      </c>
      <c r="AU551">
        <f t="shared" si="94"/>
        <v>2.5</v>
      </c>
      <c r="AV551">
        <f>SUM(Table1[[#This Row],[Satis]:[29]])</f>
        <v>2</v>
      </c>
      <c r="AW551">
        <f t="shared" si="95"/>
        <v>1</v>
      </c>
      <c r="AX551">
        <f t="shared" si="96"/>
        <v>0</v>
      </c>
      <c r="AY551">
        <f t="shared" si="97"/>
        <v>-2</v>
      </c>
      <c r="AZ551" t="str">
        <f t="shared" si="98"/>
        <v>Neutral TDP</v>
      </c>
    </row>
    <row r="552" spans="1:52" x14ac:dyDescent="0.3">
      <c r="A552" t="s">
        <v>3485</v>
      </c>
      <c r="B552" s="94">
        <v>46046</v>
      </c>
      <c r="C552" t="s">
        <v>3486</v>
      </c>
      <c r="D552" t="s">
        <v>3487</v>
      </c>
      <c r="E552" t="s">
        <v>3086</v>
      </c>
      <c r="F552" t="s">
        <v>240</v>
      </c>
      <c r="G552" t="s">
        <v>39</v>
      </c>
      <c r="H552" t="s">
        <v>3488</v>
      </c>
      <c r="I552" t="s">
        <v>36</v>
      </c>
      <c r="J552" t="s">
        <v>37</v>
      </c>
      <c r="K552" t="s">
        <v>38</v>
      </c>
      <c r="L552" t="s">
        <v>451</v>
      </c>
      <c r="M552" t="s">
        <v>51</v>
      </c>
      <c r="N552" t="s">
        <v>52</v>
      </c>
      <c r="O552" t="s">
        <v>3489</v>
      </c>
      <c r="P552">
        <v>9398146159</v>
      </c>
      <c r="Q552" t="s">
        <v>445</v>
      </c>
      <c r="R552" t="s">
        <v>2116</v>
      </c>
      <c r="S552" t="s">
        <v>43</v>
      </c>
      <c r="T552" t="s">
        <v>43</v>
      </c>
      <c r="U552" t="s">
        <v>44</v>
      </c>
      <c r="V552" t="s">
        <v>45</v>
      </c>
      <c r="W552" t="s">
        <v>5054</v>
      </c>
      <c r="X552" t="s">
        <v>45</v>
      </c>
      <c r="Y552" t="s">
        <v>46</v>
      </c>
      <c r="Z552" t="s">
        <v>47</v>
      </c>
      <c r="AA552" t="s">
        <v>48</v>
      </c>
      <c r="AB552" t="s">
        <v>49</v>
      </c>
      <c r="AC552" t="s">
        <v>49</v>
      </c>
      <c r="AD552" t="s">
        <v>481</v>
      </c>
      <c r="AE552" t="s">
        <v>185</v>
      </c>
      <c r="AF552">
        <v>0</v>
      </c>
      <c r="AG552" t="s">
        <v>196</v>
      </c>
      <c r="AH552" s="93">
        <f>VLOOKUP(Table1[[#This Row],[Caste]],Factor!$H$1:$K$13,4,0)</f>
        <v>1.1705128247062893</v>
      </c>
      <c r="AI55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52">
        <f>Table1[[#This Row],[Factor_1]]*Table1[[#This Row],[2024 Factor]]</f>
        <v>2.3577066232182737</v>
      </c>
      <c r="AK552">
        <f>VLOOKUP(Table1[[#This Row],[Q18: Gender]],Factor!$A$33:$E$35,5,0)</f>
        <v>2.1645021645021645</v>
      </c>
      <c r="AL552">
        <f>VLOOKUP(Table1[[#This Row],[Taluka]],Factor!$A$42:$G$46,7,0)</f>
        <v>0.75433779645928134</v>
      </c>
      <c r="AM552">
        <f>VLOOKUP(Table1[[#This Row],[Caste]]&amp;Table1[[#This Row],[Q18: Gender]],Factor!$W$1:$X$23,2,0)</f>
        <v>2.1840056363422229</v>
      </c>
      <c r="AN552">
        <f>VLOOKUP(Table1[[#This Row],[Taluka]]&amp;Table1[[#This Row],[Caste]]&amp;Table1[[#This Row],[Q18: Gender]],Factor!$AK$4:$AL$93,2,0)</f>
        <v>1.1182714552164577</v>
      </c>
      <c r="AO552">
        <f t="shared" si="88"/>
        <v>-1</v>
      </c>
      <c r="AP552">
        <f t="shared" si="89"/>
        <v>-1</v>
      </c>
      <c r="AQ552">
        <f t="shared" si="90"/>
        <v>-1</v>
      </c>
      <c r="AR552">
        <f t="shared" si="91"/>
        <v>-1</v>
      </c>
      <c r="AS552">
        <f t="shared" si="92"/>
        <v>-1</v>
      </c>
      <c r="AT552">
        <f t="shared" si="93"/>
        <v>-1</v>
      </c>
      <c r="AU552">
        <f t="shared" si="94"/>
        <v>-5.5</v>
      </c>
      <c r="AV552">
        <f>SUM(Table1[[#This Row],[Satis]:[29]])</f>
        <v>-6</v>
      </c>
      <c r="AW552">
        <f t="shared" si="95"/>
        <v>-5</v>
      </c>
      <c r="AX552">
        <f t="shared" si="96"/>
        <v>-4</v>
      </c>
      <c r="AY552">
        <f t="shared" si="97"/>
        <v>-3</v>
      </c>
      <c r="AZ552" t="str">
        <f t="shared" si="98"/>
        <v>TDP HardCore</v>
      </c>
    </row>
    <row r="553" spans="1:52" x14ac:dyDescent="0.3">
      <c r="A553" t="s">
        <v>3213</v>
      </c>
      <c r="B553" s="94">
        <v>46046</v>
      </c>
      <c r="C553" t="s">
        <v>3214</v>
      </c>
      <c r="D553" t="s">
        <v>3215</v>
      </c>
      <c r="E553" t="s">
        <v>3216</v>
      </c>
      <c r="F553" t="s">
        <v>35</v>
      </c>
      <c r="G553" t="s">
        <v>39</v>
      </c>
      <c r="H553" t="s">
        <v>3217</v>
      </c>
      <c r="I553" t="s">
        <v>36</v>
      </c>
      <c r="J553" t="s">
        <v>71</v>
      </c>
      <c r="K553" t="s">
        <v>216</v>
      </c>
      <c r="L553" t="s">
        <v>451</v>
      </c>
      <c r="M553" t="s">
        <v>51</v>
      </c>
      <c r="N553" t="s">
        <v>63</v>
      </c>
      <c r="O553" t="s">
        <v>3218</v>
      </c>
      <c r="P553">
        <v>0</v>
      </c>
      <c r="Q553" t="s">
        <v>445</v>
      </c>
      <c r="R553" t="s">
        <v>139</v>
      </c>
      <c r="S553" t="s">
        <v>43</v>
      </c>
      <c r="T553" t="s">
        <v>43</v>
      </c>
      <c r="U553" t="s">
        <v>44</v>
      </c>
      <c r="V553" t="s">
        <v>45</v>
      </c>
      <c r="W553" t="s">
        <v>5057</v>
      </c>
      <c r="X553" t="s">
        <v>45</v>
      </c>
      <c r="Y553" t="s">
        <v>716</v>
      </c>
      <c r="Z553" t="s">
        <v>47</v>
      </c>
      <c r="AA553" t="s">
        <v>48</v>
      </c>
      <c r="AB553" t="s">
        <v>49</v>
      </c>
      <c r="AC553" t="s">
        <v>49</v>
      </c>
      <c r="AD553" t="s">
        <v>494</v>
      </c>
      <c r="AE553" t="s">
        <v>1250</v>
      </c>
      <c r="AF553" t="s">
        <v>1773</v>
      </c>
      <c r="AG553" t="s">
        <v>498</v>
      </c>
      <c r="AH553" s="93">
        <f>VLOOKUP(Table1[[#This Row],[Caste]],Factor!$H$1:$K$13,4,0)</f>
        <v>1.1705128247062893</v>
      </c>
      <c r="AI55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53">
        <f>Table1[[#This Row],[Factor_1]]*Table1[[#This Row],[2024 Factor]]</f>
        <v>2.3577066232182737</v>
      </c>
      <c r="AK553">
        <f>VLOOKUP(Table1[[#This Row],[Q18: Gender]],Factor!$A$33:$E$35,5,0)</f>
        <v>2.1645021645021645</v>
      </c>
      <c r="AL553">
        <f>VLOOKUP(Table1[[#This Row],[Taluka]],Factor!$A$42:$G$46,7,0)</f>
        <v>1.1213131007097483</v>
      </c>
      <c r="AM553">
        <f>VLOOKUP(Table1[[#This Row],[Caste]]&amp;Table1[[#This Row],[Q18: Gender]],Factor!$W$1:$X$23,2,0)</f>
        <v>2.1840056363422229</v>
      </c>
      <c r="AN553">
        <f>VLOOKUP(Table1[[#This Row],[Taluka]]&amp;Table1[[#This Row],[Caste]]&amp;Table1[[#This Row],[Q18: Gender]],Factor!$AK$4:$AL$93,2,0)</f>
        <v>0.95944580773600496</v>
      </c>
      <c r="AO553">
        <f t="shared" si="88"/>
        <v>-1</v>
      </c>
      <c r="AP553">
        <f t="shared" si="89"/>
        <v>-1</v>
      </c>
      <c r="AQ553">
        <f t="shared" si="90"/>
        <v>-1</v>
      </c>
      <c r="AR553">
        <f t="shared" si="91"/>
        <v>-1</v>
      </c>
      <c r="AS553">
        <f t="shared" si="92"/>
        <v>-1</v>
      </c>
      <c r="AT553">
        <f t="shared" si="93"/>
        <v>-1</v>
      </c>
      <c r="AU553">
        <f t="shared" si="94"/>
        <v>-5.5</v>
      </c>
      <c r="AV553">
        <f>SUM(Table1[[#This Row],[Satis]:[29]])</f>
        <v>-6</v>
      </c>
      <c r="AW553">
        <f t="shared" si="95"/>
        <v>-5</v>
      </c>
      <c r="AX553">
        <f t="shared" si="96"/>
        <v>-4</v>
      </c>
      <c r="AY553">
        <f t="shared" si="97"/>
        <v>-3</v>
      </c>
      <c r="AZ553" t="str">
        <f t="shared" si="98"/>
        <v>TDP HardCore</v>
      </c>
    </row>
    <row r="554" spans="1:52" x14ac:dyDescent="0.3">
      <c r="A554" t="s">
        <v>3219</v>
      </c>
      <c r="B554" s="94">
        <v>46046</v>
      </c>
      <c r="C554" t="s">
        <v>3220</v>
      </c>
      <c r="D554" t="s">
        <v>3221</v>
      </c>
      <c r="E554" t="s">
        <v>3222</v>
      </c>
      <c r="F554" t="s">
        <v>35</v>
      </c>
      <c r="G554" t="s">
        <v>39</v>
      </c>
      <c r="H554" t="s">
        <v>3223</v>
      </c>
      <c r="I554" t="s">
        <v>36</v>
      </c>
      <c r="J554" t="s">
        <v>71</v>
      </c>
      <c r="K554" t="s">
        <v>216</v>
      </c>
      <c r="L554" t="s">
        <v>75</v>
      </c>
      <c r="M554" t="s">
        <v>51</v>
      </c>
      <c r="N554" t="s">
        <v>162</v>
      </c>
      <c r="O554" t="s">
        <v>3224</v>
      </c>
      <c r="P554">
        <v>0</v>
      </c>
      <c r="Q554" t="s">
        <v>54</v>
      </c>
      <c r="R554" t="s">
        <v>2116</v>
      </c>
      <c r="S554" t="s">
        <v>89</v>
      </c>
      <c r="T554" t="s">
        <v>43</v>
      </c>
      <c r="U554" t="s">
        <v>44</v>
      </c>
      <c r="V554" t="s">
        <v>45</v>
      </c>
      <c r="W554" t="s">
        <v>5094</v>
      </c>
      <c r="X554" t="s">
        <v>45</v>
      </c>
      <c r="Y554" t="s">
        <v>46</v>
      </c>
      <c r="Z554" t="s">
        <v>47</v>
      </c>
      <c r="AA554" t="s">
        <v>48</v>
      </c>
      <c r="AB554" t="s">
        <v>49</v>
      </c>
      <c r="AC554" t="s">
        <v>49</v>
      </c>
      <c r="AD554" t="s">
        <v>494</v>
      </c>
      <c r="AE554" t="s">
        <v>1250</v>
      </c>
      <c r="AF554" t="s">
        <v>1773</v>
      </c>
      <c r="AG554" t="s">
        <v>498</v>
      </c>
      <c r="AH554" s="93">
        <f>VLOOKUP(Table1[[#This Row],[Caste]],Factor!$H$1:$K$13,4,0)</f>
        <v>1.1705128247062893</v>
      </c>
      <c r="AI55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54">
        <f>Table1[[#This Row],[Factor_1]]*Table1[[#This Row],[2024 Factor]]</f>
        <v>0.86308903171383233</v>
      </c>
      <c r="AK554">
        <f>VLOOKUP(Table1[[#This Row],[Q18: Gender]],Factor!$A$33:$E$35,5,0)</f>
        <v>0.85034013605442171</v>
      </c>
      <c r="AL554">
        <f>VLOOKUP(Table1[[#This Row],[Taluka]],Factor!$A$42:$G$46,7,0)</f>
        <v>1.1213131007097483</v>
      </c>
      <c r="AM554">
        <f>VLOOKUP(Table1[[#This Row],[Caste]]&amp;Table1[[#This Row],[Q18: Gender]],Factor!$W$1:$X$23,2,0)</f>
        <v>0.79950206330384943</v>
      </c>
      <c r="AN554">
        <f>VLOOKUP(Table1[[#This Row],[Taluka]]&amp;Table1[[#This Row],[Caste]]&amp;Table1[[#This Row],[Q18: Gender]],Factor!$AK$4:$AL$93,2,0)</f>
        <v>0.7401439088249181</v>
      </c>
      <c r="AO554">
        <f t="shared" si="88"/>
        <v>-1</v>
      </c>
      <c r="AP554">
        <f t="shared" si="89"/>
        <v>-1</v>
      </c>
      <c r="AQ554">
        <f t="shared" si="90"/>
        <v>-1</v>
      </c>
      <c r="AR554">
        <f t="shared" si="91"/>
        <v>-1</v>
      </c>
      <c r="AS554">
        <f t="shared" si="92"/>
        <v>-1</v>
      </c>
      <c r="AT554">
        <f t="shared" si="93"/>
        <v>-1</v>
      </c>
      <c r="AU554">
        <f t="shared" si="94"/>
        <v>-5.5</v>
      </c>
      <c r="AV554">
        <f>SUM(Table1[[#This Row],[Satis]:[29]])</f>
        <v>-6</v>
      </c>
      <c r="AW554">
        <f t="shared" si="95"/>
        <v>-5</v>
      </c>
      <c r="AX554">
        <f t="shared" si="96"/>
        <v>-4</v>
      </c>
      <c r="AY554">
        <f t="shared" si="97"/>
        <v>-3</v>
      </c>
      <c r="AZ554" t="str">
        <f t="shared" si="98"/>
        <v>TDP HardCore</v>
      </c>
    </row>
    <row r="555" spans="1:52" x14ac:dyDescent="0.3">
      <c r="A555" t="s">
        <v>3225</v>
      </c>
      <c r="B555" s="94">
        <v>46046</v>
      </c>
      <c r="C555" t="s">
        <v>3226</v>
      </c>
      <c r="D555" t="s">
        <v>3227</v>
      </c>
      <c r="E555" t="s">
        <v>3228</v>
      </c>
      <c r="F555" t="s">
        <v>2547</v>
      </c>
      <c r="G555" t="s">
        <v>39</v>
      </c>
      <c r="H555" t="s">
        <v>3229</v>
      </c>
      <c r="I555" t="s">
        <v>70</v>
      </c>
      <c r="J555" t="s">
        <v>203</v>
      </c>
      <c r="K555" t="s">
        <v>204</v>
      </c>
      <c r="L555" t="s">
        <v>451</v>
      </c>
      <c r="M555" t="s">
        <v>443</v>
      </c>
      <c r="N555" t="s">
        <v>162</v>
      </c>
      <c r="O555" t="s">
        <v>3230</v>
      </c>
      <c r="P555">
        <v>9000000000</v>
      </c>
      <c r="Q555" t="s">
        <v>445</v>
      </c>
      <c r="R555" t="s">
        <v>132</v>
      </c>
      <c r="S555" t="s">
        <v>88</v>
      </c>
      <c r="T555" t="s">
        <v>43</v>
      </c>
      <c r="U555" t="s">
        <v>44</v>
      </c>
      <c r="V555" t="s">
        <v>91</v>
      </c>
      <c r="W555" t="s">
        <v>5056</v>
      </c>
      <c r="X555" t="s">
        <v>91</v>
      </c>
      <c r="Y555" t="s">
        <v>46</v>
      </c>
      <c r="Z555" t="s">
        <v>92</v>
      </c>
      <c r="AA555" t="s">
        <v>92</v>
      </c>
      <c r="AB555" t="s">
        <v>93</v>
      </c>
      <c r="AC555" t="s">
        <v>381</v>
      </c>
      <c r="AD555" t="s">
        <v>481</v>
      </c>
      <c r="AE555" t="s">
        <v>189</v>
      </c>
      <c r="AF555" t="s">
        <v>4081</v>
      </c>
      <c r="AG555" t="s">
        <v>196</v>
      </c>
      <c r="AH555" s="93">
        <f>VLOOKUP(Table1[[#This Row],[Caste]],Factor!$H$1:$K$13,4,0)</f>
        <v>1.3836274505214585</v>
      </c>
      <c r="AI555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555">
        <f>Table1[[#This Row],[Factor_1]]*Table1[[#This Row],[2024 Factor]]</f>
        <v>3.4809023142961388</v>
      </c>
      <c r="AK555">
        <f>VLOOKUP(Table1[[#This Row],[Q18: Gender]],Factor!$A$33:$E$35,5,0)</f>
        <v>2.1645021645021645</v>
      </c>
      <c r="AL555">
        <f>VLOOKUP(Table1[[#This Row],[Taluka]],Factor!$A$42:$G$46,7,0)</f>
        <v>1.9264642089343564</v>
      </c>
      <c r="AM555">
        <f>VLOOKUP(Table1[[#This Row],[Caste]]&amp;Table1[[#This Row],[Q18: Gender]],Factor!$W$1:$X$23,2,0)</f>
        <v>1.9278542477265657</v>
      </c>
      <c r="AN555">
        <f>VLOOKUP(Table1[[#This Row],[Taluka]]&amp;Table1[[#This Row],[Caste]]&amp;Table1[[#This Row],[Q18: Gender]],Factor!$AK$4:$AL$93,2,0)</f>
        <v>4.0768956513699193</v>
      </c>
      <c r="AO555">
        <f t="shared" si="88"/>
        <v>-1</v>
      </c>
      <c r="AP555">
        <f t="shared" si="89"/>
        <v>-1</v>
      </c>
      <c r="AQ555">
        <f t="shared" si="90"/>
        <v>1</v>
      </c>
      <c r="AR555">
        <f t="shared" si="91"/>
        <v>1</v>
      </c>
      <c r="AS555">
        <f t="shared" si="92"/>
        <v>1</v>
      </c>
      <c r="AT555">
        <f t="shared" si="93"/>
        <v>1</v>
      </c>
      <c r="AU555">
        <f t="shared" si="94"/>
        <v>1.5</v>
      </c>
      <c r="AV555">
        <f>SUM(Table1[[#This Row],[Satis]:[29]])</f>
        <v>2</v>
      </c>
      <c r="AW555">
        <f t="shared" si="95"/>
        <v>3</v>
      </c>
      <c r="AX555">
        <f t="shared" si="96"/>
        <v>4</v>
      </c>
      <c r="AY555">
        <f t="shared" si="97"/>
        <v>2</v>
      </c>
      <c r="AZ555" t="str">
        <f t="shared" si="98"/>
        <v>YSRCP Sympathiser</v>
      </c>
    </row>
    <row r="556" spans="1:52" x14ac:dyDescent="0.3">
      <c r="A556" t="s">
        <v>3231</v>
      </c>
      <c r="B556" s="94">
        <v>46046</v>
      </c>
      <c r="C556" t="s">
        <v>3232</v>
      </c>
      <c r="D556" t="s">
        <v>3074</v>
      </c>
      <c r="E556" t="s">
        <v>3075</v>
      </c>
      <c r="F556" t="s">
        <v>935</v>
      </c>
      <c r="G556" t="s">
        <v>39</v>
      </c>
      <c r="H556" t="s">
        <v>3233</v>
      </c>
      <c r="I556" t="s">
        <v>36</v>
      </c>
      <c r="J556" t="s">
        <v>203</v>
      </c>
      <c r="K556" t="s">
        <v>208</v>
      </c>
      <c r="L556" t="s">
        <v>62</v>
      </c>
      <c r="M556" t="s">
        <v>51</v>
      </c>
      <c r="N556" t="s">
        <v>107</v>
      </c>
      <c r="O556" t="s">
        <v>3077</v>
      </c>
      <c r="P556">
        <v>9652017143</v>
      </c>
      <c r="Q556" t="s">
        <v>54</v>
      </c>
      <c r="R556" t="s">
        <v>61</v>
      </c>
      <c r="S556" t="s">
        <v>89</v>
      </c>
      <c r="T556" t="s">
        <v>43</v>
      </c>
      <c r="U556" t="s">
        <v>90</v>
      </c>
      <c r="V556" t="s">
        <v>45</v>
      </c>
      <c r="W556" t="s">
        <v>5087</v>
      </c>
      <c r="X556" t="s">
        <v>91</v>
      </c>
      <c r="Y556" t="s">
        <v>46</v>
      </c>
      <c r="Z556" t="s">
        <v>47</v>
      </c>
      <c r="AA556" t="s">
        <v>48</v>
      </c>
      <c r="AB556" t="s">
        <v>49</v>
      </c>
      <c r="AC556" t="s">
        <v>49</v>
      </c>
      <c r="AD556" t="s">
        <v>481</v>
      </c>
      <c r="AE556" t="s">
        <v>185</v>
      </c>
      <c r="AF556" t="s">
        <v>4087</v>
      </c>
      <c r="AG556" t="s">
        <v>196</v>
      </c>
      <c r="AH556" s="93">
        <f>VLOOKUP(Table1[[#This Row],[Caste]],Factor!$H$1:$K$13,4,0)</f>
        <v>1.1705128247062893</v>
      </c>
      <c r="AI55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56">
        <f>Table1[[#This Row],[Factor_1]]*Table1[[#This Row],[2024 Factor]]</f>
        <v>0.86308903171383233</v>
      </c>
      <c r="AK556">
        <f>VLOOKUP(Table1[[#This Row],[Q18: Gender]],Factor!$A$33:$E$35,5,0)</f>
        <v>0.85034013605442171</v>
      </c>
      <c r="AL556">
        <f>VLOOKUP(Table1[[#This Row],[Taluka]],Factor!$A$42:$G$46,7,0)</f>
        <v>1.9264642089343564</v>
      </c>
      <c r="AM556">
        <f>VLOOKUP(Table1[[#This Row],[Caste]]&amp;Table1[[#This Row],[Q18: Gender]],Factor!$W$1:$X$23,2,0)</f>
        <v>0.79950206330384943</v>
      </c>
      <c r="AN556">
        <f>VLOOKUP(Table1[[#This Row],[Taluka]]&amp;Table1[[#This Row],[Caste]]&amp;Table1[[#This Row],[Q18: Gender]],Factor!$AK$4:$AL$93,2,0)</f>
        <v>1.1572126985895925</v>
      </c>
      <c r="AO556">
        <f t="shared" si="88"/>
        <v>-1</v>
      </c>
      <c r="AP556">
        <f t="shared" si="89"/>
        <v>1</v>
      </c>
      <c r="AQ556">
        <f t="shared" si="90"/>
        <v>-1</v>
      </c>
      <c r="AR556">
        <f t="shared" si="91"/>
        <v>1</v>
      </c>
      <c r="AS556">
        <f t="shared" si="92"/>
        <v>-1</v>
      </c>
      <c r="AT556">
        <f t="shared" si="93"/>
        <v>-1</v>
      </c>
      <c r="AU556">
        <f t="shared" si="94"/>
        <v>-1.5</v>
      </c>
      <c r="AV556">
        <f>SUM(Table1[[#This Row],[Satis]:[29]])</f>
        <v>-2</v>
      </c>
      <c r="AW556">
        <f t="shared" si="95"/>
        <v>-3</v>
      </c>
      <c r="AX556">
        <f t="shared" si="96"/>
        <v>-2</v>
      </c>
      <c r="AY556">
        <f t="shared" si="97"/>
        <v>-3</v>
      </c>
      <c r="AZ556" t="str">
        <f t="shared" si="98"/>
        <v>Neutral TDP</v>
      </c>
    </row>
    <row r="557" spans="1:52" x14ac:dyDescent="0.3">
      <c r="A557" t="s">
        <v>3655</v>
      </c>
      <c r="B557" s="94">
        <v>46046</v>
      </c>
      <c r="C557" t="s">
        <v>3656</v>
      </c>
      <c r="D557" t="s">
        <v>3657</v>
      </c>
      <c r="E557" t="s">
        <v>3086</v>
      </c>
      <c r="F557" t="s">
        <v>240</v>
      </c>
      <c r="G557" t="s">
        <v>39</v>
      </c>
      <c r="H557" t="s">
        <v>3658</v>
      </c>
      <c r="I557" t="s">
        <v>36</v>
      </c>
      <c r="J557" t="s">
        <v>37</v>
      </c>
      <c r="K557" t="s">
        <v>38</v>
      </c>
      <c r="L557" t="s">
        <v>62</v>
      </c>
      <c r="M557" t="s">
        <v>51</v>
      </c>
      <c r="N557" t="s">
        <v>63</v>
      </c>
      <c r="O557" t="s">
        <v>3659</v>
      </c>
      <c r="P557">
        <v>9398544611</v>
      </c>
      <c r="Q557" t="s">
        <v>445</v>
      </c>
      <c r="R557" t="s">
        <v>139</v>
      </c>
      <c r="S557" t="s">
        <v>43</v>
      </c>
      <c r="T557" t="s">
        <v>43</v>
      </c>
      <c r="U557" t="s">
        <v>44</v>
      </c>
      <c r="V557" t="s">
        <v>45</v>
      </c>
      <c r="W557" t="s">
        <v>5102</v>
      </c>
      <c r="X557" t="s">
        <v>45</v>
      </c>
      <c r="Y557" t="s">
        <v>46</v>
      </c>
      <c r="Z557" t="s">
        <v>47</v>
      </c>
      <c r="AA557" t="s">
        <v>48</v>
      </c>
      <c r="AB557" t="s">
        <v>49</v>
      </c>
      <c r="AC557" t="s">
        <v>49</v>
      </c>
      <c r="AD557" t="s">
        <v>481</v>
      </c>
      <c r="AE557" t="s">
        <v>185</v>
      </c>
      <c r="AF557">
        <v>0</v>
      </c>
      <c r="AG557" t="s">
        <v>196</v>
      </c>
      <c r="AH557" s="93">
        <f>VLOOKUP(Table1[[#This Row],[Caste]],Factor!$H$1:$K$13,4,0)</f>
        <v>1.1705128247062893</v>
      </c>
      <c r="AI55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57">
        <f>Table1[[#This Row],[Factor_1]]*Table1[[#This Row],[2024 Factor]]</f>
        <v>2.3577066232182737</v>
      </c>
      <c r="AK557">
        <f>VLOOKUP(Table1[[#This Row],[Q18: Gender]],Factor!$A$33:$E$35,5,0)</f>
        <v>2.1645021645021645</v>
      </c>
      <c r="AL557">
        <f>VLOOKUP(Table1[[#This Row],[Taluka]],Factor!$A$42:$G$46,7,0)</f>
        <v>0.75433779645928134</v>
      </c>
      <c r="AM557">
        <f>VLOOKUP(Table1[[#This Row],[Caste]]&amp;Table1[[#This Row],[Q18: Gender]],Factor!$W$1:$X$23,2,0)</f>
        <v>2.1840056363422229</v>
      </c>
      <c r="AN557">
        <f>VLOOKUP(Table1[[#This Row],[Taluka]]&amp;Table1[[#This Row],[Caste]]&amp;Table1[[#This Row],[Q18: Gender]],Factor!$AK$4:$AL$93,2,0)</f>
        <v>1.1182714552164577</v>
      </c>
      <c r="AO557">
        <f t="shared" si="88"/>
        <v>-1</v>
      </c>
      <c r="AP557">
        <f t="shared" si="89"/>
        <v>-1</v>
      </c>
      <c r="AQ557">
        <f t="shared" si="90"/>
        <v>-1</v>
      </c>
      <c r="AR557">
        <f t="shared" si="91"/>
        <v>-1</v>
      </c>
      <c r="AS557">
        <f t="shared" si="92"/>
        <v>-1</v>
      </c>
      <c r="AT557">
        <f t="shared" si="93"/>
        <v>-1</v>
      </c>
      <c r="AU557">
        <f t="shared" si="94"/>
        <v>-5.5</v>
      </c>
      <c r="AV557">
        <f>SUM(Table1[[#This Row],[Satis]:[29]])</f>
        <v>-6</v>
      </c>
      <c r="AW557">
        <f t="shared" si="95"/>
        <v>-5</v>
      </c>
      <c r="AX557">
        <f t="shared" si="96"/>
        <v>-4</v>
      </c>
      <c r="AY557">
        <f t="shared" si="97"/>
        <v>-3</v>
      </c>
      <c r="AZ557" t="str">
        <f t="shared" si="98"/>
        <v>TDP HardCore</v>
      </c>
    </row>
    <row r="558" spans="1:52" x14ac:dyDescent="0.3">
      <c r="A558" t="s">
        <v>3239</v>
      </c>
      <c r="B558" s="94">
        <v>46046</v>
      </c>
      <c r="C558" t="s">
        <v>3240</v>
      </c>
      <c r="D558" t="s">
        <v>3241</v>
      </c>
      <c r="E558" t="s">
        <v>3242</v>
      </c>
      <c r="F558" t="s">
        <v>240</v>
      </c>
      <c r="G558" t="s">
        <v>39</v>
      </c>
      <c r="H558" t="s">
        <v>3243</v>
      </c>
      <c r="I558" t="s">
        <v>36</v>
      </c>
      <c r="J558" t="s">
        <v>37</v>
      </c>
      <c r="K558" t="s">
        <v>38</v>
      </c>
      <c r="L558" t="s">
        <v>82</v>
      </c>
      <c r="M558" t="s">
        <v>51</v>
      </c>
      <c r="N558" t="s">
        <v>52</v>
      </c>
      <c r="O558" t="s">
        <v>3244</v>
      </c>
      <c r="P558">
        <v>8341794634</v>
      </c>
      <c r="Q558" t="s">
        <v>445</v>
      </c>
      <c r="R558" t="s">
        <v>139</v>
      </c>
      <c r="S558" t="s">
        <v>43</v>
      </c>
      <c r="T558" t="s">
        <v>43</v>
      </c>
      <c r="U558" t="s">
        <v>44</v>
      </c>
      <c r="V558" t="s">
        <v>45</v>
      </c>
      <c r="W558" t="s">
        <v>5055</v>
      </c>
      <c r="X558" t="s">
        <v>45</v>
      </c>
      <c r="Y558" t="s">
        <v>46</v>
      </c>
      <c r="Z558" t="s">
        <v>47</v>
      </c>
      <c r="AA558" t="s">
        <v>48</v>
      </c>
      <c r="AB558" t="s">
        <v>49</v>
      </c>
      <c r="AC558" t="s">
        <v>49</v>
      </c>
      <c r="AD558" t="s">
        <v>481</v>
      </c>
      <c r="AE558" t="s">
        <v>185</v>
      </c>
      <c r="AF558">
        <v>0</v>
      </c>
      <c r="AG558" t="s">
        <v>196</v>
      </c>
      <c r="AH558" s="93">
        <f>VLOOKUP(Table1[[#This Row],[Caste]],Factor!$H$1:$K$13,4,0)</f>
        <v>1.1705128247062893</v>
      </c>
      <c r="AI55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58">
        <f>Table1[[#This Row],[Factor_1]]*Table1[[#This Row],[2024 Factor]]</f>
        <v>2.3577066232182737</v>
      </c>
      <c r="AK558">
        <f>VLOOKUP(Table1[[#This Row],[Q18: Gender]],Factor!$A$33:$E$35,5,0)</f>
        <v>2.1645021645021645</v>
      </c>
      <c r="AL558">
        <f>VLOOKUP(Table1[[#This Row],[Taluka]],Factor!$A$42:$G$46,7,0)</f>
        <v>0.75433779645928134</v>
      </c>
      <c r="AM558">
        <f>VLOOKUP(Table1[[#This Row],[Caste]]&amp;Table1[[#This Row],[Q18: Gender]],Factor!$W$1:$X$23,2,0)</f>
        <v>2.1840056363422229</v>
      </c>
      <c r="AN558">
        <f>VLOOKUP(Table1[[#This Row],[Taluka]]&amp;Table1[[#This Row],[Caste]]&amp;Table1[[#This Row],[Q18: Gender]],Factor!$AK$4:$AL$93,2,0)</f>
        <v>1.1182714552164577</v>
      </c>
      <c r="AO558">
        <f t="shared" si="88"/>
        <v>-1</v>
      </c>
      <c r="AP558">
        <f t="shared" si="89"/>
        <v>-1</v>
      </c>
      <c r="AQ558">
        <f t="shared" si="90"/>
        <v>-1</v>
      </c>
      <c r="AR558">
        <f t="shared" si="91"/>
        <v>-1</v>
      </c>
      <c r="AS558">
        <f t="shared" si="92"/>
        <v>-1</v>
      </c>
      <c r="AT558">
        <f t="shared" si="93"/>
        <v>-1</v>
      </c>
      <c r="AU558">
        <f t="shared" si="94"/>
        <v>-5.5</v>
      </c>
      <c r="AV558">
        <f>SUM(Table1[[#This Row],[Satis]:[29]])</f>
        <v>-6</v>
      </c>
      <c r="AW558">
        <f t="shared" si="95"/>
        <v>-5</v>
      </c>
      <c r="AX558">
        <f t="shared" si="96"/>
        <v>-4</v>
      </c>
      <c r="AY558">
        <f t="shared" si="97"/>
        <v>-3</v>
      </c>
      <c r="AZ558" t="str">
        <f t="shared" si="98"/>
        <v>TDP HardCore</v>
      </c>
    </row>
    <row r="559" spans="1:52" x14ac:dyDescent="0.3">
      <c r="A559" t="s">
        <v>3626</v>
      </c>
      <c r="B559" s="94">
        <v>46046</v>
      </c>
      <c r="C559" t="s">
        <v>3627</v>
      </c>
      <c r="D559" t="s">
        <v>3628</v>
      </c>
      <c r="E559" t="s">
        <v>3508</v>
      </c>
      <c r="F559" t="s">
        <v>935</v>
      </c>
      <c r="G559" t="s">
        <v>39</v>
      </c>
      <c r="H559" t="s">
        <v>3629</v>
      </c>
      <c r="I559" t="s">
        <v>59</v>
      </c>
      <c r="J559" t="s">
        <v>203</v>
      </c>
      <c r="K559" t="s">
        <v>208</v>
      </c>
      <c r="L559" t="s">
        <v>50</v>
      </c>
      <c r="M559" t="s">
        <v>51</v>
      </c>
      <c r="N559" t="s">
        <v>52</v>
      </c>
      <c r="O559" t="s">
        <v>3630</v>
      </c>
      <c r="P559">
        <v>9849177306</v>
      </c>
      <c r="Q559" t="s">
        <v>54</v>
      </c>
      <c r="R559" t="s">
        <v>132</v>
      </c>
      <c r="S559" t="s">
        <v>43</v>
      </c>
      <c r="T559" t="s">
        <v>43</v>
      </c>
      <c r="U559" t="s">
        <v>90</v>
      </c>
      <c r="V559" t="s">
        <v>91</v>
      </c>
      <c r="W559" t="s">
        <v>5078</v>
      </c>
      <c r="X559" t="s">
        <v>45</v>
      </c>
      <c r="Y559" t="s">
        <v>46</v>
      </c>
      <c r="Z559" t="s">
        <v>47</v>
      </c>
      <c r="AA559" t="s">
        <v>48</v>
      </c>
      <c r="AB559" t="s">
        <v>49</v>
      </c>
      <c r="AC559" t="s">
        <v>49</v>
      </c>
      <c r="AD559" t="s">
        <v>481</v>
      </c>
      <c r="AE559" t="s">
        <v>185</v>
      </c>
      <c r="AF559">
        <v>0</v>
      </c>
      <c r="AG559" t="s">
        <v>196</v>
      </c>
      <c r="AH559" s="93">
        <f>VLOOKUP(Table1[[#This Row],[Caste]],Factor!$H$1:$K$13,4,0)</f>
        <v>1.1461625511156397</v>
      </c>
      <c r="AI55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59">
        <f>Table1[[#This Row],[Factor_1]]*Table1[[#This Row],[2024 Factor]]</f>
        <v>0.77721139583220644</v>
      </c>
      <c r="AK559">
        <f>VLOOKUP(Table1[[#This Row],[Q18: Gender]],Factor!$A$33:$E$35,5,0)</f>
        <v>0.85034013605442171</v>
      </c>
      <c r="AL559">
        <f>VLOOKUP(Table1[[#This Row],[Taluka]],Factor!$A$42:$G$46,7,0)</f>
        <v>1.9264642089343564</v>
      </c>
      <c r="AM559">
        <f>VLOOKUP(Table1[[#This Row],[Caste]]&amp;Table1[[#This Row],[Q18: Gender]],Factor!$W$1:$X$23,2,0)</f>
        <v>0.71995135120329123</v>
      </c>
      <c r="AN559">
        <f>VLOOKUP(Table1[[#This Row],[Taluka]]&amp;Table1[[#This Row],[Caste]]&amp;Table1[[#This Row],[Q18: Gender]],Factor!$AK$4:$AL$93,2,0)</f>
        <v>0.70534647283248642</v>
      </c>
      <c r="AO559">
        <f t="shared" si="88"/>
        <v>-1</v>
      </c>
      <c r="AP559">
        <f t="shared" si="89"/>
        <v>1</v>
      </c>
      <c r="AQ559">
        <f t="shared" si="90"/>
        <v>1</v>
      </c>
      <c r="AR559">
        <f t="shared" si="91"/>
        <v>-1</v>
      </c>
      <c r="AS559">
        <f t="shared" si="92"/>
        <v>-1</v>
      </c>
      <c r="AT559">
        <f t="shared" si="93"/>
        <v>-1</v>
      </c>
      <c r="AU559">
        <f t="shared" si="94"/>
        <v>-1.5</v>
      </c>
      <c r="AV559">
        <f>SUM(Table1[[#This Row],[Satis]:[29]])</f>
        <v>-2</v>
      </c>
      <c r="AW559">
        <f t="shared" si="95"/>
        <v>-3</v>
      </c>
      <c r="AX559">
        <f t="shared" si="96"/>
        <v>-2</v>
      </c>
      <c r="AY559">
        <f t="shared" si="97"/>
        <v>-3</v>
      </c>
      <c r="AZ559" t="str">
        <f t="shared" si="98"/>
        <v>Neutral TDP</v>
      </c>
    </row>
    <row r="560" spans="1:52" x14ac:dyDescent="0.3">
      <c r="A560" t="s">
        <v>3449</v>
      </c>
      <c r="B560" s="94">
        <v>46046</v>
      </c>
      <c r="C560" t="s">
        <v>3450</v>
      </c>
      <c r="D560" t="s">
        <v>3451</v>
      </c>
      <c r="E560" t="s">
        <v>3452</v>
      </c>
      <c r="F560" t="s">
        <v>69</v>
      </c>
      <c r="G560" t="s">
        <v>39</v>
      </c>
      <c r="H560" t="s">
        <v>3453</v>
      </c>
      <c r="I560" t="s">
        <v>70</v>
      </c>
      <c r="J560" t="s">
        <v>203</v>
      </c>
      <c r="K560" t="s">
        <v>203</v>
      </c>
      <c r="L560" t="s">
        <v>75</v>
      </c>
      <c r="M560" t="s">
        <v>51</v>
      </c>
      <c r="N560" t="s">
        <v>63</v>
      </c>
      <c r="O560" t="s">
        <v>3454</v>
      </c>
      <c r="P560">
        <v>9999999999</v>
      </c>
      <c r="Q560" t="s">
        <v>54</v>
      </c>
      <c r="R560" t="s">
        <v>132</v>
      </c>
      <c r="S560" t="s">
        <v>89</v>
      </c>
      <c r="T560" t="s">
        <v>89</v>
      </c>
      <c r="U560" t="s">
        <v>44</v>
      </c>
      <c r="V560" t="s">
        <v>91</v>
      </c>
      <c r="W560" t="s">
        <v>5103</v>
      </c>
      <c r="X560" t="s">
        <v>45</v>
      </c>
      <c r="Y560" t="s">
        <v>46</v>
      </c>
      <c r="Z560" t="s">
        <v>47</v>
      </c>
      <c r="AA560" t="s">
        <v>92</v>
      </c>
      <c r="AB560" t="s">
        <v>93</v>
      </c>
      <c r="AC560" t="s">
        <v>94</v>
      </c>
      <c r="AD560" t="s">
        <v>481</v>
      </c>
      <c r="AE560" t="s">
        <v>185</v>
      </c>
      <c r="AF560" t="s">
        <v>4064</v>
      </c>
      <c r="AG560" t="s">
        <v>196</v>
      </c>
      <c r="AH560" s="93">
        <f>VLOOKUP(Table1[[#This Row],[Caste]],Factor!$H$1:$K$13,4,0)</f>
        <v>1.3836274505214585</v>
      </c>
      <c r="AI560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560">
        <f>Table1[[#This Row],[Factor_1]]*Table1[[#This Row],[2024 Factor]]</f>
        <v>1.9482662206881376</v>
      </c>
      <c r="AK560">
        <f>VLOOKUP(Table1[[#This Row],[Q18: Gender]],Factor!$A$33:$E$35,5,0)</f>
        <v>0.85034013605442171</v>
      </c>
      <c r="AL560">
        <f>VLOOKUP(Table1[[#This Row],[Taluka]],Factor!$A$42:$G$46,7,0)</f>
        <v>1.9264642089343564</v>
      </c>
      <c r="AM560">
        <f>VLOOKUP(Table1[[#This Row],[Caste]]&amp;Table1[[#This Row],[Q18: Gender]],Factor!$W$1:$X$23,2,0)</f>
        <v>1.0790228998469584</v>
      </c>
      <c r="AN560">
        <f>VLOOKUP(Table1[[#This Row],[Taluka]]&amp;Table1[[#This Row],[Caste]]&amp;Table1[[#This Row],[Q18: Gender]],Factor!$AK$4:$AL$93,2,0)</f>
        <v>2.1355167697651956</v>
      </c>
      <c r="AO560">
        <f t="shared" si="88"/>
        <v>1</v>
      </c>
      <c r="AP560">
        <f t="shared" si="89"/>
        <v>-1</v>
      </c>
      <c r="AQ560">
        <f t="shared" si="90"/>
        <v>1</v>
      </c>
      <c r="AR560">
        <f t="shared" si="91"/>
        <v>-1</v>
      </c>
      <c r="AS560">
        <f t="shared" si="92"/>
        <v>1</v>
      </c>
      <c r="AT560">
        <f t="shared" si="93"/>
        <v>-1</v>
      </c>
      <c r="AU560">
        <f t="shared" si="94"/>
        <v>-0.5</v>
      </c>
      <c r="AV560">
        <f>SUM(Table1[[#This Row],[Satis]:[29]])</f>
        <v>0</v>
      </c>
      <c r="AW560">
        <f t="shared" si="95"/>
        <v>1</v>
      </c>
      <c r="AX560">
        <f t="shared" si="96"/>
        <v>0</v>
      </c>
      <c r="AY560" t="str">
        <f t="shared" si="97"/>
        <v>ND</v>
      </c>
      <c r="AZ560" t="str">
        <f t="shared" si="98"/>
        <v>ND</v>
      </c>
    </row>
    <row r="561" spans="1:52" x14ac:dyDescent="0.3">
      <c r="A561" t="s">
        <v>3253</v>
      </c>
      <c r="B561" s="94">
        <v>46046</v>
      </c>
      <c r="C561" t="s">
        <v>3254</v>
      </c>
      <c r="D561" t="s">
        <v>3255</v>
      </c>
      <c r="E561" t="s">
        <v>3256</v>
      </c>
      <c r="F561" t="s">
        <v>69</v>
      </c>
      <c r="G561" t="s">
        <v>39</v>
      </c>
      <c r="H561" t="s">
        <v>3257</v>
      </c>
      <c r="I561" t="s">
        <v>36</v>
      </c>
      <c r="J561" t="s">
        <v>203</v>
      </c>
      <c r="K561" t="s">
        <v>203</v>
      </c>
      <c r="L561" t="s">
        <v>50</v>
      </c>
      <c r="M561" t="s">
        <v>51</v>
      </c>
      <c r="N561" t="s">
        <v>107</v>
      </c>
      <c r="O561" t="s">
        <v>406</v>
      </c>
      <c r="P561">
        <v>9618103897</v>
      </c>
      <c r="Q561" t="s">
        <v>54</v>
      </c>
      <c r="R561" t="s">
        <v>2116</v>
      </c>
      <c r="S561" t="s">
        <v>43</v>
      </c>
      <c r="T561" t="s">
        <v>43</v>
      </c>
      <c r="U561" t="s">
        <v>44</v>
      </c>
      <c r="V561" t="s">
        <v>45</v>
      </c>
      <c r="W561" t="s">
        <v>5046</v>
      </c>
      <c r="X561" t="s">
        <v>45</v>
      </c>
      <c r="Y561" t="s">
        <v>46</v>
      </c>
      <c r="Z561" t="s">
        <v>47</v>
      </c>
      <c r="AA561" t="s">
        <v>48</v>
      </c>
      <c r="AB561" t="s">
        <v>49</v>
      </c>
      <c r="AC561" t="s">
        <v>49</v>
      </c>
      <c r="AD561" t="s">
        <v>494</v>
      </c>
      <c r="AE561" t="s">
        <v>189</v>
      </c>
      <c r="AF561" t="s">
        <v>4076</v>
      </c>
      <c r="AG561" t="s">
        <v>196</v>
      </c>
      <c r="AH561" s="93">
        <f>VLOOKUP(Table1[[#This Row],[Caste]],Factor!$H$1:$K$13,4,0)</f>
        <v>1.1705128247062893</v>
      </c>
      <c r="AI56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61">
        <f>Table1[[#This Row],[Factor_1]]*Table1[[#This Row],[2024 Factor]]</f>
        <v>0.86308903171383233</v>
      </c>
      <c r="AK561">
        <f>VLOOKUP(Table1[[#This Row],[Q18: Gender]],Factor!$A$33:$E$35,5,0)</f>
        <v>0.85034013605442171</v>
      </c>
      <c r="AL561">
        <f>VLOOKUP(Table1[[#This Row],[Taluka]],Factor!$A$42:$G$46,7,0)</f>
        <v>1.9264642089343564</v>
      </c>
      <c r="AM561">
        <f>VLOOKUP(Table1[[#This Row],[Caste]]&amp;Table1[[#This Row],[Q18: Gender]],Factor!$W$1:$X$23,2,0)</f>
        <v>0.79950206330384943</v>
      </c>
      <c r="AN561">
        <f>VLOOKUP(Table1[[#This Row],[Taluka]]&amp;Table1[[#This Row],[Caste]]&amp;Table1[[#This Row],[Q18: Gender]],Factor!$AK$4:$AL$93,2,0)</f>
        <v>1.1572126985895925</v>
      </c>
      <c r="AO561">
        <f t="shared" si="88"/>
        <v>-1</v>
      </c>
      <c r="AP561">
        <f t="shared" si="89"/>
        <v>-1</v>
      </c>
      <c r="AQ561">
        <f t="shared" si="90"/>
        <v>-1</v>
      </c>
      <c r="AR561">
        <f t="shared" si="91"/>
        <v>-1</v>
      </c>
      <c r="AS561">
        <f t="shared" si="92"/>
        <v>-1</v>
      </c>
      <c r="AT561">
        <f t="shared" si="93"/>
        <v>-1</v>
      </c>
      <c r="AU561">
        <f t="shared" si="94"/>
        <v>-5.5</v>
      </c>
      <c r="AV561">
        <f>SUM(Table1[[#This Row],[Satis]:[29]])</f>
        <v>-6</v>
      </c>
      <c r="AW561">
        <f t="shared" si="95"/>
        <v>-5</v>
      </c>
      <c r="AX561">
        <f t="shared" si="96"/>
        <v>-4</v>
      </c>
      <c r="AY561">
        <f t="shared" si="97"/>
        <v>-3</v>
      </c>
      <c r="AZ561" t="str">
        <f t="shared" si="98"/>
        <v>TDP HardCore</v>
      </c>
    </row>
    <row r="562" spans="1:52" x14ac:dyDescent="0.3">
      <c r="A562" t="s">
        <v>3083</v>
      </c>
      <c r="B562" s="94">
        <v>46046</v>
      </c>
      <c r="C562" t="s">
        <v>3084</v>
      </c>
      <c r="D562" t="s">
        <v>3085</v>
      </c>
      <c r="E562" t="s">
        <v>3086</v>
      </c>
      <c r="F562" t="s">
        <v>240</v>
      </c>
      <c r="G562" t="s">
        <v>39</v>
      </c>
      <c r="H562" t="s">
        <v>3087</v>
      </c>
      <c r="I562" t="s">
        <v>36</v>
      </c>
      <c r="J562" t="s">
        <v>37</v>
      </c>
      <c r="K562" t="s">
        <v>38</v>
      </c>
      <c r="L562" t="s">
        <v>161</v>
      </c>
      <c r="M562" t="s">
        <v>51</v>
      </c>
      <c r="N562" t="s">
        <v>107</v>
      </c>
      <c r="O562" t="s">
        <v>3088</v>
      </c>
      <c r="P562">
        <v>9491314584</v>
      </c>
      <c r="Q562" t="s">
        <v>54</v>
      </c>
      <c r="R562" t="s">
        <v>132</v>
      </c>
      <c r="S562" t="s">
        <v>43</v>
      </c>
      <c r="T562" t="s">
        <v>43</v>
      </c>
      <c r="U562" t="s">
        <v>44</v>
      </c>
      <c r="V562" t="s">
        <v>45</v>
      </c>
      <c r="W562" t="s">
        <v>5058</v>
      </c>
      <c r="X562" t="s">
        <v>45</v>
      </c>
      <c r="Y562" t="s">
        <v>46</v>
      </c>
      <c r="Z562" t="s">
        <v>47</v>
      </c>
      <c r="AA562" t="s">
        <v>48</v>
      </c>
      <c r="AB562" t="s">
        <v>49</v>
      </c>
      <c r="AC562" t="s">
        <v>49</v>
      </c>
      <c r="AD562" t="s">
        <v>481</v>
      </c>
      <c r="AE562" t="s">
        <v>185</v>
      </c>
      <c r="AF562">
        <v>0</v>
      </c>
      <c r="AG562" t="s">
        <v>196</v>
      </c>
      <c r="AH562" s="93">
        <f>VLOOKUP(Table1[[#This Row],[Caste]],Factor!$H$1:$K$13,4,0)</f>
        <v>1.1705128247062893</v>
      </c>
      <c r="AI56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62">
        <f>Table1[[#This Row],[Factor_1]]*Table1[[#This Row],[2024 Factor]]</f>
        <v>0.86308903171383233</v>
      </c>
      <c r="AK562">
        <f>VLOOKUP(Table1[[#This Row],[Q18: Gender]],Factor!$A$33:$E$35,5,0)</f>
        <v>0.85034013605442171</v>
      </c>
      <c r="AL562">
        <f>VLOOKUP(Table1[[#This Row],[Taluka]],Factor!$A$42:$G$46,7,0)</f>
        <v>0.75433779645928134</v>
      </c>
      <c r="AM562">
        <f>VLOOKUP(Table1[[#This Row],[Caste]]&amp;Table1[[#This Row],[Q18: Gender]],Factor!$W$1:$X$23,2,0)</f>
        <v>0.79950206330384943</v>
      </c>
      <c r="AN562">
        <f>VLOOKUP(Table1[[#This Row],[Taluka]]&amp;Table1[[#This Row],[Caste]]&amp;Table1[[#This Row],[Q18: Gender]],Factor!$AK$4:$AL$93,2,0)</f>
        <v>0.40257772387792479</v>
      </c>
      <c r="AO562">
        <f t="shared" si="88"/>
        <v>-1</v>
      </c>
      <c r="AP562">
        <f t="shared" si="89"/>
        <v>-1</v>
      </c>
      <c r="AQ562">
        <f t="shared" si="90"/>
        <v>-1</v>
      </c>
      <c r="AR562">
        <f t="shared" si="91"/>
        <v>-1</v>
      </c>
      <c r="AS562">
        <f t="shared" si="92"/>
        <v>-1</v>
      </c>
      <c r="AT562">
        <f t="shared" si="93"/>
        <v>-1</v>
      </c>
      <c r="AU562">
        <f t="shared" si="94"/>
        <v>-5.5</v>
      </c>
      <c r="AV562">
        <f>SUM(Table1[[#This Row],[Satis]:[29]])</f>
        <v>-6</v>
      </c>
      <c r="AW562">
        <f t="shared" si="95"/>
        <v>-5</v>
      </c>
      <c r="AX562">
        <f t="shared" si="96"/>
        <v>-4</v>
      </c>
      <c r="AY562">
        <f t="shared" si="97"/>
        <v>-3</v>
      </c>
      <c r="AZ562" t="str">
        <f t="shared" si="98"/>
        <v>TDP HardCore</v>
      </c>
    </row>
    <row r="563" spans="1:52" x14ac:dyDescent="0.3">
      <c r="A563" t="s">
        <v>3517</v>
      </c>
      <c r="B563" s="94">
        <v>46046</v>
      </c>
      <c r="C563" t="s">
        <v>3518</v>
      </c>
      <c r="D563" t="s">
        <v>3519</v>
      </c>
      <c r="E563" t="s">
        <v>3242</v>
      </c>
      <c r="F563" t="s">
        <v>240</v>
      </c>
      <c r="G563" t="s">
        <v>39</v>
      </c>
      <c r="H563" t="s">
        <v>3520</v>
      </c>
      <c r="I563" t="s">
        <v>36</v>
      </c>
      <c r="J563" t="s">
        <v>37</v>
      </c>
      <c r="K563" t="s">
        <v>38</v>
      </c>
      <c r="L563" t="s">
        <v>161</v>
      </c>
      <c r="M563" t="s">
        <v>51</v>
      </c>
      <c r="N563" t="s">
        <v>162</v>
      </c>
      <c r="O563" t="s">
        <v>3521</v>
      </c>
      <c r="P563">
        <v>6309849763</v>
      </c>
      <c r="Q563" t="s">
        <v>54</v>
      </c>
      <c r="R563" t="s">
        <v>132</v>
      </c>
      <c r="S563" t="s">
        <v>43</v>
      </c>
      <c r="T563" t="s">
        <v>43</v>
      </c>
      <c r="U563" t="s">
        <v>44</v>
      </c>
      <c r="V563" t="s">
        <v>45</v>
      </c>
      <c r="W563" t="s">
        <v>5055</v>
      </c>
      <c r="X563" t="s">
        <v>45</v>
      </c>
      <c r="Y563" t="s">
        <v>46</v>
      </c>
      <c r="Z563" t="s">
        <v>47</v>
      </c>
      <c r="AA563" t="s">
        <v>48</v>
      </c>
      <c r="AB563" t="s">
        <v>49</v>
      </c>
      <c r="AC563" t="s">
        <v>49</v>
      </c>
      <c r="AD563" t="s">
        <v>481</v>
      </c>
      <c r="AE563" t="s">
        <v>185</v>
      </c>
      <c r="AF563">
        <v>0</v>
      </c>
      <c r="AG563" t="s">
        <v>196</v>
      </c>
      <c r="AH563" s="93">
        <f>VLOOKUP(Table1[[#This Row],[Caste]],Factor!$H$1:$K$13,4,0)</f>
        <v>1.1705128247062893</v>
      </c>
      <c r="AI56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63">
        <f>Table1[[#This Row],[Factor_1]]*Table1[[#This Row],[2024 Factor]]</f>
        <v>0.86308903171383233</v>
      </c>
      <c r="AK563">
        <f>VLOOKUP(Table1[[#This Row],[Q18: Gender]],Factor!$A$33:$E$35,5,0)</f>
        <v>0.85034013605442171</v>
      </c>
      <c r="AL563">
        <f>VLOOKUP(Table1[[#This Row],[Taluka]],Factor!$A$42:$G$46,7,0)</f>
        <v>0.75433779645928134</v>
      </c>
      <c r="AM563">
        <f>VLOOKUP(Table1[[#This Row],[Caste]]&amp;Table1[[#This Row],[Q18: Gender]],Factor!$W$1:$X$23,2,0)</f>
        <v>0.79950206330384943</v>
      </c>
      <c r="AN563">
        <f>VLOOKUP(Table1[[#This Row],[Taluka]]&amp;Table1[[#This Row],[Caste]]&amp;Table1[[#This Row],[Q18: Gender]],Factor!$AK$4:$AL$93,2,0)</f>
        <v>0.40257772387792479</v>
      </c>
      <c r="AO563">
        <f t="shared" si="88"/>
        <v>-1</v>
      </c>
      <c r="AP563">
        <f t="shared" si="89"/>
        <v>-1</v>
      </c>
      <c r="AQ563">
        <f t="shared" si="90"/>
        <v>-1</v>
      </c>
      <c r="AR563">
        <f t="shared" si="91"/>
        <v>-1</v>
      </c>
      <c r="AS563">
        <f t="shared" si="92"/>
        <v>-1</v>
      </c>
      <c r="AT563">
        <f t="shared" si="93"/>
        <v>-1</v>
      </c>
      <c r="AU563">
        <f t="shared" si="94"/>
        <v>-5.5</v>
      </c>
      <c r="AV563">
        <f>SUM(Table1[[#This Row],[Satis]:[29]])</f>
        <v>-6</v>
      </c>
      <c r="AW563">
        <f t="shared" si="95"/>
        <v>-5</v>
      </c>
      <c r="AX563">
        <f t="shared" si="96"/>
        <v>-4</v>
      </c>
      <c r="AY563">
        <f t="shared" si="97"/>
        <v>-3</v>
      </c>
      <c r="AZ563" t="str">
        <f t="shared" si="98"/>
        <v>TDP HardCore</v>
      </c>
    </row>
    <row r="564" spans="1:52" x14ac:dyDescent="0.3">
      <c r="A564" t="s">
        <v>3269</v>
      </c>
      <c r="B564" s="94">
        <v>46046</v>
      </c>
      <c r="C564" t="s">
        <v>3270</v>
      </c>
      <c r="D564" t="s">
        <v>3271</v>
      </c>
      <c r="E564" t="s">
        <v>1197</v>
      </c>
      <c r="F564" t="s">
        <v>240</v>
      </c>
      <c r="G564" t="s">
        <v>39</v>
      </c>
      <c r="H564" t="s">
        <v>3272</v>
      </c>
      <c r="I564" t="s">
        <v>227</v>
      </c>
      <c r="J564" t="s">
        <v>37</v>
      </c>
      <c r="K564" t="s">
        <v>38</v>
      </c>
      <c r="L564" t="s">
        <v>62</v>
      </c>
      <c r="M564" t="s">
        <v>51</v>
      </c>
      <c r="N564" t="s">
        <v>52</v>
      </c>
      <c r="O564" t="s">
        <v>3273</v>
      </c>
      <c r="P564">
        <v>9640124426</v>
      </c>
      <c r="Q564" t="s">
        <v>54</v>
      </c>
      <c r="R564" t="s">
        <v>2116</v>
      </c>
      <c r="S564" t="s">
        <v>88</v>
      </c>
      <c r="T564" t="s">
        <v>89</v>
      </c>
      <c r="U564" t="s">
        <v>90</v>
      </c>
      <c r="V564" t="s">
        <v>91</v>
      </c>
      <c r="W564" t="s">
        <v>5067</v>
      </c>
      <c r="X564" t="s">
        <v>91</v>
      </c>
      <c r="Y564" t="s">
        <v>46</v>
      </c>
      <c r="Z564" t="s">
        <v>242</v>
      </c>
      <c r="AA564" t="s">
        <v>242</v>
      </c>
      <c r="AB564" t="s">
        <v>49</v>
      </c>
      <c r="AC564" t="s">
        <v>49</v>
      </c>
      <c r="AD564" t="s">
        <v>481</v>
      </c>
      <c r="AE564" t="s">
        <v>189</v>
      </c>
      <c r="AF564" t="s">
        <v>4080</v>
      </c>
      <c r="AG564" t="s">
        <v>196</v>
      </c>
      <c r="AH564" s="93">
        <f>VLOOKUP(Table1[[#This Row],[Caste]],Factor!$H$1:$K$13,4,0)</f>
        <v>1.2612194085121222</v>
      </c>
      <c r="AI564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564">
        <f>Table1[[#This Row],[Factor_1]]*Table1[[#This Row],[2024 Factor]]</f>
        <v>0.5639555161423867</v>
      </c>
      <c r="AK564">
        <f>VLOOKUP(Table1[[#This Row],[Q18: Gender]],Factor!$A$33:$E$35,5,0)</f>
        <v>0.85034013605442171</v>
      </c>
      <c r="AL564">
        <f>VLOOKUP(Table1[[#This Row],[Taluka]],Factor!$A$42:$G$46,7,0)</f>
        <v>0.75433779645928134</v>
      </c>
      <c r="AM564">
        <f>VLOOKUP(Table1[[#This Row],[Caste]]&amp;Table1[[#This Row],[Q18: Gender]],Factor!$W$1:$X$23,2,0)</f>
        <v>0.85249089649430487</v>
      </c>
      <c r="AN564">
        <f>VLOOKUP(Table1[[#This Row],[Taluka]]&amp;Table1[[#This Row],[Caste]]&amp;Table1[[#This Row],[Q18: Gender]],Factor!$AK$4:$AL$93,2,0)</f>
        <v>1.2935274689263982</v>
      </c>
      <c r="AO564">
        <f t="shared" si="88"/>
        <v>1</v>
      </c>
      <c r="AP564">
        <f t="shared" si="89"/>
        <v>1</v>
      </c>
      <c r="AQ564">
        <f t="shared" si="90"/>
        <v>1</v>
      </c>
      <c r="AR564">
        <f t="shared" si="91"/>
        <v>1</v>
      </c>
      <c r="AS564">
        <f t="shared" si="92"/>
        <v>-1</v>
      </c>
      <c r="AT564">
        <f t="shared" si="93"/>
        <v>-1</v>
      </c>
      <c r="AU564">
        <f t="shared" si="94"/>
        <v>2.5</v>
      </c>
      <c r="AV564">
        <f>SUM(Table1[[#This Row],[Satis]:[29]])</f>
        <v>2</v>
      </c>
      <c r="AW564">
        <f t="shared" si="95"/>
        <v>1</v>
      </c>
      <c r="AX564">
        <f t="shared" si="96"/>
        <v>0</v>
      </c>
      <c r="AY564">
        <f t="shared" si="97"/>
        <v>-2</v>
      </c>
      <c r="AZ564" t="str">
        <f t="shared" si="98"/>
        <v>Neutral TDP</v>
      </c>
    </row>
    <row r="565" spans="1:52" x14ac:dyDescent="0.3">
      <c r="A565" t="s">
        <v>3417</v>
      </c>
      <c r="B565" s="94">
        <v>46046</v>
      </c>
      <c r="C565" t="s">
        <v>3418</v>
      </c>
      <c r="D565" t="s">
        <v>3419</v>
      </c>
      <c r="E565" t="s">
        <v>3119</v>
      </c>
      <c r="F565" t="s">
        <v>935</v>
      </c>
      <c r="G565" t="s">
        <v>39</v>
      </c>
      <c r="H565" t="s">
        <v>3420</v>
      </c>
      <c r="I565" t="s">
        <v>228</v>
      </c>
      <c r="J565" t="s">
        <v>203</v>
      </c>
      <c r="K565" t="s">
        <v>208</v>
      </c>
      <c r="L565" t="s">
        <v>161</v>
      </c>
      <c r="M565" t="s">
        <v>51</v>
      </c>
      <c r="N565" t="s">
        <v>63</v>
      </c>
      <c r="O565" t="s">
        <v>3421</v>
      </c>
      <c r="P565">
        <v>9390804112</v>
      </c>
      <c r="Q565" t="s">
        <v>54</v>
      </c>
      <c r="R565" t="s">
        <v>61</v>
      </c>
      <c r="S565" t="s">
        <v>88</v>
      </c>
      <c r="T565" t="s">
        <v>43</v>
      </c>
      <c r="U565" t="s">
        <v>44</v>
      </c>
      <c r="V565" t="s">
        <v>45</v>
      </c>
      <c r="W565" t="s">
        <v>5055</v>
      </c>
      <c r="X565" t="s">
        <v>45</v>
      </c>
      <c r="Y565" t="s">
        <v>46</v>
      </c>
      <c r="Z565" t="s">
        <v>242</v>
      </c>
      <c r="AA565" t="s">
        <v>48</v>
      </c>
      <c r="AB565" t="s">
        <v>49</v>
      </c>
      <c r="AC565" t="s">
        <v>49</v>
      </c>
      <c r="AD565" t="s">
        <v>481</v>
      </c>
      <c r="AE565" t="s">
        <v>185</v>
      </c>
      <c r="AF565">
        <v>0</v>
      </c>
      <c r="AG565" t="s">
        <v>196</v>
      </c>
      <c r="AH565" s="93">
        <f>VLOOKUP(Table1[[#This Row],[Caste]],Factor!$H$1:$K$13,4,0)</f>
        <v>0.80207032429970992</v>
      </c>
      <c r="AI56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65">
        <f>Table1[[#This Row],[Factor_1]]*Table1[[#This Row],[2024 Factor]]</f>
        <v>0.65595572330316032</v>
      </c>
      <c r="AK565">
        <f>VLOOKUP(Table1[[#This Row],[Q18: Gender]],Factor!$A$33:$E$35,5,0)</f>
        <v>0.85034013605442171</v>
      </c>
      <c r="AL565">
        <f>VLOOKUP(Table1[[#This Row],[Taluka]],Factor!$A$42:$G$46,7,0)</f>
        <v>1.9264642089343564</v>
      </c>
      <c r="AM565">
        <f>VLOOKUP(Table1[[#This Row],[Caste]]&amp;Table1[[#This Row],[Q18: Gender]],Factor!$W$1:$X$23,2,0)</f>
        <v>0.60762903356038633</v>
      </c>
      <c r="AN565">
        <f>VLOOKUP(Table1[[#This Row],[Taluka]]&amp;Table1[[#This Row],[Caste]]&amp;Table1[[#This Row],[Q18: Gender]],Factor!$AK$4:$AL$93,2,0)</f>
        <v>2.0730893618557826</v>
      </c>
      <c r="AO565">
        <f t="shared" si="88"/>
        <v>-1</v>
      </c>
      <c r="AP565">
        <f t="shared" si="89"/>
        <v>-1</v>
      </c>
      <c r="AQ565">
        <f t="shared" si="90"/>
        <v>-1</v>
      </c>
      <c r="AR565">
        <f t="shared" si="91"/>
        <v>-1</v>
      </c>
      <c r="AS565">
        <f t="shared" si="92"/>
        <v>-1</v>
      </c>
      <c r="AT565">
        <f t="shared" si="93"/>
        <v>-1</v>
      </c>
      <c r="AU565">
        <f t="shared" si="94"/>
        <v>-5.5</v>
      </c>
      <c r="AV565">
        <f>SUM(Table1[[#This Row],[Satis]:[29]])</f>
        <v>-6</v>
      </c>
      <c r="AW565">
        <f t="shared" si="95"/>
        <v>-5</v>
      </c>
      <c r="AX565">
        <f t="shared" si="96"/>
        <v>-4</v>
      </c>
      <c r="AY565">
        <f t="shared" si="97"/>
        <v>-3</v>
      </c>
      <c r="AZ565" t="str">
        <f t="shared" si="98"/>
        <v>TDP HardCore</v>
      </c>
    </row>
    <row r="566" spans="1:52" x14ac:dyDescent="0.3">
      <c r="A566" t="s">
        <v>3280</v>
      </c>
      <c r="B566" s="94">
        <v>46046</v>
      </c>
      <c r="C566" t="s">
        <v>3281</v>
      </c>
      <c r="D566" t="s">
        <v>3282</v>
      </c>
      <c r="E566" t="s">
        <v>3075</v>
      </c>
      <c r="F566" t="s">
        <v>935</v>
      </c>
      <c r="G566" t="s">
        <v>39</v>
      </c>
      <c r="H566" t="s">
        <v>3283</v>
      </c>
      <c r="I566" t="s">
        <v>59</v>
      </c>
      <c r="J566" t="s">
        <v>203</v>
      </c>
      <c r="K566" t="s">
        <v>208</v>
      </c>
      <c r="L566" t="s">
        <v>451</v>
      </c>
      <c r="M566" t="s">
        <v>51</v>
      </c>
      <c r="N566" t="s">
        <v>63</v>
      </c>
      <c r="O566" t="s">
        <v>3284</v>
      </c>
      <c r="P566">
        <v>9908739109</v>
      </c>
      <c r="Q566" t="s">
        <v>445</v>
      </c>
      <c r="R566" t="s">
        <v>132</v>
      </c>
      <c r="S566" t="s">
        <v>43</v>
      </c>
      <c r="T566" t="s">
        <v>43</v>
      </c>
      <c r="U566" t="s">
        <v>90</v>
      </c>
      <c r="V566" t="s">
        <v>45</v>
      </c>
      <c r="W566" t="s">
        <v>5090</v>
      </c>
      <c r="X566" t="s">
        <v>91</v>
      </c>
      <c r="Y566" t="s">
        <v>46</v>
      </c>
      <c r="Z566" t="s">
        <v>47</v>
      </c>
      <c r="AA566" t="s">
        <v>48</v>
      </c>
      <c r="AB566" t="s">
        <v>49</v>
      </c>
      <c r="AC566" t="s">
        <v>49</v>
      </c>
      <c r="AD566" t="s">
        <v>481</v>
      </c>
      <c r="AE566" t="s">
        <v>185</v>
      </c>
      <c r="AF566" t="s">
        <v>4088</v>
      </c>
      <c r="AG566" t="s">
        <v>196</v>
      </c>
      <c r="AH566" s="93">
        <f>VLOOKUP(Table1[[#This Row],[Caste]],Factor!$H$1:$K$13,4,0)</f>
        <v>1.1461625511156397</v>
      </c>
      <c r="AI56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66">
        <f>Table1[[#This Row],[Factor_1]]*Table1[[#This Row],[2024 Factor]]</f>
        <v>3.0326483876590018</v>
      </c>
      <c r="AK566">
        <f>VLOOKUP(Table1[[#This Row],[Q18: Gender]],Factor!$A$33:$E$35,5,0)</f>
        <v>2.1645021645021645</v>
      </c>
      <c r="AL566">
        <f>VLOOKUP(Table1[[#This Row],[Taluka]],Factor!$A$42:$G$46,7,0)</f>
        <v>1.9264642089343564</v>
      </c>
      <c r="AM566">
        <f>VLOOKUP(Table1[[#This Row],[Caste]]&amp;Table1[[#This Row],[Q18: Gender]],Factor!$W$1:$X$23,2,0)</f>
        <v>2.8092219390089208</v>
      </c>
      <c r="AN566">
        <f>VLOOKUP(Table1[[#This Row],[Taluka]]&amp;Table1[[#This Row],[Caste]]&amp;Table1[[#This Row],[Q18: Gender]],Factor!$AK$4:$AL$93,2,0)</f>
        <v>6.3481182554923778</v>
      </c>
      <c r="AO566">
        <f t="shared" si="88"/>
        <v>-1</v>
      </c>
      <c r="AP566">
        <f t="shared" si="89"/>
        <v>1</v>
      </c>
      <c r="AQ566">
        <f t="shared" si="90"/>
        <v>-1</v>
      </c>
      <c r="AR566">
        <f t="shared" si="91"/>
        <v>1</v>
      </c>
      <c r="AS566">
        <f t="shared" si="92"/>
        <v>-1</v>
      </c>
      <c r="AT566">
        <f t="shared" si="93"/>
        <v>-1</v>
      </c>
      <c r="AU566">
        <f t="shared" si="94"/>
        <v>-1.5</v>
      </c>
      <c r="AV566">
        <f>SUM(Table1[[#This Row],[Satis]:[29]])</f>
        <v>-2</v>
      </c>
      <c r="AW566">
        <f t="shared" si="95"/>
        <v>-3</v>
      </c>
      <c r="AX566">
        <f t="shared" si="96"/>
        <v>-2</v>
      </c>
      <c r="AY566">
        <f t="shared" si="97"/>
        <v>-3</v>
      </c>
      <c r="AZ566" t="str">
        <f t="shared" si="98"/>
        <v>Neutral TDP</v>
      </c>
    </row>
    <row r="567" spans="1:52" x14ac:dyDescent="0.3">
      <c r="A567" t="s">
        <v>3285</v>
      </c>
      <c r="B567" s="94">
        <v>46046</v>
      </c>
      <c r="C567" t="s">
        <v>3286</v>
      </c>
      <c r="D567" t="s">
        <v>3287</v>
      </c>
      <c r="E567" t="s">
        <v>3288</v>
      </c>
      <c r="F567" t="s">
        <v>69</v>
      </c>
      <c r="G567" t="s">
        <v>39</v>
      </c>
      <c r="H567" t="s">
        <v>3289</v>
      </c>
      <c r="I567" t="s">
        <v>59</v>
      </c>
      <c r="J567" t="s">
        <v>203</v>
      </c>
      <c r="K567" t="s">
        <v>203</v>
      </c>
      <c r="L567" t="s">
        <v>50</v>
      </c>
      <c r="M567" t="s">
        <v>51</v>
      </c>
      <c r="N567" t="s">
        <v>52</v>
      </c>
      <c r="O567" t="s">
        <v>3290</v>
      </c>
      <c r="P567">
        <v>9999999999</v>
      </c>
      <c r="Q567" t="s">
        <v>54</v>
      </c>
      <c r="R567" t="s">
        <v>132</v>
      </c>
      <c r="S567" t="s">
        <v>43</v>
      </c>
      <c r="T567" t="s">
        <v>43</v>
      </c>
      <c r="U567" t="s">
        <v>90</v>
      </c>
      <c r="V567" t="s">
        <v>45</v>
      </c>
      <c r="W567" t="s">
        <v>5056</v>
      </c>
      <c r="X567" t="s">
        <v>45</v>
      </c>
      <c r="Y567" t="s">
        <v>46</v>
      </c>
      <c r="Z567" t="s">
        <v>47</v>
      </c>
      <c r="AA567" t="s">
        <v>48</v>
      </c>
      <c r="AB567" t="s">
        <v>49</v>
      </c>
      <c r="AC567" t="s">
        <v>49</v>
      </c>
      <c r="AD567" t="s">
        <v>184</v>
      </c>
      <c r="AE567" t="s">
        <v>189</v>
      </c>
      <c r="AF567" t="s">
        <v>2991</v>
      </c>
      <c r="AG567" t="s">
        <v>196</v>
      </c>
      <c r="AH567" s="93">
        <f>VLOOKUP(Table1[[#This Row],[Caste]],Factor!$H$1:$K$13,4,0)</f>
        <v>1.1461625511156397</v>
      </c>
      <c r="AI56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67">
        <f>Table1[[#This Row],[Factor_1]]*Table1[[#This Row],[2024 Factor]]</f>
        <v>0.77721139583220644</v>
      </c>
      <c r="AK567">
        <f>VLOOKUP(Table1[[#This Row],[Q18: Gender]],Factor!$A$33:$E$35,5,0)</f>
        <v>0.85034013605442171</v>
      </c>
      <c r="AL567">
        <f>VLOOKUP(Table1[[#This Row],[Taluka]],Factor!$A$42:$G$46,7,0)</f>
        <v>1.9264642089343564</v>
      </c>
      <c r="AM567">
        <f>VLOOKUP(Table1[[#This Row],[Caste]]&amp;Table1[[#This Row],[Q18: Gender]],Factor!$W$1:$X$23,2,0)</f>
        <v>0.71995135120329123</v>
      </c>
      <c r="AN567">
        <f>VLOOKUP(Table1[[#This Row],[Taluka]]&amp;Table1[[#This Row],[Caste]]&amp;Table1[[#This Row],[Q18: Gender]],Factor!$AK$4:$AL$93,2,0)</f>
        <v>0.70534647283248642</v>
      </c>
      <c r="AO567">
        <f t="shared" si="88"/>
        <v>-1</v>
      </c>
      <c r="AP567">
        <f t="shared" si="89"/>
        <v>1</v>
      </c>
      <c r="AQ567">
        <f t="shared" si="90"/>
        <v>-1</v>
      </c>
      <c r="AR567">
        <f t="shared" si="91"/>
        <v>-1</v>
      </c>
      <c r="AS567">
        <f t="shared" si="92"/>
        <v>-1</v>
      </c>
      <c r="AT567">
        <f t="shared" si="93"/>
        <v>-1</v>
      </c>
      <c r="AU567">
        <f t="shared" si="94"/>
        <v>-3.5</v>
      </c>
      <c r="AV567">
        <f>SUM(Table1[[#This Row],[Satis]:[29]])</f>
        <v>-4</v>
      </c>
      <c r="AW567">
        <f t="shared" si="95"/>
        <v>-5</v>
      </c>
      <c r="AX567">
        <f t="shared" si="96"/>
        <v>-4</v>
      </c>
      <c r="AY567">
        <f t="shared" si="97"/>
        <v>-3</v>
      </c>
      <c r="AZ567" t="str">
        <f t="shared" si="98"/>
        <v>TDP Sympathiser</v>
      </c>
    </row>
    <row r="568" spans="1:52" x14ac:dyDescent="0.3">
      <c r="A568" t="s">
        <v>3797</v>
      </c>
      <c r="B568" s="94">
        <v>46046</v>
      </c>
      <c r="C568" t="s">
        <v>3798</v>
      </c>
      <c r="D568" t="s">
        <v>3393</v>
      </c>
      <c r="E568" t="s">
        <v>3394</v>
      </c>
      <c r="F568" t="s">
        <v>240</v>
      </c>
      <c r="G568" t="s">
        <v>39</v>
      </c>
      <c r="H568" t="s">
        <v>3799</v>
      </c>
      <c r="I568" t="s">
        <v>36</v>
      </c>
      <c r="J568" t="s">
        <v>37</v>
      </c>
      <c r="K568" t="s">
        <v>38</v>
      </c>
      <c r="L568" t="s">
        <v>161</v>
      </c>
      <c r="M568" t="s">
        <v>51</v>
      </c>
      <c r="N568" t="s">
        <v>107</v>
      </c>
      <c r="O568" t="s">
        <v>3396</v>
      </c>
      <c r="P568">
        <v>7095227390</v>
      </c>
      <c r="Q568" t="s">
        <v>54</v>
      </c>
      <c r="R568" t="s">
        <v>2116</v>
      </c>
      <c r="S568" t="s">
        <v>43</v>
      </c>
      <c r="T568" t="s">
        <v>43</v>
      </c>
      <c r="U568" t="s">
        <v>44</v>
      </c>
      <c r="V568" t="s">
        <v>45</v>
      </c>
      <c r="W568" t="s">
        <v>5055</v>
      </c>
      <c r="X568" t="s">
        <v>45</v>
      </c>
      <c r="Y568" t="s">
        <v>46</v>
      </c>
      <c r="Z568" t="s">
        <v>47</v>
      </c>
      <c r="AA568" t="s">
        <v>48</v>
      </c>
      <c r="AB568" t="s">
        <v>49</v>
      </c>
      <c r="AC568" t="s">
        <v>49</v>
      </c>
      <c r="AD568" t="s">
        <v>481</v>
      </c>
      <c r="AE568" t="s">
        <v>185</v>
      </c>
      <c r="AF568">
        <v>0</v>
      </c>
      <c r="AG568" t="s">
        <v>196</v>
      </c>
      <c r="AH568" s="93">
        <f>VLOOKUP(Table1[[#This Row],[Caste]],Factor!$H$1:$K$13,4,0)</f>
        <v>1.1705128247062893</v>
      </c>
      <c r="AI56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68">
        <f>Table1[[#This Row],[Factor_1]]*Table1[[#This Row],[2024 Factor]]</f>
        <v>0.86308903171383233</v>
      </c>
      <c r="AK568">
        <f>VLOOKUP(Table1[[#This Row],[Q18: Gender]],Factor!$A$33:$E$35,5,0)</f>
        <v>0.85034013605442171</v>
      </c>
      <c r="AL568">
        <f>VLOOKUP(Table1[[#This Row],[Taluka]],Factor!$A$42:$G$46,7,0)</f>
        <v>0.75433779645928134</v>
      </c>
      <c r="AM568">
        <f>VLOOKUP(Table1[[#This Row],[Caste]]&amp;Table1[[#This Row],[Q18: Gender]],Factor!$W$1:$X$23,2,0)</f>
        <v>0.79950206330384943</v>
      </c>
      <c r="AN568">
        <f>VLOOKUP(Table1[[#This Row],[Taluka]]&amp;Table1[[#This Row],[Caste]]&amp;Table1[[#This Row],[Q18: Gender]],Factor!$AK$4:$AL$93,2,0)</f>
        <v>0.40257772387792479</v>
      </c>
      <c r="AO568">
        <f t="shared" si="88"/>
        <v>-1</v>
      </c>
      <c r="AP568">
        <f t="shared" si="89"/>
        <v>-1</v>
      </c>
      <c r="AQ568">
        <f t="shared" si="90"/>
        <v>-1</v>
      </c>
      <c r="AR568">
        <f t="shared" si="91"/>
        <v>-1</v>
      </c>
      <c r="AS568">
        <f t="shared" si="92"/>
        <v>-1</v>
      </c>
      <c r="AT568">
        <f t="shared" si="93"/>
        <v>-1</v>
      </c>
      <c r="AU568">
        <f t="shared" si="94"/>
        <v>-5.5</v>
      </c>
      <c r="AV568">
        <f>SUM(Table1[[#This Row],[Satis]:[29]])</f>
        <v>-6</v>
      </c>
      <c r="AW568">
        <f t="shared" si="95"/>
        <v>-5</v>
      </c>
      <c r="AX568">
        <f t="shared" si="96"/>
        <v>-4</v>
      </c>
      <c r="AY568">
        <f t="shared" si="97"/>
        <v>-3</v>
      </c>
      <c r="AZ568" t="str">
        <f t="shared" si="98"/>
        <v>TDP HardCore</v>
      </c>
    </row>
    <row r="569" spans="1:52" x14ac:dyDescent="0.3">
      <c r="A569" t="s">
        <v>3391</v>
      </c>
      <c r="B569" s="94">
        <v>46046</v>
      </c>
      <c r="C569" t="s">
        <v>3392</v>
      </c>
      <c r="D569" t="s">
        <v>3393</v>
      </c>
      <c r="E569" t="s">
        <v>3394</v>
      </c>
      <c r="F569" t="s">
        <v>240</v>
      </c>
      <c r="G569" t="s">
        <v>39</v>
      </c>
      <c r="H569" t="s">
        <v>3395</v>
      </c>
      <c r="I569" t="s">
        <v>36</v>
      </c>
      <c r="J569" t="s">
        <v>37</v>
      </c>
      <c r="K569" t="s">
        <v>38</v>
      </c>
      <c r="L569" t="s">
        <v>161</v>
      </c>
      <c r="M569" t="s">
        <v>51</v>
      </c>
      <c r="N569" t="s">
        <v>107</v>
      </c>
      <c r="O569" t="s">
        <v>3396</v>
      </c>
      <c r="P569">
        <v>7095227390</v>
      </c>
      <c r="Q569" t="s">
        <v>54</v>
      </c>
      <c r="R569" t="s">
        <v>2116</v>
      </c>
      <c r="S569" t="s">
        <v>43</v>
      </c>
      <c r="T569" t="s">
        <v>43</v>
      </c>
      <c r="U569" t="s">
        <v>44</v>
      </c>
      <c r="V569" t="s">
        <v>45</v>
      </c>
      <c r="W569" t="s">
        <v>5055</v>
      </c>
      <c r="X569" t="s">
        <v>45</v>
      </c>
      <c r="Y569" t="s">
        <v>46</v>
      </c>
      <c r="Z569" t="s">
        <v>47</v>
      </c>
      <c r="AA569" t="s">
        <v>48</v>
      </c>
      <c r="AB569" t="s">
        <v>49</v>
      </c>
      <c r="AC569" t="s">
        <v>49</v>
      </c>
      <c r="AD569">
        <v>0</v>
      </c>
      <c r="AE569" t="s">
        <v>185</v>
      </c>
      <c r="AF569">
        <v>0</v>
      </c>
      <c r="AG569" t="s">
        <v>196</v>
      </c>
      <c r="AH569" s="93">
        <f>VLOOKUP(Table1[[#This Row],[Caste]],Factor!$H$1:$K$13,4,0)</f>
        <v>1.1705128247062893</v>
      </c>
      <c r="AI56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69">
        <f>Table1[[#This Row],[Factor_1]]*Table1[[#This Row],[2024 Factor]]</f>
        <v>0.86308903171383233</v>
      </c>
      <c r="AK569">
        <f>VLOOKUP(Table1[[#This Row],[Q18: Gender]],Factor!$A$33:$E$35,5,0)</f>
        <v>0.85034013605442171</v>
      </c>
      <c r="AL569">
        <f>VLOOKUP(Table1[[#This Row],[Taluka]],Factor!$A$42:$G$46,7,0)</f>
        <v>0.75433779645928134</v>
      </c>
      <c r="AM569">
        <f>VLOOKUP(Table1[[#This Row],[Caste]]&amp;Table1[[#This Row],[Q18: Gender]],Factor!$W$1:$X$23,2,0)</f>
        <v>0.79950206330384943</v>
      </c>
      <c r="AN569">
        <f>VLOOKUP(Table1[[#This Row],[Taluka]]&amp;Table1[[#This Row],[Caste]]&amp;Table1[[#This Row],[Q18: Gender]],Factor!$AK$4:$AL$93,2,0)</f>
        <v>0.40257772387792479</v>
      </c>
      <c r="AO569">
        <f t="shared" si="88"/>
        <v>-1</v>
      </c>
      <c r="AP569">
        <f t="shared" si="89"/>
        <v>-1</v>
      </c>
      <c r="AQ569">
        <f t="shared" si="90"/>
        <v>-1</v>
      </c>
      <c r="AR569">
        <f t="shared" si="91"/>
        <v>-1</v>
      </c>
      <c r="AS569">
        <f t="shared" si="92"/>
        <v>-1</v>
      </c>
      <c r="AT569">
        <f t="shared" si="93"/>
        <v>-1</v>
      </c>
      <c r="AU569">
        <f t="shared" si="94"/>
        <v>-5.5</v>
      </c>
      <c r="AV569">
        <f>SUM(Table1[[#This Row],[Satis]:[29]])</f>
        <v>-6</v>
      </c>
      <c r="AW569">
        <f t="shared" si="95"/>
        <v>-5</v>
      </c>
      <c r="AX569">
        <f t="shared" si="96"/>
        <v>-4</v>
      </c>
      <c r="AY569">
        <f t="shared" si="97"/>
        <v>-3</v>
      </c>
      <c r="AZ569" t="str">
        <f t="shared" si="98"/>
        <v>TDP HardCore</v>
      </c>
    </row>
    <row r="570" spans="1:52" x14ac:dyDescent="0.3">
      <c r="A570" t="s">
        <v>3829</v>
      </c>
      <c r="B570" s="94">
        <v>46046</v>
      </c>
      <c r="C570" t="s">
        <v>3830</v>
      </c>
      <c r="D570" t="s">
        <v>3831</v>
      </c>
      <c r="E570" t="s">
        <v>3832</v>
      </c>
      <c r="F570" t="s">
        <v>69</v>
      </c>
      <c r="G570" t="s">
        <v>39</v>
      </c>
      <c r="H570" t="s">
        <v>3833</v>
      </c>
      <c r="I570" t="s">
        <v>59</v>
      </c>
      <c r="J570" t="s">
        <v>203</v>
      </c>
      <c r="K570" t="s">
        <v>203</v>
      </c>
      <c r="L570" t="s">
        <v>50</v>
      </c>
      <c r="M570" t="s">
        <v>51</v>
      </c>
      <c r="N570" t="s">
        <v>52</v>
      </c>
      <c r="O570" t="s">
        <v>2302</v>
      </c>
      <c r="P570">
        <v>9999999999</v>
      </c>
      <c r="Q570" t="s">
        <v>54</v>
      </c>
      <c r="R570" t="s">
        <v>73</v>
      </c>
      <c r="S570" t="s">
        <v>89</v>
      </c>
      <c r="T570" t="s">
        <v>89</v>
      </c>
      <c r="U570" t="s">
        <v>44</v>
      </c>
      <c r="V570" t="s">
        <v>91</v>
      </c>
      <c r="W570" t="s">
        <v>5058</v>
      </c>
      <c r="X570" t="s">
        <v>45</v>
      </c>
      <c r="Y570" t="s">
        <v>46</v>
      </c>
      <c r="Z570" t="s">
        <v>47</v>
      </c>
      <c r="AA570" t="s">
        <v>48</v>
      </c>
      <c r="AB570" t="s">
        <v>49</v>
      </c>
      <c r="AC570" t="s">
        <v>49</v>
      </c>
      <c r="AD570" t="s">
        <v>184</v>
      </c>
      <c r="AE570" t="s">
        <v>185</v>
      </c>
      <c r="AF570" t="s">
        <v>4069</v>
      </c>
      <c r="AG570" t="s">
        <v>196</v>
      </c>
      <c r="AH570" s="93">
        <f>VLOOKUP(Table1[[#This Row],[Caste]],Factor!$H$1:$K$13,4,0)</f>
        <v>1.1461625511156397</v>
      </c>
      <c r="AI57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70">
        <f>Table1[[#This Row],[Factor_1]]*Table1[[#This Row],[2024 Factor]]</f>
        <v>0.77721139583220644</v>
      </c>
      <c r="AK570">
        <f>VLOOKUP(Table1[[#This Row],[Q18: Gender]],Factor!$A$33:$E$35,5,0)</f>
        <v>0.85034013605442171</v>
      </c>
      <c r="AL570">
        <f>VLOOKUP(Table1[[#This Row],[Taluka]],Factor!$A$42:$G$46,7,0)</f>
        <v>1.9264642089343564</v>
      </c>
      <c r="AM570">
        <f>VLOOKUP(Table1[[#This Row],[Caste]]&amp;Table1[[#This Row],[Q18: Gender]],Factor!$W$1:$X$23,2,0)</f>
        <v>0.71995135120329123</v>
      </c>
      <c r="AN570">
        <f>VLOOKUP(Table1[[#This Row],[Taluka]]&amp;Table1[[#This Row],[Caste]]&amp;Table1[[#This Row],[Q18: Gender]],Factor!$AK$4:$AL$93,2,0)</f>
        <v>0.70534647283248642</v>
      </c>
      <c r="AO570">
        <f t="shared" si="88"/>
        <v>1</v>
      </c>
      <c r="AP570">
        <f t="shared" si="89"/>
        <v>-1</v>
      </c>
      <c r="AQ570">
        <f t="shared" si="90"/>
        <v>1</v>
      </c>
      <c r="AR570">
        <f t="shared" si="91"/>
        <v>-1</v>
      </c>
      <c r="AS570">
        <f t="shared" si="92"/>
        <v>-1</v>
      </c>
      <c r="AT570">
        <f t="shared" si="93"/>
        <v>-1</v>
      </c>
      <c r="AU570">
        <f t="shared" si="94"/>
        <v>-1.5</v>
      </c>
      <c r="AV570">
        <f>SUM(Table1[[#This Row],[Satis]:[29]])</f>
        <v>-2</v>
      </c>
      <c r="AW570">
        <f t="shared" si="95"/>
        <v>-1</v>
      </c>
      <c r="AX570">
        <f t="shared" si="96"/>
        <v>-2</v>
      </c>
      <c r="AY570">
        <f t="shared" si="97"/>
        <v>-2</v>
      </c>
      <c r="AZ570" t="str">
        <f t="shared" si="98"/>
        <v>Neutral TDP</v>
      </c>
    </row>
    <row r="571" spans="1:52" x14ac:dyDescent="0.3">
      <c r="A571" t="s">
        <v>3305</v>
      </c>
      <c r="B571" s="94">
        <v>46046</v>
      </c>
      <c r="C571" t="s">
        <v>3306</v>
      </c>
      <c r="D571" t="s">
        <v>3307</v>
      </c>
      <c r="E571" t="s">
        <v>3308</v>
      </c>
      <c r="F571" t="s">
        <v>935</v>
      </c>
      <c r="G571" t="s">
        <v>39</v>
      </c>
      <c r="H571" t="s">
        <v>3309</v>
      </c>
      <c r="I571" t="s">
        <v>159</v>
      </c>
      <c r="J571" t="s">
        <v>203</v>
      </c>
      <c r="K571" t="s">
        <v>208</v>
      </c>
      <c r="L571" t="s">
        <v>50</v>
      </c>
      <c r="M571" t="s">
        <v>51</v>
      </c>
      <c r="N571" t="s">
        <v>63</v>
      </c>
      <c r="O571" t="s">
        <v>3310</v>
      </c>
      <c r="P571">
        <v>9948284811</v>
      </c>
      <c r="Q571" t="s">
        <v>54</v>
      </c>
      <c r="R571" t="s">
        <v>61</v>
      </c>
      <c r="S571" t="s">
        <v>89</v>
      </c>
      <c r="T571" t="s">
        <v>43</v>
      </c>
      <c r="U571" t="s">
        <v>44</v>
      </c>
      <c r="V571" t="s">
        <v>91</v>
      </c>
      <c r="W571" t="s">
        <v>5078</v>
      </c>
      <c r="X571" t="s">
        <v>45</v>
      </c>
      <c r="Y571" t="s">
        <v>46</v>
      </c>
      <c r="Z571" t="s">
        <v>242</v>
      </c>
      <c r="AA571" t="s">
        <v>48</v>
      </c>
      <c r="AB571" t="s">
        <v>49</v>
      </c>
      <c r="AC571" t="s">
        <v>49</v>
      </c>
      <c r="AD571" t="s">
        <v>494</v>
      </c>
      <c r="AE571" t="s">
        <v>189</v>
      </c>
      <c r="AF571" t="s">
        <v>4059</v>
      </c>
      <c r="AG571" t="s">
        <v>196</v>
      </c>
      <c r="AH571" s="93">
        <f>VLOOKUP(Table1[[#This Row],[Caste]],Factor!$H$1:$K$13,4,0)</f>
        <v>2.1852575402829908</v>
      </c>
      <c r="AI57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71">
        <f>Table1[[#This Row],[Factor_1]]*Table1[[#This Row],[2024 Factor]]</f>
        <v>1.7037641797963405</v>
      </c>
      <c r="AK571">
        <f>VLOOKUP(Table1[[#This Row],[Q18: Gender]],Factor!$A$33:$E$35,5,0)</f>
        <v>0.85034013605442171</v>
      </c>
      <c r="AL571">
        <f>VLOOKUP(Table1[[#This Row],[Taluka]],Factor!$A$42:$G$46,7,0)</f>
        <v>1.9264642089343564</v>
      </c>
      <c r="AM571">
        <f>VLOOKUP(Table1[[#This Row],[Caste]]&amp;Table1[[#This Row],[Q18: Gender]],Factor!$W$1:$X$23,2,0)</f>
        <v>1.5782415568710491</v>
      </c>
      <c r="AN571">
        <f>VLOOKUP(Table1[[#This Row],[Taluka]]&amp;Table1[[#This Row],[Caste]]&amp;Table1[[#This Row],[Q18: Gender]],Factor!$AK$4:$AL$93,2,0)</f>
        <v>0.88111541781135172</v>
      </c>
      <c r="AO571">
        <f t="shared" si="88"/>
        <v>-1</v>
      </c>
      <c r="AP571">
        <f t="shared" si="89"/>
        <v>-1</v>
      </c>
      <c r="AQ571">
        <f t="shared" si="90"/>
        <v>1</v>
      </c>
      <c r="AR571">
        <f t="shared" si="91"/>
        <v>-1</v>
      </c>
      <c r="AS571">
        <f t="shared" si="92"/>
        <v>-1</v>
      </c>
      <c r="AT571">
        <f t="shared" si="93"/>
        <v>-1</v>
      </c>
      <c r="AU571">
        <f t="shared" si="94"/>
        <v>-3.5</v>
      </c>
      <c r="AV571">
        <f>SUM(Table1[[#This Row],[Satis]:[29]])</f>
        <v>-4</v>
      </c>
      <c r="AW571">
        <f t="shared" si="95"/>
        <v>-3</v>
      </c>
      <c r="AX571">
        <f t="shared" si="96"/>
        <v>-2</v>
      </c>
      <c r="AY571">
        <f t="shared" si="97"/>
        <v>-3</v>
      </c>
      <c r="AZ571" t="str">
        <f t="shared" si="98"/>
        <v>Neutral TDP</v>
      </c>
    </row>
    <row r="572" spans="1:52" x14ac:dyDescent="0.3">
      <c r="A572" t="s">
        <v>3879</v>
      </c>
      <c r="B572" s="94">
        <v>46046</v>
      </c>
      <c r="C572" t="s">
        <v>3880</v>
      </c>
      <c r="D572" t="s">
        <v>3881</v>
      </c>
      <c r="E572" t="s">
        <v>3882</v>
      </c>
      <c r="F572" t="s">
        <v>69</v>
      </c>
      <c r="G572" t="s">
        <v>39</v>
      </c>
      <c r="H572" t="s">
        <v>3883</v>
      </c>
      <c r="I572" t="s">
        <v>59</v>
      </c>
      <c r="J572" t="s">
        <v>203</v>
      </c>
      <c r="K572" t="s">
        <v>203</v>
      </c>
      <c r="L572" t="s">
        <v>50</v>
      </c>
      <c r="M572" t="s">
        <v>51</v>
      </c>
      <c r="N572" t="s">
        <v>107</v>
      </c>
      <c r="O572" t="s">
        <v>738</v>
      </c>
      <c r="P572">
        <v>9999999999</v>
      </c>
      <c r="Q572" t="s">
        <v>54</v>
      </c>
      <c r="R572" t="s">
        <v>132</v>
      </c>
      <c r="S572" t="s">
        <v>89</v>
      </c>
      <c r="T572" t="s">
        <v>43</v>
      </c>
      <c r="U572" t="s">
        <v>44</v>
      </c>
      <c r="V572" t="s">
        <v>45</v>
      </c>
      <c r="W572" t="s">
        <v>5058</v>
      </c>
      <c r="X572" t="s">
        <v>45</v>
      </c>
      <c r="Y572" t="s">
        <v>46</v>
      </c>
      <c r="Z572" t="s">
        <v>47</v>
      </c>
      <c r="AA572" t="s">
        <v>48</v>
      </c>
      <c r="AB572" t="s">
        <v>49</v>
      </c>
      <c r="AC572" t="s">
        <v>49</v>
      </c>
      <c r="AD572" t="s">
        <v>184</v>
      </c>
      <c r="AE572" t="s">
        <v>185</v>
      </c>
      <c r="AF572" t="s">
        <v>4070</v>
      </c>
      <c r="AG572" t="s">
        <v>196</v>
      </c>
      <c r="AH572" s="93">
        <f>VLOOKUP(Table1[[#This Row],[Caste]],Factor!$H$1:$K$13,4,0)</f>
        <v>1.1461625511156397</v>
      </c>
      <c r="AI57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72">
        <f>Table1[[#This Row],[Factor_1]]*Table1[[#This Row],[2024 Factor]]</f>
        <v>0.77721139583220644</v>
      </c>
      <c r="AK572">
        <f>VLOOKUP(Table1[[#This Row],[Q18: Gender]],Factor!$A$33:$E$35,5,0)</f>
        <v>0.85034013605442171</v>
      </c>
      <c r="AL572">
        <f>VLOOKUP(Table1[[#This Row],[Taluka]],Factor!$A$42:$G$46,7,0)</f>
        <v>1.9264642089343564</v>
      </c>
      <c r="AM572">
        <f>VLOOKUP(Table1[[#This Row],[Caste]]&amp;Table1[[#This Row],[Q18: Gender]],Factor!$W$1:$X$23,2,0)</f>
        <v>0.71995135120329123</v>
      </c>
      <c r="AN572">
        <f>VLOOKUP(Table1[[#This Row],[Taluka]]&amp;Table1[[#This Row],[Caste]]&amp;Table1[[#This Row],[Q18: Gender]],Factor!$AK$4:$AL$93,2,0)</f>
        <v>0.70534647283248642</v>
      </c>
      <c r="AO572">
        <f t="shared" si="88"/>
        <v>-1</v>
      </c>
      <c r="AP572">
        <f t="shared" si="89"/>
        <v>-1</v>
      </c>
      <c r="AQ572">
        <f t="shared" si="90"/>
        <v>-1</v>
      </c>
      <c r="AR572">
        <f t="shared" si="91"/>
        <v>-1</v>
      </c>
      <c r="AS572">
        <f t="shared" si="92"/>
        <v>-1</v>
      </c>
      <c r="AT572">
        <f t="shared" si="93"/>
        <v>-1</v>
      </c>
      <c r="AU572">
        <f t="shared" si="94"/>
        <v>-5.5</v>
      </c>
      <c r="AV572">
        <f>SUM(Table1[[#This Row],[Satis]:[29]])</f>
        <v>-6</v>
      </c>
      <c r="AW572">
        <f t="shared" si="95"/>
        <v>-5</v>
      </c>
      <c r="AX572">
        <f t="shared" si="96"/>
        <v>-4</v>
      </c>
      <c r="AY572">
        <f t="shared" si="97"/>
        <v>-3</v>
      </c>
      <c r="AZ572" t="str">
        <f t="shared" si="98"/>
        <v>TDP HardCore</v>
      </c>
    </row>
    <row r="573" spans="1:52" x14ac:dyDescent="0.3">
      <c r="A573" t="s">
        <v>3316</v>
      </c>
      <c r="B573" s="94">
        <v>46046</v>
      </c>
      <c r="C573" t="s">
        <v>3317</v>
      </c>
      <c r="D573" t="s">
        <v>3318</v>
      </c>
      <c r="E573" t="s">
        <v>3319</v>
      </c>
      <c r="F573" t="s">
        <v>2547</v>
      </c>
      <c r="G573" t="s">
        <v>39</v>
      </c>
      <c r="H573" t="s">
        <v>3320</v>
      </c>
      <c r="I573" t="s">
        <v>36</v>
      </c>
      <c r="J573" t="s">
        <v>203</v>
      </c>
      <c r="K573" t="s">
        <v>204</v>
      </c>
      <c r="L573" t="s">
        <v>82</v>
      </c>
      <c r="M573" t="s">
        <v>51</v>
      </c>
      <c r="N573" t="s">
        <v>63</v>
      </c>
      <c r="O573" t="s">
        <v>3321</v>
      </c>
      <c r="P573">
        <v>9866256852</v>
      </c>
      <c r="Q573" t="s">
        <v>445</v>
      </c>
      <c r="R573" t="s">
        <v>61</v>
      </c>
      <c r="S573" t="s">
        <v>43</v>
      </c>
      <c r="T573" t="s">
        <v>43</v>
      </c>
      <c r="U573" t="s">
        <v>90</v>
      </c>
      <c r="V573" t="s">
        <v>45</v>
      </c>
      <c r="W573" t="s">
        <v>5051</v>
      </c>
      <c r="X573" t="s">
        <v>45</v>
      </c>
      <c r="Y573" t="s">
        <v>46</v>
      </c>
      <c r="Z573" t="s">
        <v>47</v>
      </c>
      <c r="AA573" t="s">
        <v>92</v>
      </c>
      <c r="AB573" t="s">
        <v>351</v>
      </c>
      <c r="AC573" t="s">
        <v>381</v>
      </c>
      <c r="AD573" t="s">
        <v>481</v>
      </c>
      <c r="AE573" t="s">
        <v>189</v>
      </c>
      <c r="AF573" t="s">
        <v>4083</v>
      </c>
      <c r="AG573" t="s">
        <v>196</v>
      </c>
      <c r="AH573" s="93">
        <f>VLOOKUP(Table1[[#This Row],[Caste]],Factor!$H$1:$K$13,4,0)</f>
        <v>1.1705128247062893</v>
      </c>
      <c r="AI573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573">
        <f>Table1[[#This Row],[Factor_1]]*Table1[[#This Row],[2024 Factor]]</f>
        <v>3.9434051007458306</v>
      </c>
      <c r="AK573">
        <f>VLOOKUP(Table1[[#This Row],[Q18: Gender]],Factor!$A$33:$E$35,5,0)</f>
        <v>2.1645021645021645</v>
      </c>
      <c r="AL573">
        <f>VLOOKUP(Table1[[#This Row],[Taluka]],Factor!$A$42:$G$46,7,0)</f>
        <v>1.9264642089343564</v>
      </c>
      <c r="AM573">
        <f>VLOOKUP(Table1[[#This Row],[Caste]]&amp;Table1[[#This Row],[Q18: Gender]],Factor!$W$1:$X$23,2,0)</f>
        <v>2.1840056363422229</v>
      </c>
      <c r="AN573">
        <f>VLOOKUP(Table1[[#This Row],[Taluka]]&amp;Table1[[#This Row],[Caste]]&amp;Table1[[#This Row],[Q18: Gender]],Factor!$AK$4:$AL$93,2,0)</f>
        <v>6.9432761915375547</v>
      </c>
      <c r="AO573">
        <f t="shared" si="88"/>
        <v>-1</v>
      </c>
      <c r="AP573">
        <f t="shared" si="89"/>
        <v>1</v>
      </c>
      <c r="AQ573">
        <f t="shared" si="90"/>
        <v>-1</v>
      </c>
      <c r="AR573">
        <f t="shared" si="91"/>
        <v>-1</v>
      </c>
      <c r="AS573">
        <f t="shared" si="92"/>
        <v>1</v>
      </c>
      <c r="AT573">
        <f t="shared" si="93"/>
        <v>-1</v>
      </c>
      <c r="AU573">
        <f t="shared" si="94"/>
        <v>-2.5</v>
      </c>
      <c r="AV573">
        <f>SUM(Table1[[#This Row],[Satis]:[29]])</f>
        <v>-2</v>
      </c>
      <c r="AW573">
        <f t="shared" si="95"/>
        <v>-3</v>
      </c>
      <c r="AX573">
        <f t="shared" si="96"/>
        <v>-2</v>
      </c>
      <c r="AY573">
        <f t="shared" si="97"/>
        <v>-2</v>
      </c>
      <c r="AZ573" t="str">
        <f t="shared" si="98"/>
        <v>Neutral TDP</v>
      </c>
    </row>
    <row r="574" spans="1:52" x14ac:dyDescent="0.3">
      <c r="A574" t="s">
        <v>3322</v>
      </c>
      <c r="B574" s="94">
        <v>46046</v>
      </c>
      <c r="C574" t="s">
        <v>3323</v>
      </c>
      <c r="D574" t="s">
        <v>3324</v>
      </c>
      <c r="E574" t="s">
        <v>3325</v>
      </c>
      <c r="F574" t="s">
        <v>2547</v>
      </c>
      <c r="G574" t="s">
        <v>39</v>
      </c>
      <c r="H574" t="s">
        <v>3326</v>
      </c>
      <c r="I574" t="s">
        <v>36</v>
      </c>
      <c r="J574" t="s">
        <v>203</v>
      </c>
      <c r="K574" t="s">
        <v>204</v>
      </c>
      <c r="L574" t="s">
        <v>451</v>
      </c>
      <c r="M574" t="s">
        <v>51</v>
      </c>
      <c r="N574" t="s">
        <v>162</v>
      </c>
      <c r="O574" t="s">
        <v>3327</v>
      </c>
      <c r="P574">
        <v>7893770670</v>
      </c>
      <c r="Q574" t="s">
        <v>445</v>
      </c>
      <c r="R574" t="s">
        <v>132</v>
      </c>
      <c r="S574" t="s">
        <v>43</v>
      </c>
      <c r="T574" t="s">
        <v>43</v>
      </c>
      <c r="U574" t="s">
        <v>44</v>
      </c>
      <c r="V574" t="s">
        <v>91</v>
      </c>
      <c r="W574" t="s">
        <v>5056</v>
      </c>
      <c r="X574" t="s">
        <v>45</v>
      </c>
      <c r="Y574" t="s">
        <v>716</v>
      </c>
      <c r="Z574" t="s">
        <v>242</v>
      </c>
      <c r="AA574" t="s">
        <v>691</v>
      </c>
      <c r="AB574" t="s">
        <v>49</v>
      </c>
      <c r="AC574" t="s">
        <v>49</v>
      </c>
      <c r="AD574" t="s">
        <v>481</v>
      </c>
      <c r="AE574" t="s">
        <v>189</v>
      </c>
      <c r="AF574" t="s">
        <v>4068</v>
      </c>
      <c r="AG574" t="s">
        <v>196</v>
      </c>
      <c r="AH574" s="93">
        <f>VLOOKUP(Table1[[#This Row],[Caste]],Factor!$H$1:$K$13,4,0)</f>
        <v>1.1705128247062893</v>
      </c>
      <c r="AI574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574">
        <f>Table1[[#This Row],[Factor_1]]*Table1[[#This Row],[2024 Factor]]</f>
        <v>1.444803728657164</v>
      </c>
      <c r="AK574">
        <f>VLOOKUP(Table1[[#This Row],[Q18: Gender]],Factor!$A$33:$E$35,5,0)</f>
        <v>2.1645021645021645</v>
      </c>
      <c r="AL574">
        <f>VLOOKUP(Table1[[#This Row],[Taluka]],Factor!$A$42:$G$46,7,0)</f>
        <v>1.9264642089343564</v>
      </c>
      <c r="AM574">
        <f>VLOOKUP(Table1[[#This Row],[Caste]]&amp;Table1[[#This Row],[Q18: Gender]],Factor!$W$1:$X$23,2,0)</f>
        <v>2.1840056363422229</v>
      </c>
      <c r="AN574">
        <f>VLOOKUP(Table1[[#This Row],[Taluka]]&amp;Table1[[#This Row],[Caste]]&amp;Table1[[#This Row],[Q18: Gender]],Factor!$AK$4:$AL$93,2,0)</f>
        <v>6.9432761915375547</v>
      </c>
      <c r="AO574">
        <f t="shared" si="88"/>
        <v>-1</v>
      </c>
      <c r="AP574">
        <f t="shared" si="89"/>
        <v>-1</v>
      </c>
      <c r="AQ574">
        <f t="shared" si="90"/>
        <v>1</v>
      </c>
      <c r="AR574">
        <f t="shared" si="91"/>
        <v>-1</v>
      </c>
      <c r="AS574">
        <f t="shared" si="92"/>
        <v>-1</v>
      </c>
      <c r="AT574">
        <f t="shared" si="93"/>
        <v>-1</v>
      </c>
      <c r="AU574">
        <f t="shared" si="94"/>
        <v>-3.5</v>
      </c>
      <c r="AV574">
        <f>SUM(Table1[[#This Row],[Satis]:[29]])</f>
        <v>-4</v>
      </c>
      <c r="AW574">
        <f t="shared" si="95"/>
        <v>-3</v>
      </c>
      <c r="AX574">
        <f t="shared" si="96"/>
        <v>-2</v>
      </c>
      <c r="AY574">
        <f t="shared" si="97"/>
        <v>-3</v>
      </c>
      <c r="AZ574" t="str">
        <f t="shared" si="98"/>
        <v>Neutral TDP</v>
      </c>
    </row>
    <row r="575" spans="1:52" x14ac:dyDescent="0.3">
      <c r="A575" t="s">
        <v>3543</v>
      </c>
      <c r="B575" s="94">
        <v>46046</v>
      </c>
      <c r="C575" t="s">
        <v>3544</v>
      </c>
      <c r="D575" t="s">
        <v>3545</v>
      </c>
      <c r="E575" t="s">
        <v>3546</v>
      </c>
      <c r="F575" t="s">
        <v>240</v>
      </c>
      <c r="G575" t="s">
        <v>39</v>
      </c>
      <c r="H575" t="s">
        <v>3547</v>
      </c>
      <c r="I575" t="s">
        <v>228</v>
      </c>
      <c r="J575" t="s">
        <v>37</v>
      </c>
      <c r="K575" t="s">
        <v>38</v>
      </c>
      <c r="L575" t="s">
        <v>451</v>
      </c>
      <c r="M575" t="s">
        <v>443</v>
      </c>
      <c r="N575" t="s">
        <v>162</v>
      </c>
      <c r="O575" t="s">
        <v>3548</v>
      </c>
      <c r="P575">
        <v>9999999999</v>
      </c>
      <c r="Q575" t="s">
        <v>445</v>
      </c>
      <c r="R575" t="s">
        <v>73</v>
      </c>
      <c r="S575" t="s">
        <v>43</v>
      </c>
      <c r="T575" t="s">
        <v>89</v>
      </c>
      <c r="U575" t="s">
        <v>90</v>
      </c>
      <c r="V575" t="s">
        <v>91</v>
      </c>
      <c r="W575" t="s">
        <v>5055</v>
      </c>
      <c r="X575" t="s">
        <v>91</v>
      </c>
      <c r="Y575" t="s">
        <v>638</v>
      </c>
      <c r="Z575" t="s">
        <v>92</v>
      </c>
      <c r="AA575" t="s">
        <v>92</v>
      </c>
      <c r="AB575" t="s">
        <v>93</v>
      </c>
      <c r="AC575" t="s">
        <v>94</v>
      </c>
      <c r="AD575" t="s">
        <v>184</v>
      </c>
      <c r="AE575" t="s">
        <v>185</v>
      </c>
      <c r="AF575">
        <v>0</v>
      </c>
      <c r="AG575" t="s">
        <v>196</v>
      </c>
      <c r="AH575" s="93">
        <f>VLOOKUP(Table1[[#This Row],[Caste]],Factor!$H$1:$K$13,4,0)</f>
        <v>0.80207032429970992</v>
      </c>
      <c r="AI575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575">
        <f>Table1[[#This Row],[Factor_1]]*Table1[[#This Row],[2024 Factor]]</f>
        <v>2.1297134544148015</v>
      </c>
      <c r="AK575">
        <f>VLOOKUP(Table1[[#This Row],[Q18: Gender]],Factor!$A$33:$E$35,5,0)</f>
        <v>2.1645021645021645</v>
      </c>
      <c r="AL575">
        <f>VLOOKUP(Table1[[#This Row],[Taluka]],Factor!$A$42:$G$46,7,0)</f>
        <v>0.75433779645928134</v>
      </c>
      <c r="AM575">
        <f>VLOOKUP(Table1[[#This Row],[Caste]]&amp;Table1[[#This Row],[Q18: Gender]],Factor!$W$1:$X$23,2,0)</f>
        <v>1.1795151827936912</v>
      </c>
      <c r="AN575">
        <f>VLOOKUP(Table1[[#This Row],[Taluka]]&amp;Table1[[#This Row],[Caste]]&amp;Table1[[#This Row],[Q18: Gender]],Factor!$AK$4:$AL$93,2,0)</f>
        <v>0.37562400914419181</v>
      </c>
      <c r="AO575">
        <f t="shared" si="88"/>
        <v>1</v>
      </c>
      <c r="AP575">
        <f t="shared" si="89"/>
        <v>1</v>
      </c>
      <c r="AQ575">
        <f t="shared" si="90"/>
        <v>1</v>
      </c>
      <c r="AR575">
        <f t="shared" si="91"/>
        <v>1</v>
      </c>
      <c r="AS575">
        <f t="shared" si="92"/>
        <v>1</v>
      </c>
      <c r="AT575">
        <f t="shared" si="93"/>
        <v>1</v>
      </c>
      <c r="AU575">
        <f t="shared" si="94"/>
        <v>5.5</v>
      </c>
      <c r="AV575">
        <f>SUM(Table1[[#This Row],[Satis]:[29]])</f>
        <v>6</v>
      </c>
      <c r="AW575">
        <f t="shared" si="95"/>
        <v>5</v>
      </c>
      <c r="AX575">
        <f t="shared" si="96"/>
        <v>4</v>
      </c>
      <c r="AY575">
        <f t="shared" si="97"/>
        <v>3</v>
      </c>
      <c r="AZ575" t="str">
        <f t="shared" si="98"/>
        <v>YSRCP HardCore</v>
      </c>
    </row>
    <row r="576" spans="1:52" x14ac:dyDescent="0.3">
      <c r="A576" t="s">
        <v>3772</v>
      </c>
      <c r="B576" s="94">
        <v>46046</v>
      </c>
      <c r="C576" t="s">
        <v>3773</v>
      </c>
      <c r="D576" t="s">
        <v>3774</v>
      </c>
      <c r="E576" t="s">
        <v>3715</v>
      </c>
      <c r="F576" t="s">
        <v>69</v>
      </c>
      <c r="G576" t="s">
        <v>39</v>
      </c>
      <c r="H576" t="s">
        <v>3775</v>
      </c>
      <c r="I576" t="s">
        <v>36</v>
      </c>
      <c r="J576" t="s">
        <v>203</v>
      </c>
      <c r="K576" t="s">
        <v>203</v>
      </c>
      <c r="L576" t="s">
        <v>75</v>
      </c>
      <c r="M576" t="s">
        <v>51</v>
      </c>
      <c r="N576" t="s">
        <v>63</v>
      </c>
      <c r="O576" t="s">
        <v>3776</v>
      </c>
      <c r="P576">
        <v>9999999999</v>
      </c>
      <c r="Q576" t="s">
        <v>54</v>
      </c>
      <c r="R576" t="s">
        <v>73</v>
      </c>
      <c r="S576" t="s">
        <v>43</v>
      </c>
      <c r="T576" t="s">
        <v>43</v>
      </c>
      <c r="U576" t="s">
        <v>44</v>
      </c>
      <c r="V576" t="s">
        <v>91</v>
      </c>
      <c r="W576" t="s">
        <v>5051</v>
      </c>
      <c r="X576" t="s">
        <v>45</v>
      </c>
      <c r="Y576" t="s">
        <v>46</v>
      </c>
      <c r="Z576" t="s">
        <v>47</v>
      </c>
      <c r="AA576" t="s">
        <v>48</v>
      </c>
      <c r="AB576" t="s">
        <v>49</v>
      </c>
      <c r="AC576" t="s">
        <v>49</v>
      </c>
      <c r="AD576" t="s">
        <v>184</v>
      </c>
      <c r="AE576" t="s">
        <v>185</v>
      </c>
      <c r="AF576">
        <v>0</v>
      </c>
      <c r="AG576" t="s">
        <v>196</v>
      </c>
      <c r="AH576" s="93">
        <f>VLOOKUP(Table1[[#This Row],[Caste]],Factor!$H$1:$K$13,4,0)</f>
        <v>1.1705128247062893</v>
      </c>
      <c r="AI57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76">
        <f>Table1[[#This Row],[Factor_1]]*Table1[[#This Row],[2024 Factor]]</f>
        <v>0.86308903171383233</v>
      </c>
      <c r="AK576">
        <f>VLOOKUP(Table1[[#This Row],[Q18: Gender]],Factor!$A$33:$E$35,5,0)</f>
        <v>0.85034013605442171</v>
      </c>
      <c r="AL576">
        <f>VLOOKUP(Table1[[#This Row],[Taluka]],Factor!$A$42:$G$46,7,0)</f>
        <v>1.9264642089343564</v>
      </c>
      <c r="AM576">
        <f>VLOOKUP(Table1[[#This Row],[Caste]]&amp;Table1[[#This Row],[Q18: Gender]],Factor!$W$1:$X$23,2,0)</f>
        <v>0.79950206330384943</v>
      </c>
      <c r="AN576">
        <f>VLOOKUP(Table1[[#This Row],[Taluka]]&amp;Table1[[#This Row],[Caste]]&amp;Table1[[#This Row],[Q18: Gender]],Factor!$AK$4:$AL$93,2,0)</f>
        <v>1.1572126985895925</v>
      </c>
      <c r="AO576">
        <f t="shared" si="88"/>
        <v>-1</v>
      </c>
      <c r="AP576">
        <f t="shared" si="89"/>
        <v>-1</v>
      </c>
      <c r="AQ576">
        <f t="shared" si="90"/>
        <v>1</v>
      </c>
      <c r="AR576">
        <f t="shared" si="91"/>
        <v>-1</v>
      </c>
      <c r="AS576">
        <f t="shared" si="92"/>
        <v>-1</v>
      </c>
      <c r="AT576">
        <f t="shared" si="93"/>
        <v>-1</v>
      </c>
      <c r="AU576">
        <f t="shared" si="94"/>
        <v>-3.5</v>
      </c>
      <c r="AV576">
        <f>SUM(Table1[[#This Row],[Satis]:[29]])</f>
        <v>-4</v>
      </c>
      <c r="AW576">
        <f t="shared" si="95"/>
        <v>-3</v>
      </c>
      <c r="AX576">
        <f t="shared" si="96"/>
        <v>-2</v>
      </c>
      <c r="AY576">
        <f t="shared" si="97"/>
        <v>-3</v>
      </c>
      <c r="AZ576" t="str">
        <f t="shared" si="98"/>
        <v>Neutral TDP</v>
      </c>
    </row>
    <row r="577" spans="1:52" x14ac:dyDescent="0.3">
      <c r="A577" t="s">
        <v>4029</v>
      </c>
      <c r="B577" s="94">
        <v>46046</v>
      </c>
      <c r="C577" t="s">
        <v>4030</v>
      </c>
      <c r="D577" t="s">
        <v>4031</v>
      </c>
      <c r="E577" t="s">
        <v>3242</v>
      </c>
      <c r="F577" t="s">
        <v>240</v>
      </c>
      <c r="G577" t="s">
        <v>39</v>
      </c>
      <c r="H577" t="s">
        <v>4032</v>
      </c>
      <c r="I577" t="s">
        <v>228</v>
      </c>
      <c r="J577" s="112" t="s">
        <v>203</v>
      </c>
      <c r="K577" s="112" t="s">
        <v>204</v>
      </c>
      <c r="L577" t="s">
        <v>451</v>
      </c>
      <c r="M577" t="s">
        <v>443</v>
      </c>
      <c r="N577" t="s">
        <v>52</v>
      </c>
      <c r="O577" t="s">
        <v>4033</v>
      </c>
      <c r="P577">
        <v>9542699865</v>
      </c>
      <c r="Q577" t="s">
        <v>445</v>
      </c>
      <c r="R577" t="s">
        <v>2116</v>
      </c>
      <c r="S577" t="s">
        <v>88</v>
      </c>
      <c r="T577" t="s">
        <v>89</v>
      </c>
      <c r="U577" t="s">
        <v>90</v>
      </c>
      <c r="V577" t="s">
        <v>91</v>
      </c>
      <c r="W577" t="s">
        <v>5069</v>
      </c>
      <c r="X577" t="s">
        <v>91</v>
      </c>
      <c r="Y577" t="s">
        <v>716</v>
      </c>
      <c r="Z577" t="s">
        <v>92</v>
      </c>
      <c r="AA577" t="s">
        <v>92</v>
      </c>
      <c r="AB577" t="s">
        <v>351</v>
      </c>
      <c r="AC577" t="s">
        <v>2590</v>
      </c>
      <c r="AD577" t="s">
        <v>184</v>
      </c>
      <c r="AE577" t="s">
        <v>185</v>
      </c>
      <c r="AF577" t="s">
        <v>4073</v>
      </c>
      <c r="AG577" t="s">
        <v>196</v>
      </c>
      <c r="AH577" s="93">
        <f>VLOOKUP(Table1[[#This Row],[Caste]],Factor!$H$1:$K$13,4,0)</f>
        <v>0.80207032429970992</v>
      </c>
      <c r="AI577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577">
        <f>Table1[[#This Row],[Factor_1]]*Table1[[#This Row],[2024 Factor]]</f>
        <v>2.1297134544148015</v>
      </c>
      <c r="AK577">
        <f>VLOOKUP(Table1[[#This Row],[Q18: Gender]],Factor!$A$33:$E$35,5,0)</f>
        <v>2.1645021645021645</v>
      </c>
      <c r="AL577">
        <f>VLOOKUP(Table1[[#This Row],[Taluka]],Factor!$A$42:$G$46,7,0)</f>
        <v>1.9264642089343564</v>
      </c>
      <c r="AM577">
        <f>VLOOKUP(Table1[[#This Row],[Caste]]&amp;Table1[[#This Row],[Q18: Gender]],Factor!$W$1:$X$23,2,0)</f>
        <v>1.1795151827936912</v>
      </c>
      <c r="AN577">
        <f>VLOOKUP(Table1[[#This Row],[Taluka]]&amp;Table1[[#This Row],[Caste]]&amp;Table1[[#This Row],[Q18: Gender]],Factor!$AK$4:$AL$93,2,0)</f>
        <v>2.0730893618557826</v>
      </c>
      <c r="AO577">
        <f t="shared" si="88"/>
        <v>1</v>
      </c>
      <c r="AP577">
        <f t="shared" si="89"/>
        <v>1</v>
      </c>
      <c r="AQ577">
        <f t="shared" si="90"/>
        <v>1</v>
      </c>
      <c r="AR577">
        <f t="shared" si="91"/>
        <v>1</v>
      </c>
      <c r="AS577">
        <f t="shared" si="92"/>
        <v>1</v>
      </c>
      <c r="AT577">
        <f t="shared" si="93"/>
        <v>1</v>
      </c>
      <c r="AU577">
        <f t="shared" si="94"/>
        <v>5.5</v>
      </c>
      <c r="AV577">
        <f>SUM(Table1[[#This Row],[Satis]:[29]])</f>
        <v>6</v>
      </c>
      <c r="AW577">
        <f t="shared" si="95"/>
        <v>5</v>
      </c>
      <c r="AX577">
        <f t="shared" si="96"/>
        <v>4</v>
      </c>
      <c r="AY577">
        <f t="shared" si="97"/>
        <v>3</v>
      </c>
      <c r="AZ577" t="str">
        <f t="shared" si="98"/>
        <v>YSRCP HardCore</v>
      </c>
    </row>
    <row r="578" spans="1:52" x14ac:dyDescent="0.3">
      <c r="A578" t="s">
        <v>3956</v>
      </c>
      <c r="B578" s="94">
        <v>46046</v>
      </c>
      <c r="C578" t="s">
        <v>3957</v>
      </c>
      <c r="D578" t="s">
        <v>3958</v>
      </c>
      <c r="E578" t="s">
        <v>3959</v>
      </c>
      <c r="F578" t="s">
        <v>2547</v>
      </c>
      <c r="G578" t="s">
        <v>39</v>
      </c>
      <c r="H578" t="s">
        <v>3960</v>
      </c>
      <c r="I578" t="s">
        <v>36</v>
      </c>
      <c r="J578" t="s">
        <v>203</v>
      </c>
      <c r="K578" t="s">
        <v>204</v>
      </c>
      <c r="L578" t="s">
        <v>50</v>
      </c>
      <c r="M578" t="s">
        <v>51</v>
      </c>
      <c r="N578" t="s">
        <v>107</v>
      </c>
      <c r="O578" t="s">
        <v>3961</v>
      </c>
      <c r="P578">
        <v>9494955521</v>
      </c>
      <c r="Q578" t="s">
        <v>54</v>
      </c>
      <c r="R578" t="s">
        <v>132</v>
      </c>
      <c r="S578" t="s">
        <v>89</v>
      </c>
      <c r="T578" t="s">
        <v>89</v>
      </c>
      <c r="U578" t="s">
        <v>90</v>
      </c>
      <c r="V578" t="s">
        <v>91</v>
      </c>
      <c r="W578" t="s">
        <v>5078</v>
      </c>
      <c r="X578" t="s">
        <v>91</v>
      </c>
      <c r="Y578" t="s">
        <v>46</v>
      </c>
      <c r="Z578" t="s">
        <v>92</v>
      </c>
      <c r="AA578" t="s">
        <v>92</v>
      </c>
      <c r="AB578" t="s">
        <v>93</v>
      </c>
      <c r="AC578" t="s">
        <v>94</v>
      </c>
      <c r="AD578" t="s">
        <v>184</v>
      </c>
      <c r="AE578" t="s">
        <v>185</v>
      </c>
      <c r="AF578">
        <v>0</v>
      </c>
      <c r="AG578" t="s">
        <v>196</v>
      </c>
      <c r="AH578" s="93">
        <f>VLOOKUP(Table1[[#This Row],[Caste]],Factor!$H$1:$K$13,4,0)</f>
        <v>1.1705128247062893</v>
      </c>
      <c r="AI578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578">
        <f>Table1[[#This Row],[Factor_1]]*Table1[[#This Row],[2024 Factor]]</f>
        <v>1.4435679386658844</v>
      </c>
      <c r="AK578">
        <f>VLOOKUP(Table1[[#This Row],[Q18: Gender]],Factor!$A$33:$E$35,5,0)</f>
        <v>0.85034013605442171</v>
      </c>
      <c r="AL578">
        <f>VLOOKUP(Table1[[#This Row],[Taluka]],Factor!$A$42:$G$46,7,0)</f>
        <v>1.9264642089343564</v>
      </c>
      <c r="AM578">
        <f>VLOOKUP(Table1[[#This Row],[Caste]]&amp;Table1[[#This Row],[Q18: Gender]],Factor!$W$1:$X$23,2,0)</f>
        <v>0.79950206330384943</v>
      </c>
      <c r="AN578">
        <f>VLOOKUP(Table1[[#This Row],[Taluka]]&amp;Table1[[#This Row],[Caste]]&amp;Table1[[#This Row],[Q18: Gender]],Factor!$AK$4:$AL$93,2,0)</f>
        <v>1.1572126985895925</v>
      </c>
      <c r="AO578">
        <f t="shared" ref="AO578:AO641" si="99">IF(T578="బాగుంది",-1,1)</f>
        <v>1</v>
      </c>
      <c r="AP578">
        <f t="shared" ref="AP578:AP641" si="100">IF(U578="అమలవడం లేదు",1,-1)</f>
        <v>1</v>
      </c>
      <c r="AQ578">
        <f t="shared" ref="AQ578:AQ641" si="101">IF(V578="జగన్ మోహన్ రెడ్డి గారు",1,-1)</f>
        <v>1</v>
      </c>
      <c r="AR578">
        <f t="shared" ref="AR578:AR641" si="102">IF(X578="జగన్ మోహన్ రెడ్డి గారు",1,-1)</f>
        <v>1</v>
      </c>
      <c r="AS578">
        <f t="shared" ref="AS578:AS641" si="103">IF(AA578="YSRCP (వైఎస్‌ఆర్‌సీపీ)",1,-1)</f>
        <v>1</v>
      </c>
      <c r="AT578">
        <f t="shared" ref="AT578:AT641" si="104">IF(Z578="YSRCP (వైఎస్‌ఆర్‌సీపీ)",1,-1)</f>
        <v>1</v>
      </c>
      <c r="AU578">
        <f t="shared" ref="AU578:AU641" si="105">AO578+AP578+AQ578+AR578+(0.5*AS578)+AT578</f>
        <v>5.5</v>
      </c>
      <c r="AV578">
        <f>SUM(Table1[[#This Row],[Satis]:[29]])</f>
        <v>6</v>
      </c>
      <c r="AW578">
        <f t="shared" ref="AW578:AW641" si="106">AO578+AQ578+AR578+AS578+AT578</f>
        <v>5</v>
      </c>
      <c r="AX578">
        <f t="shared" ref="AX578:AX641" si="107">AQ578+AR578+AS578+AT578</f>
        <v>4</v>
      </c>
      <c r="AY578">
        <f t="shared" ref="AY578:AY641" si="108">IF(AND(AO578=1,AS578=1,AT578=1),3,IF(AND(AO578=-1,AS578=-1,AT578=-1),-3,IF(AND(AO578=1,AS578=-1,AT578=1),2,IF(AND(AO578=-1,AS578=1,AT578=-1),-2,IF(AND(AS578=1,AT578=1),2,IF(AND(AS578=-1,AT578=-1),-2,"ND"))))))</f>
        <v>3</v>
      </c>
      <c r="AZ578" t="str">
        <f t="shared" ref="AZ578:AZ641" si="109">IFERROR(IF(AV578=6,"YSRCP HardCore",IF(AV578=-6,"TDP HardCore",IF(AW578&gt;=4,"YSRCP Sympathiser",IF(AW578&lt;=-4,"TDP Sympathiser",IF(AX578&gt;=3,"YSRCP Sympathiser",IF(AX578&lt;=-3,"TDP Sympathiser",IF(AY578="ND","ND",IF(AY578&gt;=2,"Neutral YSRCP",IF(AY578&lt;=-2,"Neutral TDP",0))))))))),"ND")</f>
        <v>YSRCP HardCore</v>
      </c>
    </row>
    <row r="579" spans="1:52" x14ac:dyDescent="0.3">
      <c r="A579" t="s">
        <v>4017</v>
      </c>
      <c r="B579" s="94">
        <v>46046</v>
      </c>
      <c r="C579" t="s">
        <v>3601</v>
      </c>
      <c r="D579" t="s">
        <v>3602</v>
      </c>
      <c r="E579" t="s">
        <v>3119</v>
      </c>
      <c r="F579" t="s">
        <v>935</v>
      </c>
      <c r="G579" t="s">
        <v>39</v>
      </c>
      <c r="H579" t="s">
        <v>4018</v>
      </c>
      <c r="I579" t="s">
        <v>168</v>
      </c>
      <c r="J579" t="s">
        <v>203</v>
      </c>
      <c r="K579" t="s">
        <v>208</v>
      </c>
      <c r="L579" t="s">
        <v>62</v>
      </c>
      <c r="M579" t="s">
        <v>51</v>
      </c>
      <c r="N579" t="s">
        <v>52</v>
      </c>
      <c r="O579" t="s">
        <v>680</v>
      </c>
      <c r="P579">
        <v>9999999999</v>
      </c>
      <c r="Q579" t="s">
        <v>54</v>
      </c>
      <c r="R579" t="s">
        <v>2116</v>
      </c>
      <c r="S579" t="s">
        <v>43</v>
      </c>
      <c r="T579" t="s">
        <v>43</v>
      </c>
      <c r="U579" t="s">
        <v>44</v>
      </c>
      <c r="V579" t="s">
        <v>91</v>
      </c>
      <c r="W579" t="s">
        <v>5051</v>
      </c>
      <c r="X579" t="s">
        <v>45</v>
      </c>
      <c r="Y579" t="s">
        <v>46</v>
      </c>
      <c r="Z579" t="s">
        <v>47</v>
      </c>
      <c r="AA579" t="s">
        <v>48</v>
      </c>
      <c r="AB579" t="s">
        <v>49</v>
      </c>
      <c r="AC579" t="s">
        <v>49</v>
      </c>
      <c r="AD579">
        <v>0</v>
      </c>
      <c r="AE579" t="s">
        <v>185</v>
      </c>
      <c r="AF579">
        <v>0</v>
      </c>
      <c r="AG579" t="s">
        <v>196</v>
      </c>
      <c r="AH579" s="93">
        <f>VLOOKUP(Table1[[#This Row],[Caste]],Factor!$H$1:$K$13,4,0)</f>
        <v>1.0478809952686368</v>
      </c>
      <c r="AI57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79">
        <f>Table1[[#This Row],[Factor_1]]*Table1[[#This Row],[2024 Factor]]</f>
        <v>0.8266624780172348</v>
      </c>
      <c r="AK579">
        <f>VLOOKUP(Table1[[#This Row],[Q18: Gender]],Factor!$A$33:$E$35,5,0)</f>
        <v>0.85034013605442171</v>
      </c>
      <c r="AL579">
        <f>VLOOKUP(Table1[[#This Row],[Taluka]],Factor!$A$42:$G$46,7,0)</f>
        <v>1.9264642089343564</v>
      </c>
      <c r="AM579">
        <f>VLOOKUP(Table1[[#This Row],[Caste]]&amp;Table1[[#This Row],[Q18: Gender]],Factor!$W$1:$X$23,2,0)</f>
        <v>0.7657591888501577</v>
      </c>
      <c r="AN579">
        <f>VLOOKUP(Table1[[#This Row],[Taluka]]&amp;Table1[[#This Row],[Caste]]&amp;Table1[[#This Row],[Q18: Gender]],Factor!$AK$4:$AL$93,2,0)</f>
        <v>1.0292032177577444</v>
      </c>
      <c r="AO579">
        <f t="shared" si="99"/>
        <v>-1</v>
      </c>
      <c r="AP579">
        <f t="shared" si="100"/>
        <v>-1</v>
      </c>
      <c r="AQ579">
        <f t="shared" si="101"/>
        <v>1</v>
      </c>
      <c r="AR579">
        <f t="shared" si="102"/>
        <v>-1</v>
      </c>
      <c r="AS579">
        <f t="shared" si="103"/>
        <v>-1</v>
      </c>
      <c r="AT579">
        <f t="shared" si="104"/>
        <v>-1</v>
      </c>
      <c r="AU579">
        <f t="shared" si="105"/>
        <v>-3.5</v>
      </c>
      <c r="AV579">
        <f>SUM(Table1[[#This Row],[Satis]:[29]])</f>
        <v>-4</v>
      </c>
      <c r="AW579">
        <f t="shared" si="106"/>
        <v>-3</v>
      </c>
      <c r="AX579">
        <f t="shared" si="107"/>
        <v>-2</v>
      </c>
      <c r="AY579">
        <f t="shared" si="108"/>
        <v>-3</v>
      </c>
      <c r="AZ579" t="str">
        <f t="shared" si="109"/>
        <v>Neutral TDP</v>
      </c>
    </row>
    <row r="580" spans="1:52" x14ac:dyDescent="0.3">
      <c r="A580" t="s">
        <v>3350</v>
      </c>
      <c r="B580" s="94">
        <v>46046</v>
      </c>
      <c r="C580" t="s">
        <v>3351</v>
      </c>
      <c r="D580" t="s">
        <v>3352</v>
      </c>
      <c r="E580" t="s">
        <v>3353</v>
      </c>
      <c r="F580" t="s">
        <v>35</v>
      </c>
      <c r="G580" t="s">
        <v>39</v>
      </c>
      <c r="H580" t="s">
        <v>3354</v>
      </c>
      <c r="I580" t="s">
        <v>70</v>
      </c>
      <c r="J580" t="s">
        <v>71</v>
      </c>
      <c r="K580" t="s">
        <v>217</v>
      </c>
      <c r="L580" t="s">
        <v>82</v>
      </c>
      <c r="M580" t="s">
        <v>51</v>
      </c>
      <c r="N580" t="s">
        <v>52</v>
      </c>
      <c r="O580" t="s">
        <v>3355</v>
      </c>
      <c r="P580">
        <v>0</v>
      </c>
      <c r="Q580" t="s">
        <v>54</v>
      </c>
      <c r="R580" t="s">
        <v>139</v>
      </c>
      <c r="S580" t="s">
        <v>43</v>
      </c>
      <c r="T580" t="s">
        <v>43</v>
      </c>
      <c r="U580" t="s">
        <v>44</v>
      </c>
      <c r="V580" t="s">
        <v>45</v>
      </c>
      <c r="W580" t="s">
        <v>5104</v>
      </c>
      <c r="X580" t="s">
        <v>45</v>
      </c>
      <c r="Y580" t="s">
        <v>46</v>
      </c>
      <c r="Z580" t="s">
        <v>47</v>
      </c>
      <c r="AA580" t="s">
        <v>48</v>
      </c>
      <c r="AB580" t="s">
        <v>49</v>
      </c>
      <c r="AC580" t="s">
        <v>49</v>
      </c>
      <c r="AD580" t="s">
        <v>481</v>
      </c>
      <c r="AE580" t="s">
        <v>189</v>
      </c>
      <c r="AF580" t="s">
        <v>2977</v>
      </c>
      <c r="AG580" t="s">
        <v>196</v>
      </c>
      <c r="AH580" s="93">
        <f>VLOOKUP(Table1[[#This Row],[Caste]],Factor!$H$1:$K$13,4,0)</f>
        <v>1.3836274505214585</v>
      </c>
      <c r="AI58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80">
        <f>Table1[[#This Row],[Factor_1]]*Table1[[#This Row],[2024 Factor]]</f>
        <v>1.1648410586678206</v>
      </c>
      <c r="AK580">
        <f>VLOOKUP(Table1[[#This Row],[Q18: Gender]],Factor!$A$33:$E$35,5,0)</f>
        <v>0.85034013605442171</v>
      </c>
      <c r="AL580">
        <f>VLOOKUP(Table1[[#This Row],[Taluka]],Factor!$A$42:$G$46,7,0)</f>
        <v>1.1213131007097483</v>
      </c>
      <c r="AM580">
        <f>VLOOKUP(Table1[[#This Row],[Caste]]&amp;Table1[[#This Row],[Q18: Gender]],Factor!$W$1:$X$23,2,0)</f>
        <v>1.0790228998469584</v>
      </c>
      <c r="AN580">
        <f>VLOOKUP(Table1[[#This Row],[Taluka]]&amp;Table1[[#This Row],[Caste]]&amp;Table1[[#This Row],[Q18: Gender]],Factor!$AK$4:$AL$93,2,0)</f>
        <v>0.90933567693352424</v>
      </c>
      <c r="AO580">
        <f t="shared" si="99"/>
        <v>-1</v>
      </c>
      <c r="AP580">
        <f t="shared" si="100"/>
        <v>-1</v>
      </c>
      <c r="AQ580">
        <f t="shared" si="101"/>
        <v>-1</v>
      </c>
      <c r="AR580">
        <f t="shared" si="102"/>
        <v>-1</v>
      </c>
      <c r="AS580">
        <f t="shared" si="103"/>
        <v>-1</v>
      </c>
      <c r="AT580">
        <f t="shared" si="104"/>
        <v>-1</v>
      </c>
      <c r="AU580">
        <f t="shared" si="105"/>
        <v>-5.5</v>
      </c>
      <c r="AV580">
        <f>SUM(Table1[[#This Row],[Satis]:[29]])</f>
        <v>-6</v>
      </c>
      <c r="AW580">
        <f t="shared" si="106"/>
        <v>-5</v>
      </c>
      <c r="AX580">
        <f t="shared" si="107"/>
        <v>-4</v>
      </c>
      <c r="AY580">
        <f t="shared" si="108"/>
        <v>-3</v>
      </c>
      <c r="AZ580" t="str">
        <f t="shared" si="109"/>
        <v>TDP HardCore</v>
      </c>
    </row>
    <row r="581" spans="1:52" x14ac:dyDescent="0.3">
      <c r="A581" t="s">
        <v>3968</v>
      </c>
      <c r="B581" s="94">
        <v>46046</v>
      </c>
      <c r="C581" t="s">
        <v>3969</v>
      </c>
      <c r="D581" t="s">
        <v>3602</v>
      </c>
      <c r="E581" t="s">
        <v>3119</v>
      </c>
      <c r="F581" t="s">
        <v>935</v>
      </c>
      <c r="G581" t="s">
        <v>39</v>
      </c>
      <c r="H581" t="s">
        <v>3970</v>
      </c>
      <c r="I581" t="s">
        <v>168</v>
      </c>
      <c r="J581" t="s">
        <v>203</v>
      </c>
      <c r="K581" t="s">
        <v>208</v>
      </c>
      <c r="L581" t="s">
        <v>62</v>
      </c>
      <c r="M581" t="s">
        <v>51</v>
      </c>
      <c r="N581" t="s">
        <v>52</v>
      </c>
      <c r="O581" t="s">
        <v>680</v>
      </c>
      <c r="P581">
        <v>9999999999</v>
      </c>
      <c r="Q581" t="s">
        <v>54</v>
      </c>
      <c r="R581" t="s">
        <v>2116</v>
      </c>
      <c r="S581" t="s">
        <v>43</v>
      </c>
      <c r="T581" t="s">
        <v>43</v>
      </c>
      <c r="U581" t="s">
        <v>44</v>
      </c>
      <c r="V581" t="s">
        <v>91</v>
      </c>
      <c r="W581" t="s">
        <v>5051</v>
      </c>
      <c r="X581" t="s">
        <v>45</v>
      </c>
      <c r="Y581" t="s">
        <v>46</v>
      </c>
      <c r="Z581" t="s">
        <v>47</v>
      </c>
      <c r="AA581" t="s">
        <v>48</v>
      </c>
      <c r="AB581" t="s">
        <v>49</v>
      </c>
      <c r="AC581" t="s">
        <v>49</v>
      </c>
      <c r="AD581">
        <v>0</v>
      </c>
      <c r="AE581" t="s">
        <v>185</v>
      </c>
      <c r="AF581">
        <v>0</v>
      </c>
      <c r="AG581" t="s">
        <v>196</v>
      </c>
      <c r="AH581" s="93">
        <f>VLOOKUP(Table1[[#This Row],[Caste]],Factor!$H$1:$K$13,4,0)</f>
        <v>1.0478809952686368</v>
      </c>
      <c r="AI58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81">
        <f>Table1[[#This Row],[Factor_1]]*Table1[[#This Row],[2024 Factor]]</f>
        <v>0.8266624780172348</v>
      </c>
      <c r="AK581">
        <f>VLOOKUP(Table1[[#This Row],[Q18: Gender]],Factor!$A$33:$E$35,5,0)</f>
        <v>0.85034013605442171</v>
      </c>
      <c r="AL581">
        <f>VLOOKUP(Table1[[#This Row],[Taluka]],Factor!$A$42:$G$46,7,0)</f>
        <v>1.9264642089343564</v>
      </c>
      <c r="AM581">
        <f>VLOOKUP(Table1[[#This Row],[Caste]]&amp;Table1[[#This Row],[Q18: Gender]],Factor!$W$1:$X$23,2,0)</f>
        <v>0.7657591888501577</v>
      </c>
      <c r="AN581">
        <f>VLOOKUP(Table1[[#This Row],[Taluka]]&amp;Table1[[#This Row],[Caste]]&amp;Table1[[#This Row],[Q18: Gender]],Factor!$AK$4:$AL$93,2,0)</f>
        <v>1.0292032177577444</v>
      </c>
      <c r="AO581">
        <f t="shared" si="99"/>
        <v>-1</v>
      </c>
      <c r="AP581">
        <f t="shared" si="100"/>
        <v>-1</v>
      </c>
      <c r="AQ581">
        <f t="shared" si="101"/>
        <v>1</v>
      </c>
      <c r="AR581">
        <f t="shared" si="102"/>
        <v>-1</v>
      </c>
      <c r="AS581">
        <f t="shared" si="103"/>
        <v>-1</v>
      </c>
      <c r="AT581">
        <f t="shared" si="104"/>
        <v>-1</v>
      </c>
      <c r="AU581">
        <f t="shared" si="105"/>
        <v>-3.5</v>
      </c>
      <c r="AV581">
        <f>SUM(Table1[[#This Row],[Satis]:[29]])</f>
        <v>-4</v>
      </c>
      <c r="AW581">
        <f t="shared" si="106"/>
        <v>-3</v>
      </c>
      <c r="AX581">
        <f t="shared" si="107"/>
        <v>-2</v>
      </c>
      <c r="AY581">
        <f t="shared" si="108"/>
        <v>-3</v>
      </c>
      <c r="AZ581" t="str">
        <f t="shared" si="109"/>
        <v>Neutral TDP</v>
      </c>
    </row>
    <row r="582" spans="1:52" x14ac:dyDescent="0.3">
      <c r="A582" t="s">
        <v>3338</v>
      </c>
      <c r="B582" s="94">
        <v>46046</v>
      </c>
      <c r="C582" t="s">
        <v>3339</v>
      </c>
      <c r="D582" t="s">
        <v>3340</v>
      </c>
      <c r="E582" t="s">
        <v>3119</v>
      </c>
      <c r="F582" t="s">
        <v>935</v>
      </c>
      <c r="G582" t="s">
        <v>39</v>
      </c>
      <c r="H582" t="s">
        <v>3341</v>
      </c>
      <c r="I582" t="s">
        <v>159</v>
      </c>
      <c r="J582" t="s">
        <v>203</v>
      </c>
      <c r="K582" t="s">
        <v>208</v>
      </c>
      <c r="L582" t="s">
        <v>62</v>
      </c>
      <c r="M582" t="s">
        <v>51</v>
      </c>
      <c r="N582" t="s">
        <v>107</v>
      </c>
      <c r="O582" t="s">
        <v>3342</v>
      </c>
      <c r="P582">
        <v>9494753674</v>
      </c>
      <c r="Q582" t="s">
        <v>54</v>
      </c>
      <c r="R582" t="s">
        <v>61</v>
      </c>
      <c r="S582" t="s">
        <v>43</v>
      </c>
      <c r="T582" t="s">
        <v>43</v>
      </c>
      <c r="U582" t="s">
        <v>44</v>
      </c>
      <c r="V582" t="s">
        <v>45</v>
      </c>
      <c r="W582" t="s">
        <v>5105</v>
      </c>
      <c r="X582" t="s">
        <v>91</v>
      </c>
      <c r="Y582" t="s">
        <v>46</v>
      </c>
      <c r="Z582" t="s">
        <v>47</v>
      </c>
      <c r="AA582" t="s">
        <v>48</v>
      </c>
      <c r="AB582" t="s">
        <v>49</v>
      </c>
      <c r="AC582" t="s">
        <v>49</v>
      </c>
      <c r="AD582" t="s">
        <v>494</v>
      </c>
      <c r="AE582" t="s">
        <v>185</v>
      </c>
      <c r="AF582">
        <v>0</v>
      </c>
      <c r="AG582" t="s">
        <v>196</v>
      </c>
      <c r="AH582" s="93">
        <f>VLOOKUP(Table1[[#This Row],[Caste]],Factor!$H$1:$K$13,4,0)</f>
        <v>2.1852575402829908</v>
      </c>
      <c r="AI58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82">
        <f>Table1[[#This Row],[Factor_1]]*Table1[[#This Row],[2024 Factor]]</f>
        <v>1.7037641797963405</v>
      </c>
      <c r="AK582">
        <f>VLOOKUP(Table1[[#This Row],[Q18: Gender]],Factor!$A$33:$E$35,5,0)</f>
        <v>0.85034013605442171</v>
      </c>
      <c r="AL582">
        <f>VLOOKUP(Table1[[#This Row],[Taluka]],Factor!$A$42:$G$46,7,0)</f>
        <v>1.9264642089343564</v>
      </c>
      <c r="AM582">
        <f>VLOOKUP(Table1[[#This Row],[Caste]]&amp;Table1[[#This Row],[Q18: Gender]],Factor!$W$1:$X$23,2,0)</f>
        <v>1.5782415568710491</v>
      </c>
      <c r="AN582">
        <f>VLOOKUP(Table1[[#This Row],[Taluka]]&amp;Table1[[#This Row],[Caste]]&amp;Table1[[#This Row],[Q18: Gender]],Factor!$AK$4:$AL$93,2,0)</f>
        <v>0.88111541781135172</v>
      </c>
      <c r="AO582">
        <f t="shared" si="99"/>
        <v>-1</v>
      </c>
      <c r="AP582">
        <f t="shared" si="100"/>
        <v>-1</v>
      </c>
      <c r="AQ582">
        <f t="shared" si="101"/>
        <v>-1</v>
      </c>
      <c r="AR582">
        <f t="shared" si="102"/>
        <v>1</v>
      </c>
      <c r="AS582">
        <f t="shared" si="103"/>
        <v>-1</v>
      </c>
      <c r="AT582">
        <f t="shared" si="104"/>
        <v>-1</v>
      </c>
      <c r="AU582">
        <f t="shared" si="105"/>
        <v>-3.5</v>
      </c>
      <c r="AV582">
        <f>SUM(Table1[[#This Row],[Satis]:[29]])</f>
        <v>-4</v>
      </c>
      <c r="AW582">
        <f t="shared" si="106"/>
        <v>-3</v>
      </c>
      <c r="AX582">
        <f t="shared" si="107"/>
        <v>-2</v>
      </c>
      <c r="AY582">
        <f t="shared" si="108"/>
        <v>-3</v>
      </c>
      <c r="AZ582" t="str">
        <f t="shared" si="109"/>
        <v>Neutral TDP</v>
      </c>
    </row>
    <row r="583" spans="1:52" x14ac:dyDescent="0.3">
      <c r="A583" t="s">
        <v>3874</v>
      </c>
      <c r="B583" s="94">
        <v>46046</v>
      </c>
      <c r="C583" t="s">
        <v>3875</v>
      </c>
      <c r="D583" t="s">
        <v>3876</v>
      </c>
      <c r="E583" t="s">
        <v>3715</v>
      </c>
      <c r="F583" t="s">
        <v>69</v>
      </c>
      <c r="G583" t="s">
        <v>39</v>
      </c>
      <c r="H583" t="s">
        <v>3877</v>
      </c>
      <c r="I583" t="s">
        <v>59</v>
      </c>
      <c r="J583" t="s">
        <v>203</v>
      </c>
      <c r="K583" t="s">
        <v>203</v>
      </c>
      <c r="L583" t="s">
        <v>62</v>
      </c>
      <c r="M583" t="s">
        <v>51</v>
      </c>
      <c r="N583" t="s">
        <v>162</v>
      </c>
      <c r="O583" t="s">
        <v>3878</v>
      </c>
      <c r="P583">
        <v>9542696179</v>
      </c>
      <c r="Q583" t="s">
        <v>54</v>
      </c>
      <c r="R583" t="s">
        <v>2116</v>
      </c>
      <c r="S583" t="s">
        <v>43</v>
      </c>
      <c r="T583" t="s">
        <v>43</v>
      </c>
      <c r="U583" t="s">
        <v>44</v>
      </c>
      <c r="V583" t="s">
        <v>45</v>
      </c>
      <c r="W583" t="s">
        <v>5042</v>
      </c>
      <c r="X583" t="s">
        <v>45</v>
      </c>
      <c r="Y583" t="s">
        <v>46</v>
      </c>
      <c r="Z583" t="s">
        <v>47</v>
      </c>
      <c r="AA583" t="s">
        <v>48</v>
      </c>
      <c r="AB583" t="s">
        <v>49</v>
      </c>
      <c r="AC583" t="s">
        <v>49</v>
      </c>
      <c r="AD583" t="s">
        <v>494</v>
      </c>
      <c r="AE583" t="s">
        <v>185</v>
      </c>
      <c r="AF583">
        <v>0</v>
      </c>
      <c r="AG583" t="s">
        <v>196</v>
      </c>
      <c r="AH583" s="93">
        <f>VLOOKUP(Table1[[#This Row],[Caste]],Factor!$H$1:$K$13,4,0)</f>
        <v>1.1461625511156397</v>
      </c>
      <c r="AI58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83">
        <f>Table1[[#This Row],[Factor_1]]*Table1[[#This Row],[2024 Factor]]</f>
        <v>0.77721139583220644</v>
      </c>
      <c r="AK583">
        <f>VLOOKUP(Table1[[#This Row],[Q18: Gender]],Factor!$A$33:$E$35,5,0)</f>
        <v>0.85034013605442171</v>
      </c>
      <c r="AL583">
        <f>VLOOKUP(Table1[[#This Row],[Taluka]],Factor!$A$42:$G$46,7,0)</f>
        <v>1.9264642089343564</v>
      </c>
      <c r="AM583">
        <f>VLOOKUP(Table1[[#This Row],[Caste]]&amp;Table1[[#This Row],[Q18: Gender]],Factor!$W$1:$X$23,2,0)</f>
        <v>0.71995135120329123</v>
      </c>
      <c r="AN583">
        <f>VLOOKUP(Table1[[#This Row],[Taluka]]&amp;Table1[[#This Row],[Caste]]&amp;Table1[[#This Row],[Q18: Gender]],Factor!$AK$4:$AL$93,2,0)</f>
        <v>0.70534647283248642</v>
      </c>
      <c r="AO583">
        <f t="shared" si="99"/>
        <v>-1</v>
      </c>
      <c r="AP583">
        <f t="shared" si="100"/>
        <v>-1</v>
      </c>
      <c r="AQ583">
        <f t="shared" si="101"/>
        <v>-1</v>
      </c>
      <c r="AR583">
        <f t="shared" si="102"/>
        <v>-1</v>
      </c>
      <c r="AS583">
        <f t="shared" si="103"/>
        <v>-1</v>
      </c>
      <c r="AT583">
        <f t="shared" si="104"/>
        <v>-1</v>
      </c>
      <c r="AU583">
        <f t="shared" si="105"/>
        <v>-5.5</v>
      </c>
      <c r="AV583">
        <f>SUM(Table1[[#This Row],[Satis]:[29]])</f>
        <v>-6</v>
      </c>
      <c r="AW583">
        <f t="shared" si="106"/>
        <v>-5</v>
      </c>
      <c r="AX583">
        <f t="shared" si="107"/>
        <v>-4</v>
      </c>
      <c r="AY583">
        <f t="shared" si="108"/>
        <v>-3</v>
      </c>
      <c r="AZ583" t="str">
        <f t="shared" si="109"/>
        <v>TDP HardCore</v>
      </c>
    </row>
    <row r="584" spans="1:52" x14ac:dyDescent="0.3">
      <c r="A584" t="s">
        <v>3369</v>
      </c>
      <c r="B584" s="94">
        <v>46046</v>
      </c>
      <c r="C584" t="s">
        <v>3370</v>
      </c>
      <c r="D584" t="s">
        <v>3371</v>
      </c>
      <c r="E584" t="s">
        <v>3372</v>
      </c>
      <c r="F584" t="s">
        <v>2547</v>
      </c>
      <c r="G584" t="s">
        <v>39</v>
      </c>
      <c r="H584" t="s">
        <v>3373</v>
      </c>
      <c r="I584" t="s">
        <v>59</v>
      </c>
      <c r="J584" t="s">
        <v>203</v>
      </c>
      <c r="K584" t="s">
        <v>204</v>
      </c>
      <c r="L584" t="s">
        <v>50</v>
      </c>
      <c r="M584" t="s">
        <v>51</v>
      </c>
      <c r="N584" t="s">
        <v>63</v>
      </c>
      <c r="O584" t="s">
        <v>2133</v>
      </c>
      <c r="P584">
        <v>9491384443</v>
      </c>
      <c r="Q584" t="s">
        <v>54</v>
      </c>
      <c r="R584" t="s">
        <v>132</v>
      </c>
      <c r="S584" t="s">
        <v>43</v>
      </c>
      <c r="T584" t="s">
        <v>43</v>
      </c>
      <c r="U584" t="s">
        <v>44</v>
      </c>
      <c r="V584" t="s">
        <v>45</v>
      </c>
      <c r="W584" t="s">
        <v>5102</v>
      </c>
      <c r="X584" t="s">
        <v>45</v>
      </c>
      <c r="Y584" t="s">
        <v>46</v>
      </c>
      <c r="Z584" t="s">
        <v>242</v>
      </c>
      <c r="AA584" t="s">
        <v>242</v>
      </c>
      <c r="AB584" t="s">
        <v>49</v>
      </c>
      <c r="AC584" t="s">
        <v>49</v>
      </c>
      <c r="AD584" t="s">
        <v>494</v>
      </c>
      <c r="AE584" t="s">
        <v>189</v>
      </c>
      <c r="AF584" t="s">
        <v>4093</v>
      </c>
      <c r="AG584" t="s">
        <v>196</v>
      </c>
      <c r="AH584" s="93">
        <f>VLOOKUP(Table1[[#This Row],[Caste]],Factor!$H$1:$K$13,4,0)</f>
        <v>1.1461625511156397</v>
      </c>
      <c r="AI584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584">
        <f>Table1[[#This Row],[Factor_1]]*Table1[[#This Row],[2024 Factor]]</f>
        <v>0.47627550925756229</v>
      </c>
      <c r="AK584">
        <f>VLOOKUP(Table1[[#This Row],[Q18: Gender]],Factor!$A$33:$E$35,5,0)</f>
        <v>0.85034013605442171</v>
      </c>
      <c r="AL584">
        <f>VLOOKUP(Table1[[#This Row],[Taluka]],Factor!$A$42:$G$46,7,0)</f>
        <v>1.9264642089343564</v>
      </c>
      <c r="AM584">
        <f>VLOOKUP(Table1[[#This Row],[Caste]]&amp;Table1[[#This Row],[Q18: Gender]],Factor!$W$1:$X$23,2,0)</f>
        <v>0.71995135120329123</v>
      </c>
      <c r="AN584">
        <f>VLOOKUP(Table1[[#This Row],[Taluka]]&amp;Table1[[#This Row],[Caste]]&amp;Table1[[#This Row],[Q18: Gender]],Factor!$AK$4:$AL$93,2,0)</f>
        <v>0.70534647283248642</v>
      </c>
      <c r="AO584">
        <f t="shared" si="99"/>
        <v>-1</v>
      </c>
      <c r="AP584">
        <f t="shared" si="100"/>
        <v>-1</v>
      </c>
      <c r="AQ584">
        <f t="shared" si="101"/>
        <v>-1</v>
      </c>
      <c r="AR584">
        <f t="shared" si="102"/>
        <v>-1</v>
      </c>
      <c r="AS584">
        <f t="shared" si="103"/>
        <v>-1</v>
      </c>
      <c r="AT584">
        <f t="shared" si="104"/>
        <v>-1</v>
      </c>
      <c r="AU584">
        <f t="shared" si="105"/>
        <v>-5.5</v>
      </c>
      <c r="AV584">
        <f>SUM(Table1[[#This Row],[Satis]:[29]])</f>
        <v>-6</v>
      </c>
      <c r="AW584">
        <f t="shared" si="106"/>
        <v>-5</v>
      </c>
      <c r="AX584">
        <f t="shared" si="107"/>
        <v>-4</v>
      </c>
      <c r="AY584">
        <f t="shared" si="108"/>
        <v>-3</v>
      </c>
      <c r="AZ584" t="str">
        <f t="shared" si="109"/>
        <v>TDP HardCore</v>
      </c>
    </row>
    <row r="585" spans="1:52" x14ac:dyDescent="0.3">
      <c r="A585" t="s">
        <v>3207</v>
      </c>
      <c r="B585" s="94">
        <v>46046</v>
      </c>
      <c r="C585" t="s">
        <v>3208</v>
      </c>
      <c r="D585" t="s">
        <v>3209</v>
      </c>
      <c r="E585" t="s">
        <v>3210</v>
      </c>
      <c r="F585" t="s">
        <v>69</v>
      </c>
      <c r="G585" t="s">
        <v>39</v>
      </c>
      <c r="H585" t="s">
        <v>3211</v>
      </c>
      <c r="I585" t="s">
        <v>59</v>
      </c>
      <c r="J585" t="s">
        <v>203</v>
      </c>
      <c r="K585" t="s">
        <v>203</v>
      </c>
      <c r="L585" t="s">
        <v>50</v>
      </c>
      <c r="M585" t="s">
        <v>51</v>
      </c>
      <c r="N585" t="s">
        <v>52</v>
      </c>
      <c r="O585" t="s">
        <v>3212</v>
      </c>
      <c r="P585">
        <v>9951280292</v>
      </c>
      <c r="Q585" t="s">
        <v>54</v>
      </c>
      <c r="R585" t="s">
        <v>132</v>
      </c>
      <c r="S585" t="s">
        <v>43</v>
      </c>
      <c r="T585" t="s">
        <v>43</v>
      </c>
      <c r="U585" t="s">
        <v>44</v>
      </c>
      <c r="V585" t="s">
        <v>45</v>
      </c>
      <c r="W585" t="s">
        <v>5050</v>
      </c>
      <c r="X585" t="s">
        <v>45</v>
      </c>
      <c r="Y585" t="s">
        <v>46</v>
      </c>
      <c r="Z585" t="s">
        <v>47</v>
      </c>
      <c r="AA585" t="s">
        <v>48</v>
      </c>
      <c r="AB585" t="s">
        <v>49</v>
      </c>
      <c r="AC585" t="s">
        <v>49</v>
      </c>
      <c r="AD585" t="s">
        <v>184</v>
      </c>
      <c r="AE585" t="s">
        <v>185</v>
      </c>
      <c r="AF585">
        <v>0</v>
      </c>
      <c r="AG585" t="s">
        <v>196</v>
      </c>
      <c r="AH585" s="93">
        <f>VLOOKUP(Table1[[#This Row],[Caste]],Factor!$H$1:$K$13,4,0)</f>
        <v>1.1461625511156397</v>
      </c>
      <c r="AI58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85">
        <f>Table1[[#This Row],[Factor_1]]*Table1[[#This Row],[2024 Factor]]</f>
        <v>0.77721139583220644</v>
      </c>
      <c r="AK585">
        <f>VLOOKUP(Table1[[#This Row],[Q18: Gender]],Factor!$A$33:$E$35,5,0)</f>
        <v>0.85034013605442171</v>
      </c>
      <c r="AL585">
        <f>VLOOKUP(Table1[[#This Row],[Taluka]],Factor!$A$42:$G$46,7,0)</f>
        <v>1.9264642089343564</v>
      </c>
      <c r="AM585">
        <f>VLOOKUP(Table1[[#This Row],[Caste]]&amp;Table1[[#This Row],[Q18: Gender]],Factor!$W$1:$X$23,2,0)</f>
        <v>0.71995135120329123</v>
      </c>
      <c r="AN585">
        <f>VLOOKUP(Table1[[#This Row],[Taluka]]&amp;Table1[[#This Row],[Caste]]&amp;Table1[[#This Row],[Q18: Gender]],Factor!$AK$4:$AL$93,2,0)</f>
        <v>0.70534647283248642</v>
      </c>
      <c r="AO585">
        <f t="shared" si="99"/>
        <v>-1</v>
      </c>
      <c r="AP585">
        <f t="shared" si="100"/>
        <v>-1</v>
      </c>
      <c r="AQ585">
        <f t="shared" si="101"/>
        <v>-1</v>
      </c>
      <c r="AR585">
        <f t="shared" si="102"/>
        <v>-1</v>
      </c>
      <c r="AS585">
        <f t="shared" si="103"/>
        <v>-1</v>
      </c>
      <c r="AT585">
        <f t="shared" si="104"/>
        <v>-1</v>
      </c>
      <c r="AU585">
        <f t="shared" si="105"/>
        <v>-5.5</v>
      </c>
      <c r="AV585">
        <f>SUM(Table1[[#This Row],[Satis]:[29]])</f>
        <v>-6</v>
      </c>
      <c r="AW585">
        <f t="shared" si="106"/>
        <v>-5</v>
      </c>
      <c r="AX585">
        <f t="shared" si="107"/>
        <v>-4</v>
      </c>
      <c r="AY585">
        <f t="shared" si="108"/>
        <v>-3</v>
      </c>
      <c r="AZ585" t="str">
        <f t="shared" si="109"/>
        <v>TDP HardCore</v>
      </c>
    </row>
    <row r="586" spans="1:52" x14ac:dyDescent="0.3">
      <c r="A586" t="s">
        <v>3555</v>
      </c>
      <c r="B586" s="94">
        <v>46046</v>
      </c>
      <c r="C586" t="s">
        <v>3556</v>
      </c>
      <c r="D586" t="s">
        <v>3557</v>
      </c>
      <c r="E586" t="s">
        <v>3558</v>
      </c>
      <c r="F586" t="s">
        <v>2547</v>
      </c>
      <c r="G586" t="s">
        <v>39</v>
      </c>
      <c r="H586" t="s">
        <v>3559</v>
      </c>
      <c r="I586" t="s">
        <v>59</v>
      </c>
      <c r="J586" t="s">
        <v>203</v>
      </c>
      <c r="K586" t="s">
        <v>204</v>
      </c>
      <c r="L586" t="s">
        <v>62</v>
      </c>
      <c r="M586" t="s">
        <v>51</v>
      </c>
      <c r="N586" t="s">
        <v>107</v>
      </c>
      <c r="O586" t="s">
        <v>3560</v>
      </c>
      <c r="P586">
        <v>9000000000</v>
      </c>
      <c r="Q586" t="s">
        <v>54</v>
      </c>
      <c r="R586" t="s">
        <v>139</v>
      </c>
      <c r="S586" t="s">
        <v>89</v>
      </c>
      <c r="T586" t="s">
        <v>43</v>
      </c>
      <c r="U586" t="s">
        <v>44</v>
      </c>
      <c r="V586" t="s">
        <v>45</v>
      </c>
      <c r="W586" t="s">
        <v>5087</v>
      </c>
      <c r="X586" t="s">
        <v>45</v>
      </c>
      <c r="Y586" t="s">
        <v>46</v>
      </c>
      <c r="Z586" t="s">
        <v>47</v>
      </c>
      <c r="AA586" t="s">
        <v>48</v>
      </c>
      <c r="AB586" t="s">
        <v>49</v>
      </c>
      <c r="AC586" t="s">
        <v>49</v>
      </c>
      <c r="AD586" t="s">
        <v>184</v>
      </c>
      <c r="AE586" t="s">
        <v>185</v>
      </c>
      <c r="AF586">
        <v>0</v>
      </c>
      <c r="AG586" t="s">
        <v>196</v>
      </c>
      <c r="AH586" s="93">
        <f>VLOOKUP(Table1[[#This Row],[Caste]],Factor!$H$1:$K$13,4,0)</f>
        <v>1.1461625511156397</v>
      </c>
      <c r="AI58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86">
        <f>Table1[[#This Row],[Factor_1]]*Table1[[#This Row],[2024 Factor]]</f>
        <v>0.77721139583220644</v>
      </c>
      <c r="AK586">
        <f>VLOOKUP(Table1[[#This Row],[Q18: Gender]],Factor!$A$33:$E$35,5,0)</f>
        <v>0.85034013605442171</v>
      </c>
      <c r="AL586">
        <f>VLOOKUP(Table1[[#This Row],[Taluka]],Factor!$A$42:$G$46,7,0)</f>
        <v>1.9264642089343564</v>
      </c>
      <c r="AM586">
        <f>VLOOKUP(Table1[[#This Row],[Caste]]&amp;Table1[[#This Row],[Q18: Gender]],Factor!$W$1:$X$23,2,0)</f>
        <v>0.71995135120329123</v>
      </c>
      <c r="AN586">
        <f>VLOOKUP(Table1[[#This Row],[Taluka]]&amp;Table1[[#This Row],[Caste]]&amp;Table1[[#This Row],[Q18: Gender]],Factor!$AK$4:$AL$93,2,0)</f>
        <v>0.70534647283248642</v>
      </c>
      <c r="AO586">
        <f t="shared" si="99"/>
        <v>-1</v>
      </c>
      <c r="AP586">
        <f t="shared" si="100"/>
        <v>-1</v>
      </c>
      <c r="AQ586">
        <f t="shared" si="101"/>
        <v>-1</v>
      </c>
      <c r="AR586">
        <f t="shared" si="102"/>
        <v>-1</v>
      </c>
      <c r="AS586">
        <f t="shared" si="103"/>
        <v>-1</v>
      </c>
      <c r="AT586">
        <f t="shared" si="104"/>
        <v>-1</v>
      </c>
      <c r="AU586">
        <f t="shared" si="105"/>
        <v>-5.5</v>
      </c>
      <c r="AV586">
        <f>SUM(Table1[[#This Row],[Satis]:[29]])</f>
        <v>-6</v>
      </c>
      <c r="AW586">
        <f t="shared" si="106"/>
        <v>-5</v>
      </c>
      <c r="AX586">
        <f t="shared" si="107"/>
        <v>-4</v>
      </c>
      <c r="AY586">
        <f t="shared" si="108"/>
        <v>-3</v>
      </c>
      <c r="AZ586" t="str">
        <f t="shared" si="109"/>
        <v>TDP HardCore</v>
      </c>
    </row>
    <row r="587" spans="1:52" x14ac:dyDescent="0.3">
      <c r="A587" t="s">
        <v>3128</v>
      </c>
      <c r="B587" s="94">
        <v>46046</v>
      </c>
      <c r="C587" t="s">
        <v>3129</v>
      </c>
      <c r="D587" t="s">
        <v>3130</v>
      </c>
      <c r="E587" t="s">
        <v>3131</v>
      </c>
      <c r="F587" t="s">
        <v>69</v>
      </c>
      <c r="G587" t="s">
        <v>39</v>
      </c>
      <c r="H587" t="s">
        <v>3132</v>
      </c>
      <c r="I587" s="112" t="s">
        <v>59</v>
      </c>
      <c r="J587" t="s">
        <v>203</v>
      </c>
      <c r="K587" t="s">
        <v>203</v>
      </c>
      <c r="L587" t="s">
        <v>50</v>
      </c>
      <c r="M587" t="s">
        <v>51</v>
      </c>
      <c r="N587" t="s">
        <v>52</v>
      </c>
      <c r="O587" t="s">
        <v>1859</v>
      </c>
      <c r="P587">
        <v>9963753850</v>
      </c>
      <c r="Q587" t="s">
        <v>54</v>
      </c>
      <c r="R587" t="s">
        <v>2116</v>
      </c>
      <c r="S587" t="s">
        <v>43</v>
      </c>
      <c r="T587" t="s">
        <v>43</v>
      </c>
      <c r="U587" t="s">
        <v>44</v>
      </c>
      <c r="V587" t="s">
        <v>45</v>
      </c>
      <c r="W587" t="s">
        <v>5047</v>
      </c>
      <c r="X587" t="s">
        <v>45</v>
      </c>
      <c r="Y587" t="s">
        <v>46</v>
      </c>
      <c r="Z587" t="s">
        <v>47</v>
      </c>
      <c r="AA587" t="s">
        <v>48</v>
      </c>
      <c r="AB587" t="s">
        <v>49</v>
      </c>
      <c r="AC587" t="s">
        <v>49</v>
      </c>
      <c r="AD587" t="s">
        <v>494</v>
      </c>
      <c r="AE587" t="s">
        <v>185</v>
      </c>
      <c r="AF587" t="s">
        <v>4057</v>
      </c>
      <c r="AG587" t="s">
        <v>196</v>
      </c>
      <c r="AH587" s="93">
        <f>VLOOKUP(Table1[[#This Row],[Caste]],Factor!$H$1:$K$13,4,0)</f>
        <v>1.1461625511156397</v>
      </c>
      <c r="AI58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87">
        <f>Table1[[#This Row],[Factor_1]]*Table1[[#This Row],[2024 Factor]]</f>
        <v>0.77721139583220644</v>
      </c>
      <c r="AK587">
        <f>VLOOKUP(Table1[[#This Row],[Q18: Gender]],Factor!$A$33:$E$35,5,0)</f>
        <v>0.85034013605442171</v>
      </c>
      <c r="AL587">
        <f>VLOOKUP(Table1[[#This Row],[Taluka]],Factor!$A$42:$G$46,7,0)</f>
        <v>1.9264642089343564</v>
      </c>
      <c r="AM587">
        <f>VLOOKUP(Table1[[#This Row],[Caste]]&amp;Table1[[#This Row],[Q18: Gender]],Factor!$W$1:$X$23,2,0)</f>
        <v>0.71995135120329123</v>
      </c>
      <c r="AN587">
        <f>VLOOKUP(Table1[[#This Row],[Taluka]]&amp;Table1[[#This Row],[Caste]]&amp;Table1[[#This Row],[Q18: Gender]],Factor!$AK$4:$AL$93,2,0)</f>
        <v>0.70534647283248642</v>
      </c>
      <c r="AO587">
        <f t="shared" si="99"/>
        <v>-1</v>
      </c>
      <c r="AP587">
        <f t="shared" si="100"/>
        <v>-1</v>
      </c>
      <c r="AQ587">
        <f t="shared" si="101"/>
        <v>-1</v>
      </c>
      <c r="AR587">
        <f t="shared" si="102"/>
        <v>-1</v>
      </c>
      <c r="AS587">
        <f t="shared" si="103"/>
        <v>-1</v>
      </c>
      <c r="AT587">
        <f t="shared" si="104"/>
        <v>-1</v>
      </c>
      <c r="AU587">
        <f t="shared" si="105"/>
        <v>-5.5</v>
      </c>
      <c r="AV587">
        <f>SUM(Table1[[#This Row],[Satis]:[29]])</f>
        <v>-6</v>
      </c>
      <c r="AW587">
        <f t="shared" si="106"/>
        <v>-5</v>
      </c>
      <c r="AX587">
        <f t="shared" si="107"/>
        <v>-4</v>
      </c>
      <c r="AY587">
        <f t="shared" si="108"/>
        <v>-3</v>
      </c>
      <c r="AZ587" t="str">
        <f t="shared" si="109"/>
        <v>TDP HardCore</v>
      </c>
    </row>
    <row r="588" spans="1:52" x14ac:dyDescent="0.3">
      <c r="A588" t="s">
        <v>3788</v>
      </c>
      <c r="B588" s="94">
        <v>46046</v>
      </c>
      <c r="C588" t="s">
        <v>3789</v>
      </c>
      <c r="D588" t="s">
        <v>3790</v>
      </c>
      <c r="E588" t="s">
        <v>3791</v>
      </c>
      <c r="F588" t="s">
        <v>2547</v>
      </c>
      <c r="G588" t="s">
        <v>39</v>
      </c>
      <c r="H588" t="s">
        <v>3792</v>
      </c>
      <c r="I588" s="112" t="s">
        <v>145</v>
      </c>
      <c r="J588" t="s">
        <v>203</v>
      </c>
      <c r="K588" t="s">
        <v>204</v>
      </c>
      <c r="L588" t="s">
        <v>82</v>
      </c>
      <c r="M588" t="s">
        <v>51</v>
      </c>
      <c r="N588" t="s">
        <v>107</v>
      </c>
      <c r="O588" t="s">
        <v>3793</v>
      </c>
      <c r="P588">
        <v>7901492566</v>
      </c>
      <c r="Q588" t="s">
        <v>54</v>
      </c>
      <c r="R588" t="s">
        <v>132</v>
      </c>
      <c r="S588" t="s">
        <v>89</v>
      </c>
      <c r="T588" t="s">
        <v>43</v>
      </c>
      <c r="U588" t="s">
        <v>44</v>
      </c>
      <c r="V588" t="s">
        <v>45</v>
      </c>
      <c r="W588" t="s">
        <v>5087</v>
      </c>
      <c r="X588" t="s">
        <v>45</v>
      </c>
      <c r="Y588" t="s">
        <v>46</v>
      </c>
      <c r="Z588" t="s">
        <v>47</v>
      </c>
      <c r="AA588" t="s">
        <v>48</v>
      </c>
      <c r="AB588" t="s">
        <v>49</v>
      </c>
      <c r="AC588" t="s">
        <v>49</v>
      </c>
      <c r="AD588" t="s">
        <v>184</v>
      </c>
      <c r="AE588" t="s">
        <v>185</v>
      </c>
      <c r="AF588" t="s">
        <v>4077</v>
      </c>
      <c r="AG588" t="s">
        <v>196</v>
      </c>
      <c r="AH588" s="93">
        <f>VLOOKUP(Table1[[#This Row],[Caste]],Factor!$H$1:$K$13,4,0)</f>
        <v>1.8452248965186235</v>
      </c>
      <c r="AI58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88">
        <f>Table1[[#This Row],[Factor_1]]*Table1[[#This Row],[2024 Factor]]</f>
        <v>1.5651283704851411</v>
      </c>
      <c r="AK588">
        <f>VLOOKUP(Table1[[#This Row],[Q18: Gender]],Factor!$A$33:$E$35,5,0)</f>
        <v>0.85034013605442171</v>
      </c>
      <c r="AL588">
        <f>VLOOKUP(Table1[[#This Row],[Taluka]],Factor!$A$42:$G$46,7,0)</f>
        <v>1.9264642089343564</v>
      </c>
      <c r="AM588">
        <f>VLOOKUP(Table1[[#This Row],[Caste]]&amp;Table1[[#This Row],[Q18: Gender]],Factor!$W$1:$X$23,2,0)</f>
        <v>1.4498195615503471</v>
      </c>
      <c r="AN588">
        <f>VLOOKUP(Table1[[#This Row],[Taluka]]&amp;Table1[[#This Row],[Caste]]&amp;Table1[[#This Row],[Q18: Gender]],Factor!$AK$4:$AL$93,2,0)</f>
        <v>1.57386986628579</v>
      </c>
      <c r="AO588">
        <f t="shared" si="99"/>
        <v>-1</v>
      </c>
      <c r="AP588">
        <f t="shared" si="100"/>
        <v>-1</v>
      </c>
      <c r="AQ588">
        <f t="shared" si="101"/>
        <v>-1</v>
      </c>
      <c r="AR588">
        <f t="shared" si="102"/>
        <v>-1</v>
      </c>
      <c r="AS588">
        <f t="shared" si="103"/>
        <v>-1</v>
      </c>
      <c r="AT588">
        <f t="shared" si="104"/>
        <v>-1</v>
      </c>
      <c r="AU588">
        <f t="shared" si="105"/>
        <v>-5.5</v>
      </c>
      <c r="AV588">
        <f>SUM(Table1[[#This Row],[Satis]:[29]])</f>
        <v>-6</v>
      </c>
      <c r="AW588">
        <f t="shared" si="106"/>
        <v>-5</v>
      </c>
      <c r="AX588">
        <f t="shared" si="107"/>
        <v>-4</v>
      </c>
      <c r="AY588">
        <f t="shared" si="108"/>
        <v>-3</v>
      </c>
      <c r="AZ588" t="str">
        <f t="shared" si="109"/>
        <v>TDP HardCore</v>
      </c>
    </row>
    <row r="589" spans="1:52" x14ac:dyDescent="0.3">
      <c r="A589" t="s">
        <v>3294</v>
      </c>
      <c r="B589" s="94">
        <v>46046</v>
      </c>
      <c r="C589" t="s">
        <v>3295</v>
      </c>
      <c r="D589" t="s">
        <v>3296</v>
      </c>
      <c r="E589" t="s">
        <v>3297</v>
      </c>
      <c r="F589" t="s">
        <v>935</v>
      </c>
      <c r="G589" t="s">
        <v>39</v>
      </c>
      <c r="H589" t="s">
        <v>3298</v>
      </c>
      <c r="I589" t="s">
        <v>59</v>
      </c>
      <c r="J589" t="s">
        <v>203</v>
      </c>
      <c r="K589" t="s">
        <v>208</v>
      </c>
      <c r="L589" t="s">
        <v>82</v>
      </c>
      <c r="M589" t="s">
        <v>51</v>
      </c>
      <c r="N589" t="s">
        <v>52</v>
      </c>
      <c r="O589" t="s">
        <v>3299</v>
      </c>
      <c r="P589">
        <v>9949695565</v>
      </c>
      <c r="Q589" t="s">
        <v>54</v>
      </c>
      <c r="R589" t="s">
        <v>61</v>
      </c>
      <c r="S589" t="s">
        <v>89</v>
      </c>
      <c r="T589" t="s">
        <v>43</v>
      </c>
      <c r="U589" t="s">
        <v>44</v>
      </c>
      <c r="V589" t="s">
        <v>45</v>
      </c>
      <c r="W589" t="s">
        <v>5105</v>
      </c>
      <c r="X589" t="s">
        <v>45</v>
      </c>
      <c r="Y589" t="s">
        <v>46</v>
      </c>
      <c r="Z589" t="s">
        <v>47</v>
      </c>
      <c r="AA589" t="s">
        <v>48</v>
      </c>
      <c r="AB589" t="s">
        <v>49</v>
      </c>
      <c r="AC589" t="s">
        <v>49</v>
      </c>
      <c r="AD589" t="s">
        <v>184</v>
      </c>
      <c r="AE589" t="s">
        <v>185</v>
      </c>
      <c r="AF589">
        <v>0</v>
      </c>
      <c r="AG589" t="s">
        <v>196</v>
      </c>
      <c r="AH589" s="93">
        <f>VLOOKUP(Table1[[#This Row],[Caste]],Factor!$H$1:$K$13,4,0)</f>
        <v>1.1461625511156397</v>
      </c>
      <c r="AI58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89">
        <f>Table1[[#This Row],[Factor_1]]*Table1[[#This Row],[2024 Factor]]</f>
        <v>0.77721139583220644</v>
      </c>
      <c r="AK589">
        <f>VLOOKUP(Table1[[#This Row],[Q18: Gender]],Factor!$A$33:$E$35,5,0)</f>
        <v>0.85034013605442171</v>
      </c>
      <c r="AL589">
        <f>VLOOKUP(Table1[[#This Row],[Taluka]],Factor!$A$42:$G$46,7,0)</f>
        <v>1.9264642089343564</v>
      </c>
      <c r="AM589">
        <f>VLOOKUP(Table1[[#This Row],[Caste]]&amp;Table1[[#This Row],[Q18: Gender]],Factor!$W$1:$X$23,2,0)</f>
        <v>0.71995135120329123</v>
      </c>
      <c r="AN589">
        <f>VLOOKUP(Table1[[#This Row],[Taluka]]&amp;Table1[[#This Row],[Caste]]&amp;Table1[[#This Row],[Q18: Gender]],Factor!$AK$4:$AL$93,2,0)</f>
        <v>0.70534647283248642</v>
      </c>
      <c r="AO589">
        <f t="shared" si="99"/>
        <v>-1</v>
      </c>
      <c r="AP589">
        <f t="shared" si="100"/>
        <v>-1</v>
      </c>
      <c r="AQ589">
        <f t="shared" si="101"/>
        <v>-1</v>
      </c>
      <c r="AR589">
        <f t="shared" si="102"/>
        <v>-1</v>
      </c>
      <c r="AS589">
        <f t="shared" si="103"/>
        <v>-1</v>
      </c>
      <c r="AT589">
        <f t="shared" si="104"/>
        <v>-1</v>
      </c>
      <c r="AU589">
        <f t="shared" si="105"/>
        <v>-5.5</v>
      </c>
      <c r="AV589">
        <f>SUM(Table1[[#This Row],[Satis]:[29]])</f>
        <v>-6</v>
      </c>
      <c r="AW589">
        <f t="shared" si="106"/>
        <v>-5</v>
      </c>
      <c r="AX589">
        <f t="shared" si="107"/>
        <v>-4</v>
      </c>
      <c r="AY589">
        <f t="shared" si="108"/>
        <v>-3</v>
      </c>
      <c r="AZ589" t="str">
        <f t="shared" si="109"/>
        <v>TDP HardCore</v>
      </c>
    </row>
    <row r="590" spans="1:52" x14ac:dyDescent="0.3">
      <c r="A590" t="s">
        <v>3403</v>
      </c>
      <c r="B590" s="94">
        <v>46046</v>
      </c>
      <c r="C590" t="s">
        <v>3404</v>
      </c>
      <c r="D590" t="s">
        <v>3405</v>
      </c>
      <c r="E590" t="s">
        <v>3297</v>
      </c>
      <c r="F590" t="s">
        <v>935</v>
      </c>
      <c r="G590" t="s">
        <v>39</v>
      </c>
      <c r="H590" t="s">
        <v>3406</v>
      </c>
      <c r="I590" t="s">
        <v>59</v>
      </c>
      <c r="J590" t="s">
        <v>203</v>
      </c>
      <c r="K590" t="s">
        <v>208</v>
      </c>
      <c r="L590" t="s">
        <v>451</v>
      </c>
      <c r="M590" t="s">
        <v>51</v>
      </c>
      <c r="N590" t="s">
        <v>63</v>
      </c>
      <c r="O590" t="s">
        <v>3407</v>
      </c>
      <c r="P590">
        <v>9581436934</v>
      </c>
      <c r="Q590" t="s">
        <v>445</v>
      </c>
      <c r="R590" t="s">
        <v>132</v>
      </c>
      <c r="S590" t="s">
        <v>43</v>
      </c>
      <c r="T590" t="s">
        <v>43</v>
      </c>
      <c r="U590" t="s">
        <v>44</v>
      </c>
      <c r="V590" t="s">
        <v>45</v>
      </c>
      <c r="W590" t="s">
        <v>5058</v>
      </c>
      <c r="X590" t="s">
        <v>45</v>
      </c>
      <c r="Y590" t="s">
        <v>46</v>
      </c>
      <c r="Z590" t="s">
        <v>47</v>
      </c>
      <c r="AA590" t="s">
        <v>48</v>
      </c>
      <c r="AB590" t="s">
        <v>49</v>
      </c>
      <c r="AC590" t="s">
        <v>49</v>
      </c>
      <c r="AD590" t="s">
        <v>481</v>
      </c>
      <c r="AE590" t="s">
        <v>185</v>
      </c>
      <c r="AF590">
        <v>0</v>
      </c>
      <c r="AG590" t="s">
        <v>196</v>
      </c>
      <c r="AH590" s="93">
        <f>VLOOKUP(Table1[[#This Row],[Caste]],Factor!$H$1:$K$13,4,0)</f>
        <v>1.1461625511156397</v>
      </c>
      <c r="AI59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90">
        <f>Table1[[#This Row],[Factor_1]]*Table1[[#This Row],[2024 Factor]]</f>
        <v>3.0326483876590018</v>
      </c>
      <c r="AK590">
        <f>VLOOKUP(Table1[[#This Row],[Q18: Gender]],Factor!$A$33:$E$35,5,0)</f>
        <v>2.1645021645021645</v>
      </c>
      <c r="AL590">
        <f>VLOOKUP(Table1[[#This Row],[Taluka]],Factor!$A$42:$G$46,7,0)</f>
        <v>1.9264642089343564</v>
      </c>
      <c r="AM590">
        <f>VLOOKUP(Table1[[#This Row],[Caste]]&amp;Table1[[#This Row],[Q18: Gender]],Factor!$W$1:$X$23,2,0)</f>
        <v>2.8092219390089208</v>
      </c>
      <c r="AN590">
        <f>VLOOKUP(Table1[[#This Row],[Taluka]]&amp;Table1[[#This Row],[Caste]]&amp;Table1[[#This Row],[Q18: Gender]],Factor!$AK$4:$AL$93,2,0)</f>
        <v>6.3481182554923778</v>
      </c>
      <c r="AO590">
        <f t="shared" si="99"/>
        <v>-1</v>
      </c>
      <c r="AP590">
        <f t="shared" si="100"/>
        <v>-1</v>
      </c>
      <c r="AQ590">
        <f t="shared" si="101"/>
        <v>-1</v>
      </c>
      <c r="AR590">
        <f t="shared" si="102"/>
        <v>-1</v>
      </c>
      <c r="AS590">
        <f t="shared" si="103"/>
        <v>-1</v>
      </c>
      <c r="AT590">
        <f t="shared" si="104"/>
        <v>-1</v>
      </c>
      <c r="AU590">
        <f t="shared" si="105"/>
        <v>-5.5</v>
      </c>
      <c r="AV590">
        <f>SUM(Table1[[#This Row],[Satis]:[29]])</f>
        <v>-6</v>
      </c>
      <c r="AW590">
        <f t="shared" si="106"/>
        <v>-5</v>
      </c>
      <c r="AX590">
        <f t="shared" si="107"/>
        <v>-4</v>
      </c>
      <c r="AY590">
        <f t="shared" si="108"/>
        <v>-3</v>
      </c>
      <c r="AZ590" t="str">
        <f t="shared" si="109"/>
        <v>TDP HardCore</v>
      </c>
    </row>
    <row r="591" spans="1:52" x14ac:dyDescent="0.3">
      <c r="A591" t="s">
        <v>3824</v>
      </c>
      <c r="B591" s="94">
        <v>46046</v>
      </c>
      <c r="C591" t="s">
        <v>3825</v>
      </c>
      <c r="D591" t="s">
        <v>3826</v>
      </c>
      <c r="E591" t="s">
        <v>3827</v>
      </c>
      <c r="F591" t="s">
        <v>69</v>
      </c>
      <c r="G591" t="s">
        <v>39</v>
      </c>
      <c r="H591" t="s">
        <v>3828</v>
      </c>
      <c r="I591" t="s">
        <v>59</v>
      </c>
      <c r="J591" t="s">
        <v>203</v>
      </c>
      <c r="K591" t="s">
        <v>203</v>
      </c>
      <c r="L591" t="s">
        <v>50</v>
      </c>
      <c r="M591" t="s">
        <v>51</v>
      </c>
      <c r="N591" t="s">
        <v>63</v>
      </c>
      <c r="O591" t="s">
        <v>964</v>
      </c>
      <c r="P591">
        <v>9999999999</v>
      </c>
      <c r="Q591" t="s">
        <v>54</v>
      </c>
      <c r="R591" t="s">
        <v>132</v>
      </c>
      <c r="S591" t="s">
        <v>89</v>
      </c>
      <c r="T591" t="s">
        <v>43</v>
      </c>
      <c r="U591" t="s">
        <v>90</v>
      </c>
      <c r="V591" t="s">
        <v>91</v>
      </c>
      <c r="W591" t="s">
        <v>5083</v>
      </c>
      <c r="X591" t="s">
        <v>45</v>
      </c>
      <c r="Y591" t="s">
        <v>46</v>
      </c>
      <c r="Z591" t="s">
        <v>47</v>
      </c>
      <c r="AA591" t="s">
        <v>48</v>
      </c>
      <c r="AB591" t="s">
        <v>49</v>
      </c>
      <c r="AC591" t="s">
        <v>49</v>
      </c>
      <c r="AD591" t="s">
        <v>184</v>
      </c>
      <c r="AE591" t="s">
        <v>185</v>
      </c>
      <c r="AF591">
        <v>0</v>
      </c>
      <c r="AG591" t="s">
        <v>196</v>
      </c>
      <c r="AH591" s="93">
        <f>VLOOKUP(Table1[[#This Row],[Caste]],Factor!$H$1:$K$13,4,0)</f>
        <v>1.1461625511156397</v>
      </c>
      <c r="AI59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91">
        <f>Table1[[#This Row],[Factor_1]]*Table1[[#This Row],[2024 Factor]]</f>
        <v>0.77721139583220644</v>
      </c>
      <c r="AK591">
        <f>VLOOKUP(Table1[[#This Row],[Q18: Gender]],Factor!$A$33:$E$35,5,0)</f>
        <v>0.85034013605442171</v>
      </c>
      <c r="AL591">
        <f>VLOOKUP(Table1[[#This Row],[Taluka]],Factor!$A$42:$G$46,7,0)</f>
        <v>1.9264642089343564</v>
      </c>
      <c r="AM591">
        <f>VLOOKUP(Table1[[#This Row],[Caste]]&amp;Table1[[#This Row],[Q18: Gender]],Factor!$W$1:$X$23,2,0)</f>
        <v>0.71995135120329123</v>
      </c>
      <c r="AN591">
        <f>VLOOKUP(Table1[[#This Row],[Taluka]]&amp;Table1[[#This Row],[Caste]]&amp;Table1[[#This Row],[Q18: Gender]],Factor!$AK$4:$AL$93,2,0)</f>
        <v>0.70534647283248642</v>
      </c>
      <c r="AO591">
        <f t="shared" si="99"/>
        <v>-1</v>
      </c>
      <c r="AP591">
        <f t="shared" si="100"/>
        <v>1</v>
      </c>
      <c r="AQ591">
        <f t="shared" si="101"/>
        <v>1</v>
      </c>
      <c r="AR591">
        <f t="shared" si="102"/>
        <v>-1</v>
      </c>
      <c r="AS591">
        <f t="shared" si="103"/>
        <v>-1</v>
      </c>
      <c r="AT591">
        <f t="shared" si="104"/>
        <v>-1</v>
      </c>
      <c r="AU591">
        <f t="shared" si="105"/>
        <v>-1.5</v>
      </c>
      <c r="AV591">
        <f>SUM(Table1[[#This Row],[Satis]:[29]])</f>
        <v>-2</v>
      </c>
      <c r="AW591">
        <f t="shared" si="106"/>
        <v>-3</v>
      </c>
      <c r="AX591">
        <f t="shared" si="107"/>
        <v>-2</v>
      </c>
      <c r="AY591">
        <f t="shared" si="108"/>
        <v>-3</v>
      </c>
      <c r="AZ591" t="str">
        <f t="shared" si="109"/>
        <v>Neutral TDP</v>
      </c>
    </row>
    <row r="592" spans="1:52" x14ac:dyDescent="0.3">
      <c r="A592" t="s">
        <v>3981</v>
      </c>
      <c r="B592" s="94">
        <v>46046</v>
      </c>
      <c r="C592" t="s">
        <v>3982</v>
      </c>
      <c r="D592" t="s">
        <v>3983</v>
      </c>
      <c r="E592" t="s">
        <v>3546</v>
      </c>
      <c r="F592" t="s">
        <v>240</v>
      </c>
      <c r="G592" t="s">
        <v>39</v>
      </c>
      <c r="H592" t="s">
        <v>3984</v>
      </c>
      <c r="I592" t="s">
        <v>168</v>
      </c>
      <c r="J592" t="s">
        <v>37</v>
      </c>
      <c r="K592" t="s">
        <v>38</v>
      </c>
      <c r="L592" t="s">
        <v>62</v>
      </c>
      <c r="M592" t="s">
        <v>51</v>
      </c>
      <c r="N592" t="s">
        <v>52</v>
      </c>
      <c r="O592" t="s">
        <v>3985</v>
      </c>
      <c r="P592">
        <v>9949695165</v>
      </c>
      <c r="Q592" t="s">
        <v>54</v>
      </c>
      <c r="R592" t="s">
        <v>139</v>
      </c>
      <c r="S592" t="s">
        <v>89</v>
      </c>
      <c r="T592" t="s">
        <v>43</v>
      </c>
      <c r="U592" t="s">
        <v>90</v>
      </c>
      <c r="V592" t="s">
        <v>45</v>
      </c>
      <c r="W592" t="s">
        <v>5054</v>
      </c>
      <c r="X592" t="s">
        <v>45</v>
      </c>
      <c r="Y592" t="s">
        <v>46</v>
      </c>
      <c r="Z592" t="s">
        <v>47</v>
      </c>
      <c r="AA592" t="s">
        <v>48</v>
      </c>
      <c r="AB592" t="s">
        <v>49</v>
      </c>
      <c r="AC592" t="s">
        <v>49</v>
      </c>
      <c r="AD592" t="s">
        <v>184</v>
      </c>
      <c r="AE592" t="s">
        <v>185</v>
      </c>
      <c r="AF592">
        <v>0</v>
      </c>
      <c r="AG592" t="s">
        <v>196</v>
      </c>
      <c r="AH592" s="93">
        <f>VLOOKUP(Table1[[#This Row],[Caste]],Factor!$H$1:$K$13,4,0)</f>
        <v>1.0478809952686368</v>
      </c>
      <c r="AI59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92">
        <f>Table1[[#This Row],[Factor_1]]*Table1[[#This Row],[2024 Factor]]</f>
        <v>0.8266624780172348</v>
      </c>
      <c r="AK592">
        <f>VLOOKUP(Table1[[#This Row],[Q18: Gender]],Factor!$A$33:$E$35,5,0)</f>
        <v>0.85034013605442171</v>
      </c>
      <c r="AL592">
        <f>VLOOKUP(Table1[[#This Row],[Taluka]],Factor!$A$42:$G$46,7,0)</f>
        <v>0.75433779645928134</v>
      </c>
      <c r="AM592">
        <f>VLOOKUP(Table1[[#This Row],[Caste]]&amp;Table1[[#This Row],[Q18: Gender]],Factor!$W$1:$X$23,2,0)</f>
        <v>0.7657591888501577</v>
      </c>
      <c r="AN592">
        <f>VLOOKUP(Table1[[#This Row],[Taluka]]&amp;Table1[[#This Row],[Caste]]&amp;Table1[[#This Row],[Q18: Gender]],Factor!$AK$4:$AL$93,2,0)</f>
        <v>0.22377816180516033</v>
      </c>
      <c r="AO592">
        <f t="shared" si="99"/>
        <v>-1</v>
      </c>
      <c r="AP592">
        <f t="shared" si="100"/>
        <v>1</v>
      </c>
      <c r="AQ592">
        <f t="shared" si="101"/>
        <v>-1</v>
      </c>
      <c r="AR592">
        <f t="shared" si="102"/>
        <v>-1</v>
      </c>
      <c r="AS592">
        <f t="shared" si="103"/>
        <v>-1</v>
      </c>
      <c r="AT592">
        <f t="shared" si="104"/>
        <v>-1</v>
      </c>
      <c r="AU592">
        <f t="shared" si="105"/>
        <v>-3.5</v>
      </c>
      <c r="AV592">
        <f>SUM(Table1[[#This Row],[Satis]:[29]])</f>
        <v>-4</v>
      </c>
      <c r="AW592">
        <f t="shared" si="106"/>
        <v>-5</v>
      </c>
      <c r="AX592">
        <f t="shared" si="107"/>
        <v>-4</v>
      </c>
      <c r="AY592">
        <f t="shared" si="108"/>
        <v>-3</v>
      </c>
      <c r="AZ592" t="str">
        <f t="shared" si="109"/>
        <v>TDP Sympathiser</v>
      </c>
    </row>
    <row r="593" spans="1:52" x14ac:dyDescent="0.3">
      <c r="A593" t="s">
        <v>3412</v>
      </c>
      <c r="B593" s="94">
        <v>46046</v>
      </c>
      <c r="C593" t="s">
        <v>3413</v>
      </c>
      <c r="D593" t="s">
        <v>3414</v>
      </c>
      <c r="E593" t="s">
        <v>3075</v>
      </c>
      <c r="F593" t="s">
        <v>935</v>
      </c>
      <c r="G593" t="s">
        <v>39</v>
      </c>
      <c r="H593" t="s">
        <v>3415</v>
      </c>
      <c r="I593" t="s">
        <v>59</v>
      </c>
      <c r="J593" t="s">
        <v>203</v>
      </c>
      <c r="K593" t="s">
        <v>208</v>
      </c>
      <c r="L593" t="s">
        <v>161</v>
      </c>
      <c r="M593" t="s">
        <v>51</v>
      </c>
      <c r="N593" t="s">
        <v>162</v>
      </c>
      <c r="O593" t="s">
        <v>3416</v>
      </c>
      <c r="P593">
        <v>9492858437</v>
      </c>
      <c r="Q593" t="s">
        <v>54</v>
      </c>
      <c r="R593" t="s">
        <v>139</v>
      </c>
      <c r="S593" t="s">
        <v>43</v>
      </c>
      <c r="T593" t="s">
        <v>43</v>
      </c>
      <c r="U593" t="s">
        <v>44</v>
      </c>
      <c r="V593" t="s">
        <v>45</v>
      </c>
      <c r="W593" t="s">
        <v>5050</v>
      </c>
      <c r="X593" t="s">
        <v>45</v>
      </c>
      <c r="Y593" t="s">
        <v>46</v>
      </c>
      <c r="Z593" t="s">
        <v>47</v>
      </c>
      <c r="AA593" t="s">
        <v>48</v>
      </c>
      <c r="AB593" t="s">
        <v>49</v>
      </c>
      <c r="AC593" t="s">
        <v>49</v>
      </c>
      <c r="AD593" t="s">
        <v>184</v>
      </c>
      <c r="AE593" t="s">
        <v>185</v>
      </c>
      <c r="AF593">
        <v>0</v>
      </c>
      <c r="AG593" t="s">
        <v>196</v>
      </c>
      <c r="AH593" s="93">
        <f>VLOOKUP(Table1[[#This Row],[Caste]],Factor!$H$1:$K$13,4,0)</f>
        <v>1.1461625511156397</v>
      </c>
      <c r="AI59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93">
        <f>Table1[[#This Row],[Factor_1]]*Table1[[#This Row],[2024 Factor]]</f>
        <v>0.77721139583220644</v>
      </c>
      <c r="AK593">
        <f>VLOOKUP(Table1[[#This Row],[Q18: Gender]],Factor!$A$33:$E$35,5,0)</f>
        <v>0.85034013605442171</v>
      </c>
      <c r="AL593">
        <f>VLOOKUP(Table1[[#This Row],[Taluka]],Factor!$A$42:$G$46,7,0)</f>
        <v>1.9264642089343564</v>
      </c>
      <c r="AM593">
        <f>VLOOKUP(Table1[[#This Row],[Caste]]&amp;Table1[[#This Row],[Q18: Gender]],Factor!$W$1:$X$23,2,0)</f>
        <v>0.71995135120329123</v>
      </c>
      <c r="AN593">
        <f>VLOOKUP(Table1[[#This Row],[Taluka]]&amp;Table1[[#This Row],[Caste]]&amp;Table1[[#This Row],[Q18: Gender]],Factor!$AK$4:$AL$93,2,0)</f>
        <v>0.70534647283248642</v>
      </c>
      <c r="AO593">
        <f t="shared" si="99"/>
        <v>-1</v>
      </c>
      <c r="AP593">
        <f t="shared" si="100"/>
        <v>-1</v>
      </c>
      <c r="AQ593">
        <f t="shared" si="101"/>
        <v>-1</v>
      </c>
      <c r="AR593">
        <f t="shared" si="102"/>
        <v>-1</v>
      </c>
      <c r="AS593">
        <f t="shared" si="103"/>
        <v>-1</v>
      </c>
      <c r="AT593">
        <f t="shared" si="104"/>
        <v>-1</v>
      </c>
      <c r="AU593">
        <f t="shared" si="105"/>
        <v>-5.5</v>
      </c>
      <c r="AV593">
        <f>SUM(Table1[[#This Row],[Satis]:[29]])</f>
        <v>-6</v>
      </c>
      <c r="AW593">
        <f t="shared" si="106"/>
        <v>-5</v>
      </c>
      <c r="AX593">
        <f t="shared" si="107"/>
        <v>-4</v>
      </c>
      <c r="AY593">
        <f t="shared" si="108"/>
        <v>-3</v>
      </c>
      <c r="AZ593" t="str">
        <f t="shared" si="109"/>
        <v>TDP HardCore</v>
      </c>
    </row>
    <row r="594" spans="1:52" x14ac:dyDescent="0.3">
      <c r="A594" t="s">
        <v>3122</v>
      </c>
      <c r="B594" s="94">
        <v>46046</v>
      </c>
      <c r="C594" t="s">
        <v>3123</v>
      </c>
      <c r="D594" t="s">
        <v>3124</v>
      </c>
      <c r="E594" t="s">
        <v>3125</v>
      </c>
      <c r="F594" t="s">
        <v>69</v>
      </c>
      <c r="G594" t="s">
        <v>39</v>
      </c>
      <c r="H594" t="s">
        <v>3126</v>
      </c>
      <c r="I594" t="s">
        <v>59</v>
      </c>
      <c r="J594" t="s">
        <v>203</v>
      </c>
      <c r="K594" t="s">
        <v>203</v>
      </c>
      <c r="L594" t="s">
        <v>170</v>
      </c>
      <c r="M594" t="s">
        <v>51</v>
      </c>
      <c r="N594" t="s">
        <v>162</v>
      </c>
      <c r="O594" t="s">
        <v>3127</v>
      </c>
      <c r="P594">
        <v>9999999999</v>
      </c>
      <c r="Q594" t="s">
        <v>54</v>
      </c>
      <c r="R594" t="s">
        <v>132</v>
      </c>
      <c r="S594" t="s">
        <v>43</v>
      </c>
      <c r="T594" t="s">
        <v>43</v>
      </c>
      <c r="U594" t="s">
        <v>44</v>
      </c>
      <c r="V594" t="s">
        <v>45</v>
      </c>
      <c r="W594" t="s">
        <v>5061</v>
      </c>
      <c r="X594" t="s">
        <v>45</v>
      </c>
      <c r="Y594" t="s">
        <v>46</v>
      </c>
      <c r="Z594" t="s">
        <v>47</v>
      </c>
      <c r="AA594" t="s">
        <v>48</v>
      </c>
      <c r="AB594" t="s">
        <v>49</v>
      </c>
      <c r="AC594" t="s">
        <v>49</v>
      </c>
      <c r="AD594" t="s">
        <v>184</v>
      </c>
      <c r="AE594" t="s">
        <v>185</v>
      </c>
      <c r="AF594">
        <v>0</v>
      </c>
      <c r="AG594" t="s">
        <v>196</v>
      </c>
      <c r="AH594" s="93">
        <f>VLOOKUP(Table1[[#This Row],[Caste]],Factor!$H$1:$K$13,4,0)</f>
        <v>1.1461625511156397</v>
      </c>
      <c r="AI59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94">
        <f>Table1[[#This Row],[Factor_1]]*Table1[[#This Row],[2024 Factor]]</f>
        <v>0.77721139583220644</v>
      </c>
      <c r="AK594">
        <f>VLOOKUP(Table1[[#This Row],[Q18: Gender]],Factor!$A$33:$E$35,5,0)</f>
        <v>0.85034013605442171</v>
      </c>
      <c r="AL594">
        <f>VLOOKUP(Table1[[#This Row],[Taluka]],Factor!$A$42:$G$46,7,0)</f>
        <v>1.9264642089343564</v>
      </c>
      <c r="AM594">
        <f>VLOOKUP(Table1[[#This Row],[Caste]]&amp;Table1[[#This Row],[Q18: Gender]],Factor!$W$1:$X$23,2,0)</f>
        <v>0.71995135120329123</v>
      </c>
      <c r="AN594">
        <f>VLOOKUP(Table1[[#This Row],[Taluka]]&amp;Table1[[#This Row],[Caste]]&amp;Table1[[#This Row],[Q18: Gender]],Factor!$AK$4:$AL$93,2,0)</f>
        <v>0.70534647283248642</v>
      </c>
      <c r="AO594">
        <f t="shared" si="99"/>
        <v>-1</v>
      </c>
      <c r="AP594">
        <f t="shared" si="100"/>
        <v>-1</v>
      </c>
      <c r="AQ594">
        <f t="shared" si="101"/>
        <v>-1</v>
      </c>
      <c r="AR594">
        <f t="shared" si="102"/>
        <v>-1</v>
      </c>
      <c r="AS594">
        <f t="shared" si="103"/>
        <v>-1</v>
      </c>
      <c r="AT594">
        <f t="shared" si="104"/>
        <v>-1</v>
      </c>
      <c r="AU594">
        <f t="shared" si="105"/>
        <v>-5.5</v>
      </c>
      <c r="AV594">
        <f>SUM(Table1[[#This Row],[Satis]:[29]])</f>
        <v>-6</v>
      </c>
      <c r="AW594">
        <f t="shared" si="106"/>
        <v>-5</v>
      </c>
      <c r="AX594">
        <f t="shared" si="107"/>
        <v>-4</v>
      </c>
      <c r="AY594">
        <f t="shared" si="108"/>
        <v>-3</v>
      </c>
      <c r="AZ594" t="str">
        <f t="shared" si="109"/>
        <v>TDP HardCore</v>
      </c>
    </row>
    <row r="595" spans="1:52" x14ac:dyDescent="0.3">
      <c r="A595" t="s">
        <v>3422</v>
      </c>
      <c r="B595" s="94">
        <v>46046</v>
      </c>
      <c r="C595" t="s">
        <v>3423</v>
      </c>
      <c r="D595" t="s">
        <v>3424</v>
      </c>
      <c r="E595" t="s">
        <v>3353</v>
      </c>
      <c r="F595" t="s">
        <v>35</v>
      </c>
      <c r="G595" t="s">
        <v>39</v>
      </c>
      <c r="H595" t="s">
        <v>3425</v>
      </c>
      <c r="I595" t="s">
        <v>70</v>
      </c>
      <c r="J595" t="s">
        <v>71</v>
      </c>
      <c r="K595" t="s">
        <v>217</v>
      </c>
      <c r="L595" t="s">
        <v>62</v>
      </c>
      <c r="M595" t="s">
        <v>51</v>
      </c>
      <c r="N595" t="s">
        <v>63</v>
      </c>
      <c r="O595" t="s">
        <v>3426</v>
      </c>
      <c r="P595">
        <v>9614333777</v>
      </c>
      <c r="Q595" t="s">
        <v>54</v>
      </c>
      <c r="R595" t="s">
        <v>132</v>
      </c>
      <c r="S595" t="s">
        <v>88</v>
      </c>
      <c r="T595" t="s">
        <v>89</v>
      </c>
      <c r="U595" t="s">
        <v>90</v>
      </c>
      <c r="V595" t="s">
        <v>91</v>
      </c>
      <c r="W595" t="s">
        <v>5095</v>
      </c>
      <c r="X595" t="s">
        <v>91</v>
      </c>
      <c r="Y595" t="s">
        <v>46</v>
      </c>
      <c r="Z595" t="s">
        <v>92</v>
      </c>
      <c r="AA595" t="s">
        <v>92</v>
      </c>
      <c r="AB595" t="s">
        <v>93</v>
      </c>
      <c r="AC595" t="s">
        <v>94</v>
      </c>
      <c r="AD595">
        <v>0</v>
      </c>
      <c r="AE595" t="s">
        <v>189</v>
      </c>
      <c r="AF595" t="s">
        <v>4082</v>
      </c>
      <c r="AG595" t="s">
        <v>196</v>
      </c>
      <c r="AH595" s="93">
        <f>VLOOKUP(Table1[[#This Row],[Caste]],Factor!$H$1:$K$13,4,0)</f>
        <v>1.3836274505214585</v>
      </c>
      <c r="AI595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595">
        <f>Table1[[#This Row],[Factor_1]]*Table1[[#This Row],[2024 Factor]]</f>
        <v>1.9482662206881376</v>
      </c>
      <c r="AK595">
        <f>VLOOKUP(Table1[[#This Row],[Q18: Gender]],Factor!$A$33:$E$35,5,0)</f>
        <v>0.85034013605442171</v>
      </c>
      <c r="AL595">
        <f>VLOOKUP(Table1[[#This Row],[Taluka]],Factor!$A$42:$G$46,7,0)</f>
        <v>1.1213131007097483</v>
      </c>
      <c r="AM595">
        <f>VLOOKUP(Table1[[#This Row],[Caste]]&amp;Table1[[#This Row],[Q18: Gender]],Factor!$W$1:$X$23,2,0)</f>
        <v>1.0790228998469584</v>
      </c>
      <c r="AN595">
        <f>VLOOKUP(Table1[[#This Row],[Taluka]]&amp;Table1[[#This Row],[Caste]]&amp;Table1[[#This Row],[Q18: Gender]],Factor!$AK$4:$AL$93,2,0)</f>
        <v>0.90933567693352424</v>
      </c>
      <c r="AO595">
        <f t="shared" si="99"/>
        <v>1</v>
      </c>
      <c r="AP595">
        <f t="shared" si="100"/>
        <v>1</v>
      </c>
      <c r="AQ595">
        <f t="shared" si="101"/>
        <v>1</v>
      </c>
      <c r="AR595">
        <f t="shared" si="102"/>
        <v>1</v>
      </c>
      <c r="AS595">
        <f t="shared" si="103"/>
        <v>1</v>
      </c>
      <c r="AT595">
        <f t="shared" si="104"/>
        <v>1</v>
      </c>
      <c r="AU595">
        <f t="shared" si="105"/>
        <v>5.5</v>
      </c>
      <c r="AV595">
        <f>SUM(Table1[[#This Row],[Satis]:[29]])</f>
        <v>6</v>
      </c>
      <c r="AW595">
        <f t="shared" si="106"/>
        <v>5</v>
      </c>
      <c r="AX595">
        <f t="shared" si="107"/>
        <v>4</v>
      </c>
      <c r="AY595">
        <f t="shared" si="108"/>
        <v>3</v>
      </c>
      <c r="AZ595" t="str">
        <f t="shared" si="109"/>
        <v>YSRCP HardCore</v>
      </c>
    </row>
    <row r="596" spans="1:52" x14ac:dyDescent="0.3">
      <c r="A596" t="s">
        <v>3427</v>
      </c>
      <c r="B596" s="94">
        <v>46046</v>
      </c>
      <c r="C596" t="s">
        <v>3428</v>
      </c>
      <c r="D596" t="s">
        <v>3429</v>
      </c>
      <c r="E596" t="s">
        <v>3430</v>
      </c>
      <c r="F596" t="s">
        <v>69</v>
      </c>
      <c r="G596" t="s">
        <v>39</v>
      </c>
      <c r="H596" t="s">
        <v>3431</v>
      </c>
      <c r="I596" t="s">
        <v>59</v>
      </c>
      <c r="J596" t="s">
        <v>203</v>
      </c>
      <c r="K596" t="s">
        <v>203</v>
      </c>
      <c r="L596" t="s">
        <v>50</v>
      </c>
      <c r="M596" t="s">
        <v>51</v>
      </c>
      <c r="N596" t="s">
        <v>52</v>
      </c>
      <c r="O596" t="s">
        <v>3432</v>
      </c>
      <c r="P596">
        <v>9347655351</v>
      </c>
      <c r="Q596" t="s">
        <v>54</v>
      </c>
      <c r="R596" t="s">
        <v>61</v>
      </c>
      <c r="S596" t="s">
        <v>43</v>
      </c>
      <c r="T596" t="s">
        <v>89</v>
      </c>
      <c r="U596" t="s">
        <v>90</v>
      </c>
      <c r="V596" t="s">
        <v>91</v>
      </c>
      <c r="W596" t="s">
        <v>5056</v>
      </c>
      <c r="X596" t="s">
        <v>91</v>
      </c>
      <c r="Y596" t="s">
        <v>46</v>
      </c>
      <c r="Z596" t="s">
        <v>92</v>
      </c>
      <c r="AA596" t="s">
        <v>92</v>
      </c>
      <c r="AB596" t="s">
        <v>93</v>
      </c>
      <c r="AC596" t="s">
        <v>2590</v>
      </c>
      <c r="AD596" t="s">
        <v>184</v>
      </c>
      <c r="AE596" t="s">
        <v>185</v>
      </c>
      <c r="AF596" t="s">
        <v>4079</v>
      </c>
      <c r="AG596" t="s">
        <v>196</v>
      </c>
      <c r="AH596" s="93">
        <f>VLOOKUP(Table1[[#This Row],[Caste]],Factor!$H$1:$K$13,4,0)</f>
        <v>1.1461625511156397</v>
      </c>
      <c r="AI596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596">
        <f>Table1[[#This Row],[Factor_1]]*Table1[[#This Row],[2024 Factor]]</f>
        <v>1.2999324650914248</v>
      </c>
      <c r="AK596">
        <f>VLOOKUP(Table1[[#This Row],[Q18: Gender]],Factor!$A$33:$E$35,5,0)</f>
        <v>0.85034013605442171</v>
      </c>
      <c r="AL596">
        <f>VLOOKUP(Table1[[#This Row],[Taluka]],Factor!$A$42:$G$46,7,0)</f>
        <v>1.9264642089343564</v>
      </c>
      <c r="AM596">
        <f>VLOOKUP(Table1[[#This Row],[Caste]]&amp;Table1[[#This Row],[Q18: Gender]],Factor!$W$1:$X$23,2,0)</f>
        <v>0.71995135120329123</v>
      </c>
      <c r="AN596">
        <f>VLOOKUP(Table1[[#This Row],[Taluka]]&amp;Table1[[#This Row],[Caste]]&amp;Table1[[#This Row],[Q18: Gender]],Factor!$AK$4:$AL$93,2,0)</f>
        <v>0.70534647283248642</v>
      </c>
      <c r="AO596">
        <f t="shared" si="99"/>
        <v>1</v>
      </c>
      <c r="AP596">
        <f t="shared" si="100"/>
        <v>1</v>
      </c>
      <c r="AQ596">
        <f t="shared" si="101"/>
        <v>1</v>
      </c>
      <c r="AR596">
        <f t="shared" si="102"/>
        <v>1</v>
      </c>
      <c r="AS596">
        <f t="shared" si="103"/>
        <v>1</v>
      </c>
      <c r="AT596">
        <f t="shared" si="104"/>
        <v>1</v>
      </c>
      <c r="AU596">
        <f t="shared" si="105"/>
        <v>5.5</v>
      </c>
      <c r="AV596">
        <f>SUM(Table1[[#This Row],[Satis]:[29]])</f>
        <v>6</v>
      </c>
      <c r="AW596">
        <f t="shared" si="106"/>
        <v>5</v>
      </c>
      <c r="AX596">
        <f t="shared" si="107"/>
        <v>4</v>
      </c>
      <c r="AY596">
        <f t="shared" si="108"/>
        <v>3</v>
      </c>
      <c r="AZ596" t="str">
        <f t="shared" si="109"/>
        <v>YSRCP HardCore</v>
      </c>
    </row>
    <row r="597" spans="1:52" x14ac:dyDescent="0.3">
      <c r="A597" t="s">
        <v>3433</v>
      </c>
      <c r="B597" s="94">
        <v>46046</v>
      </c>
      <c r="C597" t="s">
        <v>3434</v>
      </c>
      <c r="D597" t="s">
        <v>3435</v>
      </c>
      <c r="E597" t="s">
        <v>3436</v>
      </c>
      <c r="F597" t="s">
        <v>935</v>
      </c>
      <c r="G597" t="s">
        <v>39</v>
      </c>
      <c r="H597" t="s">
        <v>3437</v>
      </c>
      <c r="I597" t="s">
        <v>36</v>
      </c>
      <c r="J597" t="s">
        <v>203</v>
      </c>
      <c r="K597" t="s">
        <v>208</v>
      </c>
      <c r="L597" t="s">
        <v>62</v>
      </c>
      <c r="M597" t="s">
        <v>51</v>
      </c>
      <c r="N597" t="s">
        <v>63</v>
      </c>
      <c r="O597" t="s">
        <v>548</v>
      </c>
      <c r="P597">
        <v>9999999999</v>
      </c>
      <c r="Q597" t="s">
        <v>54</v>
      </c>
      <c r="R597" t="s">
        <v>2116</v>
      </c>
      <c r="S597" t="s">
        <v>89</v>
      </c>
      <c r="T597" t="s">
        <v>89</v>
      </c>
      <c r="U597" t="s">
        <v>90</v>
      </c>
      <c r="V597" t="s">
        <v>91</v>
      </c>
      <c r="W597" t="s">
        <v>5056</v>
      </c>
      <c r="X597" t="s">
        <v>91</v>
      </c>
      <c r="Y597" t="s">
        <v>46</v>
      </c>
      <c r="Z597" t="s">
        <v>92</v>
      </c>
      <c r="AA597" t="s">
        <v>92</v>
      </c>
      <c r="AB597" t="s">
        <v>93</v>
      </c>
      <c r="AC597" t="s">
        <v>94</v>
      </c>
      <c r="AD597" t="s">
        <v>494</v>
      </c>
      <c r="AE597" t="s">
        <v>185</v>
      </c>
      <c r="AF597" t="s">
        <v>4060</v>
      </c>
      <c r="AG597" t="s">
        <v>196</v>
      </c>
      <c r="AH597" s="93">
        <f>VLOOKUP(Table1[[#This Row],[Caste]],Factor!$H$1:$K$13,4,0)</f>
        <v>1.1705128247062893</v>
      </c>
      <c r="AI597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597">
        <f>Table1[[#This Row],[Factor_1]]*Table1[[#This Row],[2024 Factor]]</f>
        <v>1.4435679386658844</v>
      </c>
      <c r="AK597">
        <f>VLOOKUP(Table1[[#This Row],[Q18: Gender]],Factor!$A$33:$E$35,5,0)</f>
        <v>0.85034013605442171</v>
      </c>
      <c r="AL597">
        <f>VLOOKUP(Table1[[#This Row],[Taluka]],Factor!$A$42:$G$46,7,0)</f>
        <v>1.9264642089343564</v>
      </c>
      <c r="AM597">
        <f>VLOOKUP(Table1[[#This Row],[Caste]]&amp;Table1[[#This Row],[Q18: Gender]],Factor!$W$1:$X$23,2,0)</f>
        <v>0.79950206330384943</v>
      </c>
      <c r="AN597">
        <f>VLOOKUP(Table1[[#This Row],[Taluka]]&amp;Table1[[#This Row],[Caste]]&amp;Table1[[#This Row],[Q18: Gender]],Factor!$AK$4:$AL$93,2,0)</f>
        <v>1.1572126985895925</v>
      </c>
      <c r="AO597">
        <f t="shared" si="99"/>
        <v>1</v>
      </c>
      <c r="AP597">
        <f t="shared" si="100"/>
        <v>1</v>
      </c>
      <c r="AQ597">
        <f t="shared" si="101"/>
        <v>1</v>
      </c>
      <c r="AR597">
        <f t="shared" si="102"/>
        <v>1</v>
      </c>
      <c r="AS597">
        <f t="shared" si="103"/>
        <v>1</v>
      </c>
      <c r="AT597">
        <f t="shared" si="104"/>
        <v>1</v>
      </c>
      <c r="AU597">
        <f t="shared" si="105"/>
        <v>5.5</v>
      </c>
      <c r="AV597">
        <f>SUM(Table1[[#This Row],[Satis]:[29]])</f>
        <v>6</v>
      </c>
      <c r="AW597">
        <f t="shared" si="106"/>
        <v>5</v>
      </c>
      <c r="AX597">
        <f t="shared" si="107"/>
        <v>4</v>
      </c>
      <c r="AY597">
        <f t="shared" si="108"/>
        <v>3</v>
      </c>
      <c r="AZ597" t="str">
        <f t="shared" si="109"/>
        <v>YSRCP HardCore</v>
      </c>
    </row>
    <row r="598" spans="1:52" x14ac:dyDescent="0.3">
      <c r="A598" t="s">
        <v>3579</v>
      </c>
      <c r="B598" s="94">
        <v>46046</v>
      </c>
      <c r="C598" t="s">
        <v>3123</v>
      </c>
      <c r="D598" t="s">
        <v>3124</v>
      </c>
      <c r="E598" t="s">
        <v>3125</v>
      </c>
      <c r="F598" t="s">
        <v>69</v>
      </c>
      <c r="G598" t="s">
        <v>39</v>
      </c>
      <c r="H598" t="s">
        <v>3580</v>
      </c>
      <c r="I598" t="s">
        <v>59</v>
      </c>
      <c r="J598" t="s">
        <v>203</v>
      </c>
      <c r="K598" t="s">
        <v>203</v>
      </c>
      <c r="L598" t="s">
        <v>170</v>
      </c>
      <c r="M598" t="s">
        <v>51</v>
      </c>
      <c r="N598" t="s">
        <v>162</v>
      </c>
      <c r="O598" t="s">
        <v>3127</v>
      </c>
      <c r="P598">
        <v>9999999999</v>
      </c>
      <c r="Q598" t="s">
        <v>54</v>
      </c>
      <c r="R598" t="s">
        <v>132</v>
      </c>
      <c r="S598" t="s">
        <v>43</v>
      </c>
      <c r="T598" t="s">
        <v>43</v>
      </c>
      <c r="U598" t="s">
        <v>44</v>
      </c>
      <c r="V598" t="s">
        <v>45</v>
      </c>
      <c r="W598" t="s">
        <v>5061</v>
      </c>
      <c r="X598" t="s">
        <v>45</v>
      </c>
      <c r="Y598" t="s">
        <v>46</v>
      </c>
      <c r="Z598" t="s">
        <v>47</v>
      </c>
      <c r="AA598" t="s">
        <v>48</v>
      </c>
      <c r="AB598" t="s">
        <v>49</v>
      </c>
      <c r="AC598" t="s">
        <v>49</v>
      </c>
      <c r="AD598">
        <v>0</v>
      </c>
      <c r="AE598" t="s">
        <v>185</v>
      </c>
      <c r="AF598">
        <v>0</v>
      </c>
      <c r="AG598" t="s">
        <v>196</v>
      </c>
      <c r="AH598" s="93">
        <f>VLOOKUP(Table1[[#This Row],[Caste]],Factor!$H$1:$K$13,4,0)</f>
        <v>1.1461625511156397</v>
      </c>
      <c r="AI59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98">
        <f>Table1[[#This Row],[Factor_1]]*Table1[[#This Row],[2024 Factor]]</f>
        <v>0.77721139583220644</v>
      </c>
      <c r="AK598">
        <f>VLOOKUP(Table1[[#This Row],[Q18: Gender]],Factor!$A$33:$E$35,5,0)</f>
        <v>0.85034013605442171</v>
      </c>
      <c r="AL598">
        <f>VLOOKUP(Table1[[#This Row],[Taluka]],Factor!$A$42:$G$46,7,0)</f>
        <v>1.9264642089343564</v>
      </c>
      <c r="AM598">
        <f>VLOOKUP(Table1[[#This Row],[Caste]]&amp;Table1[[#This Row],[Q18: Gender]],Factor!$W$1:$X$23,2,0)</f>
        <v>0.71995135120329123</v>
      </c>
      <c r="AN598">
        <f>VLOOKUP(Table1[[#This Row],[Taluka]]&amp;Table1[[#This Row],[Caste]]&amp;Table1[[#This Row],[Q18: Gender]],Factor!$AK$4:$AL$93,2,0)</f>
        <v>0.70534647283248642</v>
      </c>
      <c r="AO598">
        <f t="shared" si="99"/>
        <v>-1</v>
      </c>
      <c r="AP598">
        <f t="shared" si="100"/>
        <v>-1</v>
      </c>
      <c r="AQ598">
        <f t="shared" si="101"/>
        <v>-1</v>
      </c>
      <c r="AR598">
        <f t="shared" si="102"/>
        <v>-1</v>
      </c>
      <c r="AS598">
        <f t="shared" si="103"/>
        <v>-1</v>
      </c>
      <c r="AT598">
        <f t="shared" si="104"/>
        <v>-1</v>
      </c>
      <c r="AU598">
        <f t="shared" si="105"/>
        <v>-5.5</v>
      </c>
      <c r="AV598">
        <f>SUM(Table1[[#This Row],[Satis]:[29]])</f>
        <v>-6</v>
      </c>
      <c r="AW598">
        <f t="shared" si="106"/>
        <v>-5</v>
      </c>
      <c r="AX598">
        <f t="shared" si="107"/>
        <v>-4</v>
      </c>
      <c r="AY598">
        <f t="shared" si="108"/>
        <v>-3</v>
      </c>
      <c r="AZ598" t="str">
        <f t="shared" si="109"/>
        <v>TDP HardCore</v>
      </c>
    </row>
    <row r="599" spans="1:52" x14ac:dyDescent="0.3">
      <c r="A599" t="s">
        <v>3847</v>
      </c>
      <c r="B599" s="94">
        <v>46046</v>
      </c>
      <c r="C599" t="s">
        <v>3123</v>
      </c>
      <c r="D599" t="s">
        <v>3124</v>
      </c>
      <c r="E599" t="s">
        <v>3125</v>
      </c>
      <c r="F599" t="s">
        <v>69</v>
      </c>
      <c r="G599" t="s">
        <v>39</v>
      </c>
      <c r="H599" t="s">
        <v>3848</v>
      </c>
      <c r="I599" t="s">
        <v>59</v>
      </c>
      <c r="J599" t="s">
        <v>203</v>
      </c>
      <c r="K599" t="s">
        <v>203</v>
      </c>
      <c r="L599" t="s">
        <v>170</v>
      </c>
      <c r="M599" t="s">
        <v>51</v>
      </c>
      <c r="N599" t="s">
        <v>162</v>
      </c>
      <c r="O599" t="s">
        <v>3127</v>
      </c>
      <c r="P599">
        <v>9999999999</v>
      </c>
      <c r="Q599" t="s">
        <v>54</v>
      </c>
      <c r="R599" t="s">
        <v>132</v>
      </c>
      <c r="S599" t="s">
        <v>43</v>
      </c>
      <c r="T599" t="s">
        <v>43</v>
      </c>
      <c r="U599" t="s">
        <v>44</v>
      </c>
      <c r="V599" t="s">
        <v>45</v>
      </c>
      <c r="W599" t="s">
        <v>5061</v>
      </c>
      <c r="X599" t="s">
        <v>45</v>
      </c>
      <c r="Y599" t="s">
        <v>46</v>
      </c>
      <c r="Z599" t="s">
        <v>47</v>
      </c>
      <c r="AA599" t="s">
        <v>48</v>
      </c>
      <c r="AB599" t="s">
        <v>49</v>
      </c>
      <c r="AC599" t="s">
        <v>49</v>
      </c>
      <c r="AD599">
        <v>0</v>
      </c>
      <c r="AE599" t="s">
        <v>185</v>
      </c>
      <c r="AF599">
        <v>0</v>
      </c>
      <c r="AG599" t="s">
        <v>196</v>
      </c>
      <c r="AH599" s="93">
        <f>VLOOKUP(Table1[[#This Row],[Caste]],Factor!$H$1:$K$13,4,0)</f>
        <v>1.1461625511156397</v>
      </c>
      <c r="AI59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599">
        <f>Table1[[#This Row],[Factor_1]]*Table1[[#This Row],[2024 Factor]]</f>
        <v>0.77721139583220644</v>
      </c>
      <c r="AK599">
        <f>VLOOKUP(Table1[[#This Row],[Q18: Gender]],Factor!$A$33:$E$35,5,0)</f>
        <v>0.85034013605442171</v>
      </c>
      <c r="AL599">
        <f>VLOOKUP(Table1[[#This Row],[Taluka]],Factor!$A$42:$G$46,7,0)</f>
        <v>1.9264642089343564</v>
      </c>
      <c r="AM599">
        <f>VLOOKUP(Table1[[#This Row],[Caste]]&amp;Table1[[#This Row],[Q18: Gender]],Factor!$W$1:$X$23,2,0)</f>
        <v>0.71995135120329123</v>
      </c>
      <c r="AN599">
        <f>VLOOKUP(Table1[[#This Row],[Taluka]]&amp;Table1[[#This Row],[Caste]]&amp;Table1[[#This Row],[Q18: Gender]],Factor!$AK$4:$AL$93,2,0)</f>
        <v>0.70534647283248642</v>
      </c>
      <c r="AO599">
        <f t="shared" si="99"/>
        <v>-1</v>
      </c>
      <c r="AP599">
        <f t="shared" si="100"/>
        <v>-1</v>
      </c>
      <c r="AQ599">
        <f t="shared" si="101"/>
        <v>-1</v>
      </c>
      <c r="AR599">
        <f t="shared" si="102"/>
        <v>-1</v>
      </c>
      <c r="AS599">
        <f t="shared" si="103"/>
        <v>-1</v>
      </c>
      <c r="AT599">
        <f t="shared" si="104"/>
        <v>-1</v>
      </c>
      <c r="AU599">
        <f t="shared" si="105"/>
        <v>-5.5</v>
      </c>
      <c r="AV599">
        <f>SUM(Table1[[#This Row],[Satis]:[29]])</f>
        <v>-6</v>
      </c>
      <c r="AW599">
        <f t="shared" si="106"/>
        <v>-5</v>
      </c>
      <c r="AX599">
        <f t="shared" si="107"/>
        <v>-4</v>
      </c>
      <c r="AY599">
        <f t="shared" si="108"/>
        <v>-3</v>
      </c>
      <c r="AZ599" t="str">
        <f t="shared" si="109"/>
        <v>TDP HardCore</v>
      </c>
    </row>
    <row r="600" spans="1:52" x14ac:dyDescent="0.3">
      <c r="A600" t="s">
        <v>3927</v>
      </c>
      <c r="B600" s="94">
        <v>46046</v>
      </c>
      <c r="C600" t="s">
        <v>3928</v>
      </c>
      <c r="D600" t="s">
        <v>3929</v>
      </c>
      <c r="E600" t="s">
        <v>3242</v>
      </c>
      <c r="F600" t="s">
        <v>240</v>
      </c>
      <c r="G600" t="s">
        <v>39</v>
      </c>
      <c r="H600" t="s">
        <v>3930</v>
      </c>
      <c r="I600" t="s">
        <v>168</v>
      </c>
      <c r="J600" t="s">
        <v>37</v>
      </c>
      <c r="K600" t="s">
        <v>38</v>
      </c>
      <c r="L600" t="s">
        <v>62</v>
      </c>
      <c r="M600" t="s">
        <v>51</v>
      </c>
      <c r="N600" t="s">
        <v>107</v>
      </c>
      <c r="O600" t="s">
        <v>3931</v>
      </c>
      <c r="P600">
        <v>9999999999</v>
      </c>
      <c r="Q600" t="s">
        <v>54</v>
      </c>
      <c r="R600" t="s">
        <v>2116</v>
      </c>
      <c r="S600" t="s">
        <v>43</v>
      </c>
      <c r="T600" t="s">
        <v>43</v>
      </c>
      <c r="U600" t="s">
        <v>44</v>
      </c>
      <c r="V600" t="s">
        <v>45</v>
      </c>
      <c r="W600" t="s">
        <v>5090</v>
      </c>
      <c r="X600" t="s">
        <v>45</v>
      </c>
      <c r="Y600" t="s">
        <v>46</v>
      </c>
      <c r="Z600" t="s">
        <v>47</v>
      </c>
      <c r="AA600" t="s">
        <v>48</v>
      </c>
      <c r="AB600" t="s">
        <v>49</v>
      </c>
      <c r="AC600" t="s">
        <v>49</v>
      </c>
      <c r="AD600" t="s">
        <v>481</v>
      </c>
      <c r="AE600" t="s">
        <v>185</v>
      </c>
      <c r="AF600">
        <v>0</v>
      </c>
      <c r="AG600" t="s">
        <v>196</v>
      </c>
      <c r="AH600" s="93">
        <f>VLOOKUP(Table1[[#This Row],[Caste]],Factor!$H$1:$K$13,4,0)</f>
        <v>1.0478809952686368</v>
      </c>
      <c r="AI60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00">
        <f>Table1[[#This Row],[Factor_1]]*Table1[[#This Row],[2024 Factor]]</f>
        <v>0.8266624780172348</v>
      </c>
      <c r="AK600">
        <f>VLOOKUP(Table1[[#This Row],[Q18: Gender]],Factor!$A$33:$E$35,5,0)</f>
        <v>0.85034013605442171</v>
      </c>
      <c r="AL600">
        <f>VLOOKUP(Table1[[#This Row],[Taluka]],Factor!$A$42:$G$46,7,0)</f>
        <v>0.75433779645928134</v>
      </c>
      <c r="AM600">
        <f>VLOOKUP(Table1[[#This Row],[Caste]]&amp;Table1[[#This Row],[Q18: Gender]],Factor!$W$1:$X$23,2,0)</f>
        <v>0.7657591888501577</v>
      </c>
      <c r="AN600">
        <f>VLOOKUP(Table1[[#This Row],[Taluka]]&amp;Table1[[#This Row],[Caste]]&amp;Table1[[#This Row],[Q18: Gender]],Factor!$AK$4:$AL$93,2,0)</f>
        <v>0.22377816180516033</v>
      </c>
      <c r="AO600">
        <f t="shared" si="99"/>
        <v>-1</v>
      </c>
      <c r="AP600">
        <f t="shared" si="100"/>
        <v>-1</v>
      </c>
      <c r="AQ600">
        <f t="shared" si="101"/>
        <v>-1</v>
      </c>
      <c r="AR600">
        <f t="shared" si="102"/>
        <v>-1</v>
      </c>
      <c r="AS600">
        <f t="shared" si="103"/>
        <v>-1</v>
      </c>
      <c r="AT600">
        <f t="shared" si="104"/>
        <v>-1</v>
      </c>
      <c r="AU600">
        <f t="shared" si="105"/>
        <v>-5.5</v>
      </c>
      <c r="AV600">
        <f>SUM(Table1[[#This Row],[Satis]:[29]])</f>
        <v>-6</v>
      </c>
      <c r="AW600">
        <f t="shared" si="106"/>
        <v>-5</v>
      </c>
      <c r="AX600">
        <f t="shared" si="107"/>
        <v>-4</v>
      </c>
      <c r="AY600">
        <f t="shared" si="108"/>
        <v>-3</v>
      </c>
      <c r="AZ600" t="str">
        <f t="shared" si="109"/>
        <v>TDP HardCore</v>
      </c>
    </row>
    <row r="601" spans="1:52" x14ac:dyDescent="0.3">
      <c r="A601" t="s">
        <v>3455</v>
      </c>
      <c r="B601" s="94">
        <v>46046</v>
      </c>
      <c r="C601" t="s">
        <v>3456</v>
      </c>
      <c r="D601" t="s">
        <v>3153</v>
      </c>
      <c r="E601" t="s">
        <v>3154</v>
      </c>
      <c r="F601" t="s">
        <v>935</v>
      </c>
      <c r="G601" t="s">
        <v>39</v>
      </c>
      <c r="H601" t="s">
        <v>3457</v>
      </c>
      <c r="I601" t="s">
        <v>59</v>
      </c>
      <c r="J601" t="s">
        <v>203</v>
      </c>
      <c r="K601" t="s">
        <v>208</v>
      </c>
      <c r="L601" t="s">
        <v>170</v>
      </c>
      <c r="M601" t="s">
        <v>51</v>
      </c>
      <c r="N601" t="s">
        <v>162</v>
      </c>
      <c r="O601" t="s">
        <v>3156</v>
      </c>
      <c r="P601">
        <v>9110394828</v>
      </c>
      <c r="Q601" t="s">
        <v>54</v>
      </c>
      <c r="R601" t="s">
        <v>132</v>
      </c>
      <c r="S601" t="s">
        <v>43</v>
      </c>
      <c r="T601" t="s">
        <v>43</v>
      </c>
      <c r="U601" t="s">
        <v>44</v>
      </c>
      <c r="V601" t="s">
        <v>91</v>
      </c>
      <c r="W601" t="s">
        <v>5046</v>
      </c>
      <c r="X601" t="s">
        <v>45</v>
      </c>
      <c r="Y601" t="s">
        <v>46</v>
      </c>
      <c r="Z601" t="s">
        <v>47</v>
      </c>
      <c r="AA601" t="s">
        <v>48</v>
      </c>
      <c r="AB601" t="s">
        <v>49</v>
      </c>
      <c r="AC601" t="s">
        <v>49</v>
      </c>
      <c r="AD601" t="s">
        <v>481</v>
      </c>
      <c r="AE601" t="s">
        <v>189</v>
      </c>
      <c r="AF601" t="s">
        <v>4086</v>
      </c>
      <c r="AG601" t="s">
        <v>196</v>
      </c>
      <c r="AH601" s="93">
        <f>VLOOKUP(Table1[[#This Row],[Caste]],Factor!$H$1:$K$13,4,0)</f>
        <v>1.1461625511156397</v>
      </c>
      <c r="AI60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01">
        <f>Table1[[#This Row],[Factor_1]]*Table1[[#This Row],[2024 Factor]]</f>
        <v>0.77721139583220644</v>
      </c>
      <c r="AK601">
        <f>VLOOKUP(Table1[[#This Row],[Q18: Gender]],Factor!$A$33:$E$35,5,0)</f>
        <v>0.85034013605442171</v>
      </c>
      <c r="AL601">
        <f>VLOOKUP(Table1[[#This Row],[Taluka]],Factor!$A$42:$G$46,7,0)</f>
        <v>1.9264642089343564</v>
      </c>
      <c r="AM601">
        <f>VLOOKUP(Table1[[#This Row],[Caste]]&amp;Table1[[#This Row],[Q18: Gender]],Factor!$W$1:$X$23,2,0)</f>
        <v>0.71995135120329123</v>
      </c>
      <c r="AN601">
        <f>VLOOKUP(Table1[[#This Row],[Taluka]]&amp;Table1[[#This Row],[Caste]]&amp;Table1[[#This Row],[Q18: Gender]],Factor!$AK$4:$AL$93,2,0)</f>
        <v>0.70534647283248642</v>
      </c>
      <c r="AO601">
        <f t="shared" si="99"/>
        <v>-1</v>
      </c>
      <c r="AP601">
        <f t="shared" si="100"/>
        <v>-1</v>
      </c>
      <c r="AQ601">
        <f t="shared" si="101"/>
        <v>1</v>
      </c>
      <c r="AR601">
        <f t="shared" si="102"/>
        <v>-1</v>
      </c>
      <c r="AS601">
        <f t="shared" si="103"/>
        <v>-1</v>
      </c>
      <c r="AT601">
        <f t="shared" si="104"/>
        <v>-1</v>
      </c>
      <c r="AU601">
        <f t="shared" si="105"/>
        <v>-3.5</v>
      </c>
      <c r="AV601">
        <f>SUM(Table1[[#This Row],[Satis]:[29]])</f>
        <v>-4</v>
      </c>
      <c r="AW601">
        <f t="shared" si="106"/>
        <v>-3</v>
      </c>
      <c r="AX601">
        <f t="shared" si="107"/>
        <v>-2</v>
      </c>
      <c r="AY601">
        <f t="shared" si="108"/>
        <v>-3</v>
      </c>
      <c r="AZ601" t="str">
        <f t="shared" si="109"/>
        <v>Neutral TDP</v>
      </c>
    </row>
    <row r="602" spans="1:52" x14ac:dyDescent="0.3">
      <c r="A602" t="s">
        <v>3333</v>
      </c>
      <c r="B602" s="94">
        <v>46046</v>
      </c>
      <c r="C602" t="s">
        <v>3334</v>
      </c>
      <c r="D602" t="s">
        <v>3335</v>
      </c>
      <c r="E602" t="s">
        <v>3336</v>
      </c>
      <c r="F602" t="s">
        <v>69</v>
      </c>
      <c r="G602" t="s">
        <v>39</v>
      </c>
      <c r="H602" t="s">
        <v>3337</v>
      </c>
      <c r="I602" t="s">
        <v>59</v>
      </c>
      <c r="J602" t="s">
        <v>203</v>
      </c>
      <c r="K602" t="s">
        <v>203</v>
      </c>
      <c r="L602" t="s">
        <v>75</v>
      </c>
      <c r="M602" t="s">
        <v>51</v>
      </c>
      <c r="N602" t="s">
        <v>63</v>
      </c>
      <c r="O602" t="s">
        <v>620</v>
      </c>
      <c r="P602">
        <v>9963258717</v>
      </c>
      <c r="Q602" t="s">
        <v>54</v>
      </c>
      <c r="R602" t="s">
        <v>2116</v>
      </c>
      <c r="S602" t="s">
        <v>43</v>
      </c>
      <c r="T602" t="s">
        <v>43</v>
      </c>
      <c r="U602" t="s">
        <v>44</v>
      </c>
      <c r="V602" t="s">
        <v>45</v>
      </c>
      <c r="W602" t="s">
        <v>5058</v>
      </c>
      <c r="X602" t="s">
        <v>45</v>
      </c>
      <c r="Y602" t="s">
        <v>46</v>
      </c>
      <c r="Z602" t="s">
        <v>47</v>
      </c>
      <c r="AA602" t="s">
        <v>48</v>
      </c>
      <c r="AB602" t="s">
        <v>49</v>
      </c>
      <c r="AC602" t="s">
        <v>49</v>
      </c>
      <c r="AD602" t="s">
        <v>481</v>
      </c>
      <c r="AE602" t="s">
        <v>185</v>
      </c>
      <c r="AF602">
        <v>0</v>
      </c>
      <c r="AG602" t="s">
        <v>196</v>
      </c>
      <c r="AH602" s="93">
        <f>VLOOKUP(Table1[[#This Row],[Caste]],Factor!$H$1:$K$13,4,0)</f>
        <v>1.1461625511156397</v>
      </c>
      <c r="AI60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02">
        <f>Table1[[#This Row],[Factor_1]]*Table1[[#This Row],[2024 Factor]]</f>
        <v>0.77721139583220644</v>
      </c>
      <c r="AK602">
        <f>VLOOKUP(Table1[[#This Row],[Q18: Gender]],Factor!$A$33:$E$35,5,0)</f>
        <v>0.85034013605442171</v>
      </c>
      <c r="AL602">
        <f>VLOOKUP(Table1[[#This Row],[Taluka]],Factor!$A$42:$G$46,7,0)</f>
        <v>1.9264642089343564</v>
      </c>
      <c r="AM602">
        <f>VLOOKUP(Table1[[#This Row],[Caste]]&amp;Table1[[#This Row],[Q18: Gender]],Factor!$W$1:$X$23,2,0)</f>
        <v>0.71995135120329123</v>
      </c>
      <c r="AN602">
        <f>VLOOKUP(Table1[[#This Row],[Taluka]]&amp;Table1[[#This Row],[Caste]]&amp;Table1[[#This Row],[Q18: Gender]],Factor!$AK$4:$AL$93,2,0)</f>
        <v>0.70534647283248642</v>
      </c>
      <c r="AO602">
        <f t="shared" si="99"/>
        <v>-1</v>
      </c>
      <c r="AP602">
        <f t="shared" si="100"/>
        <v>-1</v>
      </c>
      <c r="AQ602">
        <f t="shared" si="101"/>
        <v>-1</v>
      </c>
      <c r="AR602">
        <f t="shared" si="102"/>
        <v>-1</v>
      </c>
      <c r="AS602">
        <f t="shared" si="103"/>
        <v>-1</v>
      </c>
      <c r="AT602">
        <f t="shared" si="104"/>
        <v>-1</v>
      </c>
      <c r="AU602">
        <f t="shared" si="105"/>
        <v>-5.5</v>
      </c>
      <c r="AV602">
        <f>SUM(Table1[[#This Row],[Satis]:[29]])</f>
        <v>-6</v>
      </c>
      <c r="AW602">
        <f t="shared" si="106"/>
        <v>-5</v>
      </c>
      <c r="AX602">
        <f t="shared" si="107"/>
        <v>-4</v>
      </c>
      <c r="AY602">
        <f t="shared" si="108"/>
        <v>-3</v>
      </c>
      <c r="AZ602" t="str">
        <f t="shared" si="109"/>
        <v>TDP HardCore</v>
      </c>
    </row>
    <row r="603" spans="1:52" x14ac:dyDescent="0.3">
      <c r="A603" t="s">
        <v>3328</v>
      </c>
      <c r="B603" s="94">
        <v>46046</v>
      </c>
      <c r="C603" t="s">
        <v>3329</v>
      </c>
      <c r="D603" t="s">
        <v>3330</v>
      </c>
      <c r="E603" t="s">
        <v>3331</v>
      </c>
      <c r="F603" t="s">
        <v>69</v>
      </c>
      <c r="G603" t="s">
        <v>39</v>
      </c>
      <c r="H603" t="s">
        <v>3332</v>
      </c>
      <c r="I603" t="s">
        <v>59</v>
      </c>
      <c r="J603" t="s">
        <v>203</v>
      </c>
      <c r="K603" t="s">
        <v>203</v>
      </c>
      <c r="L603" t="s">
        <v>75</v>
      </c>
      <c r="M603" t="s">
        <v>51</v>
      </c>
      <c r="N603" t="s">
        <v>63</v>
      </c>
      <c r="O603" t="s">
        <v>480</v>
      </c>
      <c r="P603">
        <v>9989586457</v>
      </c>
      <c r="Q603" t="s">
        <v>54</v>
      </c>
      <c r="R603" t="s">
        <v>2116</v>
      </c>
      <c r="S603" t="s">
        <v>43</v>
      </c>
      <c r="T603" t="s">
        <v>43</v>
      </c>
      <c r="U603" t="s">
        <v>44</v>
      </c>
      <c r="V603" t="s">
        <v>45</v>
      </c>
      <c r="W603" t="s">
        <v>5042</v>
      </c>
      <c r="X603" t="s">
        <v>45</v>
      </c>
      <c r="Y603" t="s">
        <v>46</v>
      </c>
      <c r="Z603" t="s">
        <v>47</v>
      </c>
      <c r="AA603" t="s">
        <v>48</v>
      </c>
      <c r="AB603" t="s">
        <v>49</v>
      </c>
      <c r="AC603" t="s">
        <v>49</v>
      </c>
      <c r="AD603" t="s">
        <v>481</v>
      </c>
      <c r="AE603" t="s">
        <v>185</v>
      </c>
      <c r="AF603">
        <v>0</v>
      </c>
      <c r="AG603" t="s">
        <v>196</v>
      </c>
      <c r="AH603" s="93">
        <f>VLOOKUP(Table1[[#This Row],[Caste]],Factor!$H$1:$K$13,4,0)</f>
        <v>1.1461625511156397</v>
      </c>
      <c r="AI60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03">
        <f>Table1[[#This Row],[Factor_1]]*Table1[[#This Row],[2024 Factor]]</f>
        <v>0.77721139583220644</v>
      </c>
      <c r="AK603">
        <f>VLOOKUP(Table1[[#This Row],[Q18: Gender]],Factor!$A$33:$E$35,5,0)</f>
        <v>0.85034013605442171</v>
      </c>
      <c r="AL603">
        <f>VLOOKUP(Table1[[#This Row],[Taluka]],Factor!$A$42:$G$46,7,0)</f>
        <v>1.9264642089343564</v>
      </c>
      <c r="AM603">
        <f>VLOOKUP(Table1[[#This Row],[Caste]]&amp;Table1[[#This Row],[Q18: Gender]],Factor!$W$1:$X$23,2,0)</f>
        <v>0.71995135120329123</v>
      </c>
      <c r="AN603">
        <f>VLOOKUP(Table1[[#This Row],[Taluka]]&amp;Table1[[#This Row],[Caste]]&amp;Table1[[#This Row],[Q18: Gender]],Factor!$AK$4:$AL$93,2,0)</f>
        <v>0.70534647283248642</v>
      </c>
      <c r="AO603">
        <f t="shared" si="99"/>
        <v>-1</v>
      </c>
      <c r="AP603">
        <f t="shared" si="100"/>
        <v>-1</v>
      </c>
      <c r="AQ603">
        <f t="shared" si="101"/>
        <v>-1</v>
      </c>
      <c r="AR603">
        <f t="shared" si="102"/>
        <v>-1</v>
      </c>
      <c r="AS603">
        <f t="shared" si="103"/>
        <v>-1</v>
      </c>
      <c r="AT603">
        <f t="shared" si="104"/>
        <v>-1</v>
      </c>
      <c r="AU603">
        <f t="shared" si="105"/>
        <v>-5.5</v>
      </c>
      <c r="AV603">
        <f>SUM(Table1[[#This Row],[Satis]:[29]])</f>
        <v>-6</v>
      </c>
      <c r="AW603">
        <f t="shared" si="106"/>
        <v>-5</v>
      </c>
      <c r="AX603">
        <f t="shared" si="107"/>
        <v>-4</v>
      </c>
      <c r="AY603">
        <f t="shared" si="108"/>
        <v>-3</v>
      </c>
      <c r="AZ603" t="str">
        <f t="shared" si="109"/>
        <v>TDP HardCore</v>
      </c>
    </row>
    <row r="604" spans="1:52" x14ac:dyDescent="0.3">
      <c r="A604" t="s">
        <v>3364</v>
      </c>
      <c r="B604" s="94">
        <v>46046</v>
      </c>
      <c r="C604" t="s">
        <v>3365</v>
      </c>
      <c r="D604" t="s">
        <v>3366</v>
      </c>
      <c r="E604" t="s">
        <v>3242</v>
      </c>
      <c r="F604" t="s">
        <v>240</v>
      </c>
      <c r="G604" t="s">
        <v>39</v>
      </c>
      <c r="H604" t="s">
        <v>3367</v>
      </c>
      <c r="I604" t="s">
        <v>168</v>
      </c>
      <c r="J604" t="s">
        <v>37</v>
      </c>
      <c r="K604" t="s">
        <v>38</v>
      </c>
      <c r="L604" t="s">
        <v>62</v>
      </c>
      <c r="M604" t="s">
        <v>51</v>
      </c>
      <c r="N604" t="s">
        <v>107</v>
      </c>
      <c r="O604" t="s">
        <v>3368</v>
      </c>
      <c r="P604">
        <v>9553888272</v>
      </c>
      <c r="Q604" t="s">
        <v>54</v>
      </c>
      <c r="R604" t="s">
        <v>61</v>
      </c>
      <c r="S604" t="s">
        <v>89</v>
      </c>
      <c r="T604" t="s">
        <v>43</v>
      </c>
      <c r="U604" t="s">
        <v>90</v>
      </c>
      <c r="V604" t="s">
        <v>45</v>
      </c>
      <c r="W604" t="s">
        <v>5056</v>
      </c>
      <c r="X604" t="s">
        <v>45</v>
      </c>
      <c r="Y604" t="s">
        <v>46</v>
      </c>
      <c r="Z604" t="s">
        <v>47</v>
      </c>
      <c r="AA604" t="s">
        <v>48</v>
      </c>
      <c r="AB604" t="s">
        <v>49</v>
      </c>
      <c r="AC604" t="s">
        <v>49</v>
      </c>
      <c r="AD604">
        <v>0</v>
      </c>
      <c r="AE604" t="s">
        <v>185</v>
      </c>
      <c r="AF604">
        <v>0</v>
      </c>
      <c r="AG604" t="s">
        <v>196</v>
      </c>
      <c r="AH604" s="93">
        <f>VLOOKUP(Table1[[#This Row],[Caste]],Factor!$H$1:$K$13,4,0)</f>
        <v>1.0478809952686368</v>
      </c>
      <c r="AI60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04">
        <f>Table1[[#This Row],[Factor_1]]*Table1[[#This Row],[2024 Factor]]</f>
        <v>0.8266624780172348</v>
      </c>
      <c r="AK604">
        <f>VLOOKUP(Table1[[#This Row],[Q18: Gender]],Factor!$A$33:$E$35,5,0)</f>
        <v>0.85034013605442171</v>
      </c>
      <c r="AL604">
        <f>VLOOKUP(Table1[[#This Row],[Taluka]],Factor!$A$42:$G$46,7,0)</f>
        <v>0.75433779645928134</v>
      </c>
      <c r="AM604">
        <f>VLOOKUP(Table1[[#This Row],[Caste]]&amp;Table1[[#This Row],[Q18: Gender]],Factor!$W$1:$X$23,2,0)</f>
        <v>0.7657591888501577</v>
      </c>
      <c r="AN604">
        <f>VLOOKUP(Table1[[#This Row],[Taluka]]&amp;Table1[[#This Row],[Caste]]&amp;Table1[[#This Row],[Q18: Gender]],Factor!$AK$4:$AL$93,2,0)</f>
        <v>0.22377816180516033</v>
      </c>
      <c r="AO604">
        <f t="shared" si="99"/>
        <v>-1</v>
      </c>
      <c r="AP604">
        <f t="shared" si="100"/>
        <v>1</v>
      </c>
      <c r="AQ604">
        <f t="shared" si="101"/>
        <v>-1</v>
      </c>
      <c r="AR604">
        <f t="shared" si="102"/>
        <v>-1</v>
      </c>
      <c r="AS604">
        <f t="shared" si="103"/>
        <v>-1</v>
      </c>
      <c r="AT604">
        <f t="shared" si="104"/>
        <v>-1</v>
      </c>
      <c r="AU604">
        <f t="shared" si="105"/>
        <v>-3.5</v>
      </c>
      <c r="AV604">
        <f>SUM(Table1[[#This Row],[Satis]:[29]])</f>
        <v>-4</v>
      </c>
      <c r="AW604">
        <f t="shared" si="106"/>
        <v>-5</v>
      </c>
      <c r="AX604">
        <f t="shared" si="107"/>
        <v>-4</v>
      </c>
      <c r="AY604">
        <f t="shared" si="108"/>
        <v>-3</v>
      </c>
      <c r="AZ604" t="str">
        <f t="shared" si="109"/>
        <v>TDP Sympathiser</v>
      </c>
    </row>
    <row r="605" spans="1:52" x14ac:dyDescent="0.3">
      <c r="A605" t="s">
        <v>3444</v>
      </c>
      <c r="B605" s="94">
        <v>46046</v>
      </c>
      <c r="C605" t="s">
        <v>3445</v>
      </c>
      <c r="D605" t="s">
        <v>3446</v>
      </c>
      <c r="E605" t="s">
        <v>3447</v>
      </c>
      <c r="F605" t="s">
        <v>69</v>
      </c>
      <c r="G605" t="s">
        <v>39</v>
      </c>
      <c r="H605" t="s">
        <v>3448</v>
      </c>
      <c r="I605" t="s">
        <v>59</v>
      </c>
      <c r="J605" t="s">
        <v>203</v>
      </c>
      <c r="K605" t="s">
        <v>203</v>
      </c>
      <c r="L605" t="s">
        <v>75</v>
      </c>
      <c r="M605" t="s">
        <v>51</v>
      </c>
      <c r="N605" t="s">
        <v>63</v>
      </c>
      <c r="O605" t="s">
        <v>1438</v>
      </c>
      <c r="P605">
        <v>9959191490</v>
      </c>
      <c r="Q605" t="s">
        <v>54</v>
      </c>
      <c r="R605" t="s">
        <v>73</v>
      </c>
      <c r="S605" t="s">
        <v>43</v>
      </c>
      <c r="T605" t="s">
        <v>43</v>
      </c>
      <c r="U605" t="s">
        <v>44</v>
      </c>
      <c r="V605" t="s">
        <v>45</v>
      </c>
      <c r="W605" t="s">
        <v>5081</v>
      </c>
      <c r="X605" t="s">
        <v>45</v>
      </c>
      <c r="Y605" t="s">
        <v>46</v>
      </c>
      <c r="Z605" t="s">
        <v>47</v>
      </c>
      <c r="AA605" t="s">
        <v>48</v>
      </c>
      <c r="AB605" t="s">
        <v>49</v>
      </c>
      <c r="AC605" t="s">
        <v>49</v>
      </c>
      <c r="AD605" t="s">
        <v>481</v>
      </c>
      <c r="AE605" t="s">
        <v>185</v>
      </c>
      <c r="AF605">
        <v>0</v>
      </c>
      <c r="AG605" t="s">
        <v>196</v>
      </c>
      <c r="AH605" s="93">
        <f>VLOOKUP(Table1[[#This Row],[Caste]],Factor!$H$1:$K$13,4,0)</f>
        <v>1.1461625511156397</v>
      </c>
      <c r="AI60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05">
        <f>Table1[[#This Row],[Factor_1]]*Table1[[#This Row],[2024 Factor]]</f>
        <v>0.77721139583220644</v>
      </c>
      <c r="AK605">
        <f>VLOOKUP(Table1[[#This Row],[Q18: Gender]],Factor!$A$33:$E$35,5,0)</f>
        <v>0.85034013605442171</v>
      </c>
      <c r="AL605">
        <f>VLOOKUP(Table1[[#This Row],[Taluka]],Factor!$A$42:$G$46,7,0)</f>
        <v>1.9264642089343564</v>
      </c>
      <c r="AM605">
        <f>VLOOKUP(Table1[[#This Row],[Caste]]&amp;Table1[[#This Row],[Q18: Gender]],Factor!$W$1:$X$23,2,0)</f>
        <v>0.71995135120329123</v>
      </c>
      <c r="AN605">
        <f>VLOOKUP(Table1[[#This Row],[Taluka]]&amp;Table1[[#This Row],[Caste]]&amp;Table1[[#This Row],[Q18: Gender]],Factor!$AK$4:$AL$93,2,0)</f>
        <v>0.70534647283248642</v>
      </c>
      <c r="AO605">
        <f t="shared" si="99"/>
        <v>-1</v>
      </c>
      <c r="AP605">
        <f t="shared" si="100"/>
        <v>-1</v>
      </c>
      <c r="AQ605">
        <f t="shared" si="101"/>
        <v>-1</v>
      </c>
      <c r="AR605">
        <f t="shared" si="102"/>
        <v>-1</v>
      </c>
      <c r="AS605">
        <f t="shared" si="103"/>
        <v>-1</v>
      </c>
      <c r="AT605">
        <f t="shared" si="104"/>
        <v>-1</v>
      </c>
      <c r="AU605">
        <f t="shared" si="105"/>
        <v>-5.5</v>
      </c>
      <c r="AV605">
        <f>SUM(Table1[[#This Row],[Satis]:[29]])</f>
        <v>-6</v>
      </c>
      <c r="AW605">
        <f t="shared" si="106"/>
        <v>-5</v>
      </c>
      <c r="AX605">
        <f t="shared" si="107"/>
        <v>-4</v>
      </c>
      <c r="AY605">
        <f t="shared" si="108"/>
        <v>-3</v>
      </c>
      <c r="AZ605" t="str">
        <f t="shared" si="109"/>
        <v>TDP HardCore</v>
      </c>
    </row>
    <row r="606" spans="1:52" x14ac:dyDescent="0.3">
      <c r="A606" t="s">
        <v>3480</v>
      </c>
      <c r="B606" s="94">
        <v>46046</v>
      </c>
      <c r="C606" t="s">
        <v>3481</v>
      </c>
      <c r="D606" t="s">
        <v>3482</v>
      </c>
      <c r="E606" t="s">
        <v>3180</v>
      </c>
      <c r="F606" t="s">
        <v>240</v>
      </c>
      <c r="G606" t="s">
        <v>39</v>
      </c>
      <c r="H606" t="s">
        <v>3483</v>
      </c>
      <c r="I606" t="s">
        <v>227</v>
      </c>
      <c r="J606" t="s">
        <v>71</v>
      </c>
      <c r="K606" t="s">
        <v>218</v>
      </c>
      <c r="L606" t="s">
        <v>62</v>
      </c>
      <c r="M606" t="s">
        <v>51</v>
      </c>
      <c r="N606" t="s">
        <v>63</v>
      </c>
      <c r="O606" t="s">
        <v>3484</v>
      </c>
      <c r="P606">
        <v>9010834834</v>
      </c>
      <c r="Q606" t="s">
        <v>445</v>
      </c>
      <c r="R606" t="s">
        <v>2116</v>
      </c>
      <c r="S606" t="s">
        <v>43</v>
      </c>
      <c r="T606" t="s">
        <v>43</v>
      </c>
      <c r="U606" t="s">
        <v>90</v>
      </c>
      <c r="V606" t="s">
        <v>45</v>
      </c>
      <c r="W606" t="s">
        <v>5054</v>
      </c>
      <c r="X606" t="s">
        <v>45</v>
      </c>
      <c r="Y606" t="s">
        <v>46</v>
      </c>
      <c r="Z606" t="s">
        <v>47</v>
      </c>
      <c r="AA606" t="s">
        <v>48</v>
      </c>
      <c r="AB606" t="s">
        <v>49</v>
      </c>
      <c r="AC606" t="s">
        <v>49</v>
      </c>
      <c r="AD606" t="s">
        <v>494</v>
      </c>
      <c r="AE606" t="s">
        <v>189</v>
      </c>
      <c r="AF606" t="s">
        <v>2989</v>
      </c>
      <c r="AG606" t="s">
        <v>196</v>
      </c>
      <c r="AH606" s="93">
        <f>VLOOKUP(Table1[[#This Row],[Caste]],Factor!$H$1:$K$13,4,0)</f>
        <v>1.2612194085121222</v>
      </c>
      <c r="AI60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06">
        <f>Table1[[#This Row],[Factor_1]]*Table1[[#This Row],[2024 Factor]]</f>
        <v>2.6155674106916162</v>
      </c>
      <c r="AK606">
        <f>VLOOKUP(Table1[[#This Row],[Q18: Gender]],Factor!$A$33:$E$35,5,0)</f>
        <v>2.1645021645021645</v>
      </c>
      <c r="AL606">
        <f>VLOOKUP(Table1[[#This Row],[Taluka]],Factor!$A$42:$G$46,7,0)</f>
        <v>1.1213131007097483</v>
      </c>
      <c r="AM606">
        <f>VLOOKUP(Table1[[#This Row],[Caste]]&amp;Table1[[#This Row],[Q18: Gender]],Factor!$W$1:$X$23,2,0)</f>
        <v>2.4228688637206557</v>
      </c>
      <c r="AN606">
        <f>VLOOKUP(Table1[[#This Row],[Taluka]]&amp;Table1[[#This Row],[Caste]]&amp;Table1[[#This Row],[Q18: Gender]],Factor!$AK$4:$AL$93,2,0)</f>
        <v>1.6647158900419725</v>
      </c>
      <c r="AO606">
        <f t="shared" si="99"/>
        <v>-1</v>
      </c>
      <c r="AP606">
        <f t="shared" si="100"/>
        <v>1</v>
      </c>
      <c r="AQ606">
        <f t="shared" si="101"/>
        <v>-1</v>
      </c>
      <c r="AR606">
        <f t="shared" si="102"/>
        <v>-1</v>
      </c>
      <c r="AS606">
        <f t="shared" si="103"/>
        <v>-1</v>
      </c>
      <c r="AT606">
        <f t="shared" si="104"/>
        <v>-1</v>
      </c>
      <c r="AU606">
        <f t="shared" si="105"/>
        <v>-3.5</v>
      </c>
      <c r="AV606">
        <f>SUM(Table1[[#This Row],[Satis]:[29]])</f>
        <v>-4</v>
      </c>
      <c r="AW606">
        <f t="shared" si="106"/>
        <v>-5</v>
      </c>
      <c r="AX606">
        <f t="shared" si="107"/>
        <v>-4</v>
      </c>
      <c r="AY606">
        <f t="shared" si="108"/>
        <v>-3</v>
      </c>
      <c r="AZ606" t="str">
        <f t="shared" si="109"/>
        <v>TDP Sympathiser</v>
      </c>
    </row>
    <row r="607" spans="1:52" x14ac:dyDescent="0.3">
      <c r="A607" t="s">
        <v>3050</v>
      </c>
      <c r="B607" s="94">
        <v>46046</v>
      </c>
      <c r="C607" t="s">
        <v>3051</v>
      </c>
      <c r="D607" t="s">
        <v>3052</v>
      </c>
      <c r="E607" t="s">
        <v>3053</v>
      </c>
      <c r="F607" t="s">
        <v>69</v>
      </c>
      <c r="G607" t="s">
        <v>39</v>
      </c>
      <c r="H607" t="s">
        <v>3054</v>
      </c>
      <c r="I607" t="s">
        <v>59</v>
      </c>
      <c r="J607" t="s">
        <v>203</v>
      </c>
      <c r="K607" t="s">
        <v>203</v>
      </c>
      <c r="L607" t="s">
        <v>75</v>
      </c>
      <c r="M607" t="s">
        <v>51</v>
      </c>
      <c r="N607" t="s">
        <v>162</v>
      </c>
      <c r="O607" t="s">
        <v>3055</v>
      </c>
      <c r="P607">
        <v>9032179213</v>
      </c>
      <c r="Q607" t="s">
        <v>54</v>
      </c>
      <c r="R607" t="s">
        <v>132</v>
      </c>
      <c r="S607" t="s">
        <v>43</v>
      </c>
      <c r="T607" t="s">
        <v>43</v>
      </c>
      <c r="U607" t="s">
        <v>44</v>
      </c>
      <c r="V607" t="s">
        <v>45</v>
      </c>
      <c r="W607" t="s">
        <v>5061</v>
      </c>
      <c r="X607" t="s">
        <v>45</v>
      </c>
      <c r="Y607" t="s">
        <v>46</v>
      </c>
      <c r="Z607" t="s">
        <v>47</v>
      </c>
      <c r="AA607" t="s">
        <v>48</v>
      </c>
      <c r="AB607" t="s">
        <v>49</v>
      </c>
      <c r="AC607" t="s">
        <v>49</v>
      </c>
      <c r="AD607" t="s">
        <v>481</v>
      </c>
      <c r="AE607" t="s">
        <v>185</v>
      </c>
      <c r="AF607">
        <v>0</v>
      </c>
      <c r="AG607" t="s">
        <v>196</v>
      </c>
      <c r="AH607" s="93">
        <f>VLOOKUP(Table1[[#This Row],[Caste]],Factor!$H$1:$K$13,4,0)</f>
        <v>1.1461625511156397</v>
      </c>
      <c r="AI60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07">
        <f>Table1[[#This Row],[Factor_1]]*Table1[[#This Row],[2024 Factor]]</f>
        <v>0.77721139583220644</v>
      </c>
      <c r="AK607">
        <f>VLOOKUP(Table1[[#This Row],[Q18: Gender]],Factor!$A$33:$E$35,5,0)</f>
        <v>0.85034013605442171</v>
      </c>
      <c r="AL607">
        <f>VLOOKUP(Table1[[#This Row],[Taluka]],Factor!$A$42:$G$46,7,0)</f>
        <v>1.9264642089343564</v>
      </c>
      <c r="AM607">
        <f>VLOOKUP(Table1[[#This Row],[Caste]]&amp;Table1[[#This Row],[Q18: Gender]],Factor!$W$1:$X$23,2,0)</f>
        <v>0.71995135120329123</v>
      </c>
      <c r="AN607">
        <f>VLOOKUP(Table1[[#This Row],[Taluka]]&amp;Table1[[#This Row],[Caste]]&amp;Table1[[#This Row],[Q18: Gender]],Factor!$AK$4:$AL$93,2,0)</f>
        <v>0.70534647283248642</v>
      </c>
      <c r="AO607">
        <f t="shared" si="99"/>
        <v>-1</v>
      </c>
      <c r="AP607">
        <f t="shared" si="100"/>
        <v>-1</v>
      </c>
      <c r="AQ607">
        <f t="shared" si="101"/>
        <v>-1</v>
      </c>
      <c r="AR607">
        <f t="shared" si="102"/>
        <v>-1</v>
      </c>
      <c r="AS607">
        <f t="shared" si="103"/>
        <v>-1</v>
      </c>
      <c r="AT607">
        <f t="shared" si="104"/>
        <v>-1</v>
      </c>
      <c r="AU607">
        <f t="shared" si="105"/>
        <v>-5.5</v>
      </c>
      <c r="AV607">
        <f>SUM(Table1[[#This Row],[Satis]:[29]])</f>
        <v>-6</v>
      </c>
      <c r="AW607">
        <f t="shared" si="106"/>
        <v>-5</v>
      </c>
      <c r="AX607">
        <f t="shared" si="107"/>
        <v>-4</v>
      </c>
      <c r="AY607">
        <f t="shared" si="108"/>
        <v>-3</v>
      </c>
      <c r="AZ607" t="str">
        <f t="shared" si="109"/>
        <v>TDP HardCore</v>
      </c>
    </row>
    <row r="608" spans="1:52" x14ac:dyDescent="0.3">
      <c r="A608" t="s">
        <v>3841</v>
      </c>
      <c r="B608" s="94">
        <v>46046</v>
      </c>
      <c r="C608" t="s">
        <v>3842</v>
      </c>
      <c r="D608" t="s">
        <v>3843</v>
      </c>
      <c r="E608" t="s">
        <v>3844</v>
      </c>
      <c r="F608" t="s">
        <v>69</v>
      </c>
      <c r="G608" t="s">
        <v>39</v>
      </c>
      <c r="H608" t="s">
        <v>3845</v>
      </c>
      <c r="I608" t="s">
        <v>59</v>
      </c>
      <c r="J608" t="s">
        <v>203</v>
      </c>
      <c r="K608" t="s">
        <v>203</v>
      </c>
      <c r="L608" t="s">
        <v>75</v>
      </c>
      <c r="M608" t="s">
        <v>51</v>
      </c>
      <c r="N608" t="s">
        <v>63</v>
      </c>
      <c r="O608" t="s">
        <v>3846</v>
      </c>
      <c r="P608">
        <v>8897537444</v>
      </c>
      <c r="Q608" t="s">
        <v>54</v>
      </c>
      <c r="R608" t="s">
        <v>73</v>
      </c>
      <c r="S608" t="s">
        <v>89</v>
      </c>
      <c r="T608" t="s">
        <v>43</v>
      </c>
      <c r="U608" t="s">
        <v>44</v>
      </c>
      <c r="V608" t="s">
        <v>45</v>
      </c>
      <c r="W608" t="s">
        <v>5058</v>
      </c>
      <c r="X608" t="s">
        <v>45</v>
      </c>
      <c r="Y608" t="s">
        <v>46</v>
      </c>
      <c r="Z608" t="s">
        <v>47</v>
      </c>
      <c r="AA608" t="s">
        <v>48</v>
      </c>
      <c r="AB608" t="s">
        <v>49</v>
      </c>
      <c r="AC608" t="s">
        <v>49</v>
      </c>
      <c r="AD608" t="s">
        <v>481</v>
      </c>
      <c r="AE608" t="s">
        <v>185</v>
      </c>
      <c r="AF608">
        <v>0</v>
      </c>
      <c r="AG608" t="s">
        <v>196</v>
      </c>
      <c r="AH608" s="93">
        <f>VLOOKUP(Table1[[#This Row],[Caste]],Factor!$H$1:$K$13,4,0)</f>
        <v>1.1461625511156397</v>
      </c>
      <c r="AI60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08">
        <f>Table1[[#This Row],[Factor_1]]*Table1[[#This Row],[2024 Factor]]</f>
        <v>0.77721139583220644</v>
      </c>
      <c r="AK608">
        <f>VLOOKUP(Table1[[#This Row],[Q18: Gender]],Factor!$A$33:$E$35,5,0)</f>
        <v>0.85034013605442171</v>
      </c>
      <c r="AL608">
        <f>VLOOKUP(Table1[[#This Row],[Taluka]],Factor!$A$42:$G$46,7,0)</f>
        <v>1.9264642089343564</v>
      </c>
      <c r="AM608">
        <f>VLOOKUP(Table1[[#This Row],[Caste]]&amp;Table1[[#This Row],[Q18: Gender]],Factor!$W$1:$X$23,2,0)</f>
        <v>0.71995135120329123</v>
      </c>
      <c r="AN608">
        <f>VLOOKUP(Table1[[#This Row],[Taluka]]&amp;Table1[[#This Row],[Caste]]&amp;Table1[[#This Row],[Q18: Gender]],Factor!$AK$4:$AL$93,2,0)</f>
        <v>0.70534647283248642</v>
      </c>
      <c r="AO608">
        <f t="shared" si="99"/>
        <v>-1</v>
      </c>
      <c r="AP608">
        <f t="shared" si="100"/>
        <v>-1</v>
      </c>
      <c r="AQ608">
        <f t="shared" si="101"/>
        <v>-1</v>
      </c>
      <c r="AR608">
        <f t="shared" si="102"/>
        <v>-1</v>
      </c>
      <c r="AS608">
        <f t="shared" si="103"/>
        <v>-1</v>
      </c>
      <c r="AT608">
        <f t="shared" si="104"/>
        <v>-1</v>
      </c>
      <c r="AU608">
        <f t="shared" si="105"/>
        <v>-5.5</v>
      </c>
      <c r="AV608">
        <f>SUM(Table1[[#This Row],[Satis]:[29]])</f>
        <v>-6</v>
      </c>
      <c r="AW608">
        <f t="shared" si="106"/>
        <v>-5</v>
      </c>
      <c r="AX608">
        <f t="shared" si="107"/>
        <v>-4</v>
      </c>
      <c r="AY608">
        <f t="shared" si="108"/>
        <v>-3</v>
      </c>
      <c r="AZ608" t="str">
        <f t="shared" si="109"/>
        <v>TDP HardCore</v>
      </c>
    </row>
    <row r="609" spans="1:52" x14ac:dyDescent="0.3">
      <c r="A609" t="s">
        <v>3496</v>
      </c>
      <c r="B609" s="94">
        <v>46046</v>
      </c>
      <c r="C609" t="s">
        <v>3497</v>
      </c>
      <c r="D609" t="s">
        <v>3498</v>
      </c>
      <c r="E609" t="s">
        <v>3119</v>
      </c>
      <c r="F609" t="s">
        <v>935</v>
      </c>
      <c r="G609" t="s">
        <v>39</v>
      </c>
      <c r="H609" t="s">
        <v>3499</v>
      </c>
      <c r="I609" t="s">
        <v>228</v>
      </c>
      <c r="J609" t="s">
        <v>203</v>
      </c>
      <c r="K609" t="s">
        <v>208</v>
      </c>
      <c r="L609" t="s">
        <v>62</v>
      </c>
      <c r="M609" t="s">
        <v>51</v>
      </c>
      <c r="N609" t="s">
        <v>63</v>
      </c>
      <c r="O609" t="s">
        <v>3500</v>
      </c>
      <c r="P609">
        <v>99999999999</v>
      </c>
      <c r="Q609" t="s">
        <v>445</v>
      </c>
      <c r="R609" t="s">
        <v>139</v>
      </c>
      <c r="S609" t="s">
        <v>43</v>
      </c>
      <c r="T609" t="s">
        <v>43</v>
      </c>
      <c r="U609" t="s">
        <v>44</v>
      </c>
      <c r="V609" t="s">
        <v>45</v>
      </c>
      <c r="W609" t="s">
        <v>5056</v>
      </c>
      <c r="X609" t="s">
        <v>45</v>
      </c>
      <c r="Y609" t="s">
        <v>46</v>
      </c>
      <c r="Z609" t="s">
        <v>47</v>
      </c>
      <c r="AA609" t="s">
        <v>48</v>
      </c>
      <c r="AB609" t="s">
        <v>49</v>
      </c>
      <c r="AC609" t="s">
        <v>49</v>
      </c>
      <c r="AD609" t="s">
        <v>184</v>
      </c>
      <c r="AE609" t="s">
        <v>185</v>
      </c>
      <c r="AF609" t="s">
        <v>1348</v>
      </c>
      <c r="AG609" t="s">
        <v>196</v>
      </c>
      <c r="AH609" s="93">
        <f>VLOOKUP(Table1[[#This Row],[Caste]],Factor!$H$1:$K$13,4,0)</f>
        <v>0.80207032429970992</v>
      </c>
      <c r="AI60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09">
        <f>Table1[[#This Row],[Factor_1]]*Table1[[#This Row],[2024 Factor]]</f>
        <v>1.2733258158237817</v>
      </c>
      <c r="AK609">
        <f>VLOOKUP(Table1[[#This Row],[Q18: Gender]],Factor!$A$33:$E$35,5,0)</f>
        <v>2.1645021645021645</v>
      </c>
      <c r="AL609">
        <f>VLOOKUP(Table1[[#This Row],[Taluka]],Factor!$A$42:$G$46,7,0)</f>
        <v>1.9264642089343564</v>
      </c>
      <c r="AM609">
        <f>VLOOKUP(Table1[[#This Row],[Caste]]&amp;Table1[[#This Row],[Q18: Gender]],Factor!$W$1:$X$23,2,0)</f>
        <v>1.1795151827936912</v>
      </c>
      <c r="AN609">
        <f>VLOOKUP(Table1[[#This Row],[Taluka]]&amp;Table1[[#This Row],[Caste]]&amp;Table1[[#This Row],[Q18: Gender]],Factor!$AK$4:$AL$93,2,0)</f>
        <v>2.0730893618557826</v>
      </c>
      <c r="AO609">
        <f t="shared" si="99"/>
        <v>-1</v>
      </c>
      <c r="AP609">
        <f t="shared" si="100"/>
        <v>-1</v>
      </c>
      <c r="AQ609">
        <f t="shared" si="101"/>
        <v>-1</v>
      </c>
      <c r="AR609">
        <f t="shared" si="102"/>
        <v>-1</v>
      </c>
      <c r="AS609">
        <f t="shared" si="103"/>
        <v>-1</v>
      </c>
      <c r="AT609">
        <f t="shared" si="104"/>
        <v>-1</v>
      </c>
      <c r="AU609">
        <f t="shared" si="105"/>
        <v>-5.5</v>
      </c>
      <c r="AV609">
        <f>SUM(Table1[[#This Row],[Satis]:[29]])</f>
        <v>-6</v>
      </c>
      <c r="AW609">
        <f t="shared" si="106"/>
        <v>-5</v>
      </c>
      <c r="AX609">
        <f t="shared" si="107"/>
        <v>-4</v>
      </c>
      <c r="AY609">
        <f t="shared" si="108"/>
        <v>-3</v>
      </c>
      <c r="AZ609" t="str">
        <f t="shared" si="109"/>
        <v>TDP HardCore</v>
      </c>
    </row>
    <row r="610" spans="1:52" x14ac:dyDescent="0.3">
      <c r="A610" t="s">
        <v>3501</v>
      </c>
      <c r="B610" s="94">
        <v>46046</v>
      </c>
      <c r="C610" t="s">
        <v>3502</v>
      </c>
      <c r="D610" t="s">
        <v>3503</v>
      </c>
      <c r="E610" t="s">
        <v>3064</v>
      </c>
      <c r="F610" t="s">
        <v>935</v>
      </c>
      <c r="G610" t="s">
        <v>39</v>
      </c>
      <c r="H610" t="s">
        <v>3504</v>
      </c>
      <c r="I610" t="s">
        <v>59</v>
      </c>
      <c r="J610" t="s">
        <v>203</v>
      </c>
      <c r="K610" t="s">
        <v>208</v>
      </c>
      <c r="L610" t="s">
        <v>50</v>
      </c>
      <c r="M610" t="s">
        <v>51</v>
      </c>
      <c r="N610" t="s">
        <v>52</v>
      </c>
      <c r="O610" t="s">
        <v>542</v>
      </c>
      <c r="P610">
        <v>90000000</v>
      </c>
      <c r="Q610" t="s">
        <v>54</v>
      </c>
      <c r="R610" t="s">
        <v>132</v>
      </c>
      <c r="S610" t="s">
        <v>89</v>
      </c>
      <c r="T610" t="s">
        <v>43</v>
      </c>
      <c r="U610" t="s">
        <v>44</v>
      </c>
      <c r="V610" t="s">
        <v>91</v>
      </c>
      <c r="W610" t="s">
        <v>5056</v>
      </c>
      <c r="X610" t="s">
        <v>45</v>
      </c>
      <c r="Y610" t="s">
        <v>46</v>
      </c>
      <c r="Z610" t="s">
        <v>47</v>
      </c>
      <c r="AA610" t="s">
        <v>48</v>
      </c>
      <c r="AB610" t="s">
        <v>49</v>
      </c>
      <c r="AC610" t="s">
        <v>49</v>
      </c>
      <c r="AD610" t="s">
        <v>481</v>
      </c>
      <c r="AE610" t="s">
        <v>189</v>
      </c>
      <c r="AF610" t="s">
        <v>482</v>
      </c>
      <c r="AG610" t="s">
        <v>196</v>
      </c>
      <c r="AH610" s="93">
        <f>VLOOKUP(Table1[[#This Row],[Caste]],Factor!$H$1:$K$13,4,0)</f>
        <v>1.1461625511156397</v>
      </c>
      <c r="AI61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10">
        <f>Table1[[#This Row],[Factor_1]]*Table1[[#This Row],[2024 Factor]]</f>
        <v>0.77721139583220644</v>
      </c>
      <c r="AK610">
        <f>VLOOKUP(Table1[[#This Row],[Q18: Gender]],Factor!$A$33:$E$35,5,0)</f>
        <v>0.85034013605442171</v>
      </c>
      <c r="AL610">
        <f>VLOOKUP(Table1[[#This Row],[Taluka]],Factor!$A$42:$G$46,7,0)</f>
        <v>1.9264642089343564</v>
      </c>
      <c r="AM610">
        <f>VLOOKUP(Table1[[#This Row],[Caste]]&amp;Table1[[#This Row],[Q18: Gender]],Factor!$W$1:$X$23,2,0)</f>
        <v>0.71995135120329123</v>
      </c>
      <c r="AN610">
        <f>VLOOKUP(Table1[[#This Row],[Taluka]]&amp;Table1[[#This Row],[Caste]]&amp;Table1[[#This Row],[Q18: Gender]],Factor!$AK$4:$AL$93,2,0)</f>
        <v>0.70534647283248642</v>
      </c>
      <c r="AO610">
        <f t="shared" si="99"/>
        <v>-1</v>
      </c>
      <c r="AP610">
        <f t="shared" si="100"/>
        <v>-1</v>
      </c>
      <c r="AQ610">
        <f t="shared" si="101"/>
        <v>1</v>
      </c>
      <c r="AR610">
        <f t="shared" si="102"/>
        <v>-1</v>
      </c>
      <c r="AS610">
        <f t="shared" si="103"/>
        <v>-1</v>
      </c>
      <c r="AT610">
        <f t="shared" si="104"/>
        <v>-1</v>
      </c>
      <c r="AU610">
        <f t="shared" si="105"/>
        <v>-3.5</v>
      </c>
      <c r="AV610">
        <f>SUM(Table1[[#This Row],[Satis]:[29]])</f>
        <v>-4</v>
      </c>
      <c r="AW610">
        <f t="shared" si="106"/>
        <v>-3</v>
      </c>
      <c r="AX610">
        <f t="shared" si="107"/>
        <v>-2</v>
      </c>
      <c r="AY610">
        <f t="shared" si="108"/>
        <v>-3</v>
      </c>
      <c r="AZ610" t="str">
        <f t="shared" si="109"/>
        <v>Neutral TDP</v>
      </c>
    </row>
    <row r="611" spans="1:52" x14ac:dyDescent="0.3">
      <c r="A611" t="s">
        <v>3044</v>
      </c>
      <c r="B611" s="94">
        <v>46046</v>
      </c>
      <c r="C611" t="s">
        <v>3045</v>
      </c>
      <c r="D611" t="s">
        <v>3046</v>
      </c>
      <c r="E611" t="s">
        <v>3047</v>
      </c>
      <c r="F611" t="s">
        <v>2547</v>
      </c>
      <c r="G611" t="s">
        <v>39</v>
      </c>
      <c r="H611" t="s">
        <v>3048</v>
      </c>
      <c r="I611" t="s">
        <v>145</v>
      </c>
      <c r="J611" t="s">
        <v>203</v>
      </c>
      <c r="K611" t="s">
        <v>204</v>
      </c>
      <c r="L611" t="s">
        <v>75</v>
      </c>
      <c r="M611" t="s">
        <v>51</v>
      </c>
      <c r="N611" t="s">
        <v>63</v>
      </c>
      <c r="O611" t="s">
        <v>3049</v>
      </c>
      <c r="P611">
        <v>9866895394</v>
      </c>
      <c r="Q611" t="s">
        <v>54</v>
      </c>
      <c r="R611" t="s">
        <v>2116</v>
      </c>
      <c r="S611" t="s">
        <v>43</v>
      </c>
      <c r="T611" t="s">
        <v>43</v>
      </c>
      <c r="U611" t="s">
        <v>44</v>
      </c>
      <c r="V611" t="s">
        <v>45</v>
      </c>
      <c r="W611" t="s">
        <v>5106</v>
      </c>
      <c r="X611" t="s">
        <v>45</v>
      </c>
      <c r="Y611" t="s">
        <v>46</v>
      </c>
      <c r="Z611" t="s">
        <v>47</v>
      </c>
      <c r="AA611" t="s">
        <v>48</v>
      </c>
      <c r="AB611" t="s">
        <v>49</v>
      </c>
      <c r="AC611" t="s">
        <v>49</v>
      </c>
      <c r="AD611" t="s">
        <v>481</v>
      </c>
      <c r="AE611" t="s">
        <v>185</v>
      </c>
      <c r="AF611">
        <v>0</v>
      </c>
      <c r="AG611" t="s">
        <v>196</v>
      </c>
      <c r="AH611" s="93">
        <f>VLOOKUP(Table1[[#This Row],[Caste]],Factor!$H$1:$K$13,4,0)</f>
        <v>1.8452248965186235</v>
      </c>
      <c r="AI61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11">
        <f>Table1[[#This Row],[Factor_1]]*Table1[[#This Row],[2024 Factor]]</f>
        <v>1.5651283704851411</v>
      </c>
      <c r="AK611">
        <f>VLOOKUP(Table1[[#This Row],[Q18: Gender]],Factor!$A$33:$E$35,5,0)</f>
        <v>0.85034013605442171</v>
      </c>
      <c r="AL611">
        <f>VLOOKUP(Table1[[#This Row],[Taluka]],Factor!$A$42:$G$46,7,0)</f>
        <v>1.9264642089343564</v>
      </c>
      <c r="AM611">
        <f>VLOOKUP(Table1[[#This Row],[Caste]]&amp;Table1[[#This Row],[Q18: Gender]],Factor!$W$1:$X$23,2,0)</f>
        <v>1.4498195615503471</v>
      </c>
      <c r="AN611">
        <f>VLOOKUP(Table1[[#This Row],[Taluka]]&amp;Table1[[#This Row],[Caste]]&amp;Table1[[#This Row],[Q18: Gender]],Factor!$AK$4:$AL$93,2,0)</f>
        <v>1.57386986628579</v>
      </c>
      <c r="AO611">
        <f t="shared" si="99"/>
        <v>-1</v>
      </c>
      <c r="AP611">
        <f t="shared" si="100"/>
        <v>-1</v>
      </c>
      <c r="AQ611">
        <f t="shared" si="101"/>
        <v>-1</v>
      </c>
      <c r="AR611">
        <f t="shared" si="102"/>
        <v>-1</v>
      </c>
      <c r="AS611">
        <f t="shared" si="103"/>
        <v>-1</v>
      </c>
      <c r="AT611">
        <f t="shared" si="104"/>
        <v>-1</v>
      </c>
      <c r="AU611">
        <f t="shared" si="105"/>
        <v>-5.5</v>
      </c>
      <c r="AV611">
        <f>SUM(Table1[[#This Row],[Satis]:[29]])</f>
        <v>-6</v>
      </c>
      <c r="AW611">
        <f t="shared" si="106"/>
        <v>-5</v>
      </c>
      <c r="AX611">
        <f t="shared" si="107"/>
        <v>-4</v>
      </c>
      <c r="AY611">
        <f t="shared" si="108"/>
        <v>-3</v>
      </c>
      <c r="AZ611" t="str">
        <f t="shared" si="109"/>
        <v>TDP HardCore</v>
      </c>
    </row>
    <row r="612" spans="1:52" x14ac:dyDescent="0.3">
      <c r="A612" t="s">
        <v>3849</v>
      </c>
      <c r="B612" s="94">
        <v>46046</v>
      </c>
      <c r="C612" t="s">
        <v>3850</v>
      </c>
      <c r="D612" t="s">
        <v>3247</v>
      </c>
      <c r="E612" t="s">
        <v>3154</v>
      </c>
      <c r="F612" t="s">
        <v>935</v>
      </c>
      <c r="G612" t="s">
        <v>39</v>
      </c>
      <c r="H612" t="s">
        <v>3851</v>
      </c>
      <c r="I612" t="s">
        <v>70</v>
      </c>
      <c r="J612" t="s">
        <v>203</v>
      </c>
      <c r="K612" t="s">
        <v>208</v>
      </c>
      <c r="L612" t="s">
        <v>62</v>
      </c>
      <c r="M612" t="s">
        <v>443</v>
      </c>
      <c r="N612" t="s">
        <v>63</v>
      </c>
      <c r="O612" t="s">
        <v>3249</v>
      </c>
      <c r="P612">
        <v>9681638684</v>
      </c>
      <c r="Q612" t="s">
        <v>54</v>
      </c>
      <c r="R612" t="s">
        <v>2116</v>
      </c>
      <c r="S612" t="s">
        <v>43</v>
      </c>
      <c r="T612" t="s">
        <v>43</v>
      </c>
      <c r="U612" t="s">
        <v>44</v>
      </c>
      <c r="V612" t="s">
        <v>45</v>
      </c>
      <c r="W612" t="s">
        <v>5057</v>
      </c>
      <c r="X612" t="s">
        <v>45</v>
      </c>
      <c r="Y612" t="s">
        <v>46</v>
      </c>
      <c r="Z612" t="s">
        <v>47</v>
      </c>
      <c r="AA612" t="s">
        <v>48</v>
      </c>
      <c r="AB612" t="s">
        <v>49</v>
      </c>
      <c r="AC612" t="s">
        <v>49</v>
      </c>
      <c r="AD612">
        <v>0</v>
      </c>
      <c r="AE612" t="s">
        <v>185</v>
      </c>
      <c r="AF612">
        <v>0</v>
      </c>
      <c r="AG612" t="s">
        <v>196</v>
      </c>
      <c r="AH612" s="93">
        <f>VLOOKUP(Table1[[#This Row],[Caste]],Factor!$H$1:$K$13,4,0)</f>
        <v>1.3836274505214585</v>
      </c>
      <c r="AI61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12">
        <f>Table1[[#This Row],[Factor_1]]*Table1[[#This Row],[2024 Factor]]</f>
        <v>1.1648410586678206</v>
      </c>
      <c r="AK612">
        <f>VLOOKUP(Table1[[#This Row],[Q18: Gender]],Factor!$A$33:$E$35,5,0)</f>
        <v>0.85034013605442171</v>
      </c>
      <c r="AL612">
        <f>VLOOKUP(Table1[[#This Row],[Taluka]],Factor!$A$42:$G$46,7,0)</f>
        <v>1.9264642089343564</v>
      </c>
      <c r="AM612">
        <f>VLOOKUP(Table1[[#This Row],[Caste]]&amp;Table1[[#This Row],[Q18: Gender]],Factor!$W$1:$X$23,2,0)</f>
        <v>1.0790228998469584</v>
      </c>
      <c r="AN612">
        <f>VLOOKUP(Table1[[#This Row],[Taluka]]&amp;Table1[[#This Row],[Caste]]&amp;Table1[[#This Row],[Q18: Gender]],Factor!$AK$4:$AL$93,2,0)</f>
        <v>2.1355167697651956</v>
      </c>
      <c r="AO612">
        <f t="shared" si="99"/>
        <v>-1</v>
      </c>
      <c r="AP612">
        <f t="shared" si="100"/>
        <v>-1</v>
      </c>
      <c r="AQ612">
        <f t="shared" si="101"/>
        <v>-1</v>
      </c>
      <c r="AR612">
        <f t="shared" si="102"/>
        <v>-1</v>
      </c>
      <c r="AS612">
        <f t="shared" si="103"/>
        <v>-1</v>
      </c>
      <c r="AT612">
        <f t="shared" si="104"/>
        <v>-1</v>
      </c>
      <c r="AU612">
        <f t="shared" si="105"/>
        <v>-5.5</v>
      </c>
      <c r="AV612">
        <f>SUM(Table1[[#This Row],[Satis]:[29]])</f>
        <v>-6</v>
      </c>
      <c r="AW612">
        <f t="shared" si="106"/>
        <v>-5</v>
      </c>
      <c r="AX612">
        <f t="shared" si="107"/>
        <v>-4</v>
      </c>
      <c r="AY612">
        <f t="shared" si="108"/>
        <v>-3</v>
      </c>
      <c r="AZ612" t="str">
        <f t="shared" si="109"/>
        <v>TDP HardCore</v>
      </c>
    </row>
    <row r="613" spans="1:52" x14ac:dyDescent="0.3">
      <c r="A613" t="s">
        <v>3245</v>
      </c>
      <c r="B613" s="94">
        <v>46046</v>
      </c>
      <c r="C613" t="s">
        <v>3246</v>
      </c>
      <c r="D613" t="s">
        <v>3247</v>
      </c>
      <c r="E613" t="s">
        <v>3154</v>
      </c>
      <c r="F613" t="s">
        <v>935</v>
      </c>
      <c r="G613" t="s">
        <v>39</v>
      </c>
      <c r="H613" t="s">
        <v>3248</v>
      </c>
      <c r="I613" t="s">
        <v>70</v>
      </c>
      <c r="J613" t="s">
        <v>203</v>
      </c>
      <c r="K613" t="s">
        <v>208</v>
      </c>
      <c r="L613" t="s">
        <v>62</v>
      </c>
      <c r="M613" t="s">
        <v>443</v>
      </c>
      <c r="N613" t="s">
        <v>63</v>
      </c>
      <c r="O613" t="s">
        <v>3249</v>
      </c>
      <c r="P613">
        <v>9681638684</v>
      </c>
      <c r="Q613" t="s">
        <v>54</v>
      </c>
      <c r="R613" t="s">
        <v>2116</v>
      </c>
      <c r="S613" t="s">
        <v>43</v>
      </c>
      <c r="T613" t="s">
        <v>43</v>
      </c>
      <c r="U613" t="s">
        <v>44</v>
      </c>
      <c r="V613" t="s">
        <v>45</v>
      </c>
      <c r="W613" t="s">
        <v>5057</v>
      </c>
      <c r="X613" t="s">
        <v>45</v>
      </c>
      <c r="Y613" t="s">
        <v>46</v>
      </c>
      <c r="Z613" t="s">
        <v>47</v>
      </c>
      <c r="AA613" t="s">
        <v>48</v>
      </c>
      <c r="AB613" t="s">
        <v>49</v>
      </c>
      <c r="AC613" t="s">
        <v>49</v>
      </c>
      <c r="AD613" t="s">
        <v>481</v>
      </c>
      <c r="AE613" t="s">
        <v>185</v>
      </c>
      <c r="AF613">
        <v>0</v>
      </c>
      <c r="AG613" t="s">
        <v>196</v>
      </c>
      <c r="AH613" s="93">
        <f>VLOOKUP(Table1[[#This Row],[Caste]],Factor!$H$1:$K$13,4,0)</f>
        <v>1.3836274505214585</v>
      </c>
      <c r="AI61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13">
        <f>Table1[[#This Row],[Factor_1]]*Table1[[#This Row],[2024 Factor]]</f>
        <v>1.1648410586678206</v>
      </c>
      <c r="AK613">
        <f>VLOOKUP(Table1[[#This Row],[Q18: Gender]],Factor!$A$33:$E$35,5,0)</f>
        <v>0.85034013605442171</v>
      </c>
      <c r="AL613">
        <f>VLOOKUP(Table1[[#This Row],[Taluka]],Factor!$A$42:$G$46,7,0)</f>
        <v>1.9264642089343564</v>
      </c>
      <c r="AM613">
        <f>VLOOKUP(Table1[[#This Row],[Caste]]&amp;Table1[[#This Row],[Q18: Gender]],Factor!$W$1:$X$23,2,0)</f>
        <v>1.0790228998469584</v>
      </c>
      <c r="AN613">
        <f>VLOOKUP(Table1[[#This Row],[Taluka]]&amp;Table1[[#This Row],[Caste]]&amp;Table1[[#This Row],[Q18: Gender]],Factor!$AK$4:$AL$93,2,0)</f>
        <v>2.1355167697651956</v>
      </c>
      <c r="AO613">
        <f t="shared" si="99"/>
        <v>-1</v>
      </c>
      <c r="AP613">
        <f t="shared" si="100"/>
        <v>-1</v>
      </c>
      <c r="AQ613">
        <f t="shared" si="101"/>
        <v>-1</v>
      </c>
      <c r="AR613">
        <f t="shared" si="102"/>
        <v>-1</v>
      </c>
      <c r="AS613">
        <f t="shared" si="103"/>
        <v>-1</v>
      </c>
      <c r="AT613">
        <f t="shared" si="104"/>
        <v>-1</v>
      </c>
      <c r="AU613">
        <f t="shared" si="105"/>
        <v>-5.5</v>
      </c>
      <c r="AV613">
        <f>SUM(Table1[[#This Row],[Satis]:[29]])</f>
        <v>-6</v>
      </c>
      <c r="AW613">
        <f t="shared" si="106"/>
        <v>-5</v>
      </c>
      <c r="AX613">
        <f t="shared" si="107"/>
        <v>-4</v>
      </c>
      <c r="AY613">
        <f t="shared" si="108"/>
        <v>-3</v>
      </c>
      <c r="AZ613" t="str">
        <f t="shared" si="109"/>
        <v>TDP HardCore</v>
      </c>
    </row>
    <row r="614" spans="1:52" x14ac:dyDescent="0.3">
      <c r="A614" t="s">
        <v>3061</v>
      </c>
      <c r="B614" s="94">
        <v>46046</v>
      </c>
      <c r="C614" t="s">
        <v>3062</v>
      </c>
      <c r="D614" t="s">
        <v>3063</v>
      </c>
      <c r="E614" t="s">
        <v>3064</v>
      </c>
      <c r="F614" t="s">
        <v>935</v>
      </c>
      <c r="G614" t="s">
        <v>39</v>
      </c>
      <c r="H614" t="s">
        <v>3065</v>
      </c>
      <c r="I614" t="s">
        <v>70</v>
      </c>
      <c r="J614" t="s">
        <v>203</v>
      </c>
      <c r="K614" t="s">
        <v>208</v>
      </c>
      <c r="L614" t="s">
        <v>451</v>
      </c>
      <c r="M614" t="s">
        <v>443</v>
      </c>
      <c r="N614" t="s">
        <v>63</v>
      </c>
      <c r="O614" t="s">
        <v>3066</v>
      </c>
      <c r="P614">
        <v>0</v>
      </c>
      <c r="Q614" t="s">
        <v>445</v>
      </c>
      <c r="R614" t="s">
        <v>2116</v>
      </c>
      <c r="S614" t="s">
        <v>43</v>
      </c>
      <c r="T614" t="s">
        <v>43</v>
      </c>
      <c r="U614" t="s">
        <v>44</v>
      </c>
      <c r="V614" t="s">
        <v>45</v>
      </c>
      <c r="W614" t="s">
        <v>5097</v>
      </c>
      <c r="X614" t="s">
        <v>45</v>
      </c>
      <c r="Y614" t="s">
        <v>46</v>
      </c>
      <c r="Z614" t="s">
        <v>47</v>
      </c>
      <c r="AA614" t="s">
        <v>48</v>
      </c>
      <c r="AB614" t="s">
        <v>49</v>
      </c>
      <c r="AC614" t="s">
        <v>49</v>
      </c>
      <c r="AD614" t="s">
        <v>481</v>
      </c>
      <c r="AE614" t="s">
        <v>185</v>
      </c>
      <c r="AF614">
        <v>0</v>
      </c>
      <c r="AG614" t="s">
        <v>196</v>
      </c>
      <c r="AH614" s="93">
        <f>VLOOKUP(Table1[[#This Row],[Caste]],Factor!$H$1:$K$13,4,0)</f>
        <v>1.3836274505214585</v>
      </c>
      <c r="AI61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14">
        <f>Table1[[#This Row],[Factor_1]]*Table1[[#This Row],[2024 Factor]]</f>
        <v>2.0811826914865059</v>
      </c>
      <c r="AK614">
        <f>VLOOKUP(Table1[[#This Row],[Q18: Gender]],Factor!$A$33:$E$35,5,0)</f>
        <v>2.1645021645021645</v>
      </c>
      <c r="AL614">
        <f>VLOOKUP(Table1[[#This Row],[Taluka]],Factor!$A$42:$G$46,7,0)</f>
        <v>1.9264642089343564</v>
      </c>
      <c r="AM614">
        <f>VLOOKUP(Table1[[#This Row],[Caste]]&amp;Table1[[#This Row],[Q18: Gender]],Factor!$W$1:$X$23,2,0)</f>
        <v>1.9278542477265657</v>
      </c>
      <c r="AN614">
        <f>VLOOKUP(Table1[[#This Row],[Taluka]]&amp;Table1[[#This Row],[Caste]]&amp;Table1[[#This Row],[Q18: Gender]],Factor!$AK$4:$AL$93,2,0)</f>
        <v>4.0768956513699193</v>
      </c>
      <c r="AO614">
        <f t="shared" si="99"/>
        <v>-1</v>
      </c>
      <c r="AP614">
        <f t="shared" si="100"/>
        <v>-1</v>
      </c>
      <c r="AQ614">
        <f t="shared" si="101"/>
        <v>-1</v>
      </c>
      <c r="AR614">
        <f t="shared" si="102"/>
        <v>-1</v>
      </c>
      <c r="AS614">
        <f t="shared" si="103"/>
        <v>-1</v>
      </c>
      <c r="AT614">
        <f t="shared" si="104"/>
        <v>-1</v>
      </c>
      <c r="AU614">
        <f t="shared" si="105"/>
        <v>-5.5</v>
      </c>
      <c r="AV614">
        <f>SUM(Table1[[#This Row],[Satis]:[29]])</f>
        <v>-6</v>
      </c>
      <c r="AW614">
        <f t="shared" si="106"/>
        <v>-5</v>
      </c>
      <c r="AX614">
        <f t="shared" si="107"/>
        <v>-4</v>
      </c>
      <c r="AY614">
        <f t="shared" si="108"/>
        <v>-3</v>
      </c>
      <c r="AZ614" t="str">
        <f t="shared" si="109"/>
        <v>TDP HardCore</v>
      </c>
    </row>
    <row r="615" spans="1:52" x14ac:dyDescent="0.3">
      <c r="A615" t="s">
        <v>3524</v>
      </c>
      <c r="B615" s="94">
        <v>46046</v>
      </c>
      <c r="C615" t="s">
        <v>3525</v>
      </c>
      <c r="D615" t="s">
        <v>3526</v>
      </c>
      <c r="E615" t="s">
        <v>3527</v>
      </c>
      <c r="F615" t="s">
        <v>35</v>
      </c>
      <c r="G615" t="s">
        <v>39</v>
      </c>
      <c r="H615" t="s">
        <v>3528</v>
      </c>
      <c r="I615" t="s">
        <v>228</v>
      </c>
      <c r="J615" t="s">
        <v>71</v>
      </c>
      <c r="K615" t="s">
        <v>217</v>
      </c>
      <c r="L615" t="s">
        <v>75</v>
      </c>
      <c r="M615" t="s">
        <v>51</v>
      </c>
      <c r="N615" t="s">
        <v>63</v>
      </c>
      <c r="O615" t="s">
        <v>3529</v>
      </c>
      <c r="P615">
        <v>8185958103</v>
      </c>
      <c r="Q615" t="s">
        <v>54</v>
      </c>
      <c r="R615" t="s">
        <v>139</v>
      </c>
      <c r="S615" t="s">
        <v>88</v>
      </c>
      <c r="T615" t="s">
        <v>89</v>
      </c>
      <c r="U615" t="s">
        <v>44</v>
      </c>
      <c r="V615" t="s">
        <v>45</v>
      </c>
      <c r="W615" t="s">
        <v>5107</v>
      </c>
      <c r="X615" t="s">
        <v>45</v>
      </c>
      <c r="Y615" t="s">
        <v>46</v>
      </c>
      <c r="Z615" t="s">
        <v>242</v>
      </c>
      <c r="AA615" t="s">
        <v>48</v>
      </c>
      <c r="AB615" t="s">
        <v>49</v>
      </c>
      <c r="AC615" t="s">
        <v>49</v>
      </c>
      <c r="AD615" t="s">
        <v>481</v>
      </c>
      <c r="AE615" t="s">
        <v>189</v>
      </c>
      <c r="AF615" t="s">
        <v>484</v>
      </c>
      <c r="AG615" t="s">
        <v>196</v>
      </c>
      <c r="AH615" s="93">
        <f>VLOOKUP(Table1[[#This Row],[Caste]],Factor!$H$1:$K$13,4,0)</f>
        <v>0.80207032429970992</v>
      </c>
      <c r="AI61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15">
        <f>Table1[[#This Row],[Factor_1]]*Table1[[#This Row],[2024 Factor]]</f>
        <v>0.65595572330316032</v>
      </c>
      <c r="AK615">
        <f>VLOOKUP(Table1[[#This Row],[Q18: Gender]],Factor!$A$33:$E$35,5,0)</f>
        <v>0.85034013605442171</v>
      </c>
      <c r="AL615">
        <f>VLOOKUP(Table1[[#This Row],[Taluka]],Factor!$A$42:$G$46,7,0)</f>
        <v>1.1213131007097483</v>
      </c>
      <c r="AM615">
        <f>VLOOKUP(Table1[[#This Row],[Caste]]&amp;Table1[[#This Row],[Q18: Gender]],Factor!$W$1:$X$23,2,0)</f>
        <v>0.60762903356038633</v>
      </c>
      <c r="AN615">
        <f>VLOOKUP(Table1[[#This Row],[Taluka]]&amp;Table1[[#This Row],[Caste]]&amp;Table1[[#This Row],[Q18: Gender]],Factor!$AK$4:$AL$93,2,0)</f>
        <v>0.38672994380094594</v>
      </c>
      <c r="AO615">
        <f t="shared" si="99"/>
        <v>1</v>
      </c>
      <c r="AP615">
        <f t="shared" si="100"/>
        <v>-1</v>
      </c>
      <c r="AQ615">
        <f t="shared" si="101"/>
        <v>-1</v>
      </c>
      <c r="AR615">
        <f t="shared" si="102"/>
        <v>-1</v>
      </c>
      <c r="AS615">
        <f t="shared" si="103"/>
        <v>-1</v>
      </c>
      <c r="AT615">
        <f t="shared" si="104"/>
        <v>-1</v>
      </c>
      <c r="AU615">
        <f t="shared" si="105"/>
        <v>-3.5</v>
      </c>
      <c r="AV615">
        <f>SUM(Table1[[#This Row],[Satis]:[29]])</f>
        <v>-4</v>
      </c>
      <c r="AW615">
        <f t="shared" si="106"/>
        <v>-3</v>
      </c>
      <c r="AX615">
        <f t="shared" si="107"/>
        <v>-4</v>
      </c>
      <c r="AY615">
        <f t="shared" si="108"/>
        <v>-2</v>
      </c>
      <c r="AZ615" t="str">
        <f t="shared" si="109"/>
        <v>TDP Sympathiser</v>
      </c>
    </row>
    <row r="616" spans="1:52" x14ac:dyDescent="0.3">
      <c r="A616" t="s">
        <v>3679</v>
      </c>
      <c r="B616" s="94">
        <v>46046</v>
      </c>
      <c r="C616" t="s">
        <v>3680</v>
      </c>
      <c r="D616" t="s">
        <v>3681</v>
      </c>
      <c r="E616" t="s">
        <v>3682</v>
      </c>
      <c r="F616" t="s">
        <v>935</v>
      </c>
      <c r="G616" t="s">
        <v>39</v>
      </c>
      <c r="H616" t="s">
        <v>3683</v>
      </c>
      <c r="I616" t="s">
        <v>59</v>
      </c>
      <c r="J616" t="s">
        <v>203</v>
      </c>
      <c r="K616" t="s">
        <v>208</v>
      </c>
      <c r="L616" t="s">
        <v>170</v>
      </c>
      <c r="M616" t="s">
        <v>51</v>
      </c>
      <c r="N616" t="s">
        <v>162</v>
      </c>
      <c r="O616" t="s">
        <v>3684</v>
      </c>
      <c r="P616">
        <v>900000000</v>
      </c>
      <c r="Q616" t="s">
        <v>54</v>
      </c>
      <c r="R616" t="s">
        <v>2116</v>
      </c>
      <c r="S616" t="s">
        <v>43</v>
      </c>
      <c r="T616" t="s">
        <v>43</v>
      </c>
      <c r="U616" t="s">
        <v>44</v>
      </c>
      <c r="V616" t="s">
        <v>45</v>
      </c>
      <c r="W616" t="s">
        <v>5081</v>
      </c>
      <c r="X616" t="s">
        <v>45</v>
      </c>
      <c r="Y616" t="s">
        <v>46</v>
      </c>
      <c r="Z616" t="s">
        <v>47</v>
      </c>
      <c r="AA616" t="s">
        <v>48</v>
      </c>
      <c r="AB616" t="s">
        <v>49</v>
      </c>
      <c r="AC616" t="s">
        <v>49</v>
      </c>
      <c r="AD616" t="s">
        <v>494</v>
      </c>
      <c r="AE616" t="s">
        <v>185</v>
      </c>
      <c r="AF616">
        <v>0</v>
      </c>
      <c r="AG616" t="s">
        <v>196</v>
      </c>
      <c r="AH616" s="93">
        <f>VLOOKUP(Table1[[#This Row],[Caste]],Factor!$H$1:$K$13,4,0)</f>
        <v>1.1461625511156397</v>
      </c>
      <c r="AI61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16">
        <f>Table1[[#This Row],[Factor_1]]*Table1[[#This Row],[2024 Factor]]</f>
        <v>0.77721139583220644</v>
      </c>
      <c r="AK616">
        <f>VLOOKUP(Table1[[#This Row],[Q18: Gender]],Factor!$A$33:$E$35,5,0)</f>
        <v>0.85034013605442171</v>
      </c>
      <c r="AL616">
        <f>VLOOKUP(Table1[[#This Row],[Taluka]],Factor!$A$42:$G$46,7,0)</f>
        <v>1.9264642089343564</v>
      </c>
      <c r="AM616">
        <f>VLOOKUP(Table1[[#This Row],[Caste]]&amp;Table1[[#This Row],[Q18: Gender]],Factor!$W$1:$X$23,2,0)</f>
        <v>0.71995135120329123</v>
      </c>
      <c r="AN616">
        <f>VLOOKUP(Table1[[#This Row],[Taluka]]&amp;Table1[[#This Row],[Caste]]&amp;Table1[[#This Row],[Q18: Gender]],Factor!$AK$4:$AL$93,2,0)</f>
        <v>0.70534647283248642</v>
      </c>
      <c r="AO616">
        <f t="shared" si="99"/>
        <v>-1</v>
      </c>
      <c r="AP616">
        <f t="shared" si="100"/>
        <v>-1</v>
      </c>
      <c r="AQ616">
        <f t="shared" si="101"/>
        <v>-1</v>
      </c>
      <c r="AR616">
        <f t="shared" si="102"/>
        <v>-1</v>
      </c>
      <c r="AS616">
        <f t="shared" si="103"/>
        <v>-1</v>
      </c>
      <c r="AT616">
        <f t="shared" si="104"/>
        <v>-1</v>
      </c>
      <c r="AU616">
        <f t="shared" si="105"/>
        <v>-5.5</v>
      </c>
      <c r="AV616">
        <f>SUM(Table1[[#This Row],[Satis]:[29]])</f>
        <v>-6</v>
      </c>
      <c r="AW616">
        <f t="shared" si="106"/>
        <v>-5</v>
      </c>
      <c r="AX616">
        <f t="shared" si="107"/>
        <v>-4</v>
      </c>
      <c r="AY616">
        <f t="shared" si="108"/>
        <v>-3</v>
      </c>
      <c r="AZ616" t="str">
        <f t="shared" si="109"/>
        <v>TDP HardCore</v>
      </c>
    </row>
    <row r="617" spans="1:52" x14ac:dyDescent="0.3">
      <c r="A617" t="s">
        <v>3737</v>
      </c>
      <c r="B617" s="94">
        <v>46046</v>
      </c>
      <c r="C617" t="s">
        <v>3738</v>
      </c>
      <c r="D617" t="s">
        <v>3739</v>
      </c>
      <c r="E617" t="s">
        <v>3192</v>
      </c>
      <c r="F617" t="s">
        <v>2547</v>
      </c>
      <c r="G617" t="s">
        <v>39</v>
      </c>
      <c r="H617" t="s">
        <v>3740</v>
      </c>
      <c r="I617" t="s">
        <v>59</v>
      </c>
      <c r="J617" t="s">
        <v>203</v>
      </c>
      <c r="K617" t="s">
        <v>204</v>
      </c>
      <c r="L617" t="s">
        <v>62</v>
      </c>
      <c r="M617" t="s">
        <v>51</v>
      </c>
      <c r="N617" t="s">
        <v>63</v>
      </c>
      <c r="O617" t="s">
        <v>3741</v>
      </c>
      <c r="P617">
        <v>9000000000</v>
      </c>
      <c r="Q617" t="s">
        <v>445</v>
      </c>
      <c r="R617" t="s">
        <v>61</v>
      </c>
      <c r="S617" t="s">
        <v>43</v>
      </c>
      <c r="T617" t="s">
        <v>43</v>
      </c>
      <c r="U617" t="s">
        <v>44</v>
      </c>
      <c r="V617" t="s">
        <v>45</v>
      </c>
      <c r="W617" t="s">
        <v>5079</v>
      </c>
      <c r="X617" t="s">
        <v>45</v>
      </c>
      <c r="Y617" t="s">
        <v>46</v>
      </c>
      <c r="Z617" t="s">
        <v>242</v>
      </c>
      <c r="AA617" t="s">
        <v>242</v>
      </c>
      <c r="AB617" t="s">
        <v>49</v>
      </c>
      <c r="AC617" t="s">
        <v>49</v>
      </c>
      <c r="AD617" t="s">
        <v>481</v>
      </c>
      <c r="AE617" t="s">
        <v>185</v>
      </c>
      <c r="AF617">
        <v>0</v>
      </c>
      <c r="AG617" t="s">
        <v>196</v>
      </c>
      <c r="AH617" s="93">
        <f>VLOOKUP(Table1[[#This Row],[Caste]],Factor!$H$1:$K$13,4,0)</f>
        <v>1.1461625511156397</v>
      </c>
      <c r="AI617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617">
        <f>Table1[[#This Row],[Factor_1]]*Table1[[#This Row],[2024 Factor]]</f>
        <v>1.8584083596520569</v>
      </c>
      <c r="AK617">
        <f>VLOOKUP(Table1[[#This Row],[Q18: Gender]],Factor!$A$33:$E$35,5,0)</f>
        <v>2.1645021645021645</v>
      </c>
      <c r="AL617">
        <f>VLOOKUP(Table1[[#This Row],[Taluka]],Factor!$A$42:$G$46,7,0)</f>
        <v>1.9264642089343564</v>
      </c>
      <c r="AM617">
        <f>VLOOKUP(Table1[[#This Row],[Caste]]&amp;Table1[[#This Row],[Q18: Gender]],Factor!$W$1:$X$23,2,0)</f>
        <v>2.8092219390089208</v>
      </c>
      <c r="AN617">
        <f>VLOOKUP(Table1[[#This Row],[Taluka]]&amp;Table1[[#This Row],[Caste]]&amp;Table1[[#This Row],[Q18: Gender]],Factor!$AK$4:$AL$93,2,0)</f>
        <v>6.3481182554923778</v>
      </c>
      <c r="AO617">
        <f t="shared" si="99"/>
        <v>-1</v>
      </c>
      <c r="AP617">
        <f t="shared" si="100"/>
        <v>-1</v>
      </c>
      <c r="AQ617">
        <f t="shared" si="101"/>
        <v>-1</v>
      </c>
      <c r="AR617">
        <f t="shared" si="102"/>
        <v>-1</v>
      </c>
      <c r="AS617">
        <f t="shared" si="103"/>
        <v>-1</v>
      </c>
      <c r="AT617">
        <f t="shared" si="104"/>
        <v>-1</v>
      </c>
      <c r="AU617">
        <f t="shared" si="105"/>
        <v>-5.5</v>
      </c>
      <c r="AV617">
        <f>SUM(Table1[[#This Row],[Satis]:[29]])</f>
        <v>-6</v>
      </c>
      <c r="AW617">
        <f t="shared" si="106"/>
        <v>-5</v>
      </c>
      <c r="AX617">
        <f t="shared" si="107"/>
        <v>-4</v>
      </c>
      <c r="AY617">
        <f t="shared" si="108"/>
        <v>-3</v>
      </c>
      <c r="AZ617" t="str">
        <f t="shared" si="109"/>
        <v>TDP HardCore</v>
      </c>
    </row>
    <row r="618" spans="1:52" x14ac:dyDescent="0.3">
      <c r="A618" t="s">
        <v>3538</v>
      </c>
      <c r="B618" s="94">
        <v>46046</v>
      </c>
      <c r="C618" t="s">
        <v>3539</v>
      </c>
      <c r="D618" t="s">
        <v>3540</v>
      </c>
      <c r="E618" t="s">
        <v>3198</v>
      </c>
      <c r="F618" t="s">
        <v>240</v>
      </c>
      <c r="G618" t="s">
        <v>39</v>
      </c>
      <c r="H618" t="s">
        <v>3541</v>
      </c>
      <c r="I618" t="s">
        <v>59</v>
      </c>
      <c r="J618" t="s">
        <v>71</v>
      </c>
      <c r="K618" t="s">
        <v>218</v>
      </c>
      <c r="L618" t="s">
        <v>451</v>
      </c>
      <c r="M618" t="s">
        <v>51</v>
      </c>
      <c r="N618" t="s">
        <v>107</v>
      </c>
      <c r="O618" t="s">
        <v>3542</v>
      </c>
      <c r="P618">
        <v>9999999999</v>
      </c>
      <c r="Q618" t="s">
        <v>445</v>
      </c>
      <c r="R618" t="s">
        <v>2116</v>
      </c>
      <c r="S618" t="s">
        <v>43</v>
      </c>
      <c r="T618" t="s">
        <v>43</v>
      </c>
      <c r="U618" t="s">
        <v>44</v>
      </c>
      <c r="V618" t="s">
        <v>45</v>
      </c>
      <c r="W618" t="s">
        <v>5042</v>
      </c>
      <c r="X618" t="s">
        <v>45</v>
      </c>
      <c r="Y618" t="s">
        <v>46</v>
      </c>
      <c r="Z618" t="s">
        <v>47</v>
      </c>
      <c r="AA618" t="s">
        <v>48</v>
      </c>
      <c r="AB618" t="s">
        <v>49</v>
      </c>
      <c r="AC618" t="s">
        <v>49</v>
      </c>
      <c r="AD618" t="s">
        <v>494</v>
      </c>
      <c r="AE618" t="s">
        <v>189</v>
      </c>
      <c r="AF618" t="s">
        <v>4095</v>
      </c>
      <c r="AG618" t="s">
        <v>196</v>
      </c>
      <c r="AH618" s="93">
        <f>VLOOKUP(Table1[[#This Row],[Caste]],Factor!$H$1:$K$13,4,0)</f>
        <v>1.1461625511156397</v>
      </c>
      <c r="AI61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18">
        <f>Table1[[#This Row],[Factor_1]]*Table1[[#This Row],[2024 Factor]]</f>
        <v>3.0326483876590018</v>
      </c>
      <c r="AK618">
        <f>VLOOKUP(Table1[[#This Row],[Q18: Gender]],Factor!$A$33:$E$35,5,0)</f>
        <v>2.1645021645021645</v>
      </c>
      <c r="AL618">
        <f>VLOOKUP(Table1[[#This Row],[Taluka]],Factor!$A$42:$G$46,7,0)</f>
        <v>1.1213131007097483</v>
      </c>
      <c r="AM618">
        <f>VLOOKUP(Table1[[#This Row],[Caste]]&amp;Table1[[#This Row],[Q18: Gender]],Factor!$W$1:$X$23,2,0)</f>
        <v>2.8092219390089208</v>
      </c>
      <c r="AN618">
        <f>VLOOKUP(Table1[[#This Row],[Taluka]]&amp;Table1[[#This Row],[Caste]]&amp;Table1[[#This Row],[Q18: Gender]],Factor!$AK$4:$AL$93,2,0)</f>
        <v>1.8020838461961379</v>
      </c>
      <c r="AO618">
        <f t="shared" si="99"/>
        <v>-1</v>
      </c>
      <c r="AP618">
        <f t="shared" si="100"/>
        <v>-1</v>
      </c>
      <c r="AQ618">
        <f t="shared" si="101"/>
        <v>-1</v>
      </c>
      <c r="AR618">
        <f t="shared" si="102"/>
        <v>-1</v>
      </c>
      <c r="AS618">
        <f t="shared" si="103"/>
        <v>-1</v>
      </c>
      <c r="AT618">
        <f t="shared" si="104"/>
        <v>-1</v>
      </c>
      <c r="AU618">
        <f t="shared" si="105"/>
        <v>-5.5</v>
      </c>
      <c r="AV618">
        <f>SUM(Table1[[#This Row],[Satis]:[29]])</f>
        <v>-6</v>
      </c>
      <c r="AW618">
        <f t="shared" si="106"/>
        <v>-5</v>
      </c>
      <c r="AX618">
        <f t="shared" si="107"/>
        <v>-4</v>
      </c>
      <c r="AY618">
        <f t="shared" si="108"/>
        <v>-3</v>
      </c>
      <c r="AZ618" t="str">
        <f t="shared" si="109"/>
        <v>TDP HardCore</v>
      </c>
    </row>
    <row r="619" spans="1:52" x14ac:dyDescent="0.3">
      <c r="A619" t="s">
        <v>3522</v>
      </c>
      <c r="B619" s="94">
        <v>46046</v>
      </c>
      <c r="C619" t="s">
        <v>3232</v>
      </c>
      <c r="D619" t="s">
        <v>3074</v>
      </c>
      <c r="E619" t="s">
        <v>3075</v>
      </c>
      <c r="F619" t="s">
        <v>935</v>
      </c>
      <c r="G619" t="s">
        <v>39</v>
      </c>
      <c r="H619" t="s">
        <v>3523</v>
      </c>
      <c r="I619" t="s">
        <v>36</v>
      </c>
      <c r="J619" t="s">
        <v>203</v>
      </c>
      <c r="K619" t="s">
        <v>208</v>
      </c>
      <c r="L619" t="s">
        <v>62</v>
      </c>
      <c r="M619" t="s">
        <v>51</v>
      </c>
      <c r="N619" t="s">
        <v>107</v>
      </c>
      <c r="O619" t="s">
        <v>3077</v>
      </c>
      <c r="P619">
        <v>9652017143</v>
      </c>
      <c r="Q619" t="s">
        <v>54</v>
      </c>
      <c r="R619" t="s">
        <v>61</v>
      </c>
      <c r="S619" t="s">
        <v>89</v>
      </c>
      <c r="T619" t="s">
        <v>43</v>
      </c>
      <c r="U619" t="s">
        <v>90</v>
      </c>
      <c r="V619" t="s">
        <v>45</v>
      </c>
      <c r="W619" t="s">
        <v>5087</v>
      </c>
      <c r="X619" t="s">
        <v>91</v>
      </c>
      <c r="Y619" t="s">
        <v>46</v>
      </c>
      <c r="Z619" t="s">
        <v>47</v>
      </c>
      <c r="AA619" t="s">
        <v>48</v>
      </c>
      <c r="AB619" t="s">
        <v>49</v>
      </c>
      <c r="AC619" t="s">
        <v>49</v>
      </c>
      <c r="AD619">
        <v>0</v>
      </c>
      <c r="AE619" t="s">
        <v>185</v>
      </c>
      <c r="AF619">
        <v>0</v>
      </c>
      <c r="AG619" t="s">
        <v>196</v>
      </c>
      <c r="AH619" s="93">
        <f>VLOOKUP(Table1[[#This Row],[Caste]],Factor!$H$1:$K$13,4,0)</f>
        <v>1.1705128247062893</v>
      </c>
      <c r="AI61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19">
        <f>Table1[[#This Row],[Factor_1]]*Table1[[#This Row],[2024 Factor]]</f>
        <v>0.86308903171383233</v>
      </c>
      <c r="AK619">
        <f>VLOOKUP(Table1[[#This Row],[Q18: Gender]],Factor!$A$33:$E$35,5,0)</f>
        <v>0.85034013605442171</v>
      </c>
      <c r="AL619">
        <f>VLOOKUP(Table1[[#This Row],[Taluka]],Factor!$A$42:$G$46,7,0)</f>
        <v>1.9264642089343564</v>
      </c>
      <c r="AM619">
        <f>VLOOKUP(Table1[[#This Row],[Caste]]&amp;Table1[[#This Row],[Q18: Gender]],Factor!$W$1:$X$23,2,0)</f>
        <v>0.79950206330384943</v>
      </c>
      <c r="AN619">
        <f>VLOOKUP(Table1[[#This Row],[Taluka]]&amp;Table1[[#This Row],[Caste]]&amp;Table1[[#This Row],[Q18: Gender]],Factor!$AK$4:$AL$93,2,0)</f>
        <v>1.1572126985895925</v>
      </c>
      <c r="AO619">
        <f t="shared" si="99"/>
        <v>-1</v>
      </c>
      <c r="AP619">
        <f t="shared" si="100"/>
        <v>1</v>
      </c>
      <c r="AQ619">
        <f t="shared" si="101"/>
        <v>-1</v>
      </c>
      <c r="AR619">
        <f t="shared" si="102"/>
        <v>1</v>
      </c>
      <c r="AS619">
        <f t="shared" si="103"/>
        <v>-1</v>
      </c>
      <c r="AT619">
        <f t="shared" si="104"/>
        <v>-1</v>
      </c>
      <c r="AU619">
        <f t="shared" si="105"/>
        <v>-1.5</v>
      </c>
      <c r="AV619">
        <f>SUM(Table1[[#This Row],[Satis]:[29]])</f>
        <v>-2</v>
      </c>
      <c r="AW619">
        <f t="shared" si="106"/>
        <v>-3</v>
      </c>
      <c r="AX619">
        <f t="shared" si="107"/>
        <v>-2</v>
      </c>
      <c r="AY619">
        <f t="shared" si="108"/>
        <v>-3</v>
      </c>
      <c r="AZ619" t="str">
        <f t="shared" si="109"/>
        <v>Neutral TDP</v>
      </c>
    </row>
    <row r="620" spans="1:52" x14ac:dyDescent="0.3">
      <c r="A620" t="s">
        <v>3549</v>
      </c>
      <c r="B620" s="94">
        <v>46046</v>
      </c>
      <c r="C620" t="s">
        <v>3550</v>
      </c>
      <c r="D620" t="s">
        <v>3551</v>
      </c>
      <c r="E620" t="s">
        <v>3552</v>
      </c>
      <c r="F620" t="s">
        <v>69</v>
      </c>
      <c r="G620" t="s">
        <v>39</v>
      </c>
      <c r="H620" t="s">
        <v>3553</v>
      </c>
      <c r="I620" t="s">
        <v>227</v>
      </c>
      <c r="J620" t="s">
        <v>203</v>
      </c>
      <c r="K620" t="s">
        <v>203</v>
      </c>
      <c r="L620" t="s">
        <v>62</v>
      </c>
      <c r="M620" t="s">
        <v>51</v>
      </c>
      <c r="N620" t="s">
        <v>63</v>
      </c>
      <c r="O620" t="s">
        <v>3554</v>
      </c>
      <c r="P620">
        <v>9999999999</v>
      </c>
      <c r="Q620" t="s">
        <v>54</v>
      </c>
      <c r="R620" t="s">
        <v>132</v>
      </c>
      <c r="S620" t="s">
        <v>43</v>
      </c>
      <c r="T620" t="s">
        <v>43</v>
      </c>
      <c r="U620" t="s">
        <v>44</v>
      </c>
      <c r="V620" t="s">
        <v>45</v>
      </c>
      <c r="W620" t="s">
        <v>5056</v>
      </c>
      <c r="X620" t="s">
        <v>45</v>
      </c>
      <c r="Y620" t="s">
        <v>46</v>
      </c>
      <c r="Z620" t="s">
        <v>47</v>
      </c>
      <c r="AA620" t="s">
        <v>48</v>
      </c>
      <c r="AB620" t="s">
        <v>49</v>
      </c>
      <c r="AC620" t="s">
        <v>49</v>
      </c>
      <c r="AD620" t="s">
        <v>184</v>
      </c>
      <c r="AE620" t="s">
        <v>189</v>
      </c>
      <c r="AF620" t="s">
        <v>4072</v>
      </c>
      <c r="AG620" t="s">
        <v>196</v>
      </c>
      <c r="AH620" s="93">
        <f>VLOOKUP(Table1[[#This Row],[Caste]],Factor!$H$1:$K$13,4,0)</f>
        <v>1.2612194085121222</v>
      </c>
      <c r="AI62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20">
        <f>Table1[[#This Row],[Factor_1]]*Table1[[#This Row],[2024 Factor]]</f>
        <v>0.92029223709519836</v>
      </c>
      <c r="AK620">
        <f>VLOOKUP(Table1[[#This Row],[Q18: Gender]],Factor!$A$33:$E$35,5,0)</f>
        <v>0.85034013605442171</v>
      </c>
      <c r="AL620">
        <f>VLOOKUP(Table1[[#This Row],[Taluka]],Factor!$A$42:$G$46,7,0)</f>
        <v>1.9264642089343564</v>
      </c>
      <c r="AM620">
        <f>VLOOKUP(Table1[[#This Row],[Caste]]&amp;Table1[[#This Row],[Q18: Gender]],Factor!$W$1:$X$23,2,0)</f>
        <v>0.85249089649430487</v>
      </c>
      <c r="AN620">
        <f>VLOOKUP(Table1[[#This Row],[Taluka]]&amp;Table1[[#This Row],[Caste]]&amp;Table1[[#This Row],[Q18: Gender]],Factor!$AK$4:$AL$93,2,0)</f>
        <v>1.7847621356853685</v>
      </c>
      <c r="AO620">
        <f t="shared" si="99"/>
        <v>-1</v>
      </c>
      <c r="AP620">
        <f t="shared" si="100"/>
        <v>-1</v>
      </c>
      <c r="AQ620">
        <f t="shared" si="101"/>
        <v>-1</v>
      </c>
      <c r="AR620">
        <f t="shared" si="102"/>
        <v>-1</v>
      </c>
      <c r="AS620">
        <f t="shared" si="103"/>
        <v>-1</v>
      </c>
      <c r="AT620">
        <f t="shared" si="104"/>
        <v>-1</v>
      </c>
      <c r="AU620">
        <f t="shared" si="105"/>
        <v>-5.5</v>
      </c>
      <c r="AV620">
        <f>SUM(Table1[[#This Row],[Satis]:[29]])</f>
        <v>-6</v>
      </c>
      <c r="AW620">
        <f t="shared" si="106"/>
        <v>-5</v>
      </c>
      <c r="AX620">
        <f t="shared" si="107"/>
        <v>-4</v>
      </c>
      <c r="AY620">
        <f t="shared" si="108"/>
        <v>-3</v>
      </c>
      <c r="AZ620" t="str">
        <f t="shared" si="109"/>
        <v>TDP HardCore</v>
      </c>
    </row>
    <row r="621" spans="1:52" x14ac:dyDescent="0.3">
      <c r="A621" t="s">
        <v>3072</v>
      </c>
      <c r="B621" s="94">
        <v>46046</v>
      </c>
      <c r="C621" t="s">
        <v>3073</v>
      </c>
      <c r="D621" t="s">
        <v>3074</v>
      </c>
      <c r="E621" t="s">
        <v>3075</v>
      </c>
      <c r="F621" t="s">
        <v>935</v>
      </c>
      <c r="G621" t="s">
        <v>39</v>
      </c>
      <c r="H621" t="s">
        <v>3076</v>
      </c>
      <c r="I621" t="s">
        <v>36</v>
      </c>
      <c r="J621" t="s">
        <v>203</v>
      </c>
      <c r="K621" t="s">
        <v>208</v>
      </c>
      <c r="L621" t="s">
        <v>62</v>
      </c>
      <c r="M621" t="s">
        <v>51</v>
      </c>
      <c r="N621" t="s">
        <v>107</v>
      </c>
      <c r="O621" t="s">
        <v>3077</v>
      </c>
      <c r="P621">
        <v>9652017143</v>
      </c>
      <c r="Q621" t="s">
        <v>54</v>
      </c>
      <c r="R621" t="s">
        <v>61</v>
      </c>
      <c r="S621" t="s">
        <v>89</v>
      </c>
      <c r="T621" t="s">
        <v>43</v>
      </c>
      <c r="U621" t="s">
        <v>90</v>
      </c>
      <c r="V621" t="s">
        <v>45</v>
      </c>
      <c r="W621" t="s">
        <v>5087</v>
      </c>
      <c r="X621" t="s">
        <v>91</v>
      </c>
      <c r="Y621" t="s">
        <v>46</v>
      </c>
      <c r="Z621" t="s">
        <v>47</v>
      </c>
      <c r="AA621" t="s">
        <v>48</v>
      </c>
      <c r="AB621" t="s">
        <v>49</v>
      </c>
      <c r="AC621" t="s">
        <v>49</v>
      </c>
      <c r="AD621">
        <v>0</v>
      </c>
      <c r="AE621" t="s">
        <v>185</v>
      </c>
      <c r="AF621">
        <v>0</v>
      </c>
      <c r="AG621" t="s">
        <v>196</v>
      </c>
      <c r="AH621" s="93">
        <f>VLOOKUP(Table1[[#This Row],[Caste]],Factor!$H$1:$K$13,4,0)</f>
        <v>1.1705128247062893</v>
      </c>
      <c r="AI62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21">
        <f>Table1[[#This Row],[Factor_1]]*Table1[[#This Row],[2024 Factor]]</f>
        <v>0.86308903171383233</v>
      </c>
      <c r="AK621">
        <f>VLOOKUP(Table1[[#This Row],[Q18: Gender]],Factor!$A$33:$E$35,5,0)</f>
        <v>0.85034013605442171</v>
      </c>
      <c r="AL621">
        <f>VLOOKUP(Table1[[#This Row],[Taluka]],Factor!$A$42:$G$46,7,0)</f>
        <v>1.9264642089343564</v>
      </c>
      <c r="AM621">
        <f>VLOOKUP(Table1[[#This Row],[Caste]]&amp;Table1[[#This Row],[Q18: Gender]],Factor!$W$1:$X$23,2,0)</f>
        <v>0.79950206330384943</v>
      </c>
      <c r="AN621">
        <f>VLOOKUP(Table1[[#This Row],[Taluka]]&amp;Table1[[#This Row],[Caste]]&amp;Table1[[#This Row],[Q18: Gender]],Factor!$AK$4:$AL$93,2,0)</f>
        <v>1.1572126985895925</v>
      </c>
      <c r="AO621">
        <f t="shared" si="99"/>
        <v>-1</v>
      </c>
      <c r="AP621">
        <f t="shared" si="100"/>
        <v>1</v>
      </c>
      <c r="AQ621">
        <f t="shared" si="101"/>
        <v>-1</v>
      </c>
      <c r="AR621">
        <f t="shared" si="102"/>
        <v>1</v>
      </c>
      <c r="AS621">
        <f t="shared" si="103"/>
        <v>-1</v>
      </c>
      <c r="AT621">
        <f t="shared" si="104"/>
        <v>-1</v>
      </c>
      <c r="AU621">
        <f t="shared" si="105"/>
        <v>-1.5</v>
      </c>
      <c r="AV621">
        <f>SUM(Table1[[#This Row],[Satis]:[29]])</f>
        <v>-2</v>
      </c>
      <c r="AW621">
        <f t="shared" si="106"/>
        <v>-3</v>
      </c>
      <c r="AX621">
        <f t="shared" si="107"/>
        <v>-2</v>
      </c>
      <c r="AY621">
        <f t="shared" si="108"/>
        <v>-3</v>
      </c>
      <c r="AZ621" t="str">
        <f t="shared" si="109"/>
        <v>Neutral TDP</v>
      </c>
    </row>
    <row r="622" spans="1:52" x14ac:dyDescent="0.3">
      <c r="A622" t="s">
        <v>3945</v>
      </c>
      <c r="B622" s="94">
        <v>46046</v>
      </c>
      <c r="C622" t="s">
        <v>3946</v>
      </c>
      <c r="D622" t="s">
        <v>3947</v>
      </c>
      <c r="E622" t="s">
        <v>3948</v>
      </c>
      <c r="F622" t="s">
        <v>35</v>
      </c>
      <c r="G622" t="s">
        <v>39</v>
      </c>
      <c r="H622" t="s">
        <v>3949</v>
      </c>
      <c r="I622" t="s">
        <v>36</v>
      </c>
      <c r="J622" t="s">
        <v>71</v>
      </c>
      <c r="K622" t="s">
        <v>217</v>
      </c>
      <c r="L622" t="s">
        <v>451</v>
      </c>
      <c r="M622" t="s">
        <v>51</v>
      </c>
      <c r="N622" t="s">
        <v>63</v>
      </c>
      <c r="O622" t="s">
        <v>3950</v>
      </c>
      <c r="P622">
        <v>9704766174</v>
      </c>
      <c r="Q622" t="s">
        <v>445</v>
      </c>
      <c r="R622" t="s">
        <v>2116</v>
      </c>
      <c r="S622" t="s">
        <v>43</v>
      </c>
      <c r="T622" t="s">
        <v>43</v>
      </c>
      <c r="U622" t="s">
        <v>44</v>
      </c>
      <c r="V622" t="s">
        <v>45</v>
      </c>
      <c r="W622" t="s">
        <v>5101</v>
      </c>
      <c r="X622" t="s">
        <v>45</v>
      </c>
      <c r="Y622" t="s">
        <v>46</v>
      </c>
      <c r="Z622" t="s">
        <v>47</v>
      </c>
      <c r="AA622" t="s">
        <v>48</v>
      </c>
      <c r="AB622" t="s">
        <v>49</v>
      </c>
      <c r="AC622" t="s">
        <v>49</v>
      </c>
      <c r="AD622" t="s">
        <v>481</v>
      </c>
      <c r="AE622" t="s">
        <v>185</v>
      </c>
      <c r="AF622">
        <v>0</v>
      </c>
      <c r="AG622" t="s">
        <v>196</v>
      </c>
      <c r="AH622" s="93">
        <f>VLOOKUP(Table1[[#This Row],[Caste]],Factor!$H$1:$K$13,4,0)</f>
        <v>1.1705128247062893</v>
      </c>
      <c r="AI62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22">
        <f>Table1[[#This Row],[Factor_1]]*Table1[[#This Row],[2024 Factor]]</f>
        <v>2.3577066232182737</v>
      </c>
      <c r="AK622">
        <f>VLOOKUP(Table1[[#This Row],[Q18: Gender]],Factor!$A$33:$E$35,5,0)</f>
        <v>2.1645021645021645</v>
      </c>
      <c r="AL622">
        <f>VLOOKUP(Table1[[#This Row],[Taluka]],Factor!$A$42:$G$46,7,0)</f>
        <v>1.1213131007097483</v>
      </c>
      <c r="AM622">
        <f>VLOOKUP(Table1[[#This Row],[Caste]]&amp;Table1[[#This Row],[Q18: Gender]],Factor!$W$1:$X$23,2,0)</f>
        <v>2.1840056363422229</v>
      </c>
      <c r="AN622">
        <f>VLOOKUP(Table1[[#This Row],[Taluka]]&amp;Table1[[#This Row],[Caste]]&amp;Table1[[#This Row],[Q18: Gender]],Factor!$AK$4:$AL$93,2,0)</f>
        <v>0.95944580773600496</v>
      </c>
      <c r="AO622">
        <f t="shared" si="99"/>
        <v>-1</v>
      </c>
      <c r="AP622">
        <f t="shared" si="100"/>
        <v>-1</v>
      </c>
      <c r="AQ622">
        <f t="shared" si="101"/>
        <v>-1</v>
      </c>
      <c r="AR622">
        <f t="shared" si="102"/>
        <v>-1</v>
      </c>
      <c r="AS622">
        <f t="shared" si="103"/>
        <v>-1</v>
      </c>
      <c r="AT622">
        <f t="shared" si="104"/>
        <v>-1</v>
      </c>
      <c r="AU622">
        <f t="shared" si="105"/>
        <v>-5.5</v>
      </c>
      <c r="AV622">
        <f>SUM(Table1[[#This Row],[Satis]:[29]])</f>
        <v>-6</v>
      </c>
      <c r="AW622">
        <f t="shared" si="106"/>
        <v>-5</v>
      </c>
      <c r="AX622">
        <f t="shared" si="107"/>
        <v>-4</v>
      </c>
      <c r="AY622">
        <f t="shared" si="108"/>
        <v>-3</v>
      </c>
      <c r="AZ622" t="str">
        <f t="shared" si="109"/>
        <v>TDP HardCore</v>
      </c>
    </row>
    <row r="623" spans="1:52" x14ac:dyDescent="0.3">
      <c r="A623" t="s">
        <v>3567</v>
      </c>
      <c r="B623" s="94">
        <v>46046</v>
      </c>
      <c r="C623" t="s">
        <v>3568</v>
      </c>
      <c r="D623" t="s">
        <v>3569</v>
      </c>
      <c r="E623" t="s">
        <v>3198</v>
      </c>
      <c r="F623" t="s">
        <v>240</v>
      </c>
      <c r="G623" t="s">
        <v>39</v>
      </c>
      <c r="H623" t="s">
        <v>3570</v>
      </c>
      <c r="I623" t="s">
        <v>59</v>
      </c>
      <c r="J623" t="s">
        <v>71</v>
      </c>
      <c r="K623" t="s">
        <v>218</v>
      </c>
      <c r="L623" t="s">
        <v>62</v>
      </c>
      <c r="M623" t="s">
        <v>51</v>
      </c>
      <c r="N623" t="s">
        <v>52</v>
      </c>
      <c r="O623" t="s">
        <v>3571</v>
      </c>
      <c r="P623">
        <v>9676308590</v>
      </c>
      <c r="Q623" t="s">
        <v>445</v>
      </c>
      <c r="R623" t="s">
        <v>2116</v>
      </c>
      <c r="S623" t="s">
        <v>88</v>
      </c>
      <c r="T623" t="s">
        <v>43</v>
      </c>
      <c r="U623" t="s">
        <v>90</v>
      </c>
      <c r="V623" t="s">
        <v>45</v>
      </c>
      <c r="W623" t="s">
        <v>5096</v>
      </c>
      <c r="X623" t="s">
        <v>45</v>
      </c>
      <c r="Y623" t="s">
        <v>46</v>
      </c>
      <c r="Z623" t="s">
        <v>242</v>
      </c>
      <c r="AA623" t="s">
        <v>242</v>
      </c>
      <c r="AB623" t="s">
        <v>49</v>
      </c>
      <c r="AC623" t="s">
        <v>49</v>
      </c>
      <c r="AD623" t="s">
        <v>494</v>
      </c>
      <c r="AE623" t="s">
        <v>189</v>
      </c>
      <c r="AF623" t="s">
        <v>4091</v>
      </c>
      <c r="AG623" t="s">
        <v>196</v>
      </c>
      <c r="AH623" s="93">
        <f>VLOOKUP(Table1[[#This Row],[Caste]],Factor!$H$1:$K$13,4,0)</f>
        <v>1.1461625511156397</v>
      </c>
      <c r="AI623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623">
        <f>Table1[[#This Row],[Factor_1]]*Table1[[#This Row],[2024 Factor]]</f>
        <v>1.8584083596520569</v>
      </c>
      <c r="AK623">
        <f>VLOOKUP(Table1[[#This Row],[Q18: Gender]],Factor!$A$33:$E$35,5,0)</f>
        <v>2.1645021645021645</v>
      </c>
      <c r="AL623">
        <f>VLOOKUP(Table1[[#This Row],[Taluka]],Factor!$A$42:$G$46,7,0)</f>
        <v>1.1213131007097483</v>
      </c>
      <c r="AM623">
        <f>VLOOKUP(Table1[[#This Row],[Caste]]&amp;Table1[[#This Row],[Q18: Gender]],Factor!$W$1:$X$23,2,0)</f>
        <v>2.8092219390089208</v>
      </c>
      <c r="AN623">
        <f>VLOOKUP(Table1[[#This Row],[Taluka]]&amp;Table1[[#This Row],[Caste]]&amp;Table1[[#This Row],[Q18: Gender]],Factor!$AK$4:$AL$93,2,0)</f>
        <v>1.8020838461961379</v>
      </c>
      <c r="AO623">
        <f t="shared" si="99"/>
        <v>-1</v>
      </c>
      <c r="AP623">
        <f t="shared" si="100"/>
        <v>1</v>
      </c>
      <c r="AQ623">
        <f t="shared" si="101"/>
        <v>-1</v>
      </c>
      <c r="AR623">
        <f t="shared" si="102"/>
        <v>-1</v>
      </c>
      <c r="AS623">
        <f t="shared" si="103"/>
        <v>-1</v>
      </c>
      <c r="AT623">
        <f t="shared" si="104"/>
        <v>-1</v>
      </c>
      <c r="AU623">
        <f t="shared" si="105"/>
        <v>-3.5</v>
      </c>
      <c r="AV623">
        <f>SUM(Table1[[#This Row],[Satis]:[29]])</f>
        <v>-4</v>
      </c>
      <c r="AW623">
        <f t="shared" si="106"/>
        <v>-5</v>
      </c>
      <c r="AX623">
        <f t="shared" si="107"/>
        <v>-4</v>
      </c>
      <c r="AY623">
        <f t="shared" si="108"/>
        <v>-3</v>
      </c>
      <c r="AZ623" t="str">
        <f t="shared" si="109"/>
        <v>TDP Sympathiser</v>
      </c>
    </row>
    <row r="624" spans="1:52" x14ac:dyDescent="0.3">
      <c r="A624" t="s">
        <v>3028</v>
      </c>
      <c r="B624" s="94">
        <v>46046</v>
      </c>
      <c r="C624" t="s">
        <v>3029</v>
      </c>
      <c r="D624" t="s">
        <v>3030</v>
      </c>
      <c r="E624" t="s">
        <v>3031</v>
      </c>
      <c r="F624" t="s">
        <v>240</v>
      </c>
      <c r="G624" t="s">
        <v>39</v>
      </c>
      <c r="H624" t="s">
        <v>3032</v>
      </c>
      <c r="I624" t="s">
        <v>230</v>
      </c>
      <c r="J624" t="s">
        <v>71</v>
      </c>
      <c r="K624" t="s">
        <v>217</v>
      </c>
      <c r="L624" t="s">
        <v>50</v>
      </c>
      <c r="M624" t="s">
        <v>51</v>
      </c>
      <c r="N624" t="s">
        <v>63</v>
      </c>
      <c r="O624" t="s">
        <v>3033</v>
      </c>
      <c r="P624">
        <v>7286967724</v>
      </c>
      <c r="Q624" t="s">
        <v>54</v>
      </c>
      <c r="R624" t="s">
        <v>2116</v>
      </c>
      <c r="S624" t="s">
        <v>43</v>
      </c>
      <c r="T624" t="s">
        <v>43</v>
      </c>
      <c r="U624" t="s">
        <v>44</v>
      </c>
      <c r="V624" t="s">
        <v>45</v>
      </c>
      <c r="W624" t="s">
        <v>5055</v>
      </c>
      <c r="X624" t="s">
        <v>45</v>
      </c>
      <c r="Y624" t="s">
        <v>46</v>
      </c>
      <c r="Z624" t="s">
        <v>47</v>
      </c>
      <c r="AA624" t="s">
        <v>48</v>
      </c>
      <c r="AB624" t="s">
        <v>49</v>
      </c>
      <c r="AC624" t="s">
        <v>49</v>
      </c>
      <c r="AD624" t="s">
        <v>481</v>
      </c>
      <c r="AE624" t="s">
        <v>185</v>
      </c>
      <c r="AF624">
        <v>0</v>
      </c>
      <c r="AG624" t="s">
        <v>196</v>
      </c>
      <c r="AH624" s="93">
        <f>VLOOKUP(Table1[[#This Row],[Caste]],Factor!$H$1:$K$13,4,0)</f>
        <v>1.0786696182614144</v>
      </c>
      <c r="AI62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24">
        <f>Table1[[#This Row],[Factor_1]]*Table1[[#This Row],[2024 Factor]]</f>
        <v>1.1644596794624567</v>
      </c>
      <c r="AK624">
        <f>VLOOKUP(Table1[[#This Row],[Q18: Gender]],Factor!$A$33:$E$35,5,0)</f>
        <v>0.85034013605442171</v>
      </c>
      <c r="AL624">
        <f>VLOOKUP(Table1[[#This Row],[Taluka]],Factor!$A$42:$G$46,7,0)</f>
        <v>1.1213131007097483</v>
      </c>
      <c r="AM624">
        <f>VLOOKUP(Table1[[#This Row],[Caste]]&amp;Table1[[#This Row],[Q18: Gender]],Factor!$W$1:$X$23,2,0)</f>
        <v>1.0786696182614144</v>
      </c>
      <c r="AN624">
        <f>VLOOKUP(Table1[[#This Row],[Taluka]]&amp;Table1[[#This Row],[Caste]]&amp;Table1[[#This Row],[Q18: Gender]],Factor!$AK$4:$AL$93,2,0)</f>
        <v>0.46808670685181952</v>
      </c>
      <c r="AO624">
        <f t="shared" si="99"/>
        <v>-1</v>
      </c>
      <c r="AP624">
        <f t="shared" si="100"/>
        <v>-1</v>
      </c>
      <c r="AQ624">
        <f t="shared" si="101"/>
        <v>-1</v>
      </c>
      <c r="AR624">
        <f t="shared" si="102"/>
        <v>-1</v>
      </c>
      <c r="AS624">
        <f t="shared" si="103"/>
        <v>-1</v>
      </c>
      <c r="AT624">
        <f t="shared" si="104"/>
        <v>-1</v>
      </c>
      <c r="AU624">
        <f t="shared" si="105"/>
        <v>-5.5</v>
      </c>
      <c r="AV624">
        <f>SUM(Table1[[#This Row],[Satis]:[29]])</f>
        <v>-6</v>
      </c>
      <c r="AW624">
        <f t="shared" si="106"/>
        <v>-5</v>
      </c>
      <c r="AX624">
        <f t="shared" si="107"/>
        <v>-4</v>
      </c>
      <c r="AY624">
        <f t="shared" si="108"/>
        <v>-3</v>
      </c>
      <c r="AZ624" t="str">
        <f t="shared" si="109"/>
        <v>TDP HardCore</v>
      </c>
    </row>
    <row r="625" spans="1:52" x14ac:dyDescent="0.3">
      <c r="A625" t="s">
        <v>3710</v>
      </c>
      <c r="B625" s="94">
        <v>46046</v>
      </c>
      <c r="C625" t="s">
        <v>3029</v>
      </c>
      <c r="D625" t="s">
        <v>3030</v>
      </c>
      <c r="E625" t="s">
        <v>3031</v>
      </c>
      <c r="F625" t="s">
        <v>240</v>
      </c>
      <c r="G625" t="s">
        <v>39</v>
      </c>
      <c r="H625" t="s">
        <v>3711</v>
      </c>
      <c r="I625" t="s">
        <v>230</v>
      </c>
      <c r="J625" t="s">
        <v>71</v>
      </c>
      <c r="K625" t="s">
        <v>217</v>
      </c>
      <c r="L625" t="s">
        <v>50</v>
      </c>
      <c r="M625" t="s">
        <v>51</v>
      </c>
      <c r="N625" t="s">
        <v>63</v>
      </c>
      <c r="O625" t="s">
        <v>3033</v>
      </c>
      <c r="P625">
        <v>7286967724</v>
      </c>
      <c r="Q625" t="s">
        <v>54</v>
      </c>
      <c r="R625" t="s">
        <v>2116</v>
      </c>
      <c r="S625" t="s">
        <v>43</v>
      </c>
      <c r="T625" t="s">
        <v>43</v>
      </c>
      <c r="U625" t="s">
        <v>44</v>
      </c>
      <c r="V625" t="s">
        <v>45</v>
      </c>
      <c r="W625" t="s">
        <v>5055</v>
      </c>
      <c r="X625" t="s">
        <v>45</v>
      </c>
      <c r="Y625" t="s">
        <v>46</v>
      </c>
      <c r="Z625" t="s">
        <v>47</v>
      </c>
      <c r="AA625" t="s">
        <v>48</v>
      </c>
      <c r="AB625" t="s">
        <v>49</v>
      </c>
      <c r="AC625" t="s">
        <v>49</v>
      </c>
      <c r="AD625">
        <v>0</v>
      </c>
      <c r="AE625" t="s">
        <v>185</v>
      </c>
      <c r="AF625">
        <v>0</v>
      </c>
      <c r="AG625" t="s">
        <v>196</v>
      </c>
      <c r="AH625" s="93">
        <f>VLOOKUP(Table1[[#This Row],[Caste]],Factor!$H$1:$K$13,4,0)</f>
        <v>1.0786696182614144</v>
      </c>
      <c r="AI62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25">
        <f>Table1[[#This Row],[Factor_1]]*Table1[[#This Row],[2024 Factor]]</f>
        <v>1.1644596794624567</v>
      </c>
      <c r="AK625">
        <f>VLOOKUP(Table1[[#This Row],[Q18: Gender]],Factor!$A$33:$E$35,5,0)</f>
        <v>0.85034013605442171</v>
      </c>
      <c r="AL625">
        <f>VLOOKUP(Table1[[#This Row],[Taluka]],Factor!$A$42:$G$46,7,0)</f>
        <v>1.1213131007097483</v>
      </c>
      <c r="AM625">
        <f>VLOOKUP(Table1[[#This Row],[Caste]]&amp;Table1[[#This Row],[Q18: Gender]],Factor!$W$1:$X$23,2,0)</f>
        <v>1.0786696182614144</v>
      </c>
      <c r="AN625">
        <f>VLOOKUP(Table1[[#This Row],[Taluka]]&amp;Table1[[#This Row],[Caste]]&amp;Table1[[#This Row],[Q18: Gender]],Factor!$AK$4:$AL$93,2,0)</f>
        <v>0.46808670685181952</v>
      </c>
      <c r="AO625">
        <f t="shared" si="99"/>
        <v>-1</v>
      </c>
      <c r="AP625">
        <f t="shared" si="100"/>
        <v>-1</v>
      </c>
      <c r="AQ625">
        <f t="shared" si="101"/>
        <v>-1</v>
      </c>
      <c r="AR625">
        <f t="shared" si="102"/>
        <v>-1</v>
      </c>
      <c r="AS625">
        <f t="shared" si="103"/>
        <v>-1</v>
      </c>
      <c r="AT625">
        <f t="shared" si="104"/>
        <v>-1</v>
      </c>
      <c r="AU625">
        <f t="shared" si="105"/>
        <v>-5.5</v>
      </c>
      <c r="AV625">
        <f>SUM(Table1[[#This Row],[Satis]:[29]])</f>
        <v>-6</v>
      </c>
      <c r="AW625">
        <f t="shared" si="106"/>
        <v>-5</v>
      </c>
      <c r="AX625">
        <f t="shared" si="107"/>
        <v>-4</v>
      </c>
      <c r="AY625">
        <f t="shared" si="108"/>
        <v>-3</v>
      </c>
      <c r="AZ625" t="str">
        <f t="shared" si="109"/>
        <v>TDP HardCore</v>
      </c>
    </row>
    <row r="626" spans="1:52" x14ac:dyDescent="0.3">
      <c r="A626" t="s">
        <v>3250</v>
      </c>
      <c r="B626" s="94">
        <v>46046</v>
      </c>
      <c r="C626" t="s">
        <v>3251</v>
      </c>
      <c r="D626" t="s">
        <v>3030</v>
      </c>
      <c r="E626" t="s">
        <v>3031</v>
      </c>
      <c r="F626" t="s">
        <v>240</v>
      </c>
      <c r="G626" t="s">
        <v>39</v>
      </c>
      <c r="H626" t="s">
        <v>3252</v>
      </c>
      <c r="I626" t="s">
        <v>230</v>
      </c>
      <c r="J626" t="s">
        <v>71</v>
      </c>
      <c r="K626" t="s">
        <v>217</v>
      </c>
      <c r="L626" t="s">
        <v>50</v>
      </c>
      <c r="M626" t="s">
        <v>51</v>
      </c>
      <c r="N626" t="s">
        <v>63</v>
      </c>
      <c r="O626" t="s">
        <v>3033</v>
      </c>
      <c r="P626">
        <v>7286967724</v>
      </c>
      <c r="Q626" t="s">
        <v>54</v>
      </c>
      <c r="R626" t="s">
        <v>2116</v>
      </c>
      <c r="S626" t="s">
        <v>43</v>
      </c>
      <c r="T626" t="s">
        <v>43</v>
      </c>
      <c r="U626" t="s">
        <v>44</v>
      </c>
      <c r="V626" t="s">
        <v>45</v>
      </c>
      <c r="W626" t="s">
        <v>5055</v>
      </c>
      <c r="X626" t="s">
        <v>45</v>
      </c>
      <c r="Y626" t="s">
        <v>46</v>
      </c>
      <c r="Z626" t="s">
        <v>47</v>
      </c>
      <c r="AA626" t="s">
        <v>48</v>
      </c>
      <c r="AB626" t="s">
        <v>49</v>
      </c>
      <c r="AC626" t="s">
        <v>49</v>
      </c>
      <c r="AD626">
        <v>0</v>
      </c>
      <c r="AE626" t="s">
        <v>185</v>
      </c>
      <c r="AF626">
        <v>0</v>
      </c>
      <c r="AG626" t="s">
        <v>196</v>
      </c>
      <c r="AH626" s="93">
        <f>VLOOKUP(Table1[[#This Row],[Caste]],Factor!$H$1:$K$13,4,0)</f>
        <v>1.0786696182614144</v>
      </c>
      <c r="AI62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26">
        <f>Table1[[#This Row],[Factor_1]]*Table1[[#This Row],[2024 Factor]]</f>
        <v>1.1644596794624567</v>
      </c>
      <c r="AK626">
        <f>VLOOKUP(Table1[[#This Row],[Q18: Gender]],Factor!$A$33:$E$35,5,0)</f>
        <v>0.85034013605442171</v>
      </c>
      <c r="AL626">
        <f>VLOOKUP(Table1[[#This Row],[Taluka]],Factor!$A$42:$G$46,7,0)</f>
        <v>1.1213131007097483</v>
      </c>
      <c r="AM626">
        <f>VLOOKUP(Table1[[#This Row],[Caste]]&amp;Table1[[#This Row],[Q18: Gender]],Factor!$W$1:$X$23,2,0)</f>
        <v>1.0786696182614144</v>
      </c>
      <c r="AN626">
        <f>VLOOKUP(Table1[[#This Row],[Taluka]]&amp;Table1[[#This Row],[Caste]]&amp;Table1[[#This Row],[Q18: Gender]],Factor!$AK$4:$AL$93,2,0)</f>
        <v>0.46808670685181952</v>
      </c>
      <c r="AO626">
        <f t="shared" si="99"/>
        <v>-1</v>
      </c>
      <c r="AP626">
        <f t="shared" si="100"/>
        <v>-1</v>
      </c>
      <c r="AQ626">
        <f t="shared" si="101"/>
        <v>-1</v>
      </c>
      <c r="AR626">
        <f t="shared" si="102"/>
        <v>-1</v>
      </c>
      <c r="AS626">
        <f t="shared" si="103"/>
        <v>-1</v>
      </c>
      <c r="AT626">
        <f t="shared" si="104"/>
        <v>-1</v>
      </c>
      <c r="AU626">
        <f t="shared" si="105"/>
        <v>-5.5</v>
      </c>
      <c r="AV626">
        <f>SUM(Table1[[#This Row],[Satis]:[29]])</f>
        <v>-6</v>
      </c>
      <c r="AW626">
        <f t="shared" si="106"/>
        <v>-5</v>
      </c>
      <c r="AX626">
        <f t="shared" si="107"/>
        <v>-4</v>
      </c>
      <c r="AY626">
        <f t="shared" si="108"/>
        <v>-3</v>
      </c>
      <c r="AZ626" t="str">
        <f t="shared" si="109"/>
        <v>TDP HardCore</v>
      </c>
    </row>
    <row r="627" spans="1:52" x14ac:dyDescent="0.3">
      <c r="A627" t="s">
        <v>3311</v>
      </c>
      <c r="B627" s="94">
        <v>46046</v>
      </c>
      <c r="C627" t="s">
        <v>3312</v>
      </c>
      <c r="D627" t="s">
        <v>3313</v>
      </c>
      <c r="E627" t="s">
        <v>3064</v>
      </c>
      <c r="F627" t="s">
        <v>935</v>
      </c>
      <c r="G627" t="s">
        <v>39</v>
      </c>
      <c r="H627" t="s">
        <v>3314</v>
      </c>
      <c r="I627" t="s">
        <v>36</v>
      </c>
      <c r="J627" t="s">
        <v>203</v>
      </c>
      <c r="K627" t="s">
        <v>208</v>
      </c>
      <c r="L627" t="s">
        <v>82</v>
      </c>
      <c r="M627" t="s">
        <v>51</v>
      </c>
      <c r="N627" t="s">
        <v>107</v>
      </c>
      <c r="O627" t="s">
        <v>3315</v>
      </c>
      <c r="P627">
        <v>8465838917</v>
      </c>
      <c r="Q627" t="s">
        <v>54</v>
      </c>
      <c r="R627" t="s">
        <v>2116</v>
      </c>
      <c r="S627" t="s">
        <v>89</v>
      </c>
      <c r="T627" t="s">
        <v>43</v>
      </c>
      <c r="U627" t="s">
        <v>44</v>
      </c>
      <c r="V627" t="s">
        <v>91</v>
      </c>
      <c r="W627" t="s">
        <v>5085</v>
      </c>
      <c r="X627" t="s">
        <v>45</v>
      </c>
      <c r="Y627" t="s">
        <v>46</v>
      </c>
      <c r="Z627" t="s">
        <v>47</v>
      </c>
      <c r="AA627" t="s">
        <v>48</v>
      </c>
      <c r="AB627" t="s">
        <v>49</v>
      </c>
      <c r="AC627" t="s">
        <v>49</v>
      </c>
      <c r="AD627" t="s">
        <v>481</v>
      </c>
      <c r="AE627" t="s">
        <v>185</v>
      </c>
      <c r="AF627">
        <v>0</v>
      </c>
      <c r="AG627" t="s">
        <v>196</v>
      </c>
      <c r="AH627" s="93">
        <f>VLOOKUP(Table1[[#This Row],[Caste]],Factor!$H$1:$K$13,4,0)</f>
        <v>1.1705128247062893</v>
      </c>
      <c r="AI62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27">
        <f>Table1[[#This Row],[Factor_1]]*Table1[[#This Row],[2024 Factor]]</f>
        <v>0.86308903171383233</v>
      </c>
      <c r="AK627">
        <f>VLOOKUP(Table1[[#This Row],[Q18: Gender]],Factor!$A$33:$E$35,5,0)</f>
        <v>0.85034013605442171</v>
      </c>
      <c r="AL627">
        <f>VLOOKUP(Table1[[#This Row],[Taluka]],Factor!$A$42:$G$46,7,0)</f>
        <v>1.9264642089343564</v>
      </c>
      <c r="AM627">
        <f>VLOOKUP(Table1[[#This Row],[Caste]]&amp;Table1[[#This Row],[Q18: Gender]],Factor!$W$1:$X$23,2,0)</f>
        <v>0.79950206330384943</v>
      </c>
      <c r="AN627">
        <f>VLOOKUP(Table1[[#This Row],[Taluka]]&amp;Table1[[#This Row],[Caste]]&amp;Table1[[#This Row],[Q18: Gender]],Factor!$AK$4:$AL$93,2,0)</f>
        <v>1.1572126985895925</v>
      </c>
      <c r="AO627">
        <f t="shared" si="99"/>
        <v>-1</v>
      </c>
      <c r="AP627">
        <f t="shared" si="100"/>
        <v>-1</v>
      </c>
      <c r="AQ627">
        <f t="shared" si="101"/>
        <v>1</v>
      </c>
      <c r="AR627">
        <f t="shared" si="102"/>
        <v>-1</v>
      </c>
      <c r="AS627">
        <f t="shared" si="103"/>
        <v>-1</v>
      </c>
      <c r="AT627">
        <f t="shared" si="104"/>
        <v>-1</v>
      </c>
      <c r="AU627">
        <f t="shared" si="105"/>
        <v>-3.5</v>
      </c>
      <c r="AV627">
        <f>SUM(Table1[[#This Row],[Satis]:[29]])</f>
        <v>-4</v>
      </c>
      <c r="AW627">
        <f t="shared" si="106"/>
        <v>-3</v>
      </c>
      <c r="AX627">
        <f t="shared" si="107"/>
        <v>-2</v>
      </c>
      <c r="AY627">
        <f t="shared" si="108"/>
        <v>-3</v>
      </c>
      <c r="AZ627" t="str">
        <f t="shared" si="109"/>
        <v>Neutral TDP</v>
      </c>
    </row>
    <row r="628" spans="1:52" x14ac:dyDescent="0.3">
      <c r="A628" t="s">
        <v>3589</v>
      </c>
      <c r="B628" s="94">
        <v>46046</v>
      </c>
      <c r="C628" t="s">
        <v>3590</v>
      </c>
      <c r="D628" t="s">
        <v>3591</v>
      </c>
      <c r="E628" t="s">
        <v>3592</v>
      </c>
      <c r="F628" t="s">
        <v>69</v>
      </c>
      <c r="G628" t="s">
        <v>39</v>
      </c>
      <c r="H628" t="s">
        <v>3593</v>
      </c>
      <c r="I628" t="s">
        <v>59</v>
      </c>
      <c r="J628" t="s">
        <v>203</v>
      </c>
      <c r="K628" t="s">
        <v>203</v>
      </c>
      <c r="L628" t="s">
        <v>75</v>
      </c>
      <c r="M628" t="s">
        <v>51</v>
      </c>
      <c r="N628" t="s">
        <v>162</v>
      </c>
      <c r="O628" t="s">
        <v>975</v>
      </c>
      <c r="P628">
        <v>9999999999</v>
      </c>
      <c r="Q628" t="s">
        <v>54</v>
      </c>
      <c r="R628" t="s">
        <v>132</v>
      </c>
      <c r="S628" t="s">
        <v>43</v>
      </c>
      <c r="T628" t="s">
        <v>43</v>
      </c>
      <c r="U628" t="s">
        <v>44</v>
      </c>
      <c r="V628" t="s">
        <v>91</v>
      </c>
      <c r="W628" t="s">
        <v>5050</v>
      </c>
      <c r="X628" t="s">
        <v>45</v>
      </c>
      <c r="Y628" t="s">
        <v>46</v>
      </c>
      <c r="Z628" t="s">
        <v>47</v>
      </c>
      <c r="AA628" t="s">
        <v>48</v>
      </c>
      <c r="AB628" t="s">
        <v>49</v>
      </c>
      <c r="AC628" t="s">
        <v>49</v>
      </c>
      <c r="AD628" t="s">
        <v>481</v>
      </c>
      <c r="AE628" t="s">
        <v>189</v>
      </c>
      <c r="AF628" t="s">
        <v>4065</v>
      </c>
      <c r="AG628" t="s">
        <v>196</v>
      </c>
      <c r="AH628" s="93">
        <f>VLOOKUP(Table1[[#This Row],[Caste]],Factor!$H$1:$K$13,4,0)</f>
        <v>1.1461625511156397</v>
      </c>
      <c r="AI62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28">
        <f>Table1[[#This Row],[Factor_1]]*Table1[[#This Row],[2024 Factor]]</f>
        <v>0.77721139583220644</v>
      </c>
      <c r="AK628">
        <f>VLOOKUP(Table1[[#This Row],[Q18: Gender]],Factor!$A$33:$E$35,5,0)</f>
        <v>0.85034013605442171</v>
      </c>
      <c r="AL628">
        <f>VLOOKUP(Table1[[#This Row],[Taluka]],Factor!$A$42:$G$46,7,0)</f>
        <v>1.9264642089343564</v>
      </c>
      <c r="AM628">
        <f>VLOOKUP(Table1[[#This Row],[Caste]]&amp;Table1[[#This Row],[Q18: Gender]],Factor!$W$1:$X$23,2,0)</f>
        <v>0.71995135120329123</v>
      </c>
      <c r="AN628">
        <f>VLOOKUP(Table1[[#This Row],[Taluka]]&amp;Table1[[#This Row],[Caste]]&amp;Table1[[#This Row],[Q18: Gender]],Factor!$AK$4:$AL$93,2,0)</f>
        <v>0.70534647283248642</v>
      </c>
      <c r="AO628">
        <f t="shared" si="99"/>
        <v>-1</v>
      </c>
      <c r="AP628">
        <f t="shared" si="100"/>
        <v>-1</v>
      </c>
      <c r="AQ628">
        <f t="shared" si="101"/>
        <v>1</v>
      </c>
      <c r="AR628">
        <f t="shared" si="102"/>
        <v>-1</v>
      </c>
      <c r="AS628">
        <f t="shared" si="103"/>
        <v>-1</v>
      </c>
      <c r="AT628">
        <f t="shared" si="104"/>
        <v>-1</v>
      </c>
      <c r="AU628">
        <f t="shared" si="105"/>
        <v>-3.5</v>
      </c>
      <c r="AV628">
        <f>SUM(Table1[[#This Row],[Satis]:[29]])</f>
        <v>-4</v>
      </c>
      <c r="AW628">
        <f t="shared" si="106"/>
        <v>-3</v>
      </c>
      <c r="AX628">
        <f t="shared" si="107"/>
        <v>-2</v>
      </c>
      <c r="AY628">
        <f t="shared" si="108"/>
        <v>-3</v>
      </c>
      <c r="AZ628" t="str">
        <f t="shared" si="109"/>
        <v>Neutral TDP</v>
      </c>
    </row>
    <row r="629" spans="1:52" x14ac:dyDescent="0.3">
      <c r="A629" t="s">
        <v>3594</v>
      </c>
      <c r="B629" s="94">
        <v>46046</v>
      </c>
      <c r="C629" t="s">
        <v>3595</v>
      </c>
      <c r="D629" t="s">
        <v>3596</v>
      </c>
      <c r="E629" t="s">
        <v>3597</v>
      </c>
      <c r="F629" t="s">
        <v>69</v>
      </c>
      <c r="G629" t="s">
        <v>39</v>
      </c>
      <c r="H629" t="s">
        <v>3598</v>
      </c>
      <c r="I629" t="s">
        <v>227</v>
      </c>
      <c r="J629" t="s">
        <v>203</v>
      </c>
      <c r="K629" t="s">
        <v>203</v>
      </c>
      <c r="L629" t="s">
        <v>62</v>
      </c>
      <c r="M629" t="s">
        <v>51</v>
      </c>
      <c r="N629" t="s">
        <v>52</v>
      </c>
      <c r="O629" t="s">
        <v>3599</v>
      </c>
      <c r="P629">
        <v>9550414848</v>
      </c>
      <c r="Q629" t="s">
        <v>54</v>
      </c>
      <c r="R629" t="s">
        <v>132</v>
      </c>
      <c r="S629" t="s">
        <v>43</v>
      </c>
      <c r="T629" t="s">
        <v>43</v>
      </c>
      <c r="U629" t="s">
        <v>44</v>
      </c>
      <c r="V629" t="s">
        <v>45</v>
      </c>
      <c r="W629" t="s">
        <v>5079</v>
      </c>
      <c r="X629" t="s">
        <v>45</v>
      </c>
      <c r="Y629" t="s">
        <v>46</v>
      </c>
      <c r="Z629" t="s">
        <v>47</v>
      </c>
      <c r="AA629" t="s">
        <v>48</v>
      </c>
      <c r="AB629" t="s">
        <v>49</v>
      </c>
      <c r="AC629" t="s">
        <v>49</v>
      </c>
      <c r="AD629" t="s">
        <v>481</v>
      </c>
      <c r="AE629" t="s">
        <v>189</v>
      </c>
      <c r="AF629" t="s">
        <v>4067</v>
      </c>
      <c r="AG629" t="s">
        <v>196</v>
      </c>
      <c r="AH629" s="93">
        <f>VLOOKUP(Table1[[#This Row],[Caste]],Factor!$H$1:$K$13,4,0)</f>
        <v>1.2612194085121222</v>
      </c>
      <c r="AI62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29">
        <f>Table1[[#This Row],[Factor_1]]*Table1[[#This Row],[2024 Factor]]</f>
        <v>0.92029223709519836</v>
      </c>
      <c r="AK629">
        <f>VLOOKUP(Table1[[#This Row],[Q18: Gender]],Factor!$A$33:$E$35,5,0)</f>
        <v>0.85034013605442171</v>
      </c>
      <c r="AL629">
        <f>VLOOKUP(Table1[[#This Row],[Taluka]],Factor!$A$42:$G$46,7,0)</f>
        <v>1.9264642089343564</v>
      </c>
      <c r="AM629">
        <f>VLOOKUP(Table1[[#This Row],[Caste]]&amp;Table1[[#This Row],[Q18: Gender]],Factor!$W$1:$X$23,2,0)</f>
        <v>0.85249089649430487</v>
      </c>
      <c r="AN629">
        <f>VLOOKUP(Table1[[#This Row],[Taluka]]&amp;Table1[[#This Row],[Caste]]&amp;Table1[[#This Row],[Q18: Gender]],Factor!$AK$4:$AL$93,2,0)</f>
        <v>1.7847621356853685</v>
      </c>
      <c r="AO629">
        <f t="shared" si="99"/>
        <v>-1</v>
      </c>
      <c r="AP629">
        <f t="shared" si="100"/>
        <v>-1</v>
      </c>
      <c r="AQ629">
        <f t="shared" si="101"/>
        <v>-1</v>
      </c>
      <c r="AR629">
        <f t="shared" si="102"/>
        <v>-1</v>
      </c>
      <c r="AS629">
        <f t="shared" si="103"/>
        <v>-1</v>
      </c>
      <c r="AT629">
        <f t="shared" si="104"/>
        <v>-1</v>
      </c>
      <c r="AU629">
        <f t="shared" si="105"/>
        <v>-5.5</v>
      </c>
      <c r="AV629">
        <f>SUM(Table1[[#This Row],[Satis]:[29]])</f>
        <v>-6</v>
      </c>
      <c r="AW629">
        <f t="shared" si="106"/>
        <v>-5</v>
      </c>
      <c r="AX629">
        <f t="shared" si="107"/>
        <v>-4</v>
      </c>
      <c r="AY629">
        <f t="shared" si="108"/>
        <v>-3</v>
      </c>
      <c r="AZ629" t="str">
        <f t="shared" si="109"/>
        <v>TDP HardCore</v>
      </c>
    </row>
    <row r="630" spans="1:52" x14ac:dyDescent="0.3">
      <c r="A630" t="s">
        <v>3600</v>
      </c>
      <c r="B630" s="94">
        <v>46046</v>
      </c>
      <c r="C630" t="s">
        <v>3601</v>
      </c>
      <c r="D630" t="s">
        <v>3602</v>
      </c>
      <c r="E630" t="s">
        <v>3119</v>
      </c>
      <c r="F630" t="s">
        <v>935</v>
      </c>
      <c r="G630" t="s">
        <v>39</v>
      </c>
      <c r="H630" t="s">
        <v>3603</v>
      </c>
      <c r="I630" t="s">
        <v>168</v>
      </c>
      <c r="J630" t="s">
        <v>203</v>
      </c>
      <c r="K630" t="s">
        <v>208</v>
      </c>
      <c r="L630" t="s">
        <v>62</v>
      </c>
      <c r="M630" t="s">
        <v>51</v>
      </c>
      <c r="N630" t="s">
        <v>52</v>
      </c>
      <c r="O630" t="s">
        <v>680</v>
      </c>
      <c r="P630">
        <v>9999999999</v>
      </c>
      <c r="Q630" t="s">
        <v>54</v>
      </c>
      <c r="R630" t="s">
        <v>2116</v>
      </c>
      <c r="S630" t="s">
        <v>43</v>
      </c>
      <c r="T630" t="s">
        <v>43</v>
      </c>
      <c r="U630" t="s">
        <v>44</v>
      </c>
      <c r="V630" t="s">
        <v>91</v>
      </c>
      <c r="W630" t="s">
        <v>5051</v>
      </c>
      <c r="X630" t="s">
        <v>45</v>
      </c>
      <c r="Y630" t="s">
        <v>46</v>
      </c>
      <c r="Z630" t="s">
        <v>47</v>
      </c>
      <c r="AA630" t="s">
        <v>48</v>
      </c>
      <c r="AB630" t="s">
        <v>49</v>
      </c>
      <c r="AC630" t="s">
        <v>49</v>
      </c>
      <c r="AD630" t="s">
        <v>184</v>
      </c>
      <c r="AE630" t="s">
        <v>185</v>
      </c>
      <c r="AF630" t="s">
        <v>4074</v>
      </c>
      <c r="AG630" t="s">
        <v>196</v>
      </c>
      <c r="AH630" s="93">
        <f>VLOOKUP(Table1[[#This Row],[Caste]],Factor!$H$1:$K$13,4,0)</f>
        <v>1.0478809952686368</v>
      </c>
      <c r="AI63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30">
        <f>Table1[[#This Row],[Factor_1]]*Table1[[#This Row],[2024 Factor]]</f>
        <v>0.8266624780172348</v>
      </c>
      <c r="AK630">
        <f>VLOOKUP(Table1[[#This Row],[Q18: Gender]],Factor!$A$33:$E$35,5,0)</f>
        <v>0.85034013605442171</v>
      </c>
      <c r="AL630">
        <f>VLOOKUP(Table1[[#This Row],[Taluka]],Factor!$A$42:$G$46,7,0)</f>
        <v>1.9264642089343564</v>
      </c>
      <c r="AM630">
        <f>VLOOKUP(Table1[[#This Row],[Caste]]&amp;Table1[[#This Row],[Q18: Gender]],Factor!$W$1:$X$23,2,0)</f>
        <v>0.7657591888501577</v>
      </c>
      <c r="AN630">
        <f>VLOOKUP(Table1[[#This Row],[Taluka]]&amp;Table1[[#This Row],[Caste]]&amp;Table1[[#This Row],[Q18: Gender]],Factor!$AK$4:$AL$93,2,0)</f>
        <v>1.0292032177577444</v>
      </c>
      <c r="AO630">
        <f t="shared" si="99"/>
        <v>-1</v>
      </c>
      <c r="AP630">
        <f t="shared" si="100"/>
        <v>-1</v>
      </c>
      <c r="AQ630">
        <f t="shared" si="101"/>
        <v>1</v>
      </c>
      <c r="AR630">
        <f t="shared" si="102"/>
        <v>-1</v>
      </c>
      <c r="AS630">
        <f t="shared" si="103"/>
        <v>-1</v>
      </c>
      <c r="AT630">
        <f t="shared" si="104"/>
        <v>-1</v>
      </c>
      <c r="AU630">
        <f t="shared" si="105"/>
        <v>-3.5</v>
      </c>
      <c r="AV630">
        <f>SUM(Table1[[#This Row],[Satis]:[29]])</f>
        <v>-4</v>
      </c>
      <c r="AW630">
        <f t="shared" si="106"/>
        <v>-3</v>
      </c>
      <c r="AX630">
        <f t="shared" si="107"/>
        <v>-2</v>
      </c>
      <c r="AY630">
        <f t="shared" si="108"/>
        <v>-3</v>
      </c>
      <c r="AZ630" t="str">
        <f t="shared" si="109"/>
        <v>Neutral TDP</v>
      </c>
    </row>
    <row r="631" spans="1:52" x14ac:dyDescent="0.3">
      <c r="A631" t="s">
        <v>3604</v>
      </c>
      <c r="B631" s="94">
        <v>46046</v>
      </c>
      <c r="C631" t="s">
        <v>3605</v>
      </c>
      <c r="D631" t="s">
        <v>3606</v>
      </c>
      <c r="E631" t="s">
        <v>3607</v>
      </c>
      <c r="F631" t="s">
        <v>35</v>
      </c>
      <c r="G631" t="s">
        <v>39</v>
      </c>
      <c r="H631" t="s">
        <v>3608</v>
      </c>
      <c r="I631" t="s">
        <v>36</v>
      </c>
      <c r="J631" s="112" t="s">
        <v>203</v>
      </c>
      <c r="K631" s="112" t="s">
        <v>205</v>
      </c>
      <c r="L631" t="s">
        <v>50</v>
      </c>
      <c r="M631" t="s">
        <v>51</v>
      </c>
      <c r="N631" t="s">
        <v>63</v>
      </c>
      <c r="O631" t="s">
        <v>3609</v>
      </c>
      <c r="P631">
        <v>0</v>
      </c>
      <c r="Q631" t="s">
        <v>54</v>
      </c>
      <c r="R631" t="s">
        <v>61</v>
      </c>
      <c r="S631" t="s">
        <v>88</v>
      </c>
      <c r="T631" t="s">
        <v>43</v>
      </c>
      <c r="U631" t="s">
        <v>44</v>
      </c>
      <c r="V631" t="s">
        <v>91</v>
      </c>
      <c r="W631" t="s">
        <v>5062</v>
      </c>
      <c r="X631" t="s">
        <v>91</v>
      </c>
      <c r="Y631" t="s">
        <v>46</v>
      </c>
      <c r="Z631" t="s">
        <v>47</v>
      </c>
      <c r="AA631" t="s">
        <v>92</v>
      </c>
      <c r="AB631" t="s">
        <v>147</v>
      </c>
      <c r="AC631" t="s">
        <v>94</v>
      </c>
      <c r="AD631" t="s">
        <v>494</v>
      </c>
      <c r="AE631" t="s">
        <v>189</v>
      </c>
      <c r="AF631" t="s">
        <v>1773</v>
      </c>
      <c r="AG631" t="s">
        <v>196</v>
      </c>
      <c r="AH631" s="93">
        <f>VLOOKUP(Table1[[#This Row],[Caste]],Factor!$H$1:$K$13,4,0)</f>
        <v>1.1705128247062893</v>
      </c>
      <c r="AI631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631">
        <f>Table1[[#This Row],[Factor_1]]*Table1[[#This Row],[2024 Factor]]</f>
        <v>1.4435679386658844</v>
      </c>
      <c r="AK631">
        <f>VLOOKUP(Table1[[#This Row],[Q18: Gender]],Factor!$A$33:$E$35,5,0)</f>
        <v>0.85034013605442171</v>
      </c>
      <c r="AL631">
        <f>VLOOKUP(Table1[[#This Row],[Taluka]],Factor!$A$42:$G$46,7,0)</f>
        <v>1.9264642089343564</v>
      </c>
      <c r="AM631">
        <f>VLOOKUP(Table1[[#This Row],[Caste]]&amp;Table1[[#This Row],[Q18: Gender]],Factor!$W$1:$X$23,2,0)</f>
        <v>0.79950206330384943</v>
      </c>
      <c r="AN631">
        <f>VLOOKUP(Table1[[#This Row],[Taluka]]&amp;Table1[[#This Row],[Caste]]&amp;Table1[[#This Row],[Q18: Gender]],Factor!$AK$4:$AL$93,2,0)</f>
        <v>1.1572126985895925</v>
      </c>
      <c r="AO631">
        <f t="shared" si="99"/>
        <v>-1</v>
      </c>
      <c r="AP631">
        <f t="shared" si="100"/>
        <v>-1</v>
      </c>
      <c r="AQ631">
        <f t="shared" si="101"/>
        <v>1</v>
      </c>
      <c r="AR631">
        <f t="shared" si="102"/>
        <v>1</v>
      </c>
      <c r="AS631">
        <f t="shared" si="103"/>
        <v>1</v>
      </c>
      <c r="AT631">
        <f t="shared" si="104"/>
        <v>-1</v>
      </c>
      <c r="AU631">
        <f t="shared" si="105"/>
        <v>-0.5</v>
      </c>
      <c r="AV631">
        <f>SUM(Table1[[#This Row],[Satis]:[29]])</f>
        <v>0</v>
      </c>
      <c r="AW631">
        <f t="shared" si="106"/>
        <v>1</v>
      </c>
      <c r="AX631">
        <f t="shared" si="107"/>
        <v>2</v>
      </c>
      <c r="AY631">
        <f t="shared" si="108"/>
        <v>-2</v>
      </c>
      <c r="AZ631" t="str">
        <f t="shared" si="109"/>
        <v>Neutral TDP</v>
      </c>
    </row>
    <row r="632" spans="1:52" x14ac:dyDescent="0.3">
      <c r="A632" t="s">
        <v>3610</v>
      </c>
      <c r="B632" s="94">
        <v>46046</v>
      </c>
      <c r="C632" t="s">
        <v>3611</v>
      </c>
      <c r="D632" t="s">
        <v>3612</v>
      </c>
      <c r="E632" t="s">
        <v>3119</v>
      </c>
      <c r="F632" t="s">
        <v>935</v>
      </c>
      <c r="G632" t="s">
        <v>39</v>
      </c>
      <c r="H632" t="s">
        <v>3613</v>
      </c>
      <c r="I632" t="s">
        <v>36</v>
      </c>
      <c r="J632" t="s">
        <v>203</v>
      </c>
      <c r="K632" t="s">
        <v>208</v>
      </c>
      <c r="L632" t="s">
        <v>62</v>
      </c>
      <c r="M632" t="s">
        <v>51</v>
      </c>
      <c r="N632" t="s">
        <v>52</v>
      </c>
      <c r="O632" t="s">
        <v>3614</v>
      </c>
      <c r="P632">
        <v>9014787979</v>
      </c>
      <c r="Q632" t="s">
        <v>54</v>
      </c>
      <c r="R632" t="s">
        <v>139</v>
      </c>
      <c r="S632" t="s">
        <v>89</v>
      </c>
      <c r="T632" t="s">
        <v>43</v>
      </c>
      <c r="U632" t="s">
        <v>44</v>
      </c>
      <c r="V632" t="s">
        <v>45</v>
      </c>
      <c r="W632" t="s">
        <v>5050</v>
      </c>
      <c r="X632" t="s">
        <v>45</v>
      </c>
      <c r="Y632" t="s">
        <v>46</v>
      </c>
      <c r="Z632" t="s">
        <v>47</v>
      </c>
      <c r="AA632" t="s">
        <v>48</v>
      </c>
      <c r="AB632" t="s">
        <v>49</v>
      </c>
      <c r="AC632" t="s">
        <v>49</v>
      </c>
      <c r="AD632" t="s">
        <v>481</v>
      </c>
      <c r="AE632" t="s">
        <v>189</v>
      </c>
      <c r="AF632" t="s">
        <v>485</v>
      </c>
      <c r="AG632" t="s">
        <v>196</v>
      </c>
      <c r="AH632" s="93">
        <f>VLOOKUP(Table1[[#This Row],[Caste]],Factor!$H$1:$K$13,4,0)</f>
        <v>1.1705128247062893</v>
      </c>
      <c r="AI63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32">
        <f>Table1[[#This Row],[Factor_1]]*Table1[[#This Row],[2024 Factor]]</f>
        <v>0.86308903171383233</v>
      </c>
      <c r="AK632">
        <f>VLOOKUP(Table1[[#This Row],[Q18: Gender]],Factor!$A$33:$E$35,5,0)</f>
        <v>0.85034013605442171</v>
      </c>
      <c r="AL632">
        <f>VLOOKUP(Table1[[#This Row],[Taluka]],Factor!$A$42:$G$46,7,0)</f>
        <v>1.9264642089343564</v>
      </c>
      <c r="AM632">
        <f>VLOOKUP(Table1[[#This Row],[Caste]]&amp;Table1[[#This Row],[Q18: Gender]],Factor!$W$1:$X$23,2,0)</f>
        <v>0.79950206330384943</v>
      </c>
      <c r="AN632">
        <f>VLOOKUP(Table1[[#This Row],[Taluka]]&amp;Table1[[#This Row],[Caste]]&amp;Table1[[#This Row],[Q18: Gender]],Factor!$AK$4:$AL$93,2,0)</f>
        <v>1.1572126985895925</v>
      </c>
      <c r="AO632">
        <f t="shared" si="99"/>
        <v>-1</v>
      </c>
      <c r="AP632">
        <f t="shared" si="100"/>
        <v>-1</v>
      </c>
      <c r="AQ632">
        <f t="shared" si="101"/>
        <v>-1</v>
      </c>
      <c r="AR632">
        <f t="shared" si="102"/>
        <v>-1</v>
      </c>
      <c r="AS632">
        <f t="shared" si="103"/>
        <v>-1</v>
      </c>
      <c r="AT632">
        <f t="shared" si="104"/>
        <v>-1</v>
      </c>
      <c r="AU632">
        <f t="shared" si="105"/>
        <v>-5.5</v>
      </c>
      <c r="AV632">
        <f>SUM(Table1[[#This Row],[Satis]:[29]])</f>
        <v>-6</v>
      </c>
      <c r="AW632">
        <f t="shared" si="106"/>
        <v>-5</v>
      </c>
      <c r="AX632">
        <f t="shared" si="107"/>
        <v>-4</v>
      </c>
      <c r="AY632">
        <f t="shared" si="108"/>
        <v>-3</v>
      </c>
      <c r="AZ632" t="str">
        <f t="shared" si="109"/>
        <v>TDP HardCore</v>
      </c>
    </row>
    <row r="633" spans="1:52" x14ac:dyDescent="0.3">
      <c r="A633" t="s">
        <v>3631</v>
      </c>
      <c r="B633" s="94">
        <v>46046</v>
      </c>
      <c r="C633" t="s">
        <v>3312</v>
      </c>
      <c r="D633" t="s">
        <v>3313</v>
      </c>
      <c r="E633" t="s">
        <v>3064</v>
      </c>
      <c r="F633" t="s">
        <v>935</v>
      </c>
      <c r="G633" t="s">
        <v>39</v>
      </c>
      <c r="H633" t="s">
        <v>3632</v>
      </c>
      <c r="I633" t="s">
        <v>36</v>
      </c>
      <c r="J633" t="s">
        <v>203</v>
      </c>
      <c r="K633" t="s">
        <v>208</v>
      </c>
      <c r="L633" t="s">
        <v>82</v>
      </c>
      <c r="M633" t="s">
        <v>51</v>
      </c>
      <c r="N633" t="s">
        <v>107</v>
      </c>
      <c r="O633" t="s">
        <v>3315</v>
      </c>
      <c r="P633">
        <v>8465838917</v>
      </c>
      <c r="Q633" t="s">
        <v>54</v>
      </c>
      <c r="R633" t="s">
        <v>2116</v>
      </c>
      <c r="S633" t="s">
        <v>89</v>
      </c>
      <c r="T633" t="s">
        <v>43</v>
      </c>
      <c r="U633" t="s">
        <v>44</v>
      </c>
      <c r="V633" t="s">
        <v>91</v>
      </c>
      <c r="W633" t="s">
        <v>5085</v>
      </c>
      <c r="X633" t="s">
        <v>45</v>
      </c>
      <c r="Y633" t="s">
        <v>46</v>
      </c>
      <c r="Z633" t="s">
        <v>47</v>
      </c>
      <c r="AA633" t="s">
        <v>48</v>
      </c>
      <c r="AB633" t="s">
        <v>49</v>
      </c>
      <c r="AC633" t="s">
        <v>49</v>
      </c>
      <c r="AD633">
        <v>0</v>
      </c>
      <c r="AE633" t="s">
        <v>185</v>
      </c>
      <c r="AF633">
        <v>0</v>
      </c>
      <c r="AG633" t="s">
        <v>196</v>
      </c>
      <c r="AH633" s="93">
        <f>VLOOKUP(Table1[[#This Row],[Caste]],Factor!$H$1:$K$13,4,0)</f>
        <v>1.1705128247062893</v>
      </c>
      <c r="AI63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33">
        <f>Table1[[#This Row],[Factor_1]]*Table1[[#This Row],[2024 Factor]]</f>
        <v>0.86308903171383233</v>
      </c>
      <c r="AK633">
        <f>VLOOKUP(Table1[[#This Row],[Q18: Gender]],Factor!$A$33:$E$35,5,0)</f>
        <v>0.85034013605442171</v>
      </c>
      <c r="AL633">
        <f>VLOOKUP(Table1[[#This Row],[Taluka]],Factor!$A$42:$G$46,7,0)</f>
        <v>1.9264642089343564</v>
      </c>
      <c r="AM633">
        <f>VLOOKUP(Table1[[#This Row],[Caste]]&amp;Table1[[#This Row],[Q18: Gender]],Factor!$W$1:$X$23,2,0)</f>
        <v>0.79950206330384943</v>
      </c>
      <c r="AN633">
        <f>VLOOKUP(Table1[[#This Row],[Taluka]]&amp;Table1[[#This Row],[Caste]]&amp;Table1[[#This Row],[Q18: Gender]],Factor!$AK$4:$AL$93,2,0)</f>
        <v>1.1572126985895925</v>
      </c>
      <c r="AO633">
        <f t="shared" si="99"/>
        <v>-1</v>
      </c>
      <c r="AP633">
        <f t="shared" si="100"/>
        <v>-1</v>
      </c>
      <c r="AQ633">
        <f t="shared" si="101"/>
        <v>1</v>
      </c>
      <c r="AR633">
        <f t="shared" si="102"/>
        <v>-1</v>
      </c>
      <c r="AS633">
        <f t="shared" si="103"/>
        <v>-1</v>
      </c>
      <c r="AT633">
        <f t="shared" si="104"/>
        <v>-1</v>
      </c>
      <c r="AU633">
        <f t="shared" si="105"/>
        <v>-3.5</v>
      </c>
      <c r="AV633">
        <f>SUM(Table1[[#This Row],[Satis]:[29]])</f>
        <v>-4</v>
      </c>
      <c r="AW633">
        <f t="shared" si="106"/>
        <v>-3</v>
      </c>
      <c r="AX633">
        <f t="shared" si="107"/>
        <v>-2</v>
      </c>
      <c r="AY633">
        <f t="shared" si="108"/>
        <v>-3</v>
      </c>
      <c r="AZ633" t="str">
        <f t="shared" si="109"/>
        <v>Neutral TDP</v>
      </c>
    </row>
    <row r="634" spans="1:52" x14ac:dyDescent="0.3">
      <c r="A634" t="s">
        <v>4019</v>
      </c>
      <c r="B634" s="94">
        <v>46046</v>
      </c>
      <c r="C634" t="s">
        <v>3312</v>
      </c>
      <c r="D634" t="s">
        <v>3313</v>
      </c>
      <c r="E634" t="s">
        <v>3064</v>
      </c>
      <c r="F634" t="s">
        <v>935</v>
      </c>
      <c r="G634" t="s">
        <v>39</v>
      </c>
      <c r="H634" t="s">
        <v>4020</v>
      </c>
      <c r="I634" t="s">
        <v>36</v>
      </c>
      <c r="J634" t="s">
        <v>203</v>
      </c>
      <c r="K634" t="s">
        <v>208</v>
      </c>
      <c r="L634" t="s">
        <v>82</v>
      </c>
      <c r="M634" t="s">
        <v>51</v>
      </c>
      <c r="N634" t="s">
        <v>107</v>
      </c>
      <c r="O634" t="s">
        <v>3315</v>
      </c>
      <c r="P634">
        <v>8465838917</v>
      </c>
      <c r="Q634" t="s">
        <v>54</v>
      </c>
      <c r="R634" t="s">
        <v>2116</v>
      </c>
      <c r="S634" t="s">
        <v>89</v>
      </c>
      <c r="T634" t="s">
        <v>43</v>
      </c>
      <c r="U634" t="s">
        <v>44</v>
      </c>
      <c r="V634" t="s">
        <v>91</v>
      </c>
      <c r="W634" t="s">
        <v>5085</v>
      </c>
      <c r="X634" t="s">
        <v>45</v>
      </c>
      <c r="Y634" t="s">
        <v>46</v>
      </c>
      <c r="Z634" t="s">
        <v>47</v>
      </c>
      <c r="AA634" t="s">
        <v>48</v>
      </c>
      <c r="AB634" t="s">
        <v>49</v>
      </c>
      <c r="AC634" t="s">
        <v>49</v>
      </c>
      <c r="AD634">
        <v>0</v>
      </c>
      <c r="AE634" t="s">
        <v>185</v>
      </c>
      <c r="AF634">
        <v>0</v>
      </c>
      <c r="AG634" t="s">
        <v>196</v>
      </c>
      <c r="AH634" s="93">
        <f>VLOOKUP(Table1[[#This Row],[Caste]],Factor!$H$1:$K$13,4,0)</f>
        <v>1.1705128247062893</v>
      </c>
      <c r="AI63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34">
        <f>Table1[[#This Row],[Factor_1]]*Table1[[#This Row],[2024 Factor]]</f>
        <v>0.86308903171383233</v>
      </c>
      <c r="AK634">
        <f>VLOOKUP(Table1[[#This Row],[Q18: Gender]],Factor!$A$33:$E$35,5,0)</f>
        <v>0.85034013605442171</v>
      </c>
      <c r="AL634">
        <f>VLOOKUP(Table1[[#This Row],[Taluka]],Factor!$A$42:$G$46,7,0)</f>
        <v>1.9264642089343564</v>
      </c>
      <c r="AM634">
        <f>VLOOKUP(Table1[[#This Row],[Caste]]&amp;Table1[[#This Row],[Q18: Gender]],Factor!$W$1:$X$23,2,0)</f>
        <v>0.79950206330384943</v>
      </c>
      <c r="AN634">
        <f>VLOOKUP(Table1[[#This Row],[Taluka]]&amp;Table1[[#This Row],[Caste]]&amp;Table1[[#This Row],[Q18: Gender]],Factor!$AK$4:$AL$93,2,0)</f>
        <v>1.1572126985895925</v>
      </c>
      <c r="AO634">
        <f t="shared" si="99"/>
        <v>-1</v>
      </c>
      <c r="AP634">
        <f t="shared" si="100"/>
        <v>-1</v>
      </c>
      <c r="AQ634">
        <f t="shared" si="101"/>
        <v>1</v>
      </c>
      <c r="AR634">
        <f t="shared" si="102"/>
        <v>-1</v>
      </c>
      <c r="AS634">
        <f t="shared" si="103"/>
        <v>-1</v>
      </c>
      <c r="AT634">
        <f t="shared" si="104"/>
        <v>-1</v>
      </c>
      <c r="AU634">
        <f t="shared" si="105"/>
        <v>-3.5</v>
      </c>
      <c r="AV634">
        <f>SUM(Table1[[#This Row],[Satis]:[29]])</f>
        <v>-4</v>
      </c>
      <c r="AW634">
        <f t="shared" si="106"/>
        <v>-3</v>
      </c>
      <c r="AX634">
        <f t="shared" si="107"/>
        <v>-2</v>
      </c>
      <c r="AY634">
        <f t="shared" si="108"/>
        <v>-3</v>
      </c>
      <c r="AZ634" t="str">
        <f t="shared" si="109"/>
        <v>Neutral TDP</v>
      </c>
    </row>
    <row r="635" spans="1:52" x14ac:dyDescent="0.3">
      <c r="A635" t="s">
        <v>3532</v>
      </c>
      <c r="B635" s="94">
        <v>46046</v>
      </c>
      <c r="C635" t="s">
        <v>3533</v>
      </c>
      <c r="D635" t="s">
        <v>3534</v>
      </c>
      <c r="E635" t="s">
        <v>3535</v>
      </c>
      <c r="F635" t="s">
        <v>2547</v>
      </c>
      <c r="G635" t="s">
        <v>39</v>
      </c>
      <c r="H635" t="s">
        <v>3536</v>
      </c>
      <c r="I635" t="s">
        <v>59</v>
      </c>
      <c r="J635" t="s">
        <v>203</v>
      </c>
      <c r="K635" t="s">
        <v>204</v>
      </c>
      <c r="L635" t="s">
        <v>62</v>
      </c>
      <c r="M635" t="s">
        <v>51</v>
      </c>
      <c r="N635" t="s">
        <v>63</v>
      </c>
      <c r="O635" t="s">
        <v>3537</v>
      </c>
      <c r="P635">
        <v>9989717247</v>
      </c>
      <c r="Q635" t="s">
        <v>54</v>
      </c>
      <c r="R635" t="s">
        <v>61</v>
      </c>
      <c r="S635" t="s">
        <v>88</v>
      </c>
      <c r="T635" t="s">
        <v>89</v>
      </c>
      <c r="U635" t="s">
        <v>90</v>
      </c>
      <c r="V635" t="s">
        <v>91</v>
      </c>
      <c r="W635" t="s">
        <v>5056</v>
      </c>
      <c r="X635" t="s">
        <v>91</v>
      </c>
      <c r="Y635" t="s">
        <v>638</v>
      </c>
      <c r="Z635" t="s">
        <v>92</v>
      </c>
      <c r="AA635" t="s">
        <v>48</v>
      </c>
      <c r="AB635" t="s">
        <v>49</v>
      </c>
      <c r="AC635" t="s">
        <v>49</v>
      </c>
      <c r="AD635" t="s">
        <v>481</v>
      </c>
      <c r="AE635" t="s">
        <v>185</v>
      </c>
      <c r="AF635">
        <v>0</v>
      </c>
      <c r="AG635" t="s">
        <v>196</v>
      </c>
      <c r="AH635" s="93">
        <f>VLOOKUP(Table1[[#This Row],[Caste]],Factor!$H$1:$K$13,4,0)</f>
        <v>1.1461625511156397</v>
      </c>
      <c r="AI63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35">
        <f>Table1[[#This Row],[Factor_1]]*Table1[[#This Row],[2024 Factor]]</f>
        <v>0.77721139583220644</v>
      </c>
      <c r="AK635">
        <f>VLOOKUP(Table1[[#This Row],[Q18: Gender]],Factor!$A$33:$E$35,5,0)</f>
        <v>0.85034013605442171</v>
      </c>
      <c r="AL635">
        <f>VLOOKUP(Table1[[#This Row],[Taluka]],Factor!$A$42:$G$46,7,0)</f>
        <v>1.9264642089343564</v>
      </c>
      <c r="AM635">
        <f>VLOOKUP(Table1[[#This Row],[Caste]]&amp;Table1[[#This Row],[Q18: Gender]],Factor!$W$1:$X$23,2,0)</f>
        <v>0.71995135120329123</v>
      </c>
      <c r="AN635">
        <f>VLOOKUP(Table1[[#This Row],[Taluka]]&amp;Table1[[#This Row],[Caste]]&amp;Table1[[#This Row],[Q18: Gender]],Factor!$AK$4:$AL$93,2,0)</f>
        <v>0.70534647283248642</v>
      </c>
      <c r="AO635">
        <f t="shared" si="99"/>
        <v>1</v>
      </c>
      <c r="AP635">
        <f t="shared" si="100"/>
        <v>1</v>
      </c>
      <c r="AQ635">
        <f t="shared" si="101"/>
        <v>1</v>
      </c>
      <c r="AR635">
        <f t="shared" si="102"/>
        <v>1</v>
      </c>
      <c r="AS635">
        <f t="shared" si="103"/>
        <v>-1</v>
      </c>
      <c r="AT635">
        <f t="shared" si="104"/>
        <v>1</v>
      </c>
      <c r="AU635">
        <f t="shared" si="105"/>
        <v>4.5</v>
      </c>
      <c r="AV635">
        <f>SUM(Table1[[#This Row],[Satis]:[29]])</f>
        <v>4</v>
      </c>
      <c r="AW635">
        <f t="shared" si="106"/>
        <v>3</v>
      </c>
      <c r="AX635">
        <f t="shared" si="107"/>
        <v>2</v>
      </c>
      <c r="AY635">
        <f t="shared" si="108"/>
        <v>2</v>
      </c>
      <c r="AZ635" t="str">
        <f t="shared" si="109"/>
        <v>Neutral YSRCP</v>
      </c>
    </row>
    <row r="636" spans="1:52" x14ac:dyDescent="0.3">
      <c r="A636" t="s">
        <v>3356</v>
      </c>
      <c r="B636" s="94">
        <v>46046</v>
      </c>
      <c r="C636" t="s">
        <v>3357</v>
      </c>
      <c r="D636" t="s">
        <v>3358</v>
      </c>
      <c r="E636" t="s">
        <v>3031</v>
      </c>
      <c r="F636" t="s">
        <v>240</v>
      </c>
      <c r="G636" t="s">
        <v>39</v>
      </c>
      <c r="H636" t="s">
        <v>3359</v>
      </c>
      <c r="I636" t="s">
        <v>230</v>
      </c>
      <c r="J636" t="s">
        <v>71</v>
      </c>
      <c r="K636" t="s">
        <v>217</v>
      </c>
      <c r="L636" t="s">
        <v>62</v>
      </c>
      <c r="M636" t="s">
        <v>51</v>
      </c>
      <c r="N636" t="s">
        <v>52</v>
      </c>
      <c r="O636" t="s">
        <v>3360</v>
      </c>
      <c r="P636">
        <v>9999999999</v>
      </c>
      <c r="Q636" t="s">
        <v>445</v>
      </c>
      <c r="R636" t="s">
        <v>2116</v>
      </c>
      <c r="S636" t="s">
        <v>43</v>
      </c>
      <c r="T636" t="s">
        <v>43</v>
      </c>
      <c r="U636" t="s">
        <v>90</v>
      </c>
      <c r="V636" t="s">
        <v>91</v>
      </c>
      <c r="W636" t="s">
        <v>5050</v>
      </c>
      <c r="X636" t="s">
        <v>91</v>
      </c>
      <c r="Y636" t="s">
        <v>716</v>
      </c>
      <c r="Z636" t="s">
        <v>242</v>
      </c>
      <c r="AA636" t="s">
        <v>242</v>
      </c>
      <c r="AB636" t="s">
        <v>49</v>
      </c>
      <c r="AC636" t="s">
        <v>49</v>
      </c>
      <c r="AD636" t="s">
        <v>481</v>
      </c>
      <c r="AE636" t="s">
        <v>185</v>
      </c>
      <c r="AF636">
        <v>0</v>
      </c>
      <c r="AG636" t="s">
        <v>196</v>
      </c>
      <c r="AH636" s="93">
        <f>VLOOKUP(Table1[[#This Row],[Caste]],Factor!$H$1:$K$13,4,0)</f>
        <v>1.0786696182614144</v>
      </c>
      <c r="AI636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636">
        <f>Table1[[#This Row],[Factor_1]]*Table1[[#This Row],[2024 Factor]]</f>
        <v>0.7135814397729362</v>
      </c>
      <c r="AK636">
        <f>VLOOKUP(Table1[[#This Row],[Q18: Gender]],Factor!$A$33:$E$35,5,0)</f>
        <v>2.1645021645021645</v>
      </c>
      <c r="AL636">
        <f>VLOOKUP(Table1[[#This Row],[Taluka]],Factor!$A$42:$G$46,7,0)</f>
        <v>1.1213131007097483</v>
      </c>
      <c r="AM636">
        <f>VLOOKUP(Table1[[#This Row],[Caste]]&amp;Table1[[#This Row],[Q18: Gender]],Factor!$W$1:$X$23,2,0)</f>
        <v>1.0786696182614144</v>
      </c>
      <c r="AN636">
        <f>VLOOKUP(Table1[[#This Row],[Taluka]]&amp;Table1[[#This Row],[Caste]]&amp;Table1[[#This Row],[Q18: Gender]],Factor!$AK$4:$AL$93,2,0)</f>
        <v>0.62411560913575936</v>
      </c>
      <c r="AO636">
        <f t="shared" si="99"/>
        <v>-1</v>
      </c>
      <c r="AP636">
        <f t="shared" si="100"/>
        <v>1</v>
      </c>
      <c r="AQ636">
        <f t="shared" si="101"/>
        <v>1</v>
      </c>
      <c r="AR636">
        <f t="shared" si="102"/>
        <v>1</v>
      </c>
      <c r="AS636">
        <f t="shared" si="103"/>
        <v>-1</v>
      </c>
      <c r="AT636">
        <f t="shared" si="104"/>
        <v>-1</v>
      </c>
      <c r="AU636">
        <f t="shared" si="105"/>
        <v>0.5</v>
      </c>
      <c r="AV636">
        <f>SUM(Table1[[#This Row],[Satis]:[29]])</f>
        <v>0</v>
      </c>
      <c r="AW636">
        <f t="shared" si="106"/>
        <v>-1</v>
      </c>
      <c r="AX636">
        <f t="shared" si="107"/>
        <v>0</v>
      </c>
      <c r="AY636">
        <f t="shared" si="108"/>
        <v>-3</v>
      </c>
      <c r="AZ636" t="str">
        <f t="shared" si="109"/>
        <v>Neutral TDP</v>
      </c>
    </row>
    <row r="637" spans="1:52" x14ac:dyDescent="0.3">
      <c r="A637" t="s">
        <v>3408</v>
      </c>
      <c r="B637" s="94">
        <v>46046</v>
      </c>
      <c r="C637" t="s">
        <v>3357</v>
      </c>
      <c r="D637" t="s">
        <v>3358</v>
      </c>
      <c r="E637" t="s">
        <v>3031</v>
      </c>
      <c r="F637" t="s">
        <v>240</v>
      </c>
      <c r="G637" t="s">
        <v>39</v>
      </c>
      <c r="H637" t="s">
        <v>3409</v>
      </c>
      <c r="I637" t="s">
        <v>230</v>
      </c>
      <c r="J637" t="s">
        <v>71</v>
      </c>
      <c r="K637" t="s">
        <v>217</v>
      </c>
      <c r="L637" t="s">
        <v>62</v>
      </c>
      <c r="M637" t="s">
        <v>51</v>
      </c>
      <c r="N637" t="s">
        <v>52</v>
      </c>
      <c r="O637" t="s">
        <v>3360</v>
      </c>
      <c r="P637">
        <v>9999999999</v>
      </c>
      <c r="Q637" t="s">
        <v>445</v>
      </c>
      <c r="R637" t="s">
        <v>2116</v>
      </c>
      <c r="S637" t="s">
        <v>43</v>
      </c>
      <c r="T637" t="s">
        <v>43</v>
      </c>
      <c r="U637" t="s">
        <v>90</v>
      </c>
      <c r="V637" t="s">
        <v>91</v>
      </c>
      <c r="W637" t="s">
        <v>5050</v>
      </c>
      <c r="X637" t="s">
        <v>91</v>
      </c>
      <c r="Y637" t="s">
        <v>716</v>
      </c>
      <c r="Z637" t="s">
        <v>242</v>
      </c>
      <c r="AA637" t="s">
        <v>242</v>
      </c>
      <c r="AB637" t="s">
        <v>49</v>
      </c>
      <c r="AC637" t="s">
        <v>49</v>
      </c>
      <c r="AD637">
        <v>0</v>
      </c>
      <c r="AE637" t="s">
        <v>185</v>
      </c>
      <c r="AF637">
        <v>0</v>
      </c>
      <c r="AG637" t="s">
        <v>196</v>
      </c>
      <c r="AH637" s="93">
        <f>VLOOKUP(Table1[[#This Row],[Caste]],Factor!$H$1:$K$13,4,0)</f>
        <v>1.0786696182614144</v>
      </c>
      <c r="AI637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637">
        <f>Table1[[#This Row],[Factor_1]]*Table1[[#This Row],[2024 Factor]]</f>
        <v>0.7135814397729362</v>
      </c>
      <c r="AK637">
        <f>VLOOKUP(Table1[[#This Row],[Q18: Gender]],Factor!$A$33:$E$35,5,0)</f>
        <v>2.1645021645021645</v>
      </c>
      <c r="AL637">
        <f>VLOOKUP(Table1[[#This Row],[Taluka]],Factor!$A$42:$G$46,7,0)</f>
        <v>1.1213131007097483</v>
      </c>
      <c r="AM637">
        <f>VLOOKUP(Table1[[#This Row],[Caste]]&amp;Table1[[#This Row],[Q18: Gender]],Factor!$W$1:$X$23,2,0)</f>
        <v>1.0786696182614144</v>
      </c>
      <c r="AN637">
        <f>VLOOKUP(Table1[[#This Row],[Taluka]]&amp;Table1[[#This Row],[Caste]]&amp;Table1[[#This Row],[Q18: Gender]],Factor!$AK$4:$AL$93,2,0)</f>
        <v>0.62411560913575936</v>
      </c>
      <c r="AO637">
        <f t="shared" si="99"/>
        <v>-1</v>
      </c>
      <c r="AP637">
        <f t="shared" si="100"/>
        <v>1</v>
      </c>
      <c r="AQ637">
        <f t="shared" si="101"/>
        <v>1</v>
      </c>
      <c r="AR637">
        <f t="shared" si="102"/>
        <v>1</v>
      </c>
      <c r="AS637">
        <f t="shared" si="103"/>
        <v>-1</v>
      </c>
      <c r="AT637">
        <f t="shared" si="104"/>
        <v>-1</v>
      </c>
      <c r="AU637">
        <f t="shared" si="105"/>
        <v>0.5</v>
      </c>
      <c r="AV637">
        <f>SUM(Table1[[#This Row],[Satis]:[29]])</f>
        <v>0</v>
      </c>
      <c r="AW637">
        <f t="shared" si="106"/>
        <v>-1</v>
      </c>
      <c r="AX637">
        <f t="shared" si="107"/>
        <v>0</v>
      </c>
      <c r="AY637">
        <f t="shared" si="108"/>
        <v>-3</v>
      </c>
      <c r="AZ637" t="str">
        <f t="shared" si="109"/>
        <v>Neutral TDP</v>
      </c>
    </row>
    <row r="638" spans="1:52" x14ac:dyDescent="0.3">
      <c r="A638" t="s">
        <v>4021</v>
      </c>
      <c r="B638" s="94">
        <v>46046</v>
      </c>
      <c r="C638" t="s">
        <v>4022</v>
      </c>
      <c r="D638" t="s">
        <v>4023</v>
      </c>
      <c r="E638" t="s">
        <v>3192</v>
      </c>
      <c r="F638" t="s">
        <v>2547</v>
      </c>
      <c r="G638" t="s">
        <v>39</v>
      </c>
      <c r="H638" t="s">
        <v>4024</v>
      </c>
      <c r="I638" t="s">
        <v>59</v>
      </c>
      <c r="J638" t="s">
        <v>203</v>
      </c>
      <c r="K638" t="s">
        <v>204</v>
      </c>
      <c r="L638" t="s">
        <v>62</v>
      </c>
      <c r="M638" t="s">
        <v>51</v>
      </c>
      <c r="N638" t="s">
        <v>63</v>
      </c>
      <c r="O638" t="s">
        <v>4025</v>
      </c>
      <c r="P638">
        <v>6301877247</v>
      </c>
      <c r="Q638" t="s">
        <v>445</v>
      </c>
      <c r="R638" t="s">
        <v>2116</v>
      </c>
      <c r="S638" t="s">
        <v>43</v>
      </c>
      <c r="T638" t="s">
        <v>43</v>
      </c>
      <c r="U638" t="s">
        <v>44</v>
      </c>
      <c r="V638" t="s">
        <v>45</v>
      </c>
      <c r="W638" t="s">
        <v>5070</v>
      </c>
      <c r="X638" t="s">
        <v>45</v>
      </c>
      <c r="Y638" t="s">
        <v>46</v>
      </c>
      <c r="Z638" t="s">
        <v>47</v>
      </c>
      <c r="AA638" t="s">
        <v>48</v>
      </c>
      <c r="AB638" t="s">
        <v>49</v>
      </c>
      <c r="AC638" t="s">
        <v>49</v>
      </c>
      <c r="AD638" t="s">
        <v>481</v>
      </c>
      <c r="AE638" t="s">
        <v>185</v>
      </c>
      <c r="AF638">
        <v>0</v>
      </c>
      <c r="AG638" t="s">
        <v>196</v>
      </c>
      <c r="AH638" s="93">
        <f>VLOOKUP(Table1[[#This Row],[Caste]],Factor!$H$1:$K$13,4,0)</f>
        <v>1.1461625511156397</v>
      </c>
      <c r="AI63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38">
        <f>Table1[[#This Row],[Factor_1]]*Table1[[#This Row],[2024 Factor]]</f>
        <v>3.0326483876590018</v>
      </c>
      <c r="AK638">
        <f>VLOOKUP(Table1[[#This Row],[Q18: Gender]],Factor!$A$33:$E$35,5,0)</f>
        <v>2.1645021645021645</v>
      </c>
      <c r="AL638">
        <f>VLOOKUP(Table1[[#This Row],[Taluka]],Factor!$A$42:$G$46,7,0)</f>
        <v>1.9264642089343564</v>
      </c>
      <c r="AM638">
        <f>VLOOKUP(Table1[[#This Row],[Caste]]&amp;Table1[[#This Row],[Q18: Gender]],Factor!$W$1:$X$23,2,0)</f>
        <v>2.8092219390089208</v>
      </c>
      <c r="AN638">
        <f>VLOOKUP(Table1[[#This Row],[Taluka]]&amp;Table1[[#This Row],[Caste]]&amp;Table1[[#This Row],[Q18: Gender]],Factor!$AK$4:$AL$93,2,0)</f>
        <v>6.3481182554923778</v>
      </c>
      <c r="AO638">
        <f t="shared" si="99"/>
        <v>-1</v>
      </c>
      <c r="AP638">
        <f t="shared" si="100"/>
        <v>-1</v>
      </c>
      <c r="AQ638">
        <f t="shared" si="101"/>
        <v>-1</v>
      </c>
      <c r="AR638">
        <f t="shared" si="102"/>
        <v>-1</v>
      </c>
      <c r="AS638">
        <f t="shared" si="103"/>
        <v>-1</v>
      </c>
      <c r="AT638">
        <f t="shared" si="104"/>
        <v>-1</v>
      </c>
      <c r="AU638">
        <f t="shared" si="105"/>
        <v>-5.5</v>
      </c>
      <c r="AV638">
        <f>SUM(Table1[[#This Row],[Satis]:[29]])</f>
        <v>-6</v>
      </c>
      <c r="AW638">
        <f t="shared" si="106"/>
        <v>-5</v>
      </c>
      <c r="AX638">
        <f t="shared" si="107"/>
        <v>-4</v>
      </c>
      <c r="AY638">
        <f t="shared" si="108"/>
        <v>-3</v>
      </c>
      <c r="AZ638" t="str">
        <f t="shared" si="109"/>
        <v>TDP HardCore</v>
      </c>
    </row>
    <row r="639" spans="1:52" x14ac:dyDescent="0.3">
      <c r="A639" t="s">
        <v>3869</v>
      </c>
      <c r="B639" s="94">
        <v>46046</v>
      </c>
      <c r="C639" t="s">
        <v>3870</v>
      </c>
      <c r="D639" t="s">
        <v>3871</v>
      </c>
      <c r="E639" t="s">
        <v>3388</v>
      </c>
      <c r="F639" t="s">
        <v>35</v>
      </c>
      <c r="G639" t="s">
        <v>39</v>
      </c>
      <c r="H639" t="s">
        <v>3872</v>
      </c>
      <c r="I639" t="s">
        <v>36</v>
      </c>
      <c r="J639" t="s">
        <v>71</v>
      </c>
      <c r="K639" t="s">
        <v>217</v>
      </c>
      <c r="L639" t="s">
        <v>451</v>
      </c>
      <c r="M639" t="s">
        <v>51</v>
      </c>
      <c r="N639" t="s">
        <v>63</v>
      </c>
      <c r="O639" t="s">
        <v>3873</v>
      </c>
      <c r="P639">
        <v>0</v>
      </c>
      <c r="Q639" t="s">
        <v>445</v>
      </c>
      <c r="R639" t="s">
        <v>61</v>
      </c>
      <c r="S639" t="s">
        <v>89</v>
      </c>
      <c r="T639" t="s">
        <v>43</v>
      </c>
      <c r="U639" t="s">
        <v>44</v>
      </c>
      <c r="V639" t="s">
        <v>45</v>
      </c>
      <c r="W639" t="s">
        <v>5070</v>
      </c>
      <c r="X639" t="s">
        <v>45</v>
      </c>
      <c r="Y639" t="s">
        <v>46</v>
      </c>
      <c r="Z639" t="s">
        <v>47</v>
      </c>
      <c r="AA639" t="s">
        <v>48</v>
      </c>
      <c r="AB639" t="s">
        <v>49</v>
      </c>
      <c r="AC639" t="s">
        <v>49</v>
      </c>
      <c r="AD639" t="s">
        <v>481</v>
      </c>
      <c r="AE639" t="s">
        <v>185</v>
      </c>
      <c r="AF639">
        <v>0</v>
      </c>
      <c r="AG639" t="s">
        <v>196</v>
      </c>
      <c r="AH639" s="93">
        <f>VLOOKUP(Table1[[#This Row],[Caste]],Factor!$H$1:$K$13,4,0)</f>
        <v>1.1705128247062893</v>
      </c>
      <c r="AI63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39">
        <f>Table1[[#This Row],[Factor_1]]*Table1[[#This Row],[2024 Factor]]</f>
        <v>2.3577066232182737</v>
      </c>
      <c r="AK639">
        <f>VLOOKUP(Table1[[#This Row],[Q18: Gender]],Factor!$A$33:$E$35,5,0)</f>
        <v>2.1645021645021645</v>
      </c>
      <c r="AL639">
        <f>VLOOKUP(Table1[[#This Row],[Taluka]],Factor!$A$42:$G$46,7,0)</f>
        <v>1.1213131007097483</v>
      </c>
      <c r="AM639">
        <f>VLOOKUP(Table1[[#This Row],[Caste]]&amp;Table1[[#This Row],[Q18: Gender]],Factor!$W$1:$X$23,2,0)</f>
        <v>2.1840056363422229</v>
      </c>
      <c r="AN639">
        <f>VLOOKUP(Table1[[#This Row],[Taluka]]&amp;Table1[[#This Row],[Caste]]&amp;Table1[[#This Row],[Q18: Gender]],Factor!$AK$4:$AL$93,2,0)</f>
        <v>0.95944580773600496</v>
      </c>
      <c r="AO639">
        <f t="shared" si="99"/>
        <v>-1</v>
      </c>
      <c r="AP639">
        <f t="shared" si="100"/>
        <v>-1</v>
      </c>
      <c r="AQ639">
        <f t="shared" si="101"/>
        <v>-1</v>
      </c>
      <c r="AR639">
        <f t="shared" si="102"/>
        <v>-1</v>
      </c>
      <c r="AS639">
        <f t="shared" si="103"/>
        <v>-1</v>
      </c>
      <c r="AT639">
        <f t="shared" si="104"/>
        <v>-1</v>
      </c>
      <c r="AU639">
        <f t="shared" si="105"/>
        <v>-5.5</v>
      </c>
      <c r="AV639">
        <f>SUM(Table1[[#This Row],[Satis]:[29]])</f>
        <v>-6</v>
      </c>
      <c r="AW639">
        <f t="shared" si="106"/>
        <v>-5</v>
      </c>
      <c r="AX639">
        <f t="shared" si="107"/>
        <v>-4</v>
      </c>
      <c r="AY639">
        <f t="shared" si="108"/>
        <v>-3</v>
      </c>
      <c r="AZ639" t="str">
        <f t="shared" si="109"/>
        <v>TDP HardCore</v>
      </c>
    </row>
    <row r="640" spans="1:52" x14ac:dyDescent="0.3">
      <c r="A640" t="s">
        <v>3905</v>
      </c>
      <c r="B640" s="94">
        <v>46046</v>
      </c>
      <c r="C640" t="s">
        <v>3906</v>
      </c>
      <c r="D640" t="s">
        <v>3907</v>
      </c>
      <c r="E640" t="s">
        <v>3075</v>
      </c>
      <c r="F640" t="s">
        <v>935</v>
      </c>
      <c r="G640" t="s">
        <v>39</v>
      </c>
      <c r="H640" t="s">
        <v>3908</v>
      </c>
      <c r="I640" t="s">
        <v>59</v>
      </c>
      <c r="J640" t="s">
        <v>203</v>
      </c>
      <c r="K640" t="s">
        <v>208</v>
      </c>
      <c r="L640" t="s">
        <v>62</v>
      </c>
      <c r="M640" t="s">
        <v>51</v>
      </c>
      <c r="N640" t="s">
        <v>63</v>
      </c>
      <c r="O640" t="s">
        <v>3909</v>
      </c>
      <c r="P640">
        <v>9618796587</v>
      </c>
      <c r="Q640" t="s">
        <v>54</v>
      </c>
      <c r="R640" t="s">
        <v>2116</v>
      </c>
      <c r="S640" t="s">
        <v>43</v>
      </c>
      <c r="T640" t="s">
        <v>43</v>
      </c>
      <c r="U640" t="s">
        <v>44</v>
      </c>
      <c r="V640" t="s">
        <v>45</v>
      </c>
      <c r="W640" t="s">
        <v>5068</v>
      </c>
      <c r="X640" t="s">
        <v>45</v>
      </c>
      <c r="Y640" t="s">
        <v>46</v>
      </c>
      <c r="Z640" t="s">
        <v>47</v>
      </c>
      <c r="AA640" t="s">
        <v>48</v>
      </c>
      <c r="AB640" t="s">
        <v>49</v>
      </c>
      <c r="AC640" t="s">
        <v>49</v>
      </c>
      <c r="AD640" t="s">
        <v>184</v>
      </c>
      <c r="AE640" t="s">
        <v>185</v>
      </c>
      <c r="AF640">
        <v>0</v>
      </c>
      <c r="AG640" t="s">
        <v>196</v>
      </c>
      <c r="AH640" s="93">
        <f>VLOOKUP(Table1[[#This Row],[Caste]],Factor!$H$1:$K$13,4,0)</f>
        <v>1.1461625511156397</v>
      </c>
      <c r="AI64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40">
        <f>Table1[[#This Row],[Factor_1]]*Table1[[#This Row],[2024 Factor]]</f>
        <v>0.77721139583220644</v>
      </c>
      <c r="AK640">
        <f>VLOOKUP(Table1[[#This Row],[Q18: Gender]],Factor!$A$33:$E$35,5,0)</f>
        <v>0.85034013605442171</v>
      </c>
      <c r="AL640">
        <f>VLOOKUP(Table1[[#This Row],[Taluka]],Factor!$A$42:$G$46,7,0)</f>
        <v>1.9264642089343564</v>
      </c>
      <c r="AM640">
        <f>VLOOKUP(Table1[[#This Row],[Caste]]&amp;Table1[[#This Row],[Q18: Gender]],Factor!$W$1:$X$23,2,0)</f>
        <v>0.71995135120329123</v>
      </c>
      <c r="AN640">
        <f>VLOOKUP(Table1[[#This Row],[Taluka]]&amp;Table1[[#This Row],[Caste]]&amp;Table1[[#This Row],[Q18: Gender]],Factor!$AK$4:$AL$93,2,0)</f>
        <v>0.70534647283248642</v>
      </c>
      <c r="AO640">
        <f t="shared" si="99"/>
        <v>-1</v>
      </c>
      <c r="AP640">
        <f t="shared" si="100"/>
        <v>-1</v>
      </c>
      <c r="AQ640">
        <f t="shared" si="101"/>
        <v>-1</v>
      </c>
      <c r="AR640">
        <f t="shared" si="102"/>
        <v>-1</v>
      </c>
      <c r="AS640">
        <f t="shared" si="103"/>
        <v>-1</v>
      </c>
      <c r="AT640">
        <f t="shared" si="104"/>
        <v>-1</v>
      </c>
      <c r="AU640">
        <f t="shared" si="105"/>
        <v>-5.5</v>
      </c>
      <c r="AV640">
        <f>SUM(Table1[[#This Row],[Satis]:[29]])</f>
        <v>-6</v>
      </c>
      <c r="AW640">
        <f t="shared" si="106"/>
        <v>-5</v>
      </c>
      <c r="AX640">
        <f t="shared" si="107"/>
        <v>-4</v>
      </c>
      <c r="AY640">
        <f t="shared" si="108"/>
        <v>-3</v>
      </c>
      <c r="AZ640" t="str">
        <f t="shared" si="109"/>
        <v>TDP HardCore</v>
      </c>
    </row>
    <row r="641" spans="1:52" x14ac:dyDescent="0.3">
      <c r="A641" t="s">
        <v>3962</v>
      </c>
      <c r="B641" s="94">
        <v>46046</v>
      </c>
      <c r="C641" t="s">
        <v>3963</v>
      </c>
      <c r="D641" t="s">
        <v>3964</v>
      </c>
      <c r="E641" t="s">
        <v>3965</v>
      </c>
      <c r="F641" t="s">
        <v>240</v>
      </c>
      <c r="G641" t="s">
        <v>39</v>
      </c>
      <c r="H641" t="s">
        <v>3966</v>
      </c>
      <c r="I641" t="s">
        <v>230</v>
      </c>
      <c r="J641" t="s">
        <v>71</v>
      </c>
      <c r="K641" t="s">
        <v>217</v>
      </c>
      <c r="L641" t="s">
        <v>451</v>
      </c>
      <c r="M641" t="s">
        <v>51</v>
      </c>
      <c r="N641" t="s">
        <v>63</v>
      </c>
      <c r="O641" t="s">
        <v>3967</v>
      </c>
      <c r="P641">
        <v>8978332034</v>
      </c>
      <c r="Q641" t="s">
        <v>445</v>
      </c>
      <c r="R641" t="s">
        <v>2116</v>
      </c>
      <c r="S641" t="s">
        <v>43</v>
      </c>
      <c r="T641" t="s">
        <v>43</v>
      </c>
      <c r="U641" t="s">
        <v>90</v>
      </c>
      <c r="V641" t="s">
        <v>91</v>
      </c>
      <c r="W641" t="s">
        <v>5056</v>
      </c>
      <c r="X641" t="s">
        <v>91</v>
      </c>
      <c r="Y641" t="s">
        <v>46</v>
      </c>
      <c r="Z641" t="s">
        <v>92</v>
      </c>
      <c r="AA641" t="s">
        <v>48</v>
      </c>
      <c r="AB641" t="s">
        <v>49</v>
      </c>
      <c r="AC641" t="s">
        <v>49</v>
      </c>
      <c r="AD641" t="s">
        <v>184</v>
      </c>
      <c r="AE641" t="s">
        <v>185</v>
      </c>
      <c r="AF641">
        <v>0</v>
      </c>
      <c r="AG641" t="s">
        <v>196</v>
      </c>
      <c r="AH641" s="93">
        <f>VLOOKUP(Table1[[#This Row],[Caste]],Factor!$H$1:$K$13,4,0)</f>
        <v>1.0786696182614144</v>
      </c>
      <c r="AI64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41">
        <f>Table1[[#This Row],[Factor_1]]*Table1[[#This Row],[2024 Factor]]</f>
        <v>1.1644596794624567</v>
      </c>
      <c r="AK641">
        <f>VLOOKUP(Table1[[#This Row],[Q18: Gender]],Factor!$A$33:$E$35,5,0)</f>
        <v>2.1645021645021645</v>
      </c>
      <c r="AL641">
        <f>VLOOKUP(Table1[[#This Row],[Taluka]],Factor!$A$42:$G$46,7,0)</f>
        <v>1.1213131007097483</v>
      </c>
      <c r="AM641">
        <f>VLOOKUP(Table1[[#This Row],[Caste]]&amp;Table1[[#This Row],[Q18: Gender]],Factor!$W$1:$X$23,2,0)</f>
        <v>1.0786696182614144</v>
      </c>
      <c r="AN641">
        <f>VLOOKUP(Table1[[#This Row],[Taluka]]&amp;Table1[[#This Row],[Caste]]&amp;Table1[[#This Row],[Q18: Gender]],Factor!$AK$4:$AL$93,2,0)</f>
        <v>0.62411560913575936</v>
      </c>
      <c r="AO641">
        <f t="shared" si="99"/>
        <v>-1</v>
      </c>
      <c r="AP641">
        <f t="shared" si="100"/>
        <v>1</v>
      </c>
      <c r="AQ641">
        <f t="shared" si="101"/>
        <v>1</v>
      </c>
      <c r="AR641">
        <f t="shared" si="102"/>
        <v>1</v>
      </c>
      <c r="AS641">
        <f t="shared" si="103"/>
        <v>-1</v>
      </c>
      <c r="AT641">
        <f t="shared" si="104"/>
        <v>1</v>
      </c>
      <c r="AU641">
        <f t="shared" si="105"/>
        <v>2.5</v>
      </c>
      <c r="AV641">
        <f>SUM(Table1[[#This Row],[Satis]:[29]])</f>
        <v>2</v>
      </c>
      <c r="AW641">
        <f t="shared" si="106"/>
        <v>1</v>
      </c>
      <c r="AX641">
        <f t="shared" si="107"/>
        <v>2</v>
      </c>
      <c r="AY641" t="str">
        <f t="shared" si="108"/>
        <v>ND</v>
      </c>
      <c r="AZ641" t="str">
        <f t="shared" si="109"/>
        <v>ND</v>
      </c>
    </row>
    <row r="642" spans="1:52" x14ac:dyDescent="0.3">
      <c r="A642" t="s">
        <v>3274</v>
      </c>
      <c r="B642" s="94">
        <v>46046</v>
      </c>
      <c r="C642" t="s">
        <v>3275</v>
      </c>
      <c r="D642" t="s">
        <v>3276</v>
      </c>
      <c r="E642" t="s">
        <v>3277</v>
      </c>
      <c r="F642" t="s">
        <v>35</v>
      </c>
      <c r="G642" t="s">
        <v>39</v>
      </c>
      <c r="H642" t="s">
        <v>3278</v>
      </c>
      <c r="I642" t="s">
        <v>36</v>
      </c>
      <c r="J642" t="s">
        <v>71</v>
      </c>
      <c r="K642" t="s">
        <v>217</v>
      </c>
      <c r="L642" t="s">
        <v>62</v>
      </c>
      <c r="M642" t="s">
        <v>51</v>
      </c>
      <c r="N642" t="s">
        <v>63</v>
      </c>
      <c r="O642" t="s">
        <v>3279</v>
      </c>
      <c r="P642">
        <v>8712358139</v>
      </c>
      <c r="Q642" t="s">
        <v>54</v>
      </c>
      <c r="R642" t="s">
        <v>61</v>
      </c>
      <c r="S642" t="s">
        <v>43</v>
      </c>
      <c r="T642" t="s">
        <v>43</v>
      </c>
      <c r="U642" t="s">
        <v>44</v>
      </c>
      <c r="V642" t="s">
        <v>45</v>
      </c>
      <c r="W642" t="s">
        <v>5054</v>
      </c>
      <c r="X642" t="s">
        <v>45</v>
      </c>
      <c r="Y642" t="s">
        <v>638</v>
      </c>
      <c r="Z642" t="s">
        <v>92</v>
      </c>
      <c r="AA642" t="s">
        <v>92</v>
      </c>
      <c r="AB642" t="s">
        <v>147</v>
      </c>
      <c r="AC642" t="s">
        <v>470</v>
      </c>
      <c r="AD642" t="s">
        <v>184</v>
      </c>
      <c r="AE642" t="s">
        <v>185</v>
      </c>
      <c r="AF642">
        <v>0</v>
      </c>
      <c r="AG642" t="s">
        <v>196</v>
      </c>
      <c r="AH642" s="93">
        <f>VLOOKUP(Table1[[#This Row],[Caste]],Factor!$H$1:$K$13,4,0)</f>
        <v>1.1705128247062893</v>
      </c>
      <c r="AI642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642">
        <f>Table1[[#This Row],[Factor_1]]*Table1[[#This Row],[2024 Factor]]</f>
        <v>1.4435679386658844</v>
      </c>
      <c r="AK642">
        <f>VLOOKUP(Table1[[#This Row],[Q18: Gender]],Factor!$A$33:$E$35,5,0)</f>
        <v>0.85034013605442171</v>
      </c>
      <c r="AL642">
        <f>VLOOKUP(Table1[[#This Row],[Taluka]],Factor!$A$42:$G$46,7,0)</f>
        <v>1.1213131007097483</v>
      </c>
      <c r="AM642">
        <f>VLOOKUP(Table1[[#This Row],[Caste]]&amp;Table1[[#This Row],[Q18: Gender]],Factor!$W$1:$X$23,2,0)</f>
        <v>0.79950206330384943</v>
      </c>
      <c r="AN642">
        <f>VLOOKUP(Table1[[#This Row],[Taluka]]&amp;Table1[[#This Row],[Caste]]&amp;Table1[[#This Row],[Q18: Gender]],Factor!$AK$4:$AL$93,2,0)</f>
        <v>0.7401439088249181</v>
      </c>
      <c r="AO642">
        <f t="shared" ref="AO642:AO705" si="110">IF(T642="బాగుంది",-1,1)</f>
        <v>-1</v>
      </c>
      <c r="AP642">
        <f t="shared" ref="AP642:AP705" si="111">IF(U642="అమలవడం లేదు",1,-1)</f>
        <v>-1</v>
      </c>
      <c r="AQ642">
        <f t="shared" ref="AQ642:AQ705" si="112">IF(V642="జగన్ మోహన్ రెడ్డి గారు",1,-1)</f>
        <v>-1</v>
      </c>
      <c r="AR642">
        <f t="shared" ref="AR642:AR705" si="113">IF(X642="జగన్ మోహన్ రెడ్డి గారు",1,-1)</f>
        <v>-1</v>
      </c>
      <c r="AS642">
        <f t="shared" ref="AS642:AS705" si="114">IF(AA642="YSRCP (వైఎస్‌ఆర్‌సీపీ)",1,-1)</f>
        <v>1</v>
      </c>
      <c r="AT642">
        <f t="shared" ref="AT642:AT705" si="115">IF(Z642="YSRCP (వైఎస్‌ఆర్‌సీపీ)",1,-1)</f>
        <v>1</v>
      </c>
      <c r="AU642">
        <f t="shared" ref="AU642:AU705" si="116">AO642+AP642+AQ642+AR642+(0.5*AS642)+AT642</f>
        <v>-2.5</v>
      </c>
      <c r="AV642">
        <f>SUM(Table1[[#This Row],[Satis]:[29]])</f>
        <v>-2</v>
      </c>
      <c r="AW642">
        <f t="shared" ref="AW642:AW705" si="117">AO642+AQ642+AR642+AS642+AT642</f>
        <v>-1</v>
      </c>
      <c r="AX642">
        <f t="shared" ref="AX642:AX705" si="118">AQ642+AR642+AS642+AT642</f>
        <v>0</v>
      </c>
      <c r="AY642">
        <f t="shared" ref="AY642:AY705" si="119">IF(AND(AO642=1,AS642=1,AT642=1),3,IF(AND(AO642=-1,AS642=-1,AT642=-1),-3,IF(AND(AO642=1,AS642=-1,AT642=1),2,IF(AND(AO642=-1,AS642=1,AT642=-1),-2,IF(AND(AS642=1,AT642=1),2,IF(AND(AS642=-1,AT642=-1),-2,"ND"))))))</f>
        <v>2</v>
      </c>
      <c r="AZ642" t="str">
        <f t="shared" ref="AZ642:AZ705" si="120">IFERROR(IF(AV642=6,"YSRCP HardCore",IF(AV642=-6,"TDP HardCore",IF(AW642&gt;=4,"YSRCP Sympathiser",IF(AW642&lt;=-4,"TDP Sympathiser",IF(AX642&gt;=3,"YSRCP Sympathiser",IF(AX642&lt;=-3,"TDP Sympathiser",IF(AY642="ND","ND",IF(AY642&gt;=2,"Neutral YSRCP",IF(AY642&lt;=-2,"Neutral TDP",0))))))))),"ND")</f>
        <v>Neutral YSRCP</v>
      </c>
    </row>
    <row r="643" spans="1:52" x14ac:dyDescent="0.3">
      <c r="A643" t="s">
        <v>3660</v>
      </c>
      <c r="B643" s="94">
        <v>46046</v>
      </c>
      <c r="C643" t="s">
        <v>3661</v>
      </c>
      <c r="D643" t="s">
        <v>3662</v>
      </c>
      <c r="E643" t="s">
        <v>3663</v>
      </c>
      <c r="F643" t="s">
        <v>69</v>
      </c>
      <c r="G643" t="s">
        <v>39</v>
      </c>
      <c r="H643" t="s">
        <v>3664</v>
      </c>
      <c r="I643" t="s">
        <v>59</v>
      </c>
      <c r="J643" t="s">
        <v>203</v>
      </c>
      <c r="K643" t="s">
        <v>203</v>
      </c>
      <c r="L643" t="s">
        <v>50</v>
      </c>
      <c r="M643" t="s">
        <v>51</v>
      </c>
      <c r="N643" t="s">
        <v>63</v>
      </c>
      <c r="O643" t="s">
        <v>3665</v>
      </c>
      <c r="P643">
        <v>9999999999</v>
      </c>
      <c r="Q643" t="s">
        <v>54</v>
      </c>
      <c r="R643" t="s">
        <v>2116</v>
      </c>
      <c r="S643" t="s">
        <v>43</v>
      </c>
      <c r="T643" t="s">
        <v>43</v>
      </c>
      <c r="U643" t="s">
        <v>44</v>
      </c>
      <c r="V643" t="s">
        <v>45</v>
      </c>
      <c r="W643" t="s">
        <v>5057</v>
      </c>
      <c r="X643" t="s">
        <v>45</v>
      </c>
      <c r="Y643" t="s">
        <v>46</v>
      </c>
      <c r="Z643" t="s">
        <v>47</v>
      </c>
      <c r="AA643" t="s">
        <v>48</v>
      </c>
      <c r="AB643" t="s">
        <v>49</v>
      </c>
      <c r="AC643" t="s">
        <v>49</v>
      </c>
      <c r="AD643" t="s">
        <v>184</v>
      </c>
      <c r="AE643" t="s">
        <v>189</v>
      </c>
      <c r="AF643" t="s">
        <v>3008</v>
      </c>
      <c r="AG643" t="s">
        <v>196</v>
      </c>
      <c r="AH643" s="93">
        <f>VLOOKUP(Table1[[#This Row],[Caste]],Factor!$H$1:$K$13,4,0)</f>
        <v>1.1461625511156397</v>
      </c>
      <c r="AI64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43">
        <f>Table1[[#This Row],[Factor_1]]*Table1[[#This Row],[2024 Factor]]</f>
        <v>0.77721139583220644</v>
      </c>
      <c r="AK643">
        <f>VLOOKUP(Table1[[#This Row],[Q18: Gender]],Factor!$A$33:$E$35,5,0)</f>
        <v>0.85034013605442171</v>
      </c>
      <c r="AL643">
        <f>VLOOKUP(Table1[[#This Row],[Taluka]],Factor!$A$42:$G$46,7,0)</f>
        <v>1.9264642089343564</v>
      </c>
      <c r="AM643">
        <f>VLOOKUP(Table1[[#This Row],[Caste]]&amp;Table1[[#This Row],[Q18: Gender]],Factor!$W$1:$X$23,2,0)</f>
        <v>0.71995135120329123</v>
      </c>
      <c r="AN643">
        <f>VLOOKUP(Table1[[#This Row],[Taluka]]&amp;Table1[[#This Row],[Caste]]&amp;Table1[[#This Row],[Q18: Gender]],Factor!$AK$4:$AL$93,2,0)</f>
        <v>0.70534647283248642</v>
      </c>
      <c r="AO643">
        <f t="shared" si="110"/>
        <v>-1</v>
      </c>
      <c r="AP643">
        <f t="shared" si="111"/>
        <v>-1</v>
      </c>
      <c r="AQ643">
        <f t="shared" si="112"/>
        <v>-1</v>
      </c>
      <c r="AR643">
        <f t="shared" si="113"/>
        <v>-1</v>
      </c>
      <c r="AS643">
        <f t="shared" si="114"/>
        <v>-1</v>
      </c>
      <c r="AT643">
        <f t="shared" si="115"/>
        <v>-1</v>
      </c>
      <c r="AU643">
        <f t="shared" si="116"/>
        <v>-5.5</v>
      </c>
      <c r="AV643">
        <f>SUM(Table1[[#This Row],[Satis]:[29]])</f>
        <v>-6</v>
      </c>
      <c r="AW643">
        <f t="shared" si="117"/>
        <v>-5</v>
      </c>
      <c r="AX643">
        <f t="shared" si="118"/>
        <v>-4</v>
      </c>
      <c r="AY643">
        <f t="shared" si="119"/>
        <v>-3</v>
      </c>
      <c r="AZ643" t="str">
        <f t="shared" si="120"/>
        <v>TDP HardCore</v>
      </c>
    </row>
    <row r="644" spans="1:52" x14ac:dyDescent="0.3">
      <c r="A644" t="s">
        <v>3666</v>
      </c>
      <c r="B644" s="94">
        <v>46046</v>
      </c>
      <c r="C644" t="s">
        <v>3667</v>
      </c>
      <c r="D644" t="s">
        <v>3668</v>
      </c>
      <c r="E644" t="s">
        <v>3652</v>
      </c>
      <c r="F644" t="s">
        <v>35</v>
      </c>
      <c r="G644" t="s">
        <v>39</v>
      </c>
      <c r="H644" t="s">
        <v>3669</v>
      </c>
      <c r="I644" t="s">
        <v>228</v>
      </c>
      <c r="J644" t="s">
        <v>71</v>
      </c>
      <c r="K644" t="s">
        <v>217</v>
      </c>
      <c r="L644" t="s">
        <v>451</v>
      </c>
      <c r="M644" t="s">
        <v>443</v>
      </c>
      <c r="N644" t="s">
        <v>63</v>
      </c>
      <c r="O644" t="s">
        <v>3670</v>
      </c>
      <c r="P644">
        <v>7093956619</v>
      </c>
      <c r="Q644" t="s">
        <v>445</v>
      </c>
      <c r="R644" t="s">
        <v>42</v>
      </c>
      <c r="S644" t="s">
        <v>43</v>
      </c>
      <c r="T644" t="s">
        <v>43</v>
      </c>
      <c r="U644" t="s">
        <v>90</v>
      </c>
      <c r="V644" t="s">
        <v>45</v>
      </c>
      <c r="W644" t="s">
        <v>5108</v>
      </c>
      <c r="X644" t="s">
        <v>45</v>
      </c>
      <c r="Y644" t="s">
        <v>46</v>
      </c>
      <c r="Z644" t="s">
        <v>47</v>
      </c>
      <c r="AA644" t="s">
        <v>48</v>
      </c>
      <c r="AB644" t="s">
        <v>49</v>
      </c>
      <c r="AC644" t="s">
        <v>49</v>
      </c>
      <c r="AD644" t="s">
        <v>494</v>
      </c>
      <c r="AE644" t="s">
        <v>189</v>
      </c>
      <c r="AF644" t="s">
        <v>4097</v>
      </c>
      <c r="AG644" t="s">
        <v>196</v>
      </c>
      <c r="AH644" s="93">
        <f>VLOOKUP(Table1[[#This Row],[Caste]],Factor!$H$1:$K$13,4,0)</f>
        <v>0.80207032429970992</v>
      </c>
      <c r="AI64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44">
        <f>Table1[[#This Row],[Factor_1]]*Table1[[#This Row],[2024 Factor]]</f>
        <v>1.2733258158237817</v>
      </c>
      <c r="AK644">
        <f>VLOOKUP(Table1[[#This Row],[Q18: Gender]],Factor!$A$33:$E$35,5,0)</f>
        <v>2.1645021645021645</v>
      </c>
      <c r="AL644">
        <f>VLOOKUP(Table1[[#This Row],[Taluka]],Factor!$A$42:$G$46,7,0)</f>
        <v>1.1213131007097483</v>
      </c>
      <c r="AM644">
        <f>VLOOKUP(Table1[[#This Row],[Caste]]&amp;Table1[[#This Row],[Q18: Gender]],Factor!$W$1:$X$23,2,0)</f>
        <v>1.1795151827936912</v>
      </c>
      <c r="AN644">
        <f>VLOOKUP(Table1[[#This Row],[Taluka]]&amp;Table1[[#This Row],[Caste]]&amp;Table1[[#This Row],[Q18: Gender]],Factor!$AK$4:$AL$93,2,0)</f>
        <v>1.1601898314028378</v>
      </c>
      <c r="AO644">
        <f t="shared" si="110"/>
        <v>-1</v>
      </c>
      <c r="AP644">
        <f t="shared" si="111"/>
        <v>1</v>
      </c>
      <c r="AQ644">
        <f t="shared" si="112"/>
        <v>-1</v>
      </c>
      <c r="AR644">
        <f t="shared" si="113"/>
        <v>-1</v>
      </c>
      <c r="AS644">
        <f t="shared" si="114"/>
        <v>-1</v>
      </c>
      <c r="AT644">
        <f t="shared" si="115"/>
        <v>-1</v>
      </c>
      <c r="AU644">
        <f t="shared" si="116"/>
        <v>-3.5</v>
      </c>
      <c r="AV644">
        <f>SUM(Table1[[#This Row],[Satis]:[29]])</f>
        <v>-4</v>
      </c>
      <c r="AW644">
        <f t="shared" si="117"/>
        <v>-5</v>
      </c>
      <c r="AX644">
        <f t="shared" si="118"/>
        <v>-4</v>
      </c>
      <c r="AY644">
        <f t="shared" si="119"/>
        <v>-3</v>
      </c>
      <c r="AZ644" t="str">
        <f t="shared" si="120"/>
        <v>TDP Sympathiser</v>
      </c>
    </row>
    <row r="645" spans="1:52" x14ac:dyDescent="0.3">
      <c r="A645" t="s">
        <v>3189</v>
      </c>
      <c r="B645" s="94">
        <v>46046</v>
      </c>
      <c r="C645" t="s">
        <v>3190</v>
      </c>
      <c r="D645" t="s">
        <v>3191</v>
      </c>
      <c r="E645" t="s">
        <v>3192</v>
      </c>
      <c r="F645" t="s">
        <v>2547</v>
      </c>
      <c r="G645" t="s">
        <v>39</v>
      </c>
      <c r="H645" t="s">
        <v>3193</v>
      </c>
      <c r="I645" t="s">
        <v>36</v>
      </c>
      <c r="J645" t="s">
        <v>203</v>
      </c>
      <c r="K645" t="s">
        <v>204</v>
      </c>
      <c r="L645" t="s">
        <v>82</v>
      </c>
      <c r="M645" t="s">
        <v>51</v>
      </c>
      <c r="N645" t="s">
        <v>52</v>
      </c>
      <c r="O645" t="s">
        <v>3194</v>
      </c>
      <c r="P645">
        <v>9000000000</v>
      </c>
      <c r="Q645" t="s">
        <v>54</v>
      </c>
      <c r="R645" t="s">
        <v>61</v>
      </c>
      <c r="S645" t="s">
        <v>88</v>
      </c>
      <c r="T645" t="s">
        <v>43</v>
      </c>
      <c r="U645" t="s">
        <v>44</v>
      </c>
      <c r="V645" t="s">
        <v>45</v>
      </c>
      <c r="W645" t="s">
        <v>5096</v>
      </c>
      <c r="X645" t="s">
        <v>45</v>
      </c>
      <c r="Y645" t="s">
        <v>46</v>
      </c>
      <c r="Z645" t="s">
        <v>47</v>
      </c>
      <c r="AA645" t="s">
        <v>48</v>
      </c>
      <c r="AB645" t="s">
        <v>49</v>
      </c>
      <c r="AC645" t="s">
        <v>49</v>
      </c>
      <c r="AD645" t="s">
        <v>184</v>
      </c>
      <c r="AE645" t="s">
        <v>185</v>
      </c>
      <c r="AF645">
        <v>0</v>
      </c>
      <c r="AG645" t="s">
        <v>196</v>
      </c>
      <c r="AH645" s="93">
        <f>VLOOKUP(Table1[[#This Row],[Caste]],Factor!$H$1:$K$13,4,0)</f>
        <v>1.1705128247062893</v>
      </c>
      <c r="AI64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45">
        <f>Table1[[#This Row],[Factor_1]]*Table1[[#This Row],[2024 Factor]]</f>
        <v>0.86308903171383233</v>
      </c>
      <c r="AK645">
        <f>VLOOKUP(Table1[[#This Row],[Q18: Gender]],Factor!$A$33:$E$35,5,0)</f>
        <v>0.85034013605442171</v>
      </c>
      <c r="AL645">
        <f>VLOOKUP(Table1[[#This Row],[Taluka]],Factor!$A$42:$G$46,7,0)</f>
        <v>1.9264642089343564</v>
      </c>
      <c r="AM645">
        <f>VLOOKUP(Table1[[#This Row],[Caste]]&amp;Table1[[#This Row],[Q18: Gender]],Factor!$W$1:$X$23,2,0)</f>
        <v>0.79950206330384943</v>
      </c>
      <c r="AN645">
        <f>VLOOKUP(Table1[[#This Row],[Taluka]]&amp;Table1[[#This Row],[Caste]]&amp;Table1[[#This Row],[Q18: Gender]],Factor!$AK$4:$AL$93,2,0)</f>
        <v>1.1572126985895925</v>
      </c>
      <c r="AO645">
        <f t="shared" si="110"/>
        <v>-1</v>
      </c>
      <c r="AP645">
        <f t="shared" si="111"/>
        <v>-1</v>
      </c>
      <c r="AQ645">
        <f t="shared" si="112"/>
        <v>-1</v>
      </c>
      <c r="AR645">
        <f t="shared" si="113"/>
        <v>-1</v>
      </c>
      <c r="AS645">
        <f t="shared" si="114"/>
        <v>-1</v>
      </c>
      <c r="AT645">
        <f t="shared" si="115"/>
        <v>-1</v>
      </c>
      <c r="AU645">
        <f t="shared" si="116"/>
        <v>-5.5</v>
      </c>
      <c r="AV645">
        <f>SUM(Table1[[#This Row],[Satis]:[29]])</f>
        <v>-6</v>
      </c>
      <c r="AW645">
        <f t="shared" si="117"/>
        <v>-5</v>
      </c>
      <c r="AX645">
        <f t="shared" si="118"/>
        <v>-4</v>
      </c>
      <c r="AY645">
        <f t="shared" si="119"/>
        <v>-3</v>
      </c>
      <c r="AZ645" t="str">
        <f t="shared" si="120"/>
        <v>TDP HardCore</v>
      </c>
    </row>
    <row r="646" spans="1:52" x14ac:dyDescent="0.3">
      <c r="A646" t="s">
        <v>3674</v>
      </c>
      <c r="B646" s="94">
        <v>46046</v>
      </c>
      <c r="C646" t="s">
        <v>3675</v>
      </c>
      <c r="D646" t="s">
        <v>3676</v>
      </c>
      <c r="E646" t="s">
        <v>3198</v>
      </c>
      <c r="F646" t="s">
        <v>240</v>
      </c>
      <c r="G646" t="s">
        <v>39</v>
      </c>
      <c r="H646" t="s">
        <v>3677</v>
      </c>
      <c r="I646" t="s">
        <v>59</v>
      </c>
      <c r="J646" t="s">
        <v>71</v>
      </c>
      <c r="K646" t="s">
        <v>218</v>
      </c>
      <c r="L646" t="s">
        <v>62</v>
      </c>
      <c r="M646" t="s">
        <v>51</v>
      </c>
      <c r="N646" t="s">
        <v>107</v>
      </c>
      <c r="O646" t="s">
        <v>3678</v>
      </c>
      <c r="P646">
        <v>9573456348</v>
      </c>
      <c r="Q646" t="s">
        <v>54</v>
      </c>
      <c r="R646" t="s">
        <v>139</v>
      </c>
      <c r="S646" t="s">
        <v>43</v>
      </c>
      <c r="T646" t="s">
        <v>43</v>
      </c>
      <c r="U646" t="s">
        <v>44</v>
      </c>
      <c r="V646" t="s">
        <v>45</v>
      </c>
      <c r="W646" t="s">
        <v>5077</v>
      </c>
      <c r="X646" t="s">
        <v>45</v>
      </c>
      <c r="Y646" t="s">
        <v>46</v>
      </c>
      <c r="Z646" t="s">
        <v>47</v>
      </c>
      <c r="AA646" t="s">
        <v>48</v>
      </c>
      <c r="AB646" t="s">
        <v>49</v>
      </c>
      <c r="AC646" t="s">
        <v>49</v>
      </c>
      <c r="AD646" t="s">
        <v>184</v>
      </c>
      <c r="AE646" t="s">
        <v>189</v>
      </c>
      <c r="AF646" t="s">
        <v>2991</v>
      </c>
      <c r="AG646" t="s">
        <v>196</v>
      </c>
      <c r="AH646" s="93">
        <f>VLOOKUP(Table1[[#This Row],[Caste]],Factor!$H$1:$K$13,4,0)</f>
        <v>1.1461625511156397</v>
      </c>
      <c r="AI64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46">
        <f>Table1[[#This Row],[Factor_1]]*Table1[[#This Row],[2024 Factor]]</f>
        <v>0.77721139583220644</v>
      </c>
      <c r="AK646">
        <f>VLOOKUP(Table1[[#This Row],[Q18: Gender]],Factor!$A$33:$E$35,5,0)</f>
        <v>0.85034013605442171</v>
      </c>
      <c r="AL646">
        <f>VLOOKUP(Table1[[#This Row],[Taluka]],Factor!$A$42:$G$46,7,0)</f>
        <v>1.1213131007097483</v>
      </c>
      <c r="AM646">
        <f>VLOOKUP(Table1[[#This Row],[Caste]]&amp;Table1[[#This Row],[Q18: Gender]],Factor!$W$1:$X$23,2,0)</f>
        <v>0.71995135120329123</v>
      </c>
      <c r="AN646">
        <f>VLOOKUP(Table1[[#This Row],[Taluka]]&amp;Table1[[#This Row],[Caste]]&amp;Table1[[#This Row],[Q18: Gender]],Factor!$AK$4:$AL$93,2,0)</f>
        <v>1.3370299504035861</v>
      </c>
      <c r="AO646">
        <f t="shared" si="110"/>
        <v>-1</v>
      </c>
      <c r="AP646">
        <f t="shared" si="111"/>
        <v>-1</v>
      </c>
      <c r="AQ646">
        <f t="shared" si="112"/>
        <v>-1</v>
      </c>
      <c r="AR646">
        <f t="shared" si="113"/>
        <v>-1</v>
      </c>
      <c r="AS646">
        <f t="shared" si="114"/>
        <v>-1</v>
      </c>
      <c r="AT646">
        <f t="shared" si="115"/>
        <v>-1</v>
      </c>
      <c r="AU646">
        <f t="shared" si="116"/>
        <v>-5.5</v>
      </c>
      <c r="AV646">
        <f>SUM(Table1[[#This Row],[Satis]:[29]])</f>
        <v>-6</v>
      </c>
      <c r="AW646">
        <f t="shared" si="117"/>
        <v>-5</v>
      </c>
      <c r="AX646">
        <f t="shared" si="118"/>
        <v>-4</v>
      </c>
      <c r="AY646">
        <f t="shared" si="119"/>
        <v>-3</v>
      </c>
      <c r="AZ646" t="str">
        <f t="shared" si="120"/>
        <v>TDP HardCore</v>
      </c>
    </row>
    <row r="647" spans="1:52" x14ac:dyDescent="0.3">
      <c r="A647" t="s">
        <v>3201</v>
      </c>
      <c r="B647" s="94">
        <v>46046</v>
      </c>
      <c r="C647" t="s">
        <v>3202</v>
      </c>
      <c r="D647" t="s">
        <v>3203</v>
      </c>
      <c r="E647" t="s">
        <v>3204</v>
      </c>
      <c r="F647" t="s">
        <v>240</v>
      </c>
      <c r="G647" t="s">
        <v>39</v>
      </c>
      <c r="H647" t="s">
        <v>3205</v>
      </c>
      <c r="I647" t="s">
        <v>70</v>
      </c>
      <c r="J647" t="s">
        <v>71</v>
      </c>
      <c r="K647" t="s">
        <v>217</v>
      </c>
      <c r="L647" t="s">
        <v>62</v>
      </c>
      <c r="M647" t="s">
        <v>51</v>
      </c>
      <c r="N647" t="s">
        <v>107</v>
      </c>
      <c r="O647" t="s">
        <v>3206</v>
      </c>
      <c r="P647">
        <v>9000372443</v>
      </c>
      <c r="Q647" t="s">
        <v>54</v>
      </c>
      <c r="R647" t="s">
        <v>2116</v>
      </c>
      <c r="S647" t="s">
        <v>89</v>
      </c>
      <c r="T647" t="s">
        <v>43</v>
      </c>
      <c r="U647" t="s">
        <v>44</v>
      </c>
      <c r="V647" t="s">
        <v>45</v>
      </c>
      <c r="W647" t="s">
        <v>5054</v>
      </c>
      <c r="X647" t="s">
        <v>45</v>
      </c>
      <c r="Y647" t="s">
        <v>46</v>
      </c>
      <c r="Z647" t="s">
        <v>47</v>
      </c>
      <c r="AA647" t="s">
        <v>48</v>
      </c>
      <c r="AB647" t="s">
        <v>49</v>
      </c>
      <c r="AC647" t="s">
        <v>49</v>
      </c>
      <c r="AD647" t="s">
        <v>184</v>
      </c>
      <c r="AE647" t="s">
        <v>185</v>
      </c>
      <c r="AF647">
        <v>0</v>
      </c>
      <c r="AG647" t="s">
        <v>196</v>
      </c>
      <c r="AH647" s="93">
        <f>VLOOKUP(Table1[[#This Row],[Caste]],Factor!$H$1:$K$13,4,0)</f>
        <v>1.3836274505214585</v>
      </c>
      <c r="AI64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47">
        <f>Table1[[#This Row],[Factor_1]]*Table1[[#This Row],[2024 Factor]]</f>
        <v>1.1648410586678206</v>
      </c>
      <c r="AK647">
        <f>VLOOKUP(Table1[[#This Row],[Q18: Gender]],Factor!$A$33:$E$35,5,0)</f>
        <v>0.85034013605442171</v>
      </c>
      <c r="AL647">
        <f>VLOOKUP(Table1[[#This Row],[Taluka]],Factor!$A$42:$G$46,7,0)</f>
        <v>1.1213131007097483</v>
      </c>
      <c r="AM647">
        <f>VLOOKUP(Table1[[#This Row],[Caste]]&amp;Table1[[#This Row],[Q18: Gender]],Factor!$W$1:$X$23,2,0)</f>
        <v>1.0790228998469584</v>
      </c>
      <c r="AN647">
        <f>VLOOKUP(Table1[[#This Row],[Taluka]]&amp;Table1[[#This Row],[Caste]]&amp;Table1[[#This Row],[Q18: Gender]],Factor!$AK$4:$AL$93,2,0)</f>
        <v>0.90933567693352424</v>
      </c>
      <c r="AO647">
        <f t="shared" si="110"/>
        <v>-1</v>
      </c>
      <c r="AP647">
        <f t="shared" si="111"/>
        <v>-1</v>
      </c>
      <c r="AQ647">
        <f t="shared" si="112"/>
        <v>-1</v>
      </c>
      <c r="AR647">
        <f t="shared" si="113"/>
        <v>-1</v>
      </c>
      <c r="AS647">
        <f t="shared" si="114"/>
        <v>-1</v>
      </c>
      <c r="AT647">
        <f t="shared" si="115"/>
        <v>-1</v>
      </c>
      <c r="AU647">
        <f t="shared" si="116"/>
        <v>-5.5</v>
      </c>
      <c r="AV647">
        <f>SUM(Table1[[#This Row],[Satis]:[29]])</f>
        <v>-6</v>
      </c>
      <c r="AW647">
        <f t="shared" si="117"/>
        <v>-5</v>
      </c>
      <c r="AX647">
        <f t="shared" si="118"/>
        <v>-4</v>
      </c>
      <c r="AY647">
        <f t="shared" si="119"/>
        <v>-3</v>
      </c>
      <c r="AZ647" t="str">
        <f t="shared" si="120"/>
        <v>TDP HardCore</v>
      </c>
    </row>
    <row r="648" spans="1:52" x14ac:dyDescent="0.3">
      <c r="A648" t="s">
        <v>3685</v>
      </c>
      <c r="B648" s="94">
        <v>46046</v>
      </c>
      <c r="C648" t="s">
        <v>3686</v>
      </c>
      <c r="D648" t="s">
        <v>3687</v>
      </c>
      <c r="E648" t="s">
        <v>3119</v>
      </c>
      <c r="F648" t="s">
        <v>935</v>
      </c>
      <c r="G648" t="s">
        <v>39</v>
      </c>
      <c r="H648" t="s">
        <v>3688</v>
      </c>
      <c r="I648" t="s">
        <v>59</v>
      </c>
      <c r="J648" t="s">
        <v>203</v>
      </c>
      <c r="K648" t="s">
        <v>208</v>
      </c>
      <c r="L648" t="s">
        <v>451</v>
      </c>
      <c r="M648" t="s">
        <v>51</v>
      </c>
      <c r="N648" t="s">
        <v>63</v>
      </c>
      <c r="O648" t="s">
        <v>3689</v>
      </c>
      <c r="P648">
        <v>9949136425</v>
      </c>
      <c r="Q648" t="s">
        <v>445</v>
      </c>
      <c r="R648" t="s">
        <v>2116</v>
      </c>
      <c r="S648" t="s">
        <v>43</v>
      </c>
      <c r="T648" t="s">
        <v>43</v>
      </c>
      <c r="U648" t="s">
        <v>44</v>
      </c>
      <c r="V648" t="s">
        <v>45</v>
      </c>
      <c r="W648" t="s">
        <v>5087</v>
      </c>
      <c r="X648" t="s">
        <v>45</v>
      </c>
      <c r="Y648" t="s">
        <v>46</v>
      </c>
      <c r="Z648" t="s">
        <v>47</v>
      </c>
      <c r="AA648" t="s">
        <v>48</v>
      </c>
      <c r="AB648" t="s">
        <v>49</v>
      </c>
      <c r="AC648" t="s">
        <v>49</v>
      </c>
      <c r="AD648" t="s">
        <v>494</v>
      </c>
      <c r="AE648" t="s">
        <v>185</v>
      </c>
      <c r="AF648">
        <v>0</v>
      </c>
      <c r="AG648" t="s">
        <v>196</v>
      </c>
      <c r="AH648" s="93">
        <f>VLOOKUP(Table1[[#This Row],[Caste]],Factor!$H$1:$K$13,4,0)</f>
        <v>1.1461625511156397</v>
      </c>
      <c r="AI64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48">
        <f>Table1[[#This Row],[Factor_1]]*Table1[[#This Row],[2024 Factor]]</f>
        <v>3.0326483876590018</v>
      </c>
      <c r="AK648">
        <f>VLOOKUP(Table1[[#This Row],[Q18: Gender]],Factor!$A$33:$E$35,5,0)</f>
        <v>2.1645021645021645</v>
      </c>
      <c r="AL648">
        <f>VLOOKUP(Table1[[#This Row],[Taluka]],Factor!$A$42:$G$46,7,0)</f>
        <v>1.9264642089343564</v>
      </c>
      <c r="AM648">
        <f>VLOOKUP(Table1[[#This Row],[Caste]]&amp;Table1[[#This Row],[Q18: Gender]],Factor!$W$1:$X$23,2,0)</f>
        <v>2.8092219390089208</v>
      </c>
      <c r="AN648">
        <f>VLOOKUP(Table1[[#This Row],[Taluka]]&amp;Table1[[#This Row],[Caste]]&amp;Table1[[#This Row],[Q18: Gender]],Factor!$AK$4:$AL$93,2,0)</f>
        <v>6.3481182554923778</v>
      </c>
      <c r="AO648">
        <f t="shared" si="110"/>
        <v>-1</v>
      </c>
      <c r="AP648">
        <f t="shared" si="111"/>
        <v>-1</v>
      </c>
      <c r="AQ648">
        <f t="shared" si="112"/>
        <v>-1</v>
      </c>
      <c r="AR648">
        <f t="shared" si="113"/>
        <v>-1</v>
      </c>
      <c r="AS648">
        <f t="shared" si="114"/>
        <v>-1</v>
      </c>
      <c r="AT648">
        <f t="shared" si="115"/>
        <v>-1</v>
      </c>
      <c r="AU648">
        <f t="shared" si="116"/>
        <v>-5.5</v>
      </c>
      <c r="AV648">
        <f>SUM(Table1[[#This Row],[Satis]:[29]])</f>
        <v>-6</v>
      </c>
      <c r="AW648">
        <f t="shared" si="117"/>
        <v>-5</v>
      </c>
      <c r="AX648">
        <f t="shared" si="118"/>
        <v>-4</v>
      </c>
      <c r="AY648">
        <f t="shared" si="119"/>
        <v>-3</v>
      </c>
      <c r="AZ648" t="str">
        <f t="shared" si="120"/>
        <v>TDP HardCore</v>
      </c>
    </row>
    <row r="649" spans="1:52" x14ac:dyDescent="0.3">
      <c r="A649" t="s">
        <v>3385</v>
      </c>
      <c r="B649" s="94">
        <v>46046</v>
      </c>
      <c r="C649" t="s">
        <v>3386</v>
      </c>
      <c r="D649" t="s">
        <v>3387</v>
      </c>
      <c r="E649" t="s">
        <v>3388</v>
      </c>
      <c r="F649" t="s">
        <v>35</v>
      </c>
      <c r="G649" t="s">
        <v>39</v>
      </c>
      <c r="H649" t="s">
        <v>3389</v>
      </c>
      <c r="I649" t="s">
        <v>70</v>
      </c>
      <c r="J649" t="s">
        <v>71</v>
      </c>
      <c r="K649" t="s">
        <v>217</v>
      </c>
      <c r="L649" t="s">
        <v>62</v>
      </c>
      <c r="M649" t="s">
        <v>51</v>
      </c>
      <c r="N649" t="s">
        <v>162</v>
      </c>
      <c r="O649" t="s">
        <v>3390</v>
      </c>
      <c r="P649">
        <v>7093199872</v>
      </c>
      <c r="Q649" t="s">
        <v>54</v>
      </c>
      <c r="R649" t="s">
        <v>61</v>
      </c>
      <c r="S649" t="s">
        <v>43</v>
      </c>
      <c r="T649" t="s">
        <v>43</v>
      </c>
      <c r="U649" t="s">
        <v>44</v>
      </c>
      <c r="V649" t="s">
        <v>45</v>
      </c>
      <c r="W649" t="s">
        <v>5054</v>
      </c>
      <c r="X649" t="s">
        <v>45</v>
      </c>
      <c r="Y649" t="s">
        <v>716</v>
      </c>
      <c r="Z649" t="s">
        <v>47</v>
      </c>
      <c r="AA649" t="s">
        <v>691</v>
      </c>
      <c r="AB649" t="s">
        <v>49</v>
      </c>
      <c r="AC649" t="s">
        <v>49</v>
      </c>
      <c r="AD649" t="s">
        <v>184</v>
      </c>
      <c r="AE649" t="s">
        <v>185</v>
      </c>
      <c r="AF649">
        <v>0</v>
      </c>
      <c r="AG649" t="s">
        <v>196</v>
      </c>
      <c r="AH649" s="93">
        <f>VLOOKUP(Table1[[#This Row],[Caste]],Factor!$H$1:$K$13,4,0)</f>
        <v>1.3836274505214585</v>
      </c>
      <c r="AI649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649">
        <f>Table1[[#This Row],[Factor_1]]*Table1[[#This Row],[2024 Factor]]</f>
        <v>0.71381514912952693</v>
      </c>
      <c r="AK649">
        <f>VLOOKUP(Table1[[#This Row],[Q18: Gender]],Factor!$A$33:$E$35,5,0)</f>
        <v>0.85034013605442171</v>
      </c>
      <c r="AL649">
        <f>VLOOKUP(Table1[[#This Row],[Taluka]],Factor!$A$42:$G$46,7,0)</f>
        <v>1.1213131007097483</v>
      </c>
      <c r="AM649">
        <f>VLOOKUP(Table1[[#This Row],[Caste]]&amp;Table1[[#This Row],[Q18: Gender]],Factor!$W$1:$X$23,2,0)</f>
        <v>1.0790228998469584</v>
      </c>
      <c r="AN649">
        <f>VLOOKUP(Table1[[#This Row],[Taluka]]&amp;Table1[[#This Row],[Caste]]&amp;Table1[[#This Row],[Q18: Gender]],Factor!$AK$4:$AL$93,2,0)</f>
        <v>0.90933567693352424</v>
      </c>
      <c r="AO649">
        <f t="shared" si="110"/>
        <v>-1</v>
      </c>
      <c r="AP649">
        <f t="shared" si="111"/>
        <v>-1</v>
      </c>
      <c r="AQ649">
        <f t="shared" si="112"/>
        <v>-1</v>
      </c>
      <c r="AR649">
        <f t="shared" si="113"/>
        <v>-1</v>
      </c>
      <c r="AS649">
        <f t="shared" si="114"/>
        <v>-1</v>
      </c>
      <c r="AT649">
        <f t="shared" si="115"/>
        <v>-1</v>
      </c>
      <c r="AU649">
        <f t="shared" si="116"/>
        <v>-5.5</v>
      </c>
      <c r="AV649">
        <f>SUM(Table1[[#This Row],[Satis]:[29]])</f>
        <v>-6</v>
      </c>
      <c r="AW649">
        <f t="shared" si="117"/>
        <v>-5</v>
      </c>
      <c r="AX649">
        <f t="shared" si="118"/>
        <v>-4</v>
      </c>
      <c r="AY649">
        <f t="shared" si="119"/>
        <v>-3</v>
      </c>
      <c r="AZ649" t="str">
        <f t="shared" si="120"/>
        <v>TDP HardCore</v>
      </c>
    </row>
    <row r="650" spans="1:52" x14ac:dyDescent="0.3">
      <c r="A650" t="s">
        <v>3765</v>
      </c>
      <c r="B650" s="94">
        <v>46046</v>
      </c>
      <c r="C650" t="s">
        <v>3766</v>
      </c>
      <c r="D650" t="s">
        <v>3767</v>
      </c>
      <c r="E650" t="s">
        <v>3768</v>
      </c>
      <c r="F650" t="s">
        <v>2547</v>
      </c>
      <c r="G650" t="s">
        <v>39</v>
      </c>
      <c r="H650" t="s">
        <v>3769</v>
      </c>
      <c r="I650" t="s">
        <v>70</v>
      </c>
      <c r="J650" t="s">
        <v>203</v>
      </c>
      <c r="K650" t="s">
        <v>204</v>
      </c>
      <c r="L650" t="s">
        <v>62</v>
      </c>
      <c r="M650" t="s">
        <v>51</v>
      </c>
      <c r="N650" t="s">
        <v>52</v>
      </c>
      <c r="O650" t="s">
        <v>1890</v>
      </c>
      <c r="P650">
        <v>9000000000</v>
      </c>
      <c r="Q650" t="s">
        <v>54</v>
      </c>
      <c r="R650" t="s">
        <v>132</v>
      </c>
      <c r="S650" t="s">
        <v>43</v>
      </c>
      <c r="T650" t="s">
        <v>43</v>
      </c>
      <c r="U650" t="s">
        <v>44</v>
      </c>
      <c r="V650" t="s">
        <v>91</v>
      </c>
      <c r="W650" t="s">
        <v>5079</v>
      </c>
      <c r="X650" t="s">
        <v>45</v>
      </c>
      <c r="Y650" t="s">
        <v>46</v>
      </c>
      <c r="Z650" t="s">
        <v>47</v>
      </c>
      <c r="AA650" t="s">
        <v>48</v>
      </c>
      <c r="AB650" t="s">
        <v>49</v>
      </c>
      <c r="AC650" t="s">
        <v>49</v>
      </c>
      <c r="AD650" t="s">
        <v>184</v>
      </c>
      <c r="AE650" t="s">
        <v>185</v>
      </c>
      <c r="AF650">
        <v>0</v>
      </c>
      <c r="AG650" t="s">
        <v>196</v>
      </c>
      <c r="AH650" s="93">
        <f>VLOOKUP(Table1[[#This Row],[Caste]],Factor!$H$1:$K$13,4,0)</f>
        <v>1.3836274505214585</v>
      </c>
      <c r="AI65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50">
        <f>Table1[[#This Row],[Factor_1]]*Table1[[#This Row],[2024 Factor]]</f>
        <v>1.1648410586678206</v>
      </c>
      <c r="AK650">
        <f>VLOOKUP(Table1[[#This Row],[Q18: Gender]],Factor!$A$33:$E$35,5,0)</f>
        <v>0.85034013605442171</v>
      </c>
      <c r="AL650">
        <f>VLOOKUP(Table1[[#This Row],[Taluka]],Factor!$A$42:$G$46,7,0)</f>
        <v>1.9264642089343564</v>
      </c>
      <c r="AM650">
        <f>VLOOKUP(Table1[[#This Row],[Caste]]&amp;Table1[[#This Row],[Q18: Gender]],Factor!$W$1:$X$23,2,0)</f>
        <v>1.0790228998469584</v>
      </c>
      <c r="AN650">
        <f>VLOOKUP(Table1[[#This Row],[Taluka]]&amp;Table1[[#This Row],[Caste]]&amp;Table1[[#This Row],[Q18: Gender]],Factor!$AK$4:$AL$93,2,0)</f>
        <v>2.1355167697651956</v>
      </c>
      <c r="AO650">
        <f t="shared" si="110"/>
        <v>-1</v>
      </c>
      <c r="AP650">
        <f t="shared" si="111"/>
        <v>-1</v>
      </c>
      <c r="AQ650">
        <f t="shared" si="112"/>
        <v>1</v>
      </c>
      <c r="AR650">
        <f t="shared" si="113"/>
        <v>-1</v>
      </c>
      <c r="AS650">
        <f t="shared" si="114"/>
        <v>-1</v>
      </c>
      <c r="AT650">
        <f t="shared" si="115"/>
        <v>-1</v>
      </c>
      <c r="AU650">
        <f t="shared" si="116"/>
        <v>-3.5</v>
      </c>
      <c r="AV650">
        <f>SUM(Table1[[#This Row],[Satis]:[29]])</f>
        <v>-4</v>
      </c>
      <c r="AW650">
        <f t="shared" si="117"/>
        <v>-3</v>
      </c>
      <c r="AX650">
        <f t="shared" si="118"/>
        <v>-2</v>
      </c>
      <c r="AY650">
        <f t="shared" si="119"/>
        <v>-3</v>
      </c>
      <c r="AZ650" t="str">
        <f t="shared" si="120"/>
        <v>Neutral TDP</v>
      </c>
    </row>
    <row r="651" spans="1:52" x14ac:dyDescent="0.3">
      <c r="A651" t="s">
        <v>3397</v>
      </c>
      <c r="B651" s="94">
        <v>46046</v>
      </c>
      <c r="C651" t="s">
        <v>3398</v>
      </c>
      <c r="D651" t="s">
        <v>3399</v>
      </c>
      <c r="E651" t="s">
        <v>3400</v>
      </c>
      <c r="F651" t="s">
        <v>2547</v>
      </c>
      <c r="G651" t="s">
        <v>39</v>
      </c>
      <c r="H651" t="s">
        <v>3401</v>
      </c>
      <c r="I651" t="s">
        <v>59</v>
      </c>
      <c r="J651" t="s">
        <v>203</v>
      </c>
      <c r="K651" t="s">
        <v>204</v>
      </c>
      <c r="L651" t="s">
        <v>50</v>
      </c>
      <c r="M651" t="s">
        <v>51</v>
      </c>
      <c r="N651" t="s">
        <v>52</v>
      </c>
      <c r="O651" t="s">
        <v>3402</v>
      </c>
      <c r="P651">
        <v>9177807729</v>
      </c>
      <c r="Q651" t="s">
        <v>54</v>
      </c>
      <c r="R651" t="s">
        <v>132</v>
      </c>
      <c r="S651" t="s">
        <v>43</v>
      </c>
      <c r="T651" t="s">
        <v>43</v>
      </c>
      <c r="U651" t="s">
        <v>90</v>
      </c>
      <c r="V651" t="s">
        <v>91</v>
      </c>
      <c r="W651" t="s">
        <v>5090</v>
      </c>
      <c r="X651" t="s">
        <v>45</v>
      </c>
      <c r="Y651" t="s">
        <v>46</v>
      </c>
      <c r="Z651" t="s">
        <v>47</v>
      </c>
      <c r="AA651" t="s">
        <v>92</v>
      </c>
      <c r="AB651" t="s">
        <v>147</v>
      </c>
      <c r="AC651" t="s">
        <v>94</v>
      </c>
      <c r="AD651" t="s">
        <v>184</v>
      </c>
      <c r="AE651" t="s">
        <v>185</v>
      </c>
      <c r="AF651">
        <v>0</v>
      </c>
      <c r="AG651" t="s">
        <v>196</v>
      </c>
      <c r="AH651" s="93">
        <f>VLOOKUP(Table1[[#This Row],[Caste]],Factor!$H$1:$K$13,4,0)</f>
        <v>1.1461625511156397</v>
      </c>
      <c r="AI651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651">
        <f>Table1[[#This Row],[Factor_1]]*Table1[[#This Row],[2024 Factor]]</f>
        <v>1.2999324650914248</v>
      </c>
      <c r="AK651">
        <f>VLOOKUP(Table1[[#This Row],[Q18: Gender]],Factor!$A$33:$E$35,5,0)</f>
        <v>0.85034013605442171</v>
      </c>
      <c r="AL651">
        <f>VLOOKUP(Table1[[#This Row],[Taluka]],Factor!$A$42:$G$46,7,0)</f>
        <v>1.9264642089343564</v>
      </c>
      <c r="AM651">
        <f>VLOOKUP(Table1[[#This Row],[Caste]]&amp;Table1[[#This Row],[Q18: Gender]],Factor!$W$1:$X$23,2,0)</f>
        <v>0.71995135120329123</v>
      </c>
      <c r="AN651">
        <f>VLOOKUP(Table1[[#This Row],[Taluka]]&amp;Table1[[#This Row],[Caste]]&amp;Table1[[#This Row],[Q18: Gender]],Factor!$AK$4:$AL$93,2,0)</f>
        <v>0.70534647283248642</v>
      </c>
      <c r="AO651">
        <f t="shared" si="110"/>
        <v>-1</v>
      </c>
      <c r="AP651">
        <f t="shared" si="111"/>
        <v>1</v>
      </c>
      <c r="AQ651">
        <f t="shared" si="112"/>
        <v>1</v>
      </c>
      <c r="AR651">
        <f t="shared" si="113"/>
        <v>-1</v>
      </c>
      <c r="AS651">
        <f t="shared" si="114"/>
        <v>1</v>
      </c>
      <c r="AT651">
        <f t="shared" si="115"/>
        <v>-1</v>
      </c>
      <c r="AU651">
        <f t="shared" si="116"/>
        <v>-0.5</v>
      </c>
      <c r="AV651">
        <f>SUM(Table1[[#This Row],[Satis]:[29]])</f>
        <v>0</v>
      </c>
      <c r="AW651">
        <f t="shared" si="117"/>
        <v>-1</v>
      </c>
      <c r="AX651">
        <f t="shared" si="118"/>
        <v>0</v>
      </c>
      <c r="AY651">
        <f t="shared" si="119"/>
        <v>-2</v>
      </c>
      <c r="AZ651" t="str">
        <f t="shared" si="120"/>
        <v>Neutral TDP</v>
      </c>
    </row>
    <row r="652" spans="1:52" x14ac:dyDescent="0.3">
      <c r="A652" t="s">
        <v>3234</v>
      </c>
      <c r="B652" s="94">
        <v>46046</v>
      </c>
      <c r="C652" t="s">
        <v>3235</v>
      </c>
      <c r="D652" t="s">
        <v>3236</v>
      </c>
      <c r="E652" t="s">
        <v>3075</v>
      </c>
      <c r="F652" t="s">
        <v>935</v>
      </c>
      <c r="G652" t="s">
        <v>39</v>
      </c>
      <c r="H652" t="s">
        <v>3237</v>
      </c>
      <c r="I652" t="s">
        <v>70</v>
      </c>
      <c r="J652" t="s">
        <v>203</v>
      </c>
      <c r="K652" t="s">
        <v>208</v>
      </c>
      <c r="L652" t="s">
        <v>82</v>
      </c>
      <c r="M652" t="s">
        <v>443</v>
      </c>
      <c r="N652" t="s">
        <v>52</v>
      </c>
      <c r="O652" t="s">
        <v>3238</v>
      </c>
      <c r="P652">
        <v>9848856816</v>
      </c>
      <c r="Q652" t="s">
        <v>54</v>
      </c>
      <c r="R652" t="s">
        <v>132</v>
      </c>
      <c r="S652" t="s">
        <v>89</v>
      </c>
      <c r="T652" t="s">
        <v>89</v>
      </c>
      <c r="U652" t="s">
        <v>90</v>
      </c>
      <c r="V652" t="s">
        <v>91</v>
      </c>
      <c r="W652" t="s">
        <v>5085</v>
      </c>
      <c r="X652" t="s">
        <v>91</v>
      </c>
      <c r="Y652" t="s">
        <v>46</v>
      </c>
      <c r="Z652" t="s">
        <v>92</v>
      </c>
      <c r="AA652" t="s">
        <v>92</v>
      </c>
      <c r="AB652" t="s">
        <v>93</v>
      </c>
      <c r="AC652" t="s">
        <v>94</v>
      </c>
      <c r="AD652" t="s">
        <v>184</v>
      </c>
      <c r="AE652" t="s">
        <v>185</v>
      </c>
      <c r="AF652">
        <v>0</v>
      </c>
      <c r="AG652" t="s">
        <v>196</v>
      </c>
      <c r="AH652" s="93">
        <f>VLOOKUP(Table1[[#This Row],[Caste]],Factor!$H$1:$K$13,4,0)</f>
        <v>1.3836274505214585</v>
      </c>
      <c r="AI652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652">
        <f>Table1[[#This Row],[Factor_1]]*Table1[[#This Row],[2024 Factor]]</f>
        <v>1.9482662206881376</v>
      </c>
      <c r="AK652">
        <f>VLOOKUP(Table1[[#This Row],[Q18: Gender]],Factor!$A$33:$E$35,5,0)</f>
        <v>0.85034013605442171</v>
      </c>
      <c r="AL652">
        <f>VLOOKUP(Table1[[#This Row],[Taluka]],Factor!$A$42:$G$46,7,0)</f>
        <v>1.9264642089343564</v>
      </c>
      <c r="AM652">
        <f>VLOOKUP(Table1[[#This Row],[Caste]]&amp;Table1[[#This Row],[Q18: Gender]],Factor!$W$1:$X$23,2,0)</f>
        <v>1.0790228998469584</v>
      </c>
      <c r="AN652">
        <f>VLOOKUP(Table1[[#This Row],[Taluka]]&amp;Table1[[#This Row],[Caste]]&amp;Table1[[#This Row],[Q18: Gender]],Factor!$AK$4:$AL$93,2,0)</f>
        <v>2.1355167697651956</v>
      </c>
      <c r="AO652">
        <f t="shared" si="110"/>
        <v>1</v>
      </c>
      <c r="AP652">
        <f t="shared" si="111"/>
        <v>1</v>
      </c>
      <c r="AQ652">
        <f t="shared" si="112"/>
        <v>1</v>
      </c>
      <c r="AR652">
        <f t="shared" si="113"/>
        <v>1</v>
      </c>
      <c r="AS652">
        <f t="shared" si="114"/>
        <v>1</v>
      </c>
      <c r="AT652">
        <f t="shared" si="115"/>
        <v>1</v>
      </c>
      <c r="AU652">
        <f t="shared" si="116"/>
        <v>5.5</v>
      </c>
      <c r="AV652">
        <f>SUM(Table1[[#This Row],[Satis]:[29]])</f>
        <v>6</v>
      </c>
      <c r="AW652">
        <f t="shared" si="117"/>
        <v>5</v>
      </c>
      <c r="AX652">
        <f t="shared" si="118"/>
        <v>4</v>
      </c>
      <c r="AY652">
        <f t="shared" si="119"/>
        <v>3</v>
      </c>
      <c r="AZ652" t="str">
        <f t="shared" si="120"/>
        <v>YSRCP HardCore</v>
      </c>
    </row>
    <row r="653" spans="1:52" x14ac:dyDescent="0.3">
      <c r="A653" t="s">
        <v>4026</v>
      </c>
      <c r="B653" s="94">
        <v>46046</v>
      </c>
      <c r="C653" t="s">
        <v>4027</v>
      </c>
      <c r="D653" t="s">
        <v>3236</v>
      </c>
      <c r="E653" t="s">
        <v>3075</v>
      </c>
      <c r="F653" t="s">
        <v>935</v>
      </c>
      <c r="G653" t="s">
        <v>39</v>
      </c>
      <c r="H653" t="s">
        <v>4028</v>
      </c>
      <c r="I653" t="s">
        <v>70</v>
      </c>
      <c r="J653" t="s">
        <v>203</v>
      </c>
      <c r="K653" t="s">
        <v>208</v>
      </c>
      <c r="L653" t="s">
        <v>82</v>
      </c>
      <c r="M653" t="s">
        <v>443</v>
      </c>
      <c r="N653" t="s">
        <v>52</v>
      </c>
      <c r="O653" t="s">
        <v>3238</v>
      </c>
      <c r="P653">
        <v>9848856816</v>
      </c>
      <c r="Q653" t="s">
        <v>54</v>
      </c>
      <c r="R653" t="s">
        <v>132</v>
      </c>
      <c r="S653" t="s">
        <v>89</v>
      </c>
      <c r="T653" t="s">
        <v>89</v>
      </c>
      <c r="U653" t="s">
        <v>90</v>
      </c>
      <c r="V653" t="s">
        <v>91</v>
      </c>
      <c r="W653" t="s">
        <v>5085</v>
      </c>
      <c r="X653" t="s">
        <v>91</v>
      </c>
      <c r="Y653" t="s">
        <v>46</v>
      </c>
      <c r="Z653" t="s">
        <v>92</v>
      </c>
      <c r="AA653" t="s">
        <v>92</v>
      </c>
      <c r="AB653" t="s">
        <v>93</v>
      </c>
      <c r="AC653" t="s">
        <v>94</v>
      </c>
      <c r="AD653">
        <v>0</v>
      </c>
      <c r="AE653" t="s">
        <v>185</v>
      </c>
      <c r="AF653">
        <v>0</v>
      </c>
      <c r="AG653" t="s">
        <v>196</v>
      </c>
      <c r="AH653" s="93">
        <f>VLOOKUP(Table1[[#This Row],[Caste]],Factor!$H$1:$K$13,4,0)</f>
        <v>1.3836274505214585</v>
      </c>
      <c r="AI653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653">
        <f>Table1[[#This Row],[Factor_1]]*Table1[[#This Row],[2024 Factor]]</f>
        <v>1.9482662206881376</v>
      </c>
      <c r="AK653">
        <f>VLOOKUP(Table1[[#This Row],[Q18: Gender]],Factor!$A$33:$E$35,5,0)</f>
        <v>0.85034013605442171</v>
      </c>
      <c r="AL653">
        <f>VLOOKUP(Table1[[#This Row],[Taluka]],Factor!$A$42:$G$46,7,0)</f>
        <v>1.9264642089343564</v>
      </c>
      <c r="AM653">
        <f>VLOOKUP(Table1[[#This Row],[Caste]]&amp;Table1[[#This Row],[Q18: Gender]],Factor!$W$1:$X$23,2,0)</f>
        <v>1.0790228998469584</v>
      </c>
      <c r="AN653">
        <f>VLOOKUP(Table1[[#This Row],[Taluka]]&amp;Table1[[#This Row],[Caste]]&amp;Table1[[#This Row],[Q18: Gender]],Factor!$AK$4:$AL$93,2,0)</f>
        <v>2.1355167697651956</v>
      </c>
      <c r="AO653">
        <f t="shared" si="110"/>
        <v>1</v>
      </c>
      <c r="AP653">
        <f t="shared" si="111"/>
        <v>1</v>
      </c>
      <c r="AQ653">
        <f t="shared" si="112"/>
        <v>1</v>
      </c>
      <c r="AR653">
        <f t="shared" si="113"/>
        <v>1</v>
      </c>
      <c r="AS653">
        <f t="shared" si="114"/>
        <v>1</v>
      </c>
      <c r="AT653">
        <f t="shared" si="115"/>
        <v>1</v>
      </c>
      <c r="AU653">
        <f t="shared" si="116"/>
        <v>5.5</v>
      </c>
      <c r="AV653">
        <f>SUM(Table1[[#This Row],[Satis]:[29]])</f>
        <v>6</v>
      </c>
      <c r="AW653">
        <f t="shared" si="117"/>
        <v>5</v>
      </c>
      <c r="AX653">
        <f t="shared" si="118"/>
        <v>4</v>
      </c>
      <c r="AY653">
        <f t="shared" si="119"/>
        <v>3</v>
      </c>
      <c r="AZ653" t="str">
        <f t="shared" si="120"/>
        <v>YSRCP HardCore</v>
      </c>
    </row>
    <row r="654" spans="1:52" x14ac:dyDescent="0.3">
      <c r="A654" t="s">
        <v>3712</v>
      </c>
      <c r="B654" s="94">
        <v>46046</v>
      </c>
      <c r="C654" t="s">
        <v>3713</v>
      </c>
      <c r="D654" t="s">
        <v>3714</v>
      </c>
      <c r="E654" t="s">
        <v>3715</v>
      </c>
      <c r="F654" t="s">
        <v>69</v>
      </c>
      <c r="G654" t="s">
        <v>39</v>
      </c>
      <c r="H654" t="s">
        <v>3716</v>
      </c>
      <c r="I654" t="s">
        <v>227</v>
      </c>
      <c r="J654" t="s">
        <v>203</v>
      </c>
      <c r="K654" t="s">
        <v>203</v>
      </c>
      <c r="L654" t="s">
        <v>75</v>
      </c>
      <c r="M654" t="s">
        <v>51</v>
      </c>
      <c r="N654" t="s">
        <v>52</v>
      </c>
      <c r="O654" t="s">
        <v>3290</v>
      </c>
      <c r="P654">
        <v>9989962848</v>
      </c>
      <c r="Q654" t="s">
        <v>54</v>
      </c>
      <c r="R654" t="s">
        <v>61</v>
      </c>
      <c r="S654" t="s">
        <v>89</v>
      </c>
      <c r="T654" t="s">
        <v>89</v>
      </c>
      <c r="U654" t="s">
        <v>90</v>
      </c>
      <c r="V654" t="s">
        <v>91</v>
      </c>
      <c r="W654" t="s">
        <v>5063</v>
      </c>
      <c r="X654" t="s">
        <v>91</v>
      </c>
      <c r="Y654" t="s">
        <v>638</v>
      </c>
      <c r="Z654" t="s">
        <v>92</v>
      </c>
      <c r="AA654" t="s">
        <v>92</v>
      </c>
      <c r="AB654" t="s">
        <v>93</v>
      </c>
      <c r="AC654" t="s">
        <v>94</v>
      </c>
      <c r="AD654" t="s">
        <v>184</v>
      </c>
      <c r="AE654" t="s">
        <v>189</v>
      </c>
      <c r="AF654" t="s">
        <v>4070</v>
      </c>
      <c r="AG654" t="s">
        <v>196</v>
      </c>
      <c r="AH654" s="93">
        <f>VLOOKUP(Table1[[#This Row],[Caste]],Factor!$H$1:$K$13,4,0)</f>
        <v>1.2612194085121222</v>
      </c>
      <c r="AI654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654">
        <f>Table1[[#This Row],[Factor_1]]*Table1[[#This Row],[2024 Factor]]</f>
        <v>1.5392437151422549</v>
      </c>
      <c r="AK654">
        <f>VLOOKUP(Table1[[#This Row],[Q18: Gender]],Factor!$A$33:$E$35,5,0)</f>
        <v>0.85034013605442171</v>
      </c>
      <c r="AL654">
        <f>VLOOKUP(Table1[[#This Row],[Taluka]],Factor!$A$42:$G$46,7,0)</f>
        <v>1.9264642089343564</v>
      </c>
      <c r="AM654">
        <f>VLOOKUP(Table1[[#This Row],[Caste]]&amp;Table1[[#This Row],[Q18: Gender]],Factor!$W$1:$X$23,2,0)</f>
        <v>0.85249089649430487</v>
      </c>
      <c r="AN654">
        <f>VLOOKUP(Table1[[#This Row],[Taluka]]&amp;Table1[[#This Row],[Caste]]&amp;Table1[[#This Row],[Q18: Gender]],Factor!$AK$4:$AL$93,2,0)</f>
        <v>1.7847621356853685</v>
      </c>
      <c r="AO654">
        <f t="shared" si="110"/>
        <v>1</v>
      </c>
      <c r="AP654">
        <f t="shared" si="111"/>
        <v>1</v>
      </c>
      <c r="AQ654">
        <f t="shared" si="112"/>
        <v>1</v>
      </c>
      <c r="AR654">
        <f t="shared" si="113"/>
        <v>1</v>
      </c>
      <c r="AS654">
        <f t="shared" si="114"/>
        <v>1</v>
      </c>
      <c r="AT654">
        <f t="shared" si="115"/>
        <v>1</v>
      </c>
      <c r="AU654">
        <f t="shared" si="116"/>
        <v>5.5</v>
      </c>
      <c r="AV654">
        <f>SUM(Table1[[#This Row],[Satis]:[29]])</f>
        <v>6</v>
      </c>
      <c r="AW654">
        <f t="shared" si="117"/>
        <v>5</v>
      </c>
      <c r="AX654">
        <f t="shared" si="118"/>
        <v>4</v>
      </c>
      <c r="AY654">
        <f t="shared" si="119"/>
        <v>3</v>
      </c>
      <c r="AZ654" t="str">
        <f t="shared" si="120"/>
        <v>YSRCP HardCore</v>
      </c>
    </row>
    <row r="655" spans="1:52" x14ac:dyDescent="0.3">
      <c r="A655" t="s">
        <v>3717</v>
      </c>
      <c r="B655" s="94">
        <v>46046</v>
      </c>
      <c r="C655" t="s">
        <v>3718</v>
      </c>
      <c r="D655" t="s">
        <v>3719</v>
      </c>
      <c r="E655" t="s">
        <v>3720</v>
      </c>
      <c r="F655" t="s">
        <v>240</v>
      </c>
      <c r="G655" t="s">
        <v>39</v>
      </c>
      <c r="H655" t="s">
        <v>3721</v>
      </c>
      <c r="I655" t="s">
        <v>228</v>
      </c>
      <c r="J655" t="s">
        <v>71</v>
      </c>
      <c r="K655" t="s">
        <v>218</v>
      </c>
      <c r="L655" t="s">
        <v>75</v>
      </c>
      <c r="M655" t="s">
        <v>443</v>
      </c>
      <c r="N655" t="s">
        <v>63</v>
      </c>
      <c r="O655" t="s">
        <v>394</v>
      </c>
      <c r="P655">
        <v>999999999</v>
      </c>
      <c r="Q655" t="s">
        <v>54</v>
      </c>
      <c r="R655" t="s">
        <v>2116</v>
      </c>
      <c r="S655" t="s">
        <v>43</v>
      </c>
      <c r="T655" t="s">
        <v>43</v>
      </c>
      <c r="U655" t="s">
        <v>44</v>
      </c>
      <c r="V655" t="s">
        <v>45</v>
      </c>
      <c r="W655" t="s">
        <v>5089</v>
      </c>
      <c r="X655" t="s">
        <v>45</v>
      </c>
      <c r="Y655" t="s">
        <v>46</v>
      </c>
      <c r="Z655" t="s">
        <v>47</v>
      </c>
      <c r="AA655" t="s">
        <v>48</v>
      </c>
      <c r="AB655" t="s">
        <v>49</v>
      </c>
      <c r="AC655" t="s">
        <v>49</v>
      </c>
      <c r="AD655" t="s">
        <v>494</v>
      </c>
      <c r="AE655" t="s">
        <v>189</v>
      </c>
      <c r="AF655" t="s">
        <v>4093</v>
      </c>
      <c r="AG655" t="s">
        <v>196</v>
      </c>
      <c r="AH655" s="93">
        <f>VLOOKUP(Table1[[#This Row],[Caste]],Factor!$H$1:$K$13,4,0)</f>
        <v>0.80207032429970992</v>
      </c>
      <c r="AI65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55">
        <f>Table1[[#This Row],[Factor_1]]*Table1[[#This Row],[2024 Factor]]</f>
        <v>0.65595572330316032</v>
      </c>
      <c r="AK655">
        <f>VLOOKUP(Table1[[#This Row],[Q18: Gender]],Factor!$A$33:$E$35,5,0)</f>
        <v>0.85034013605442171</v>
      </c>
      <c r="AL655">
        <f>VLOOKUP(Table1[[#This Row],[Taluka]],Factor!$A$42:$G$46,7,0)</f>
        <v>1.1213131007097483</v>
      </c>
      <c r="AM655">
        <f>VLOOKUP(Table1[[#This Row],[Caste]]&amp;Table1[[#This Row],[Q18: Gender]],Factor!$W$1:$X$23,2,0)</f>
        <v>0.60762903356038633</v>
      </c>
      <c r="AN655">
        <f>VLOOKUP(Table1[[#This Row],[Taluka]]&amp;Table1[[#This Row],[Caste]]&amp;Table1[[#This Row],[Q18: Gender]],Factor!$AK$4:$AL$93,2,0)</f>
        <v>0.38672994380094594</v>
      </c>
      <c r="AO655">
        <f t="shared" si="110"/>
        <v>-1</v>
      </c>
      <c r="AP655">
        <f t="shared" si="111"/>
        <v>-1</v>
      </c>
      <c r="AQ655">
        <f t="shared" si="112"/>
        <v>-1</v>
      </c>
      <c r="AR655">
        <f t="shared" si="113"/>
        <v>-1</v>
      </c>
      <c r="AS655">
        <f t="shared" si="114"/>
        <v>-1</v>
      </c>
      <c r="AT655">
        <f t="shared" si="115"/>
        <v>-1</v>
      </c>
      <c r="AU655">
        <f t="shared" si="116"/>
        <v>-5.5</v>
      </c>
      <c r="AV655">
        <f>SUM(Table1[[#This Row],[Satis]:[29]])</f>
        <v>-6</v>
      </c>
      <c r="AW655">
        <f t="shared" si="117"/>
        <v>-5</v>
      </c>
      <c r="AX655">
        <f t="shared" si="118"/>
        <v>-4</v>
      </c>
      <c r="AY655">
        <f t="shared" si="119"/>
        <v>-3</v>
      </c>
      <c r="AZ655" t="str">
        <f t="shared" si="120"/>
        <v>TDP HardCore</v>
      </c>
    </row>
    <row r="656" spans="1:52" x14ac:dyDescent="0.3">
      <c r="A656" t="s">
        <v>3722</v>
      </c>
      <c r="B656" s="94">
        <v>46046</v>
      </c>
      <c r="C656" t="s">
        <v>3723</v>
      </c>
      <c r="D656" t="s">
        <v>3724</v>
      </c>
      <c r="E656" t="s">
        <v>3725</v>
      </c>
      <c r="F656" t="s">
        <v>69</v>
      </c>
      <c r="G656" t="s">
        <v>39</v>
      </c>
      <c r="H656" t="s">
        <v>3726</v>
      </c>
      <c r="I656" t="s">
        <v>227</v>
      </c>
      <c r="J656" t="s">
        <v>203</v>
      </c>
      <c r="K656" t="s">
        <v>203</v>
      </c>
      <c r="L656" t="s">
        <v>50</v>
      </c>
      <c r="M656" t="s">
        <v>51</v>
      </c>
      <c r="N656" t="s">
        <v>52</v>
      </c>
      <c r="O656" t="s">
        <v>657</v>
      </c>
      <c r="P656">
        <v>9999999999</v>
      </c>
      <c r="Q656" t="s">
        <v>54</v>
      </c>
      <c r="R656" t="s">
        <v>132</v>
      </c>
      <c r="S656" t="s">
        <v>89</v>
      </c>
      <c r="T656" t="s">
        <v>43</v>
      </c>
      <c r="U656" t="s">
        <v>44</v>
      </c>
      <c r="V656" t="s">
        <v>45</v>
      </c>
      <c r="W656" t="s">
        <v>5078</v>
      </c>
      <c r="X656" t="s">
        <v>45</v>
      </c>
      <c r="Y656" t="s">
        <v>46</v>
      </c>
      <c r="Z656" t="s">
        <v>47</v>
      </c>
      <c r="AA656" t="s">
        <v>48</v>
      </c>
      <c r="AB656" t="s">
        <v>49</v>
      </c>
      <c r="AC656" t="s">
        <v>49</v>
      </c>
      <c r="AD656" t="s">
        <v>184</v>
      </c>
      <c r="AE656" t="s">
        <v>189</v>
      </c>
      <c r="AF656" t="s">
        <v>4070</v>
      </c>
      <c r="AG656" t="s">
        <v>196</v>
      </c>
      <c r="AH656" s="93">
        <f>VLOOKUP(Table1[[#This Row],[Caste]],Factor!$H$1:$K$13,4,0)</f>
        <v>1.2612194085121222</v>
      </c>
      <c r="AI65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56">
        <f>Table1[[#This Row],[Factor_1]]*Table1[[#This Row],[2024 Factor]]</f>
        <v>0.92029223709519836</v>
      </c>
      <c r="AK656">
        <f>VLOOKUP(Table1[[#This Row],[Q18: Gender]],Factor!$A$33:$E$35,5,0)</f>
        <v>0.85034013605442171</v>
      </c>
      <c r="AL656">
        <f>VLOOKUP(Table1[[#This Row],[Taluka]],Factor!$A$42:$G$46,7,0)</f>
        <v>1.9264642089343564</v>
      </c>
      <c r="AM656">
        <f>VLOOKUP(Table1[[#This Row],[Caste]]&amp;Table1[[#This Row],[Q18: Gender]],Factor!$W$1:$X$23,2,0)</f>
        <v>0.85249089649430487</v>
      </c>
      <c r="AN656">
        <f>VLOOKUP(Table1[[#This Row],[Taluka]]&amp;Table1[[#This Row],[Caste]]&amp;Table1[[#This Row],[Q18: Gender]],Factor!$AK$4:$AL$93,2,0)</f>
        <v>1.7847621356853685</v>
      </c>
      <c r="AO656">
        <f t="shared" si="110"/>
        <v>-1</v>
      </c>
      <c r="AP656">
        <f t="shared" si="111"/>
        <v>-1</v>
      </c>
      <c r="AQ656">
        <f t="shared" si="112"/>
        <v>-1</v>
      </c>
      <c r="AR656">
        <f t="shared" si="113"/>
        <v>-1</v>
      </c>
      <c r="AS656">
        <f t="shared" si="114"/>
        <v>-1</v>
      </c>
      <c r="AT656">
        <f t="shared" si="115"/>
        <v>-1</v>
      </c>
      <c r="AU656">
        <f t="shared" si="116"/>
        <v>-5.5</v>
      </c>
      <c r="AV656">
        <f>SUM(Table1[[#This Row],[Satis]:[29]])</f>
        <v>-6</v>
      </c>
      <c r="AW656">
        <f t="shared" si="117"/>
        <v>-5</v>
      </c>
      <c r="AX656">
        <f t="shared" si="118"/>
        <v>-4</v>
      </c>
      <c r="AY656">
        <f t="shared" si="119"/>
        <v>-3</v>
      </c>
      <c r="AZ656" t="str">
        <f t="shared" si="120"/>
        <v>TDP HardCore</v>
      </c>
    </row>
    <row r="657" spans="1:52" x14ac:dyDescent="0.3">
      <c r="A657" t="s">
        <v>3727</v>
      </c>
      <c r="B657" s="94">
        <v>46046</v>
      </c>
      <c r="C657" t="s">
        <v>3728</v>
      </c>
      <c r="D657" t="s">
        <v>3729</v>
      </c>
      <c r="E657" t="s">
        <v>3730</v>
      </c>
      <c r="F657" t="s">
        <v>240</v>
      </c>
      <c r="G657" t="s">
        <v>39</v>
      </c>
      <c r="H657" t="s">
        <v>3731</v>
      </c>
      <c r="I657" t="s">
        <v>36</v>
      </c>
      <c r="J657" t="s">
        <v>71</v>
      </c>
      <c r="K657" t="s">
        <v>218</v>
      </c>
      <c r="L657" t="s">
        <v>62</v>
      </c>
      <c r="M657" t="s">
        <v>51</v>
      </c>
      <c r="N657" t="s">
        <v>52</v>
      </c>
      <c r="O657" t="s">
        <v>1890</v>
      </c>
      <c r="P657">
        <v>9866817360</v>
      </c>
      <c r="Q657" t="s">
        <v>54</v>
      </c>
      <c r="R657" t="s">
        <v>61</v>
      </c>
      <c r="S657" t="s">
        <v>43</v>
      </c>
      <c r="T657" t="s">
        <v>43</v>
      </c>
      <c r="U657" t="s">
        <v>44</v>
      </c>
      <c r="V657" t="s">
        <v>45</v>
      </c>
      <c r="W657" t="s">
        <v>5069</v>
      </c>
      <c r="X657" t="s">
        <v>45</v>
      </c>
      <c r="Y657" t="s">
        <v>46</v>
      </c>
      <c r="Z657" t="s">
        <v>242</v>
      </c>
      <c r="AA657" t="s">
        <v>242</v>
      </c>
      <c r="AB657" t="s">
        <v>49</v>
      </c>
      <c r="AC657" t="s">
        <v>49</v>
      </c>
      <c r="AD657" t="s">
        <v>494</v>
      </c>
      <c r="AE657" t="s">
        <v>189</v>
      </c>
      <c r="AF657" t="s">
        <v>4093</v>
      </c>
      <c r="AG657" t="s">
        <v>196</v>
      </c>
      <c r="AH657" s="93">
        <f>VLOOKUP(Table1[[#This Row],[Caste]],Factor!$H$1:$K$13,4,0)</f>
        <v>1.1705128247062893</v>
      </c>
      <c r="AI657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657">
        <f>Table1[[#This Row],[Factor_1]]*Table1[[#This Row],[2024 Factor]]</f>
        <v>0.52890136495485462</v>
      </c>
      <c r="AK657">
        <f>VLOOKUP(Table1[[#This Row],[Q18: Gender]],Factor!$A$33:$E$35,5,0)</f>
        <v>0.85034013605442171</v>
      </c>
      <c r="AL657">
        <f>VLOOKUP(Table1[[#This Row],[Taluka]],Factor!$A$42:$G$46,7,0)</f>
        <v>1.1213131007097483</v>
      </c>
      <c r="AM657">
        <f>VLOOKUP(Table1[[#This Row],[Caste]]&amp;Table1[[#This Row],[Q18: Gender]],Factor!$W$1:$X$23,2,0)</f>
        <v>0.79950206330384943</v>
      </c>
      <c r="AN657">
        <f>VLOOKUP(Table1[[#This Row],[Taluka]]&amp;Table1[[#This Row],[Caste]]&amp;Table1[[#This Row],[Q18: Gender]],Factor!$AK$4:$AL$93,2,0)</f>
        <v>0.7401439088249181</v>
      </c>
      <c r="AO657">
        <f t="shared" si="110"/>
        <v>-1</v>
      </c>
      <c r="AP657">
        <f t="shared" si="111"/>
        <v>-1</v>
      </c>
      <c r="AQ657">
        <f t="shared" si="112"/>
        <v>-1</v>
      </c>
      <c r="AR657">
        <f t="shared" si="113"/>
        <v>-1</v>
      </c>
      <c r="AS657">
        <f t="shared" si="114"/>
        <v>-1</v>
      </c>
      <c r="AT657">
        <f t="shared" si="115"/>
        <v>-1</v>
      </c>
      <c r="AU657">
        <f t="shared" si="116"/>
        <v>-5.5</v>
      </c>
      <c r="AV657">
        <f>SUM(Table1[[#This Row],[Satis]:[29]])</f>
        <v>-6</v>
      </c>
      <c r="AW657">
        <f t="shared" si="117"/>
        <v>-5</v>
      </c>
      <c r="AX657">
        <f t="shared" si="118"/>
        <v>-4</v>
      </c>
      <c r="AY657">
        <f t="shared" si="119"/>
        <v>-3</v>
      </c>
      <c r="AZ657" t="str">
        <f t="shared" si="120"/>
        <v>TDP HardCore</v>
      </c>
    </row>
    <row r="658" spans="1:52" x14ac:dyDescent="0.3">
      <c r="A658" t="s">
        <v>3732</v>
      </c>
      <c r="B658" s="94">
        <v>46046</v>
      </c>
      <c r="C658" t="s">
        <v>3733</v>
      </c>
      <c r="D658" t="s">
        <v>3734</v>
      </c>
      <c r="E658" t="s">
        <v>3620</v>
      </c>
      <c r="F658" t="s">
        <v>240</v>
      </c>
      <c r="G658" t="s">
        <v>39</v>
      </c>
      <c r="H658" t="s">
        <v>3735</v>
      </c>
      <c r="I658" t="s">
        <v>228</v>
      </c>
      <c r="J658" t="s">
        <v>71</v>
      </c>
      <c r="K658" t="s">
        <v>218</v>
      </c>
      <c r="L658" t="s">
        <v>62</v>
      </c>
      <c r="M658" t="s">
        <v>51</v>
      </c>
      <c r="N658" t="s">
        <v>52</v>
      </c>
      <c r="O658" t="s">
        <v>3736</v>
      </c>
      <c r="P658">
        <v>9999999999</v>
      </c>
      <c r="Q658" t="s">
        <v>445</v>
      </c>
      <c r="R658" t="s">
        <v>61</v>
      </c>
      <c r="S658" t="s">
        <v>43</v>
      </c>
      <c r="T658" t="s">
        <v>43</v>
      </c>
      <c r="U658" t="s">
        <v>44</v>
      </c>
      <c r="V658" t="s">
        <v>45</v>
      </c>
      <c r="W658" t="s">
        <v>5081</v>
      </c>
      <c r="X658" t="s">
        <v>45</v>
      </c>
      <c r="Y658" t="s">
        <v>46</v>
      </c>
      <c r="Z658" t="s">
        <v>242</v>
      </c>
      <c r="AA658" t="s">
        <v>242</v>
      </c>
      <c r="AB658" t="s">
        <v>49</v>
      </c>
      <c r="AC658" t="s">
        <v>49</v>
      </c>
      <c r="AD658" t="s">
        <v>494</v>
      </c>
      <c r="AE658" t="s">
        <v>189</v>
      </c>
      <c r="AF658" t="s">
        <v>4098</v>
      </c>
      <c r="AG658" t="s">
        <v>196</v>
      </c>
      <c r="AH658" s="93">
        <f>VLOOKUP(Table1[[#This Row],[Caste]],Factor!$H$1:$K$13,4,0)</f>
        <v>0.80207032429970992</v>
      </c>
      <c r="AI658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658">
        <f>Table1[[#This Row],[Factor_1]]*Table1[[#This Row],[2024 Factor]]</f>
        <v>0.78029465938659637</v>
      </c>
      <c r="AK658">
        <f>VLOOKUP(Table1[[#This Row],[Q18: Gender]],Factor!$A$33:$E$35,5,0)</f>
        <v>2.1645021645021645</v>
      </c>
      <c r="AL658">
        <f>VLOOKUP(Table1[[#This Row],[Taluka]],Factor!$A$42:$G$46,7,0)</f>
        <v>1.1213131007097483</v>
      </c>
      <c r="AM658">
        <f>VLOOKUP(Table1[[#This Row],[Caste]]&amp;Table1[[#This Row],[Q18: Gender]],Factor!$W$1:$X$23,2,0)</f>
        <v>1.1795151827936912</v>
      </c>
      <c r="AN658">
        <f>VLOOKUP(Table1[[#This Row],[Taluka]]&amp;Table1[[#This Row],[Caste]]&amp;Table1[[#This Row],[Q18: Gender]],Factor!$AK$4:$AL$93,2,0)</f>
        <v>1.1601898314028378</v>
      </c>
      <c r="AO658">
        <f t="shared" si="110"/>
        <v>-1</v>
      </c>
      <c r="AP658">
        <f t="shared" si="111"/>
        <v>-1</v>
      </c>
      <c r="AQ658">
        <f t="shared" si="112"/>
        <v>-1</v>
      </c>
      <c r="AR658">
        <f t="shared" si="113"/>
        <v>-1</v>
      </c>
      <c r="AS658">
        <f t="shared" si="114"/>
        <v>-1</v>
      </c>
      <c r="AT658">
        <f t="shared" si="115"/>
        <v>-1</v>
      </c>
      <c r="AU658">
        <f t="shared" si="116"/>
        <v>-5.5</v>
      </c>
      <c r="AV658">
        <f>SUM(Table1[[#This Row],[Satis]:[29]])</f>
        <v>-6</v>
      </c>
      <c r="AW658">
        <f t="shared" si="117"/>
        <v>-5</v>
      </c>
      <c r="AX658">
        <f t="shared" si="118"/>
        <v>-4</v>
      </c>
      <c r="AY658">
        <f t="shared" si="119"/>
        <v>-3</v>
      </c>
      <c r="AZ658" t="str">
        <f t="shared" si="120"/>
        <v>TDP HardCore</v>
      </c>
    </row>
    <row r="659" spans="1:52" x14ac:dyDescent="0.3">
      <c r="A659" t="s">
        <v>4009</v>
      </c>
      <c r="B659" s="94">
        <v>46046</v>
      </c>
      <c r="C659" t="s">
        <v>4010</v>
      </c>
      <c r="D659" t="s">
        <v>3236</v>
      </c>
      <c r="E659" t="s">
        <v>3075</v>
      </c>
      <c r="F659" t="s">
        <v>935</v>
      </c>
      <c r="G659" t="s">
        <v>39</v>
      </c>
      <c r="H659" t="s">
        <v>4011</v>
      </c>
      <c r="I659" t="s">
        <v>70</v>
      </c>
      <c r="J659" t="s">
        <v>203</v>
      </c>
      <c r="K659" t="s">
        <v>208</v>
      </c>
      <c r="L659" t="s">
        <v>82</v>
      </c>
      <c r="M659" t="s">
        <v>443</v>
      </c>
      <c r="N659" t="s">
        <v>52</v>
      </c>
      <c r="O659" t="s">
        <v>3238</v>
      </c>
      <c r="P659">
        <v>9848856816</v>
      </c>
      <c r="Q659" t="s">
        <v>54</v>
      </c>
      <c r="R659" t="s">
        <v>132</v>
      </c>
      <c r="S659" t="s">
        <v>89</v>
      </c>
      <c r="T659" t="s">
        <v>89</v>
      </c>
      <c r="U659" t="s">
        <v>90</v>
      </c>
      <c r="V659" t="s">
        <v>91</v>
      </c>
      <c r="W659" t="s">
        <v>5085</v>
      </c>
      <c r="X659" t="s">
        <v>91</v>
      </c>
      <c r="Y659" t="s">
        <v>46</v>
      </c>
      <c r="Z659" t="s">
        <v>92</v>
      </c>
      <c r="AA659" t="s">
        <v>92</v>
      </c>
      <c r="AB659" t="s">
        <v>93</v>
      </c>
      <c r="AC659" t="s">
        <v>94</v>
      </c>
      <c r="AD659">
        <v>0</v>
      </c>
      <c r="AE659" t="s">
        <v>185</v>
      </c>
      <c r="AF659">
        <v>0</v>
      </c>
      <c r="AG659" t="s">
        <v>196</v>
      </c>
      <c r="AH659" s="93">
        <f>VLOOKUP(Table1[[#This Row],[Caste]],Factor!$H$1:$K$13,4,0)</f>
        <v>1.3836274505214585</v>
      </c>
      <c r="AI659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659">
        <f>Table1[[#This Row],[Factor_1]]*Table1[[#This Row],[2024 Factor]]</f>
        <v>1.9482662206881376</v>
      </c>
      <c r="AK659">
        <f>VLOOKUP(Table1[[#This Row],[Q18: Gender]],Factor!$A$33:$E$35,5,0)</f>
        <v>0.85034013605442171</v>
      </c>
      <c r="AL659">
        <f>VLOOKUP(Table1[[#This Row],[Taluka]],Factor!$A$42:$G$46,7,0)</f>
        <v>1.9264642089343564</v>
      </c>
      <c r="AM659">
        <f>VLOOKUP(Table1[[#This Row],[Caste]]&amp;Table1[[#This Row],[Q18: Gender]],Factor!$W$1:$X$23,2,0)</f>
        <v>1.0790228998469584</v>
      </c>
      <c r="AN659">
        <f>VLOOKUP(Table1[[#This Row],[Taluka]]&amp;Table1[[#This Row],[Caste]]&amp;Table1[[#This Row],[Q18: Gender]],Factor!$AK$4:$AL$93,2,0)</f>
        <v>2.1355167697651956</v>
      </c>
      <c r="AO659">
        <f t="shared" si="110"/>
        <v>1</v>
      </c>
      <c r="AP659">
        <f t="shared" si="111"/>
        <v>1</v>
      </c>
      <c r="AQ659">
        <f t="shared" si="112"/>
        <v>1</v>
      </c>
      <c r="AR659">
        <f t="shared" si="113"/>
        <v>1</v>
      </c>
      <c r="AS659">
        <f t="shared" si="114"/>
        <v>1</v>
      </c>
      <c r="AT659">
        <f t="shared" si="115"/>
        <v>1</v>
      </c>
      <c r="AU659">
        <f t="shared" si="116"/>
        <v>5.5</v>
      </c>
      <c r="AV659">
        <f>SUM(Table1[[#This Row],[Satis]:[29]])</f>
        <v>6</v>
      </c>
      <c r="AW659">
        <f t="shared" si="117"/>
        <v>5</v>
      </c>
      <c r="AX659">
        <f t="shared" si="118"/>
        <v>4</v>
      </c>
      <c r="AY659">
        <f t="shared" si="119"/>
        <v>3</v>
      </c>
      <c r="AZ659" t="str">
        <f t="shared" si="120"/>
        <v>YSRCP HardCore</v>
      </c>
    </row>
    <row r="660" spans="1:52" x14ac:dyDescent="0.3">
      <c r="A660" t="s">
        <v>3742</v>
      </c>
      <c r="B660" s="94">
        <v>46046</v>
      </c>
      <c r="C660" t="s">
        <v>3743</v>
      </c>
      <c r="D660" t="s">
        <v>3744</v>
      </c>
      <c r="E660" t="s">
        <v>3745</v>
      </c>
      <c r="F660" t="s">
        <v>2547</v>
      </c>
      <c r="G660" t="s">
        <v>39</v>
      </c>
      <c r="H660" t="s">
        <v>3746</v>
      </c>
      <c r="I660" t="s">
        <v>70</v>
      </c>
      <c r="J660" t="s">
        <v>203</v>
      </c>
      <c r="K660" t="s">
        <v>204</v>
      </c>
      <c r="L660" t="s">
        <v>451</v>
      </c>
      <c r="M660" t="s">
        <v>443</v>
      </c>
      <c r="N660" t="s">
        <v>63</v>
      </c>
      <c r="O660" t="s">
        <v>3747</v>
      </c>
      <c r="P660">
        <v>8008033089</v>
      </c>
      <c r="Q660" t="s">
        <v>445</v>
      </c>
      <c r="R660" t="s">
        <v>2116</v>
      </c>
      <c r="S660" t="s">
        <v>43</v>
      </c>
      <c r="T660" t="s">
        <v>89</v>
      </c>
      <c r="U660" t="s">
        <v>90</v>
      </c>
      <c r="V660" t="s">
        <v>91</v>
      </c>
      <c r="W660" t="s">
        <v>5056</v>
      </c>
      <c r="X660" t="s">
        <v>91</v>
      </c>
      <c r="Y660" t="s">
        <v>46</v>
      </c>
      <c r="Z660" t="s">
        <v>92</v>
      </c>
      <c r="AA660" t="s">
        <v>92</v>
      </c>
      <c r="AB660" t="s">
        <v>93</v>
      </c>
      <c r="AC660" t="s">
        <v>381</v>
      </c>
      <c r="AD660" t="s">
        <v>184</v>
      </c>
      <c r="AE660" t="s">
        <v>189</v>
      </c>
      <c r="AF660" t="s">
        <v>4071</v>
      </c>
      <c r="AG660" t="s">
        <v>196</v>
      </c>
      <c r="AH660" s="93">
        <f>VLOOKUP(Table1[[#This Row],[Caste]],Factor!$H$1:$K$13,4,0)</f>
        <v>1.3836274505214585</v>
      </c>
      <c r="AI660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660">
        <f>Table1[[#This Row],[Factor_1]]*Table1[[#This Row],[2024 Factor]]</f>
        <v>3.4809023142961388</v>
      </c>
      <c r="AK660">
        <f>VLOOKUP(Table1[[#This Row],[Q18: Gender]],Factor!$A$33:$E$35,5,0)</f>
        <v>2.1645021645021645</v>
      </c>
      <c r="AL660">
        <f>VLOOKUP(Table1[[#This Row],[Taluka]],Factor!$A$42:$G$46,7,0)</f>
        <v>1.9264642089343564</v>
      </c>
      <c r="AM660">
        <f>VLOOKUP(Table1[[#This Row],[Caste]]&amp;Table1[[#This Row],[Q18: Gender]],Factor!$W$1:$X$23,2,0)</f>
        <v>1.9278542477265657</v>
      </c>
      <c r="AN660">
        <f>VLOOKUP(Table1[[#This Row],[Taluka]]&amp;Table1[[#This Row],[Caste]]&amp;Table1[[#This Row],[Q18: Gender]],Factor!$AK$4:$AL$93,2,0)</f>
        <v>4.0768956513699193</v>
      </c>
      <c r="AO660">
        <f t="shared" si="110"/>
        <v>1</v>
      </c>
      <c r="AP660">
        <f t="shared" si="111"/>
        <v>1</v>
      </c>
      <c r="AQ660">
        <f t="shared" si="112"/>
        <v>1</v>
      </c>
      <c r="AR660">
        <f t="shared" si="113"/>
        <v>1</v>
      </c>
      <c r="AS660">
        <f t="shared" si="114"/>
        <v>1</v>
      </c>
      <c r="AT660">
        <f t="shared" si="115"/>
        <v>1</v>
      </c>
      <c r="AU660">
        <f t="shared" si="116"/>
        <v>5.5</v>
      </c>
      <c r="AV660">
        <f>SUM(Table1[[#This Row],[Satis]:[29]])</f>
        <v>6</v>
      </c>
      <c r="AW660">
        <f t="shared" si="117"/>
        <v>5</v>
      </c>
      <c r="AX660">
        <f t="shared" si="118"/>
        <v>4</v>
      </c>
      <c r="AY660">
        <f t="shared" si="119"/>
        <v>3</v>
      </c>
      <c r="AZ660" t="str">
        <f t="shared" si="120"/>
        <v>YSRCP HardCore</v>
      </c>
    </row>
    <row r="661" spans="1:52" x14ac:dyDescent="0.3">
      <c r="A661" t="s">
        <v>3777</v>
      </c>
      <c r="B661" s="94">
        <v>46046</v>
      </c>
      <c r="C661" t="s">
        <v>3778</v>
      </c>
      <c r="D661" t="s">
        <v>3779</v>
      </c>
      <c r="E661" t="s">
        <v>3780</v>
      </c>
      <c r="F661" t="s">
        <v>35</v>
      </c>
      <c r="G661" t="s">
        <v>39</v>
      </c>
      <c r="H661" t="s">
        <v>3781</v>
      </c>
      <c r="I661" t="s">
        <v>70</v>
      </c>
      <c r="J661" t="s">
        <v>71</v>
      </c>
      <c r="K661" t="s">
        <v>217</v>
      </c>
      <c r="L661" t="s">
        <v>451</v>
      </c>
      <c r="M661" t="s">
        <v>443</v>
      </c>
      <c r="N661" t="s">
        <v>63</v>
      </c>
      <c r="O661" t="s">
        <v>3782</v>
      </c>
      <c r="P661">
        <v>9640757510</v>
      </c>
      <c r="Q661" t="s">
        <v>445</v>
      </c>
      <c r="R661" t="s">
        <v>73</v>
      </c>
      <c r="S661" t="s">
        <v>88</v>
      </c>
      <c r="T661" t="s">
        <v>43</v>
      </c>
      <c r="U661" t="s">
        <v>44</v>
      </c>
      <c r="V661" t="s">
        <v>91</v>
      </c>
      <c r="W661" t="s">
        <v>5109</v>
      </c>
      <c r="X661" t="s">
        <v>91</v>
      </c>
      <c r="Y661" t="s">
        <v>46</v>
      </c>
      <c r="Z661" t="s">
        <v>92</v>
      </c>
      <c r="AA661" t="s">
        <v>92</v>
      </c>
      <c r="AB661" t="s">
        <v>147</v>
      </c>
      <c r="AC661" t="s">
        <v>94</v>
      </c>
      <c r="AD661" t="s">
        <v>184</v>
      </c>
      <c r="AE661" t="s">
        <v>185</v>
      </c>
      <c r="AF661" t="s">
        <v>4089</v>
      </c>
      <c r="AG661" t="s">
        <v>196</v>
      </c>
      <c r="AH661" s="93">
        <f>VLOOKUP(Table1[[#This Row],[Caste]],Factor!$H$1:$K$13,4,0)</f>
        <v>1.3836274505214585</v>
      </c>
      <c r="AI661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661">
        <f>Table1[[#This Row],[Factor_1]]*Table1[[#This Row],[2024 Factor]]</f>
        <v>3.4809023142961388</v>
      </c>
      <c r="AK661">
        <f>VLOOKUP(Table1[[#This Row],[Q18: Gender]],Factor!$A$33:$E$35,5,0)</f>
        <v>2.1645021645021645</v>
      </c>
      <c r="AL661">
        <f>VLOOKUP(Table1[[#This Row],[Taluka]],Factor!$A$42:$G$46,7,0)</f>
        <v>1.1213131007097483</v>
      </c>
      <c r="AM661">
        <f>VLOOKUP(Table1[[#This Row],[Caste]]&amp;Table1[[#This Row],[Q18: Gender]],Factor!$W$1:$X$23,2,0)</f>
        <v>1.9278542477265657</v>
      </c>
      <c r="AN661">
        <f>VLOOKUP(Table1[[#This Row],[Taluka]]&amp;Table1[[#This Row],[Caste]]&amp;Table1[[#This Row],[Q18: Gender]],Factor!$AK$4:$AL$93,2,0)</f>
        <v>1.2302776805571209</v>
      </c>
      <c r="AO661">
        <f t="shared" si="110"/>
        <v>-1</v>
      </c>
      <c r="AP661">
        <f t="shared" si="111"/>
        <v>-1</v>
      </c>
      <c r="AQ661">
        <f t="shared" si="112"/>
        <v>1</v>
      </c>
      <c r="AR661">
        <f t="shared" si="113"/>
        <v>1</v>
      </c>
      <c r="AS661">
        <f t="shared" si="114"/>
        <v>1</v>
      </c>
      <c r="AT661">
        <f t="shared" si="115"/>
        <v>1</v>
      </c>
      <c r="AU661">
        <f t="shared" si="116"/>
        <v>1.5</v>
      </c>
      <c r="AV661">
        <f>SUM(Table1[[#This Row],[Satis]:[29]])</f>
        <v>2</v>
      </c>
      <c r="AW661">
        <f t="shared" si="117"/>
        <v>3</v>
      </c>
      <c r="AX661">
        <f t="shared" si="118"/>
        <v>4</v>
      </c>
      <c r="AY661">
        <f t="shared" si="119"/>
        <v>2</v>
      </c>
      <c r="AZ661" t="str">
        <f t="shared" si="120"/>
        <v>YSRCP Sympathiser</v>
      </c>
    </row>
    <row r="662" spans="1:52" x14ac:dyDescent="0.3">
      <c r="A662" t="s">
        <v>3794</v>
      </c>
      <c r="B662" s="94">
        <v>46046</v>
      </c>
      <c r="C662" t="s">
        <v>3795</v>
      </c>
      <c r="D662" t="s">
        <v>3107</v>
      </c>
      <c r="E662" t="s">
        <v>3108</v>
      </c>
      <c r="F662" t="s">
        <v>935</v>
      </c>
      <c r="G662" t="s">
        <v>39</v>
      </c>
      <c r="H662" t="s">
        <v>3796</v>
      </c>
      <c r="I662" t="s">
        <v>70</v>
      </c>
      <c r="J662" t="s">
        <v>203</v>
      </c>
      <c r="K662" t="s">
        <v>208</v>
      </c>
      <c r="L662" t="s">
        <v>451</v>
      </c>
      <c r="M662" t="s">
        <v>443</v>
      </c>
      <c r="N662" t="s">
        <v>52</v>
      </c>
      <c r="O662" t="s">
        <v>3110</v>
      </c>
      <c r="P662">
        <v>90000000</v>
      </c>
      <c r="Q662" t="s">
        <v>445</v>
      </c>
      <c r="R662" t="s">
        <v>132</v>
      </c>
      <c r="S662" t="s">
        <v>88</v>
      </c>
      <c r="T662" t="s">
        <v>89</v>
      </c>
      <c r="U662" t="s">
        <v>90</v>
      </c>
      <c r="V662" t="s">
        <v>91</v>
      </c>
      <c r="W662" t="s">
        <v>5046</v>
      </c>
      <c r="X662" t="s">
        <v>91</v>
      </c>
      <c r="Y662" t="s">
        <v>46</v>
      </c>
      <c r="Z662" t="s">
        <v>92</v>
      </c>
      <c r="AA662" t="s">
        <v>92</v>
      </c>
      <c r="AB662" t="s">
        <v>351</v>
      </c>
      <c r="AC662" t="s">
        <v>94</v>
      </c>
      <c r="AD662" t="s">
        <v>184</v>
      </c>
      <c r="AE662" t="s">
        <v>185</v>
      </c>
      <c r="AF662">
        <v>0</v>
      </c>
      <c r="AG662" t="s">
        <v>196</v>
      </c>
      <c r="AH662" s="93">
        <f>VLOOKUP(Table1[[#This Row],[Caste]],Factor!$H$1:$K$13,4,0)</f>
        <v>1.3836274505214585</v>
      </c>
      <c r="AI662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662">
        <f>Table1[[#This Row],[Factor_1]]*Table1[[#This Row],[2024 Factor]]</f>
        <v>3.4809023142961388</v>
      </c>
      <c r="AK662">
        <f>VLOOKUP(Table1[[#This Row],[Q18: Gender]],Factor!$A$33:$E$35,5,0)</f>
        <v>2.1645021645021645</v>
      </c>
      <c r="AL662">
        <f>VLOOKUP(Table1[[#This Row],[Taluka]],Factor!$A$42:$G$46,7,0)</f>
        <v>1.9264642089343564</v>
      </c>
      <c r="AM662">
        <f>VLOOKUP(Table1[[#This Row],[Caste]]&amp;Table1[[#This Row],[Q18: Gender]],Factor!$W$1:$X$23,2,0)</f>
        <v>1.9278542477265657</v>
      </c>
      <c r="AN662">
        <f>VLOOKUP(Table1[[#This Row],[Taluka]]&amp;Table1[[#This Row],[Caste]]&amp;Table1[[#This Row],[Q18: Gender]],Factor!$AK$4:$AL$93,2,0)</f>
        <v>4.0768956513699193</v>
      </c>
      <c r="AO662">
        <f t="shared" si="110"/>
        <v>1</v>
      </c>
      <c r="AP662">
        <f t="shared" si="111"/>
        <v>1</v>
      </c>
      <c r="AQ662">
        <f t="shared" si="112"/>
        <v>1</v>
      </c>
      <c r="AR662">
        <f t="shared" si="113"/>
        <v>1</v>
      </c>
      <c r="AS662">
        <f t="shared" si="114"/>
        <v>1</v>
      </c>
      <c r="AT662">
        <f t="shared" si="115"/>
        <v>1</v>
      </c>
      <c r="AU662">
        <f t="shared" si="116"/>
        <v>5.5</v>
      </c>
      <c r="AV662">
        <f>SUM(Table1[[#This Row],[Satis]:[29]])</f>
        <v>6</v>
      </c>
      <c r="AW662">
        <f t="shared" si="117"/>
        <v>5</v>
      </c>
      <c r="AX662">
        <f t="shared" si="118"/>
        <v>4</v>
      </c>
      <c r="AY662">
        <f t="shared" si="119"/>
        <v>3</v>
      </c>
      <c r="AZ662" t="str">
        <f t="shared" si="120"/>
        <v>YSRCP HardCore</v>
      </c>
    </row>
    <row r="663" spans="1:52" x14ac:dyDescent="0.3">
      <c r="A663" t="s">
        <v>3759</v>
      </c>
      <c r="B663" s="94">
        <v>46046</v>
      </c>
      <c r="C663" t="s">
        <v>3760</v>
      </c>
      <c r="D663" t="s">
        <v>3761</v>
      </c>
      <c r="E663" t="s">
        <v>3762</v>
      </c>
      <c r="F663" t="s">
        <v>2547</v>
      </c>
      <c r="G663" t="s">
        <v>39</v>
      </c>
      <c r="H663" t="s">
        <v>3763</v>
      </c>
      <c r="I663" t="s">
        <v>145</v>
      </c>
      <c r="J663" t="s">
        <v>203</v>
      </c>
      <c r="K663" t="s">
        <v>204</v>
      </c>
      <c r="L663" t="s">
        <v>451</v>
      </c>
      <c r="M663" t="s">
        <v>51</v>
      </c>
      <c r="N663" t="s">
        <v>52</v>
      </c>
      <c r="O663" t="s">
        <v>3764</v>
      </c>
      <c r="P663">
        <v>954826437855</v>
      </c>
      <c r="Q663" t="s">
        <v>445</v>
      </c>
      <c r="R663" t="s">
        <v>61</v>
      </c>
      <c r="S663" t="s">
        <v>88</v>
      </c>
      <c r="T663" t="s">
        <v>43</v>
      </c>
      <c r="U663" t="s">
        <v>44</v>
      </c>
      <c r="V663" t="s">
        <v>45</v>
      </c>
      <c r="W663" t="s">
        <v>5101</v>
      </c>
      <c r="X663" t="s">
        <v>45</v>
      </c>
      <c r="Y663" t="s">
        <v>46</v>
      </c>
      <c r="Z663" t="s">
        <v>47</v>
      </c>
      <c r="AA663" t="s">
        <v>92</v>
      </c>
      <c r="AB663" t="s">
        <v>93</v>
      </c>
      <c r="AC663" t="s">
        <v>381</v>
      </c>
      <c r="AD663" t="s">
        <v>494</v>
      </c>
      <c r="AE663" t="s">
        <v>185</v>
      </c>
      <c r="AF663" t="s">
        <v>4058</v>
      </c>
      <c r="AG663" t="s">
        <v>196</v>
      </c>
      <c r="AH663" s="93">
        <f>VLOOKUP(Table1[[#This Row],[Caste]],Factor!$H$1:$K$13,4,0)</f>
        <v>1.8452248965186235</v>
      </c>
      <c r="AI663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663">
        <f>Table1[[#This Row],[Factor_1]]*Table1[[#This Row],[2024 Factor]]</f>
        <v>4.5810986374418894</v>
      </c>
      <c r="AK663">
        <f>VLOOKUP(Table1[[#This Row],[Q18: Gender]],Factor!$A$33:$E$35,5,0)</f>
        <v>2.1645021645021645</v>
      </c>
      <c r="AL663">
        <f>VLOOKUP(Table1[[#This Row],[Taluka]],Factor!$A$42:$G$46,7,0)</f>
        <v>1.9264642089343564</v>
      </c>
      <c r="AM663">
        <f>VLOOKUP(Table1[[#This Row],[Caste]]&amp;Table1[[#This Row],[Q18: Gender]],Factor!$W$1:$X$23,2,0)</f>
        <v>2.5371842327131073</v>
      </c>
      <c r="AN663">
        <f>VLOOKUP(Table1[[#This Row],[Taluka]]&amp;Table1[[#This Row],[Caste]]&amp;Table1[[#This Row],[Q18: Gender]],Factor!$AK$4:$AL$93,2,0)</f>
        <v>3.1477397325715799</v>
      </c>
      <c r="AO663">
        <f t="shared" si="110"/>
        <v>-1</v>
      </c>
      <c r="AP663">
        <f t="shared" si="111"/>
        <v>-1</v>
      </c>
      <c r="AQ663">
        <f t="shared" si="112"/>
        <v>-1</v>
      </c>
      <c r="AR663">
        <f t="shared" si="113"/>
        <v>-1</v>
      </c>
      <c r="AS663">
        <f t="shared" si="114"/>
        <v>1</v>
      </c>
      <c r="AT663">
        <f t="shared" si="115"/>
        <v>-1</v>
      </c>
      <c r="AU663">
        <f t="shared" si="116"/>
        <v>-4.5</v>
      </c>
      <c r="AV663">
        <f>SUM(Table1[[#This Row],[Satis]:[29]])</f>
        <v>-4</v>
      </c>
      <c r="AW663">
        <f t="shared" si="117"/>
        <v>-3</v>
      </c>
      <c r="AX663">
        <f t="shared" si="118"/>
        <v>-2</v>
      </c>
      <c r="AY663">
        <f t="shared" si="119"/>
        <v>-2</v>
      </c>
      <c r="AZ663" t="str">
        <f t="shared" si="120"/>
        <v>Neutral TDP</v>
      </c>
    </row>
    <row r="664" spans="1:52" x14ac:dyDescent="0.3">
      <c r="A664" t="s">
        <v>3105</v>
      </c>
      <c r="B664" s="94">
        <v>46046</v>
      </c>
      <c r="C664" t="s">
        <v>3106</v>
      </c>
      <c r="D664" t="s">
        <v>3107</v>
      </c>
      <c r="E664" t="s">
        <v>3108</v>
      </c>
      <c r="F664" t="s">
        <v>935</v>
      </c>
      <c r="G664" t="s">
        <v>39</v>
      </c>
      <c r="H664" t="s">
        <v>3109</v>
      </c>
      <c r="I664" t="s">
        <v>70</v>
      </c>
      <c r="J664" t="s">
        <v>203</v>
      </c>
      <c r="K664" t="s">
        <v>208</v>
      </c>
      <c r="L664" t="s">
        <v>451</v>
      </c>
      <c r="M664" t="s">
        <v>443</v>
      </c>
      <c r="N664" t="s">
        <v>52</v>
      </c>
      <c r="O664" t="s">
        <v>3110</v>
      </c>
      <c r="P664">
        <v>90000000</v>
      </c>
      <c r="Q664" t="s">
        <v>445</v>
      </c>
      <c r="R664" t="s">
        <v>132</v>
      </c>
      <c r="S664" t="s">
        <v>88</v>
      </c>
      <c r="T664" t="s">
        <v>89</v>
      </c>
      <c r="U664" t="s">
        <v>90</v>
      </c>
      <c r="V664" t="s">
        <v>91</v>
      </c>
      <c r="W664" t="s">
        <v>5046</v>
      </c>
      <c r="X664" t="s">
        <v>91</v>
      </c>
      <c r="Y664" t="s">
        <v>46</v>
      </c>
      <c r="Z664" t="s">
        <v>92</v>
      </c>
      <c r="AA664" t="s">
        <v>92</v>
      </c>
      <c r="AB664" t="s">
        <v>351</v>
      </c>
      <c r="AC664" t="s">
        <v>94</v>
      </c>
      <c r="AD664">
        <v>0</v>
      </c>
      <c r="AE664" t="s">
        <v>185</v>
      </c>
      <c r="AF664">
        <v>0</v>
      </c>
      <c r="AG664" t="s">
        <v>196</v>
      </c>
      <c r="AH664" s="93">
        <f>VLOOKUP(Table1[[#This Row],[Caste]],Factor!$H$1:$K$13,4,0)</f>
        <v>1.3836274505214585</v>
      </c>
      <c r="AI664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664">
        <f>Table1[[#This Row],[Factor_1]]*Table1[[#This Row],[2024 Factor]]</f>
        <v>3.4809023142961388</v>
      </c>
      <c r="AK664">
        <f>VLOOKUP(Table1[[#This Row],[Q18: Gender]],Factor!$A$33:$E$35,5,0)</f>
        <v>2.1645021645021645</v>
      </c>
      <c r="AL664">
        <f>VLOOKUP(Table1[[#This Row],[Taluka]],Factor!$A$42:$G$46,7,0)</f>
        <v>1.9264642089343564</v>
      </c>
      <c r="AM664">
        <f>VLOOKUP(Table1[[#This Row],[Caste]]&amp;Table1[[#This Row],[Q18: Gender]],Factor!$W$1:$X$23,2,0)</f>
        <v>1.9278542477265657</v>
      </c>
      <c r="AN664">
        <f>VLOOKUP(Table1[[#This Row],[Taluka]]&amp;Table1[[#This Row],[Caste]]&amp;Table1[[#This Row],[Q18: Gender]],Factor!$AK$4:$AL$93,2,0)</f>
        <v>4.0768956513699193</v>
      </c>
      <c r="AO664">
        <f t="shared" si="110"/>
        <v>1</v>
      </c>
      <c r="AP664">
        <f t="shared" si="111"/>
        <v>1</v>
      </c>
      <c r="AQ664">
        <f t="shared" si="112"/>
        <v>1</v>
      </c>
      <c r="AR664">
        <f t="shared" si="113"/>
        <v>1</v>
      </c>
      <c r="AS664">
        <f t="shared" si="114"/>
        <v>1</v>
      </c>
      <c r="AT664">
        <f t="shared" si="115"/>
        <v>1</v>
      </c>
      <c r="AU664">
        <f t="shared" si="116"/>
        <v>5.5</v>
      </c>
      <c r="AV664">
        <f>SUM(Table1[[#This Row],[Satis]:[29]])</f>
        <v>6</v>
      </c>
      <c r="AW664">
        <f t="shared" si="117"/>
        <v>5</v>
      </c>
      <c r="AX664">
        <f t="shared" si="118"/>
        <v>4</v>
      </c>
      <c r="AY664">
        <f t="shared" si="119"/>
        <v>3</v>
      </c>
      <c r="AZ664" t="str">
        <f t="shared" si="120"/>
        <v>YSRCP HardCore</v>
      </c>
    </row>
    <row r="665" spans="1:52" x14ac:dyDescent="0.3">
      <c r="A665" t="s">
        <v>3258</v>
      </c>
      <c r="B665" s="94">
        <v>46046</v>
      </c>
      <c r="C665" t="s">
        <v>3259</v>
      </c>
      <c r="D665" t="s">
        <v>3260</v>
      </c>
      <c r="E665" t="s">
        <v>3261</v>
      </c>
      <c r="F665" t="s">
        <v>2547</v>
      </c>
      <c r="G665" t="s">
        <v>39</v>
      </c>
      <c r="H665" t="s">
        <v>3262</v>
      </c>
      <c r="I665" t="s">
        <v>59</v>
      </c>
      <c r="J665" t="s">
        <v>203</v>
      </c>
      <c r="K665" t="s">
        <v>204</v>
      </c>
      <c r="L665" t="s">
        <v>50</v>
      </c>
      <c r="M665" t="s">
        <v>51</v>
      </c>
      <c r="N665" t="s">
        <v>63</v>
      </c>
      <c r="O665" t="s">
        <v>3263</v>
      </c>
      <c r="P665">
        <v>9704447137</v>
      </c>
      <c r="Q665" t="s">
        <v>54</v>
      </c>
      <c r="R665" t="s">
        <v>61</v>
      </c>
      <c r="S665" t="s">
        <v>43</v>
      </c>
      <c r="T665" t="s">
        <v>43</v>
      </c>
      <c r="U665" t="s">
        <v>44</v>
      </c>
      <c r="V665" t="s">
        <v>45</v>
      </c>
      <c r="W665" t="s">
        <v>5088</v>
      </c>
      <c r="X665" t="s">
        <v>45</v>
      </c>
      <c r="Y665" t="s">
        <v>46</v>
      </c>
      <c r="Z665" t="s">
        <v>47</v>
      </c>
      <c r="AA665" t="s">
        <v>48</v>
      </c>
      <c r="AB665" t="s">
        <v>49</v>
      </c>
      <c r="AC665" t="s">
        <v>49</v>
      </c>
      <c r="AD665" t="s">
        <v>184</v>
      </c>
      <c r="AE665" t="s">
        <v>185</v>
      </c>
      <c r="AF665">
        <v>0</v>
      </c>
      <c r="AG665" t="s">
        <v>196</v>
      </c>
      <c r="AH665" s="93">
        <f>VLOOKUP(Table1[[#This Row],[Caste]],Factor!$H$1:$K$13,4,0)</f>
        <v>1.1461625511156397</v>
      </c>
      <c r="AI66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65">
        <f>Table1[[#This Row],[Factor_1]]*Table1[[#This Row],[2024 Factor]]</f>
        <v>0.77721139583220644</v>
      </c>
      <c r="AK665">
        <f>VLOOKUP(Table1[[#This Row],[Q18: Gender]],Factor!$A$33:$E$35,5,0)</f>
        <v>0.85034013605442171</v>
      </c>
      <c r="AL665">
        <f>VLOOKUP(Table1[[#This Row],[Taluka]],Factor!$A$42:$G$46,7,0)</f>
        <v>1.9264642089343564</v>
      </c>
      <c r="AM665">
        <f>VLOOKUP(Table1[[#This Row],[Caste]]&amp;Table1[[#This Row],[Q18: Gender]],Factor!$W$1:$X$23,2,0)</f>
        <v>0.71995135120329123</v>
      </c>
      <c r="AN665">
        <f>VLOOKUP(Table1[[#This Row],[Taluka]]&amp;Table1[[#This Row],[Caste]]&amp;Table1[[#This Row],[Q18: Gender]],Factor!$AK$4:$AL$93,2,0)</f>
        <v>0.70534647283248642</v>
      </c>
      <c r="AO665">
        <f t="shared" si="110"/>
        <v>-1</v>
      </c>
      <c r="AP665">
        <f t="shared" si="111"/>
        <v>-1</v>
      </c>
      <c r="AQ665">
        <f t="shared" si="112"/>
        <v>-1</v>
      </c>
      <c r="AR665">
        <f t="shared" si="113"/>
        <v>-1</v>
      </c>
      <c r="AS665">
        <f t="shared" si="114"/>
        <v>-1</v>
      </c>
      <c r="AT665">
        <f t="shared" si="115"/>
        <v>-1</v>
      </c>
      <c r="AU665">
        <f t="shared" si="116"/>
        <v>-5.5</v>
      </c>
      <c r="AV665">
        <f>SUM(Table1[[#This Row],[Satis]:[29]])</f>
        <v>-6</v>
      </c>
      <c r="AW665">
        <f t="shared" si="117"/>
        <v>-5</v>
      </c>
      <c r="AX665">
        <f t="shared" si="118"/>
        <v>-4</v>
      </c>
      <c r="AY665">
        <f t="shared" si="119"/>
        <v>-3</v>
      </c>
      <c r="AZ665" t="str">
        <f t="shared" si="120"/>
        <v>TDP HardCore</v>
      </c>
    </row>
    <row r="666" spans="1:52" x14ac:dyDescent="0.3">
      <c r="A666" t="s">
        <v>3038</v>
      </c>
      <c r="B666" s="94">
        <v>46046</v>
      </c>
      <c r="C666" t="s">
        <v>3039</v>
      </c>
      <c r="D666" t="s">
        <v>3040</v>
      </c>
      <c r="E666" t="s">
        <v>3041</v>
      </c>
      <c r="F666" t="s">
        <v>35</v>
      </c>
      <c r="G666" t="s">
        <v>39</v>
      </c>
      <c r="H666" t="s">
        <v>3042</v>
      </c>
      <c r="I666" t="s">
        <v>36</v>
      </c>
      <c r="J666" t="s">
        <v>71</v>
      </c>
      <c r="K666" t="s">
        <v>217</v>
      </c>
      <c r="L666" t="s">
        <v>925</v>
      </c>
      <c r="M666" t="s">
        <v>51</v>
      </c>
      <c r="N666" t="s">
        <v>52</v>
      </c>
      <c r="O666" t="s">
        <v>3043</v>
      </c>
      <c r="P666">
        <v>7702809788</v>
      </c>
      <c r="Q666" t="s">
        <v>54</v>
      </c>
      <c r="R666" t="s">
        <v>61</v>
      </c>
      <c r="S666" t="s">
        <v>88</v>
      </c>
      <c r="T666" t="s">
        <v>89</v>
      </c>
      <c r="U666" t="s">
        <v>90</v>
      </c>
      <c r="V666" t="s">
        <v>91</v>
      </c>
      <c r="W666" t="s">
        <v>5054</v>
      </c>
      <c r="X666" t="s">
        <v>45</v>
      </c>
      <c r="Y666" t="s">
        <v>46</v>
      </c>
      <c r="Z666" t="s">
        <v>47</v>
      </c>
      <c r="AA666" t="s">
        <v>48</v>
      </c>
      <c r="AB666" t="s">
        <v>49</v>
      </c>
      <c r="AC666" t="s">
        <v>49</v>
      </c>
      <c r="AD666" t="s">
        <v>184</v>
      </c>
      <c r="AE666" t="s">
        <v>185</v>
      </c>
      <c r="AF666">
        <v>0</v>
      </c>
      <c r="AG666" t="s">
        <v>196</v>
      </c>
      <c r="AH666" s="93">
        <f>VLOOKUP(Table1[[#This Row],[Caste]],Factor!$H$1:$K$13,4,0)</f>
        <v>1.1705128247062893</v>
      </c>
      <c r="AI66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66">
        <f>Table1[[#This Row],[Factor_1]]*Table1[[#This Row],[2024 Factor]]</f>
        <v>0.86308903171383233</v>
      </c>
      <c r="AK666">
        <f>VLOOKUP(Table1[[#This Row],[Q18: Gender]],Factor!$A$33:$E$35,5,0)</f>
        <v>0.85034013605442171</v>
      </c>
      <c r="AL666">
        <f>VLOOKUP(Table1[[#This Row],[Taluka]],Factor!$A$42:$G$46,7,0)</f>
        <v>1.1213131007097483</v>
      </c>
      <c r="AM666">
        <f>VLOOKUP(Table1[[#This Row],[Caste]]&amp;Table1[[#This Row],[Q18: Gender]],Factor!$W$1:$X$23,2,0)</f>
        <v>0.79950206330384943</v>
      </c>
      <c r="AN666">
        <f>VLOOKUP(Table1[[#This Row],[Taluka]]&amp;Table1[[#This Row],[Caste]]&amp;Table1[[#This Row],[Q18: Gender]],Factor!$AK$4:$AL$93,2,0)</f>
        <v>0.7401439088249181</v>
      </c>
      <c r="AO666">
        <f t="shared" si="110"/>
        <v>1</v>
      </c>
      <c r="AP666">
        <f t="shared" si="111"/>
        <v>1</v>
      </c>
      <c r="AQ666">
        <f t="shared" si="112"/>
        <v>1</v>
      </c>
      <c r="AR666">
        <f t="shared" si="113"/>
        <v>-1</v>
      </c>
      <c r="AS666">
        <f t="shared" si="114"/>
        <v>-1</v>
      </c>
      <c r="AT666">
        <f t="shared" si="115"/>
        <v>-1</v>
      </c>
      <c r="AU666">
        <f t="shared" si="116"/>
        <v>0.5</v>
      </c>
      <c r="AV666">
        <f>SUM(Table1[[#This Row],[Satis]:[29]])</f>
        <v>0</v>
      </c>
      <c r="AW666">
        <f t="shared" si="117"/>
        <v>-1</v>
      </c>
      <c r="AX666">
        <f t="shared" si="118"/>
        <v>-2</v>
      </c>
      <c r="AY666">
        <f t="shared" si="119"/>
        <v>-2</v>
      </c>
      <c r="AZ666" t="str">
        <f t="shared" si="120"/>
        <v>Neutral TDP</v>
      </c>
    </row>
    <row r="667" spans="1:52" x14ac:dyDescent="0.3">
      <c r="A667" t="s">
        <v>3638</v>
      </c>
      <c r="B667" s="94">
        <v>46046</v>
      </c>
      <c r="C667" t="s">
        <v>3639</v>
      </c>
      <c r="D667" t="s">
        <v>3640</v>
      </c>
      <c r="E667" t="s">
        <v>3198</v>
      </c>
      <c r="F667" t="s">
        <v>240</v>
      </c>
      <c r="G667" t="s">
        <v>39</v>
      </c>
      <c r="H667" t="s">
        <v>3641</v>
      </c>
      <c r="I667" t="s">
        <v>59</v>
      </c>
      <c r="J667" t="s">
        <v>71</v>
      </c>
      <c r="K667" t="s">
        <v>218</v>
      </c>
      <c r="L667" t="s">
        <v>451</v>
      </c>
      <c r="M667" t="s">
        <v>51</v>
      </c>
      <c r="N667" t="s">
        <v>63</v>
      </c>
      <c r="O667" t="s">
        <v>3642</v>
      </c>
      <c r="P667">
        <v>9704432467</v>
      </c>
      <c r="Q667" t="s">
        <v>445</v>
      </c>
      <c r="R667" t="s">
        <v>2116</v>
      </c>
      <c r="S667" t="s">
        <v>43</v>
      </c>
      <c r="T667" t="s">
        <v>43</v>
      </c>
      <c r="U667" t="s">
        <v>44</v>
      </c>
      <c r="V667" t="s">
        <v>45</v>
      </c>
      <c r="W667" t="s">
        <v>5056</v>
      </c>
      <c r="X667" t="s">
        <v>45</v>
      </c>
      <c r="Y667" t="s">
        <v>46</v>
      </c>
      <c r="Z667" t="s">
        <v>47</v>
      </c>
      <c r="AA667" t="s">
        <v>48</v>
      </c>
      <c r="AB667" t="s">
        <v>49</v>
      </c>
      <c r="AC667" t="s">
        <v>49</v>
      </c>
      <c r="AD667" t="s">
        <v>184</v>
      </c>
      <c r="AE667" t="s">
        <v>185</v>
      </c>
      <c r="AF667">
        <v>0</v>
      </c>
      <c r="AG667" t="s">
        <v>196</v>
      </c>
      <c r="AH667" s="93">
        <f>VLOOKUP(Table1[[#This Row],[Caste]],Factor!$H$1:$K$13,4,0)</f>
        <v>1.1461625511156397</v>
      </c>
      <c r="AI66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67">
        <f>Table1[[#This Row],[Factor_1]]*Table1[[#This Row],[2024 Factor]]</f>
        <v>3.0326483876590018</v>
      </c>
      <c r="AK667">
        <f>VLOOKUP(Table1[[#This Row],[Q18: Gender]],Factor!$A$33:$E$35,5,0)</f>
        <v>2.1645021645021645</v>
      </c>
      <c r="AL667">
        <f>VLOOKUP(Table1[[#This Row],[Taluka]],Factor!$A$42:$G$46,7,0)</f>
        <v>1.1213131007097483</v>
      </c>
      <c r="AM667">
        <f>VLOOKUP(Table1[[#This Row],[Caste]]&amp;Table1[[#This Row],[Q18: Gender]],Factor!$W$1:$X$23,2,0)</f>
        <v>2.8092219390089208</v>
      </c>
      <c r="AN667">
        <f>VLOOKUP(Table1[[#This Row],[Taluka]]&amp;Table1[[#This Row],[Caste]]&amp;Table1[[#This Row],[Q18: Gender]],Factor!$AK$4:$AL$93,2,0)</f>
        <v>1.8020838461961379</v>
      </c>
      <c r="AO667">
        <f t="shared" si="110"/>
        <v>-1</v>
      </c>
      <c r="AP667">
        <f t="shared" si="111"/>
        <v>-1</v>
      </c>
      <c r="AQ667">
        <f t="shared" si="112"/>
        <v>-1</v>
      </c>
      <c r="AR667">
        <f t="shared" si="113"/>
        <v>-1</v>
      </c>
      <c r="AS667">
        <f t="shared" si="114"/>
        <v>-1</v>
      </c>
      <c r="AT667">
        <f t="shared" si="115"/>
        <v>-1</v>
      </c>
      <c r="AU667">
        <f t="shared" si="116"/>
        <v>-5.5</v>
      </c>
      <c r="AV667">
        <f>SUM(Table1[[#This Row],[Satis]:[29]])</f>
        <v>-6</v>
      </c>
      <c r="AW667">
        <f t="shared" si="117"/>
        <v>-5</v>
      </c>
      <c r="AX667">
        <f t="shared" si="118"/>
        <v>-4</v>
      </c>
      <c r="AY667">
        <f t="shared" si="119"/>
        <v>-3</v>
      </c>
      <c r="AZ667" t="str">
        <f t="shared" si="120"/>
        <v>TDP HardCore</v>
      </c>
    </row>
    <row r="668" spans="1:52" x14ac:dyDescent="0.3">
      <c r="A668" t="s">
        <v>3783</v>
      </c>
      <c r="B668" s="94">
        <v>46046</v>
      </c>
      <c r="C668" t="s">
        <v>3784</v>
      </c>
      <c r="D668" t="s">
        <v>3785</v>
      </c>
      <c r="E668" t="s">
        <v>1197</v>
      </c>
      <c r="F668" t="s">
        <v>35</v>
      </c>
      <c r="G668" t="s">
        <v>39</v>
      </c>
      <c r="H668" t="s">
        <v>3786</v>
      </c>
      <c r="I668" t="s">
        <v>70</v>
      </c>
      <c r="J668" t="s">
        <v>71</v>
      </c>
      <c r="K668" t="s">
        <v>216</v>
      </c>
      <c r="L668" t="s">
        <v>451</v>
      </c>
      <c r="M668" t="s">
        <v>443</v>
      </c>
      <c r="N668" t="s">
        <v>63</v>
      </c>
      <c r="O668" t="s">
        <v>3787</v>
      </c>
      <c r="P668">
        <v>0</v>
      </c>
      <c r="Q668" t="s">
        <v>445</v>
      </c>
      <c r="R668" t="s">
        <v>139</v>
      </c>
      <c r="S668" t="s">
        <v>89</v>
      </c>
      <c r="T668" t="s">
        <v>43</v>
      </c>
      <c r="U668" t="s">
        <v>44</v>
      </c>
      <c r="V668" t="s">
        <v>45</v>
      </c>
      <c r="W668" t="s">
        <v>5107</v>
      </c>
      <c r="X668" t="s">
        <v>45</v>
      </c>
      <c r="Y668" t="s">
        <v>46</v>
      </c>
      <c r="Z668" t="s">
        <v>47</v>
      </c>
      <c r="AA668" t="s">
        <v>48</v>
      </c>
      <c r="AB668" t="s">
        <v>49</v>
      </c>
      <c r="AC668" t="s">
        <v>49</v>
      </c>
      <c r="AD668" t="s">
        <v>494</v>
      </c>
      <c r="AE668" t="s">
        <v>1250</v>
      </c>
      <c r="AF668" t="s">
        <v>1773</v>
      </c>
      <c r="AG668" t="s">
        <v>498</v>
      </c>
      <c r="AH668" s="93">
        <f>VLOOKUP(Table1[[#This Row],[Caste]],Factor!$H$1:$K$13,4,0)</f>
        <v>1.3836274505214585</v>
      </c>
      <c r="AI66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68">
        <f>Table1[[#This Row],[Factor_1]]*Table1[[#This Row],[2024 Factor]]</f>
        <v>2.0811826914865059</v>
      </c>
      <c r="AK668">
        <f>VLOOKUP(Table1[[#This Row],[Q18: Gender]],Factor!$A$33:$E$35,5,0)</f>
        <v>2.1645021645021645</v>
      </c>
      <c r="AL668">
        <f>VLOOKUP(Table1[[#This Row],[Taluka]],Factor!$A$42:$G$46,7,0)</f>
        <v>1.1213131007097483</v>
      </c>
      <c r="AM668">
        <f>VLOOKUP(Table1[[#This Row],[Caste]]&amp;Table1[[#This Row],[Q18: Gender]],Factor!$W$1:$X$23,2,0)</f>
        <v>1.9278542477265657</v>
      </c>
      <c r="AN668">
        <f>VLOOKUP(Table1[[#This Row],[Taluka]]&amp;Table1[[#This Row],[Caste]]&amp;Table1[[#This Row],[Q18: Gender]],Factor!$AK$4:$AL$93,2,0)</f>
        <v>1.2302776805571209</v>
      </c>
      <c r="AO668">
        <f t="shared" si="110"/>
        <v>-1</v>
      </c>
      <c r="AP668">
        <f t="shared" si="111"/>
        <v>-1</v>
      </c>
      <c r="AQ668">
        <f t="shared" si="112"/>
        <v>-1</v>
      </c>
      <c r="AR668">
        <f t="shared" si="113"/>
        <v>-1</v>
      </c>
      <c r="AS668">
        <f t="shared" si="114"/>
        <v>-1</v>
      </c>
      <c r="AT668">
        <f t="shared" si="115"/>
        <v>-1</v>
      </c>
      <c r="AU668">
        <f t="shared" si="116"/>
        <v>-5.5</v>
      </c>
      <c r="AV668">
        <f>SUM(Table1[[#This Row],[Satis]:[29]])</f>
        <v>-6</v>
      </c>
      <c r="AW668">
        <f t="shared" si="117"/>
        <v>-5</v>
      </c>
      <c r="AX668">
        <f t="shared" si="118"/>
        <v>-4</v>
      </c>
      <c r="AY668">
        <f t="shared" si="119"/>
        <v>-3</v>
      </c>
      <c r="AZ668" t="str">
        <f t="shared" si="120"/>
        <v>TDP HardCore</v>
      </c>
    </row>
    <row r="669" spans="1:52" x14ac:dyDescent="0.3">
      <c r="A669" t="s">
        <v>3172</v>
      </c>
      <c r="B669" s="94">
        <v>46046</v>
      </c>
      <c r="C669" t="s">
        <v>3173</v>
      </c>
      <c r="D669" t="s">
        <v>3174</v>
      </c>
      <c r="E669" t="s">
        <v>3075</v>
      </c>
      <c r="F669" t="s">
        <v>935</v>
      </c>
      <c r="G669" t="s">
        <v>39</v>
      </c>
      <c r="H669" t="s">
        <v>3175</v>
      </c>
      <c r="I669" t="s">
        <v>36</v>
      </c>
      <c r="J669" t="s">
        <v>203</v>
      </c>
      <c r="K669" t="s">
        <v>208</v>
      </c>
      <c r="L669" t="s">
        <v>82</v>
      </c>
      <c r="M669" t="s">
        <v>51</v>
      </c>
      <c r="N669" t="s">
        <v>107</v>
      </c>
      <c r="O669" t="s">
        <v>3176</v>
      </c>
      <c r="P669">
        <v>7997810456</v>
      </c>
      <c r="Q669" t="s">
        <v>54</v>
      </c>
      <c r="R669" t="s">
        <v>2116</v>
      </c>
      <c r="S669" t="s">
        <v>89</v>
      </c>
      <c r="T669" t="s">
        <v>43</v>
      </c>
      <c r="U669" t="s">
        <v>90</v>
      </c>
      <c r="V669" t="s">
        <v>91</v>
      </c>
      <c r="W669" t="s">
        <v>5049</v>
      </c>
      <c r="X669" t="s">
        <v>45</v>
      </c>
      <c r="Y669" t="s">
        <v>46</v>
      </c>
      <c r="Z669" t="s">
        <v>47</v>
      </c>
      <c r="AA669" t="s">
        <v>48</v>
      </c>
      <c r="AB669" t="s">
        <v>49</v>
      </c>
      <c r="AC669" t="s">
        <v>49</v>
      </c>
      <c r="AD669" t="s">
        <v>184</v>
      </c>
      <c r="AE669" t="s">
        <v>185</v>
      </c>
      <c r="AF669">
        <v>0</v>
      </c>
      <c r="AG669" t="s">
        <v>196</v>
      </c>
      <c r="AH669" s="93">
        <f>VLOOKUP(Table1[[#This Row],[Caste]],Factor!$H$1:$K$13,4,0)</f>
        <v>1.1705128247062893</v>
      </c>
      <c r="AI66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69">
        <f>Table1[[#This Row],[Factor_1]]*Table1[[#This Row],[2024 Factor]]</f>
        <v>0.86308903171383233</v>
      </c>
      <c r="AK669">
        <f>VLOOKUP(Table1[[#This Row],[Q18: Gender]],Factor!$A$33:$E$35,5,0)</f>
        <v>0.85034013605442171</v>
      </c>
      <c r="AL669">
        <f>VLOOKUP(Table1[[#This Row],[Taluka]],Factor!$A$42:$G$46,7,0)</f>
        <v>1.9264642089343564</v>
      </c>
      <c r="AM669">
        <f>VLOOKUP(Table1[[#This Row],[Caste]]&amp;Table1[[#This Row],[Q18: Gender]],Factor!$W$1:$X$23,2,0)</f>
        <v>0.79950206330384943</v>
      </c>
      <c r="AN669">
        <f>VLOOKUP(Table1[[#This Row],[Taluka]]&amp;Table1[[#This Row],[Caste]]&amp;Table1[[#This Row],[Q18: Gender]],Factor!$AK$4:$AL$93,2,0)</f>
        <v>1.1572126985895925</v>
      </c>
      <c r="AO669">
        <f t="shared" si="110"/>
        <v>-1</v>
      </c>
      <c r="AP669">
        <f t="shared" si="111"/>
        <v>1</v>
      </c>
      <c r="AQ669">
        <f t="shared" si="112"/>
        <v>1</v>
      </c>
      <c r="AR669">
        <f t="shared" si="113"/>
        <v>-1</v>
      </c>
      <c r="AS669">
        <f t="shared" si="114"/>
        <v>-1</v>
      </c>
      <c r="AT669">
        <f t="shared" si="115"/>
        <v>-1</v>
      </c>
      <c r="AU669">
        <f t="shared" si="116"/>
        <v>-1.5</v>
      </c>
      <c r="AV669">
        <f>SUM(Table1[[#This Row],[Satis]:[29]])</f>
        <v>-2</v>
      </c>
      <c r="AW669">
        <f t="shared" si="117"/>
        <v>-3</v>
      </c>
      <c r="AX669">
        <f t="shared" si="118"/>
        <v>-2</v>
      </c>
      <c r="AY669">
        <f t="shared" si="119"/>
        <v>-3</v>
      </c>
      <c r="AZ669" t="str">
        <f t="shared" si="120"/>
        <v>Neutral TDP</v>
      </c>
    </row>
    <row r="670" spans="1:52" x14ac:dyDescent="0.3">
      <c r="A670" t="s">
        <v>3348</v>
      </c>
      <c r="B670" s="94">
        <v>46046</v>
      </c>
      <c r="C670" t="s">
        <v>3173</v>
      </c>
      <c r="D670" t="s">
        <v>3174</v>
      </c>
      <c r="E670" t="s">
        <v>3075</v>
      </c>
      <c r="F670" t="s">
        <v>935</v>
      </c>
      <c r="G670" t="s">
        <v>39</v>
      </c>
      <c r="H670" t="s">
        <v>3349</v>
      </c>
      <c r="I670" t="s">
        <v>36</v>
      </c>
      <c r="J670" t="s">
        <v>203</v>
      </c>
      <c r="K670" t="s">
        <v>208</v>
      </c>
      <c r="L670" t="s">
        <v>82</v>
      </c>
      <c r="M670" t="s">
        <v>51</v>
      </c>
      <c r="N670" t="s">
        <v>107</v>
      </c>
      <c r="O670" t="s">
        <v>3176</v>
      </c>
      <c r="P670">
        <v>7997810456</v>
      </c>
      <c r="Q670" t="s">
        <v>54</v>
      </c>
      <c r="R670" t="s">
        <v>2116</v>
      </c>
      <c r="S670" t="s">
        <v>89</v>
      </c>
      <c r="T670" t="s">
        <v>43</v>
      </c>
      <c r="U670" t="s">
        <v>90</v>
      </c>
      <c r="V670" t="s">
        <v>91</v>
      </c>
      <c r="W670" t="s">
        <v>5049</v>
      </c>
      <c r="X670" t="s">
        <v>45</v>
      </c>
      <c r="Y670" t="s">
        <v>46</v>
      </c>
      <c r="Z670" t="s">
        <v>47</v>
      </c>
      <c r="AA670" t="s">
        <v>48</v>
      </c>
      <c r="AB670" t="s">
        <v>49</v>
      </c>
      <c r="AC670" t="s">
        <v>49</v>
      </c>
      <c r="AD670">
        <v>0</v>
      </c>
      <c r="AE670" t="s">
        <v>185</v>
      </c>
      <c r="AF670">
        <v>0</v>
      </c>
      <c r="AG670" t="s">
        <v>196</v>
      </c>
      <c r="AH670" s="93">
        <f>VLOOKUP(Table1[[#This Row],[Caste]],Factor!$H$1:$K$13,4,0)</f>
        <v>1.1705128247062893</v>
      </c>
      <c r="AI67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70">
        <f>Table1[[#This Row],[Factor_1]]*Table1[[#This Row],[2024 Factor]]</f>
        <v>0.86308903171383233</v>
      </c>
      <c r="AK670">
        <f>VLOOKUP(Table1[[#This Row],[Q18: Gender]],Factor!$A$33:$E$35,5,0)</f>
        <v>0.85034013605442171</v>
      </c>
      <c r="AL670">
        <f>VLOOKUP(Table1[[#This Row],[Taluka]],Factor!$A$42:$G$46,7,0)</f>
        <v>1.9264642089343564</v>
      </c>
      <c r="AM670">
        <f>VLOOKUP(Table1[[#This Row],[Caste]]&amp;Table1[[#This Row],[Q18: Gender]],Factor!$W$1:$X$23,2,0)</f>
        <v>0.79950206330384943</v>
      </c>
      <c r="AN670">
        <f>VLOOKUP(Table1[[#This Row],[Taluka]]&amp;Table1[[#This Row],[Caste]]&amp;Table1[[#This Row],[Q18: Gender]],Factor!$AK$4:$AL$93,2,0)</f>
        <v>1.1572126985895925</v>
      </c>
      <c r="AO670">
        <f t="shared" si="110"/>
        <v>-1</v>
      </c>
      <c r="AP670">
        <f t="shared" si="111"/>
        <v>1</v>
      </c>
      <c r="AQ670">
        <f t="shared" si="112"/>
        <v>1</v>
      </c>
      <c r="AR670">
        <f t="shared" si="113"/>
        <v>-1</v>
      </c>
      <c r="AS670">
        <f t="shared" si="114"/>
        <v>-1</v>
      </c>
      <c r="AT670">
        <f t="shared" si="115"/>
        <v>-1</v>
      </c>
      <c r="AU670">
        <f t="shared" si="116"/>
        <v>-1.5</v>
      </c>
      <c r="AV670">
        <f>SUM(Table1[[#This Row],[Satis]:[29]])</f>
        <v>-2</v>
      </c>
      <c r="AW670">
        <f t="shared" si="117"/>
        <v>-3</v>
      </c>
      <c r="AX670">
        <f t="shared" si="118"/>
        <v>-2</v>
      </c>
      <c r="AY670">
        <f t="shared" si="119"/>
        <v>-3</v>
      </c>
      <c r="AZ670" t="str">
        <f t="shared" si="120"/>
        <v>Neutral TDP</v>
      </c>
    </row>
    <row r="671" spans="1:52" x14ac:dyDescent="0.3">
      <c r="A671" t="s">
        <v>3410</v>
      </c>
      <c r="B671" s="94">
        <v>46046</v>
      </c>
      <c r="C671" t="s">
        <v>3173</v>
      </c>
      <c r="D671" t="s">
        <v>3174</v>
      </c>
      <c r="E671" t="s">
        <v>3075</v>
      </c>
      <c r="F671" t="s">
        <v>935</v>
      </c>
      <c r="G671" t="s">
        <v>39</v>
      </c>
      <c r="H671" t="s">
        <v>3411</v>
      </c>
      <c r="I671" t="s">
        <v>36</v>
      </c>
      <c r="J671" t="s">
        <v>203</v>
      </c>
      <c r="K671" t="s">
        <v>208</v>
      </c>
      <c r="L671" t="s">
        <v>82</v>
      </c>
      <c r="M671" t="s">
        <v>51</v>
      </c>
      <c r="N671" t="s">
        <v>107</v>
      </c>
      <c r="O671" t="s">
        <v>3176</v>
      </c>
      <c r="P671">
        <v>7997810456</v>
      </c>
      <c r="Q671" t="s">
        <v>54</v>
      </c>
      <c r="R671" t="s">
        <v>2116</v>
      </c>
      <c r="S671" t="s">
        <v>89</v>
      </c>
      <c r="T671" t="s">
        <v>43</v>
      </c>
      <c r="U671" t="s">
        <v>90</v>
      </c>
      <c r="V671" t="s">
        <v>91</v>
      </c>
      <c r="W671" t="s">
        <v>5049</v>
      </c>
      <c r="X671" t="s">
        <v>45</v>
      </c>
      <c r="Y671" t="s">
        <v>46</v>
      </c>
      <c r="Z671" t="s">
        <v>47</v>
      </c>
      <c r="AA671" t="s">
        <v>48</v>
      </c>
      <c r="AB671" t="s">
        <v>49</v>
      </c>
      <c r="AC671" t="s">
        <v>49</v>
      </c>
      <c r="AD671">
        <v>0</v>
      </c>
      <c r="AE671" t="s">
        <v>185</v>
      </c>
      <c r="AF671">
        <v>0</v>
      </c>
      <c r="AG671" t="s">
        <v>196</v>
      </c>
      <c r="AH671" s="93">
        <f>VLOOKUP(Table1[[#This Row],[Caste]],Factor!$H$1:$K$13,4,0)</f>
        <v>1.1705128247062893</v>
      </c>
      <c r="AI67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71">
        <f>Table1[[#This Row],[Factor_1]]*Table1[[#This Row],[2024 Factor]]</f>
        <v>0.86308903171383233</v>
      </c>
      <c r="AK671">
        <f>VLOOKUP(Table1[[#This Row],[Q18: Gender]],Factor!$A$33:$E$35,5,0)</f>
        <v>0.85034013605442171</v>
      </c>
      <c r="AL671">
        <f>VLOOKUP(Table1[[#This Row],[Taluka]],Factor!$A$42:$G$46,7,0)</f>
        <v>1.9264642089343564</v>
      </c>
      <c r="AM671">
        <f>VLOOKUP(Table1[[#This Row],[Caste]]&amp;Table1[[#This Row],[Q18: Gender]],Factor!$W$1:$X$23,2,0)</f>
        <v>0.79950206330384943</v>
      </c>
      <c r="AN671">
        <f>VLOOKUP(Table1[[#This Row],[Taluka]]&amp;Table1[[#This Row],[Caste]]&amp;Table1[[#This Row],[Q18: Gender]],Factor!$AK$4:$AL$93,2,0)</f>
        <v>1.1572126985895925</v>
      </c>
      <c r="AO671">
        <f t="shared" si="110"/>
        <v>-1</v>
      </c>
      <c r="AP671">
        <f t="shared" si="111"/>
        <v>1</v>
      </c>
      <c r="AQ671">
        <f t="shared" si="112"/>
        <v>1</v>
      </c>
      <c r="AR671">
        <f t="shared" si="113"/>
        <v>-1</v>
      </c>
      <c r="AS671">
        <f t="shared" si="114"/>
        <v>-1</v>
      </c>
      <c r="AT671">
        <f t="shared" si="115"/>
        <v>-1</v>
      </c>
      <c r="AU671">
        <f t="shared" si="116"/>
        <v>-1.5</v>
      </c>
      <c r="AV671">
        <f>SUM(Table1[[#This Row],[Satis]:[29]])</f>
        <v>-2</v>
      </c>
      <c r="AW671">
        <f t="shared" si="117"/>
        <v>-3</v>
      </c>
      <c r="AX671">
        <f t="shared" si="118"/>
        <v>-2</v>
      </c>
      <c r="AY671">
        <f t="shared" si="119"/>
        <v>-3</v>
      </c>
      <c r="AZ671" t="str">
        <f t="shared" si="120"/>
        <v>Neutral TDP</v>
      </c>
    </row>
    <row r="672" spans="1:52" x14ac:dyDescent="0.3">
      <c r="A672" t="s">
        <v>3886</v>
      </c>
      <c r="B672" s="94">
        <v>46046</v>
      </c>
      <c r="C672" t="s">
        <v>3887</v>
      </c>
      <c r="D672" t="s">
        <v>3888</v>
      </c>
      <c r="E672" t="s">
        <v>3889</v>
      </c>
      <c r="F672" t="s">
        <v>2547</v>
      </c>
      <c r="G672" t="s">
        <v>39</v>
      </c>
      <c r="H672" t="s">
        <v>3890</v>
      </c>
      <c r="I672" t="s">
        <v>59</v>
      </c>
      <c r="J672" t="s">
        <v>203</v>
      </c>
      <c r="K672" t="s">
        <v>204</v>
      </c>
      <c r="L672" t="s">
        <v>75</v>
      </c>
      <c r="M672" t="s">
        <v>51</v>
      </c>
      <c r="N672" t="s">
        <v>63</v>
      </c>
      <c r="O672" t="s">
        <v>3891</v>
      </c>
      <c r="P672">
        <v>9000000000</v>
      </c>
      <c r="Q672" t="s">
        <v>54</v>
      </c>
      <c r="R672" t="s">
        <v>132</v>
      </c>
      <c r="S672" t="s">
        <v>89</v>
      </c>
      <c r="T672" t="s">
        <v>43</v>
      </c>
      <c r="U672" t="s">
        <v>44</v>
      </c>
      <c r="V672" t="s">
        <v>91</v>
      </c>
      <c r="W672" t="s">
        <v>5057</v>
      </c>
      <c r="X672" t="s">
        <v>91</v>
      </c>
      <c r="Y672" t="s">
        <v>46</v>
      </c>
      <c r="Z672" t="s">
        <v>47</v>
      </c>
      <c r="AA672" t="s">
        <v>48</v>
      </c>
      <c r="AB672" t="s">
        <v>49</v>
      </c>
      <c r="AC672" t="s">
        <v>49</v>
      </c>
      <c r="AD672" t="s">
        <v>494</v>
      </c>
      <c r="AE672" t="s">
        <v>185</v>
      </c>
      <c r="AF672">
        <v>0</v>
      </c>
      <c r="AG672" t="s">
        <v>196</v>
      </c>
      <c r="AH672" s="93">
        <f>VLOOKUP(Table1[[#This Row],[Caste]],Factor!$H$1:$K$13,4,0)</f>
        <v>1.1461625511156397</v>
      </c>
      <c r="AI67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72">
        <f>Table1[[#This Row],[Factor_1]]*Table1[[#This Row],[2024 Factor]]</f>
        <v>0.77721139583220644</v>
      </c>
      <c r="AK672">
        <f>VLOOKUP(Table1[[#This Row],[Q18: Gender]],Factor!$A$33:$E$35,5,0)</f>
        <v>0.85034013605442171</v>
      </c>
      <c r="AL672">
        <f>VLOOKUP(Table1[[#This Row],[Taluka]],Factor!$A$42:$G$46,7,0)</f>
        <v>1.9264642089343564</v>
      </c>
      <c r="AM672">
        <f>VLOOKUP(Table1[[#This Row],[Caste]]&amp;Table1[[#This Row],[Q18: Gender]],Factor!$W$1:$X$23,2,0)</f>
        <v>0.71995135120329123</v>
      </c>
      <c r="AN672">
        <f>VLOOKUP(Table1[[#This Row],[Taluka]]&amp;Table1[[#This Row],[Caste]]&amp;Table1[[#This Row],[Q18: Gender]],Factor!$AK$4:$AL$93,2,0)</f>
        <v>0.70534647283248642</v>
      </c>
      <c r="AO672">
        <f t="shared" si="110"/>
        <v>-1</v>
      </c>
      <c r="AP672">
        <f t="shared" si="111"/>
        <v>-1</v>
      </c>
      <c r="AQ672">
        <f t="shared" si="112"/>
        <v>1</v>
      </c>
      <c r="AR672">
        <f t="shared" si="113"/>
        <v>1</v>
      </c>
      <c r="AS672">
        <f t="shared" si="114"/>
        <v>-1</v>
      </c>
      <c r="AT672">
        <f t="shared" si="115"/>
        <v>-1</v>
      </c>
      <c r="AU672">
        <f t="shared" si="116"/>
        <v>-1.5</v>
      </c>
      <c r="AV672">
        <f>SUM(Table1[[#This Row],[Satis]:[29]])</f>
        <v>-2</v>
      </c>
      <c r="AW672">
        <f t="shared" si="117"/>
        <v>-1</v>
      </c>
      <c r="AX672">
        <f t="shared" si="118"/>
        <v>0</v>
      </c>
      <c r="AY672">
        <f t="shared" si="119"/>
        <v>-3</v>
      </c>
      <c r="AZ672" t="str">
        <f t="shared" si="120"/>
        <v>Neutral TDP</v>
      </c>
    </row>
    <row r="673" spans="1:52" x14ac:dyDescent="0.3">
      <c r="A673" t="s">
        <v>3805</v>
      </c>
      <c r="B673" s="94">
        <v>46046</v>
      </c>
      <c r="C673" t="s">
        <v>3806</v>
      </c>
      <c r="D673" t="s">
        <v>3366</v>
      </c>
      <c r="E673" t="s">
        <v>3242</v>
      </c>
      <c r="F673" t="s">
        <v>240</v>
      </c>
      <c r="G673" t="s">
        <v>39</v>
      </c>
      <c r="H673" t="s">
        <v>3807</v>
      </c>
      <c r="I673" t="s">
        <v>168</v>
      </c>
      <c r="J673" t="s">
        <v>37</v>
      </c>
      <c r="K673" t="s">
        <v>38</v>
      </c>
      <c r="L673" t="s">
        <v>62</v>
      </c>
      <c r="M673" t="s">
        <v>51</v>
      </c>
      <c r="N673" t="s">
        <v>107</v>
      </c>
      <c r="O673" t="s">
        <v>3368</v>
      </c>
      <c r="P673">
        <v>9553888272</v>
      </c>
      <c r="Q673" t="s">
        <v>54</v>
      </c>
      <c r="R673" t="s">
        <v>61</v>
      </c>
      <c r="S673" t="s">
        <v>89</v>
      </c>
      <c r="T673" t="s">
        <v>43</v>
      </c>
      <c r="U673" t="s">
        <v>90</v>
      </c>
      <c r="V673" t="s">
        <v>45</v>
      </c>
      <c r="W673" t="s">
        <v>5056</v>
      </c>
      <c r="X673" t="s">
        <v>45</v>
      </c>
      <c r="Y673" t="s">
        <v>46</v>
      </c>
      <c r="Z673" t="s">
        <v>47</v>
      </c>
      <c r="AA673" t="s">
        <v>48</v>
      </c>
      <c r="AB673" t="s">
        <v>49</v>
      </c>
      <c r="AC673" t="s">
        <v>49</v>
      </c>
      <c r="AD673" t="s">
        <v>481</v>
      </c>
      <c r="AE673" t="s">
        <v>189</v>
      </c>
      <c r="AF673" t="s">
        <v>1327</v>
      </c>
      <c r="AG673" t="s">
        <v>196</v>
      </c>
      <c r="AH673" s="93">
        <f>VLOOKUP(Table1[[#This Row],[Caste]],Factor!$H$1:$K$13,4,0)</f>
        <v>1.0478809952686368</v>
      </c>
      <c r="AI67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73">
        <f>Table1[[#This Row],[Factor_1]]*Table1[[#This Row],[2024 Factor]]</f>
        <v>0.8266624780172348</v>
      </c>
      <c r="AK673">
        <f>VLOOKUP(Table1[[#This Row],[Q18: Gender]],Factor!$A$33:$E$35,5,0)</f>
        <v>0.85034013605442171</v>
      </c>
      <c r="AL673">
        <f>VLOOKUP(Table1[[#This Row],[Taluka]],Factor!$A$42:$G$46,7,0)</f>
        <v>0.75433779645928134</v>
      </c>
      <c r="AM673">
        <f>VLOOKUP(Table1[[#This Row],[Caste]]&amp;Table1[[#This Row],[Q18: Gender]],Factor!$W$1:$X$23,2,0)</f>
        <v>0.7657591888501577</v>
      </c>
      <c r="AN673">
        <f>VLOOKUP(Table1[[#This Row],[Taluka]]&amp;Table1[[#This Row],[Caste]]&amp;Table1[[#This Row],[Q18: Gender]],Factor!$AK$4:$AL$93,2,0)</f>
        <v>0.22377816180516033</v>
      </c>
      <c r="AO673">
        <f t="shared" si="110"/>
        <v>-1</v>
      </c>
      <c r="AP673">
        <f t="shared" si="111"/>
        <v>1</v>
      </c>
      <c r="AQ673">
        <f t="shared" si="112"/>
        <v>-1</v>
      </c>
      <c r="AR673">
        <f t="shared" si="113"/>
        <v>-1</v>
      </c>
      <c r="AS673">
        <f t="shared" si="114"/>
        <v>-1</v>
      </c>
      <c r="AT673">
        <f t="shared" si="115"/>
        <v>-1</v>
      </c>
      <c r="AU673">
        <f t="shared" si="116"/>
        <v>-3.5</v>
      </c>
      <c r="AV673">
        <f>SUM(Table1[[#This Row],[Satis]:[29]])</f>
        <v>-4</v>
      </c>
      <c r="AW673">
        <f t="shared" si="117"/>
        <v>-5</v>
      </c>
      <c r="AX673">
        <f t="shared" si="118"/>
        <v>-4</v>
      </c>
      <c r="AY673">
        <f t="shared" si="119"/>
        <v>-3</v>
      </c>
      <c r="AZ673" t="str">
        <f t="shared" si="120"/>
        <v>TDP Sympathiser</v>
      </c>
    </row>
    <row r="674" spans="1:52" x14ac:dyDescent="0.3">
      <c r="A674" t="s">
        <v>4051</v>
      </c>
      <c r="B674" s="94">
        <v>46046</v>
      </c>
      <c r="C674" t="s">
        <v>4052</v>
      </c>
      <c r="D674" t="s">
        <v>4053</v>
      </c>
      <c r="E674" t="s">
        <v>4054</v>
      </c>
      <c r="F674" t="s">
        <v>35</v>
      </c>
      <c r="G674" t="s">
        <v>39</v>
      </c>
      <c r="H674" t="s">
        <v>4055</v>
      </c>
      <c r="I674" t="s">
        <v>59</v>
      </c>
      <c r="J674" t="s">
        <v>71</v>
      </c>
      <c r="K674" t="s">
        <v>217</v>
      </c>
      <c r="L674" t="s">
        <v>82</v>
      </c>
      <c r="M674" t="s">
        <v>51</v>
      </c>
      <c r="N674" t="s">
        <v>52</v>
      </c>
      <c r="O674" t="s">
        <v>4056</v>
      </c>
      <c r="P674">
        <v>9989878491</v>
      </c>
      <c r="Q674" t="s">
        <v>54</v>
      </c>
      <c r="R674" t="s">
        <v>2116</v>
      </c>
      <c r="S674" t="s">
        <v>43</v>
      </c>
      <c r="T674" t="s">
        <v>43</v>
      </c>
      <c r="U674" t="s">
        <v>44</v>
      </c>
      <c r="V674" t="s">
        <v>45</v>
      </c>
      <c r="W674" t="s">
        <v>5100</v>
      </c>
      <c r="X674" t="s">
        <v>45</v>
      </c>
      <c r="Y674" t="s">
        <v>46</v>
      </c>
      <c r="Z674" t="s">
        <v>47</v>
      </c>
      <c r="AA674" t="s">
        <v>48</v>
      </c>
      <c r="AB674" t="s">
        <v>49</v>
      </c>
      <c r="AC674" t="s">
        <v>49</v>
      </c>
      <c r="AD674" t="s">
        <v>494</v>
      </c>
      <c r="AE674" t="s">
        <v>185</v>
      </c>
      <c r="AF674">
        <v>0</v>
      </c>
      <c r="AG674" t="s">
        <v>196</v>
      </c>
      <c r="AH674" s="93">
        <f>VLOOKUP(Table1[[#This Row],[Caste]],Factor!$H$1:$K$13,4,0)</f>
        <v>1.1461625511156397</v>
      </c>
      <c r="AI67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74">
        <f>Table1[[#This Row],[Factor_1]]*Table1[[#This Row],[2024 Factor]]</f>
        <v>0.77721139583220644</v>
      </c>
      <c r="AK674">
        <f>VLOOKUP(Table1[[#This Row],[Q18: Gender]],Factor!$A$33:$E$35,5,0)</f>
        <v>0.85034013605442171</v>
      </c>
      <c r="AL674">
        <f>VLOOKUP(Table1[[#This Row],[Taluka]],Factor!$A$42:$G$46,7,0)</f>
        <v>1.1213131007097483</v>
      </c>
      <c r="AM674">
        <f>VLOOKUP(Table1[[#This Row],[Caste]]&amp;Table1[[#This Row],[Q18: Gender]],Factor!$W$1:$X$23,2,0)</f>
        <v>0.71995135120329123</v>
      </c>
      <c r="AN674">
        <f>VLOOKUP(Table1[[#This Row],[Taluka]]&amp;Table1[[#This Row],[Caste]]&amp;Table1[[#This Row],[Q18: Gender]],Factor!$AK$4:$AL$93,2,0)</f>
        <v>1.3370299504035861</v>
      </c>
      <c r="AO674">
        <f t="shared" si="110"/>
        <v>-1</v>
      </c>
      <c r="AP674">
        <f t="shared" si="111"/>
        <v>-1</v>
      </c>
      <c r="AQ674">
        <f t="shared" si="112"/>
        <v>-1</v>
      </c>
      <c r="AR674">
        <f t="shared" si="113"/>
        <v>-1</v>
      </c>
      <c r="AS674">
        <f t="shared" si="114"/>
        <v>-1</v>
      </c>
      <c r="AT674">
        <f t="shared" si="115"/>
        <v>-1</v>
      </c>
      <c r="AU674">
        <f t="shared" si="116"/>
        <v>-5.5</v>
      </c>
      <c r="AV674">
        <f>SUM(Table1[[#This Row],[Satis]:[29]])</f>
        <v>-6</v>
      </c>
      <c r="AW674">
        <f t="shared" si="117"/>
        <v>-5</v>
      </c>
      <c r="AX674">
        <f t="shared" si="118"/>
        <v>-4</v>
      </c>
      <c r="AY674">
        <f t="shared" si="119"/>
        <v>-3</v>
      </c>
      <c r="AZ674" t="str">
        <f t="shared" si="120"/>
        <v>TDP HardCore</v>
      </c>
    </row>
    <row r="675" spans="1:52" x14ac:dyDescent="0.3">
      <c r="A675" t="s">
        <v>3056</v>
      </c>
      <c r="B675" s="94">
        <v>46046</v>
      </c>
      <c r="C675" t="s">
        <v>3057</v>
      </c>
      <c r="D675" t="s">
        <v>3058</v>
      </c>
      <c r="E675" t="s">
        <v>3059</v>
      </c>
      <c r="F675" t="s">
        <v>935</v>
      </c>
      <c r="G675" t="s">
        <v>39</v>
      </c>
      <c r="H675" t="s">
        <v>3060</v>
      </c>
      <c r="I675" t="s">
        <v>159</v>
      </c>
      <c r="J675" t="s">
        <v>203</v>
      </c>
      <c r="K675" t="s">
        <v>208</v>
      </c>
      <c r="L675" t="s">
        <v>82</v>
      </c>
      <c r="M675" t="s">
        <v>51</v>
      </c>
      <c r="N675" t="s">
        <v>52</v>
      </c>
      <c r="O675" t="s">
        <v>728</v>
      </c>
      <c r="P675">
        <v>9381877585</v>
      </c>
      <c r="Q675" t="s">
        <v>54</v>
      </c>
      <c r="R675" t="s">
        <v>2116</v>
      </c>
      <c r="S675" t="s">
        <v>89</v>
      </c>
      <c r="T675" t="s">
        <v>43</v>
      </c>
      <c r="U675" t="s">
        <v>90</v>
      </c>
      <c r="V675" t="s">
        <v>91</v>
      </c>
      <c r="W675" t="s">
        <v>5057</v>
      </c>
      <c r="X675" t="s">
        <v>45</v>
      </c>
      <c r="Y675" t="s">
        <v>46</v>
      </c>
      <c r="Z675" t="s">
        <v>47</v>
      </c>
      <c r="AA675" t="s">
        <v>48</v>
      </c>
      <c r="AB675" t="s">
        <v>49</v>
      </c>
      <c r="AC675" t="s">
        <v>49</v>
      </c>
      <c r="AD675" t="s">
        <v>494</v>
      </c>
      <c r="AE675" t="s">
        <v>185</v>
      </c>
      <c r="AF675">
        <v>0</v>
      </c>
      <c r="AG675" t="s">
        <v>196</v>
      </c>
      <c r="AH675" s="93">
        <f>VLOOKUP(Table1[[#This Row],[Caste]],Factor!$H$1:$K$13,4,0)</f>
        <v>2.1852575402829908</v>
      </c>
      <c r="AI67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75">
        <f>Table1[[#This Row],[Factor_1]]*Table1[[#This Row],[2024 Factor]]</f>
        <v>1.7037641797963405</v>
      </c>
      <c r="AK675">
        <f>VLOOKUP(Table1[[#This Row],[Q18: Gender]],Factor!$A$33:$E$35,5,0)</f>
        <v>0.85034013605442171</v>
      </c>
      <c r="AL675">
        <f>VLOOKUP(Table1[[#This Row],[Taluka]],Factor!$A$42:$G$46,7,0)</f>
        <v>1.9264642089343564</v>
      </c>
      <c r="AM675">
        <f>VLOOKUP(Table1[[#This Row],[Caste]]&amp;Table1[[#This Row],[Q18: Gender]],Factor!$W$1:$X$23,2,0)</f>
        <v>1.5782415568710491</v>
      </c>
      <c r="AN675">
        <f>VLOOKUP(Table1[[#This Row],[Taluka]]&amp;Table1[[#This Row],[Caste]]&amp;Table1[[#This Row],[Q18: Gender]],Factor!$AK$4:$AL$93,2,0)</f>
        <v>0.88111541781135172</v>
      </c>
      <c r="AO675">
        <f t="shared" si="110"/>
        <v>-1</v>
      </c>
      <c r="AP675">
        <f t="shared" si="111"/>
        <v>1</v>
      </c>
      <c r="AQ675">
        <f t="shared" si="112"/>
        <v>1</v>
      </c>
      <c r="AR675">
        <f t="shared" si="113"/>
        <v>-1</v>
      </c>
      <c r="AS675">
        <f t="shared" si="114"/>
        <v>-1</v>
      </c>
      <c r="AT675">
        <f t="shared" si="115"/>
        <v>-1</v>
      </c>
      <c r="AU675">
        <f t="shared" si="116"/>
        <v>-1.5</v>
      </c>
      <c r="AV675">
        <f>SUM(Table1[[#This Row],[Satis]:[29]])</f>
        <v>-2</v>
      </c>
      <c r="AW675">
        <f t="shared" si="117"/>
        <v>-3</v>
      </c>
      <c r="AX675">
        <f t="shared" si="118"/>
        <v>-2</v>
      </c>
      <c r="AY675">
        <f t="shared" si="119"/>
        <v>-3</v>
      </c>
      <c r="AZ675" t="str">
        <f t="shared" si="120"/>
        <v>Neutral TDP</v>
      </c>
    </row>
    <row r="676" spans="1:52" x14ac:dyDescent="0.3">
      <c r="A676" t="s">
        <v>3463</v>
      </c>
      <c r="B676" s="94">
        <v>46046</v>
      </c>
      <c r="C676" t="s">
        <v>3464</v>
      </c>
      <c r="D676" t="s">
        <v>3465</v>
      </c>
      <c r="E676" t="s">
        <v>3466</v>
      </c>
      <c r="F676" t="s">
        <v>2547</v>
      </c>
      <c r="G676" t="s">
        <v>39</v>
      </c>
      <c r="H676" t="s">
        <v>3467</v>
      </c>
      <c r="I676" t="s">
        <v>59</v>
      </c>
      <c r="J676" t="s">
        <v>203</v>
      </c>
      <c r="K676" t="s">
        <v>204</v>
      </c>
      <c r="L676" t="s">
        <v>50</v>
      </c>
      <c r="M676" t="s">
        <v>51</v>
      </c>
      <c r="N676" t="s">
        <v>63</v>
      </c>
      <c r="O676" t="s">
        <v>3468</v>
      </c>
      <c r="P676">
        <v>9908948957</v>
      </c>
      <c r="Q676" t="s">
        <v>54</v>
      </c>
      <c r="R676" t="s">
        <v>2116</v>
      </c>
      <c r="S676" t="s">
        <v>89</v>
      </c>
      <c r="T676" t="s">
        <v>43</v>
      </c>
      <c r="U676" t="s">
        <v>44</v>
      </c>
      <c r="V676" t="s">
        <v>45</v>
      </c>
      <c r="W676" t="s">
        <v>5050</v>
      </c>
      <c r="X676" t="s">
        <v>45</v>
      </c>
      <c r="Y676" t="s">
        <v>46</v>
      </c>
      <c r="Z676" t="s">
        <v>47</v>
      </c>
      <c r="AA676" t="s">
        <v>48</v>
      </c>
      <c r="AB676" t="s">
        <v>49</v>
      </c>
      <c r="AC676" t="s">
        <v>49</v>
      </c>
      <c r="AD676" t="s">
        <v>494</v>
      </c>
      <c r="AE676" t="s">
        <v>185</v>
      </c>
      <c r="AF676">
        <v>0</v>
      </c>
      <c r="AG676" t="s">
        <v>196</v>
      </c>
      <c r="AH676" s="93">
        <f>VLOOKUP(Table1[[#This Row],[Caste]],Factor!$H$1:$K$13,4,0)</f>
        <v>1.1461625511156397</v>
      </c>
      <c r="AI67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76">
        <f>Table1[[#This Row],[Factor_1]]*Table1[[#This Row],[2024 Factor]]</f>
        <v>0.77721139583220644</v>
      </c>
      <c r="AK676">
        <f>VLOOKUP(Table1[[#This Row],[Q18: Gender]],Factor!$A$33:$E$35,5,0)</f>
        <v>0.85034013605442171</v>
      </c>
      <c r="AL676">
        <f>VLOOKUP(Table1[[#This Row],[Taluka]],Factor!$A$42:$G$46,7,0)</f>
        <v>1.9264642089343564</v>
      </c>
      <c r="AM676">
        <f>VLOOKUP(Table1[[#This Row],[Caste]]&amp;Table1[[#This Row],[Q18: Gender]],Factor!$W$1:$X$23,2,0)</f>
        <v>0.71995135120329123</v>
      </c>
      <c r="AN676">
        <f>VLOOKUP(Table1[[#This Row],[Taluka]]&amp;Table1[[#This Row],[Caste]]&amp;Table1[[#This Row],[Q18: Gender]],Factor!$AK$4:$AL$93,2,0)</f>
        <v>0.70534647283248642</v>
      </c>
      <c r="AO676">
        <f t="shared" si="110"/>
        <v>-1</v>
      </c>
      <c r="AP676">
        <f t="shared" si="111"/>
        <v>-1</v>
      </c>
      <c r="AQ676">
        <f t="shared" si="112"/>
        <v>-1</v>
      </c>
      <c r="AR676">
        <f t="shared" si="113"/>
        <v>-1</v>
      </c>
      <c r="AS676">
        <f t="shared" si="114"/>
        <v>-1</v>
      </c>
      <c r="AT676">
        <f t="shared" si="115"/>
        <v>-1</v>
      </c>
      <c r="AU676">
        <f t="shared" si="116"/>
        <v>-5.5</v>
      </c>
      <c r="AV676">
        <f>SUM(Table1[[#This Row],[Satis]:[29]])</f>
        <v>-6</v>
      </c>
      <c r="AW676">
        <f t="shared" si="117"/>
        <v>-5</v>
      </c>
      <c r="AX676">
        <f t="shared" si="118"/>
        <v>-4</v>
      </c>
      <c r="AY676">
        <f t="shared" si="119"/>
        <v>-3</v>
      </c>
      <c r="AZ676" t="str">
        <f t="shared" si="120"/>
        <v>TDP HardCore</v>
      </c>
    </row>
    <row r="677" spans="1:52" x14ac:dyDescent="0.3">
      <c r="A677" t="s">
        <v>4039</v>
      </c>
      <c r="B677" s="94">
        <v>46046</v>
      </c>
      <c r="C677" t="s">
        <v>4040</v>
      </c>
      <c r="D677" t="s">
        <v>4041</v>
      </c>
      <c r="E677" t="s">
        <v>4042</v>
      </c>
      <c r="F677" t="s">
        <v>240</v>
      </c>
      <c r="G677" t="s">
        <v>39</v>
      </c>
      <c r="H677" t="s">
        <v>4043</v>
      </c>
      <c r="I677" t="s">
        <v>70</v>
      </c>
      <c r="J677" t="s">
        <v>71</v>
      </c>
      <c r="K677" t="s">
        <v>218</v>
      </c>
      <c r="L677" t="s">
        <v>62</v>
      </c>
      <c r="M677" t="s">
        <v>51</v>
      </c>
      <c r="N677" t="s">
        <v>52</v>
      </c>
      <c r="O677" t="s">
        <v>4044</v>
      </c>
      <c r="P677">
        <v>9999999999</v>
      </c>
      <c r="Q677" t="s">
        <v>54</v>
      </c>
      <c r="R677" t="s">
        <v>2116</v>
      </c>
      <c r="S677" t="s">
        <v>43</v>
      </c>
      <c r="T677" t="s">
        <v>43</v>
      </c>
      <c r="U677" t="s">
        <v>44</v>
      </c>
      <c r="V677" t="s">
        <v>45</v>
      </c>
      <c r="W677" t="s">
        <v>5054</v>
      </c>
      <c r="X677" t="s">
        <v>45</v>
      </c>
      <c r="Y677" t="s">
        <v>46</v>
      </c>
      <c r="Z677" t="s">
        <v>47</v>
      </c>
      <c r="AA677" t="s">
        <v>48</v>
      </c>
      <c r="AB677" t="s">
        <v>49</v>
      </c>
      <c r="AC677" t="s">
        <v>49</v>
      </c>
      <c r="AD677" t="s">
        <v>494</v>
      </c>
      <c r="AE677" t="s">
        <v>185</v>
      </c>
      <c r="AF677">
        <v>0</v>
      </c>
      <c r="AG677" t="s">
        <v>196</v>
      </c>
      <c r="AH677" s="93">
        <f>VLOOKUP(Table1[[#This Row],[Caste]],Factor!$H$1:$K$13,4,0)</f>
        <v>1.3836274505214585</v>
      </c>
      <c r="AI67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77">
        <f>Table1[[#This Row],[Factor_1]]*Table1[[#This Row],[2024 Factor]]</f>
        <v>1.1648410586678206</v>
      </c>
      <c r="AK677">
        <f>VLOOKUP(Table1[[#This Row],[Q18: Gender]],Factor!$A$33:$E$35,5,0)</f>
        <v>0.85034013605442171</v>
      </c>
      <c r="AL677">
        <f>VLOOKUP(Table1[[#This Row],[Taluka]],Factor!$A$42:$G$46,7,0)</f>
        <v>1.1213131007097483</v>
      </c>
      <c r="AM677">
        <f>VLOOKUP(Table1[[#This Row],[Caste]]&amp;Table1[[#This Row],[Q18: Gender]],Factor!$W$1:$X$23,2,0)</f>
        <v>1.0790228998469584</v>
      </c>
      <c r="AN677">
        <f>VLOOKUP(Table1[[#This Row],[Taluka]]&amp;Table1[[#This Row],[Caste]]&amp;Table1[[#This Row],[Q18: Gender]],Factor!$AK$4:$AL$93,2,0)</f>
        <v>0.90933567693352424</v>
      </c>
      <c r="AO677">
        <f t="shared" si="110"/>
        <v>-1</v>
      </c>
      <c r="AP677">
        <f t="shared" si="111"/>
        <v>-1</v>
      </c>
      <c r="AQ677">
        <f t="shared" si="112"/>
        <v>-1</v>
      </c>
      <c r="AR677">
        <f t="shared" si="113"/>
        <v>-1</v>
      </c>
      <c r="AS677">
        <f t="shared" si="114"/>
        <v>-1</v>
      </c>
      <c r="AT677">
        <f t="shared" si="115"/>
        <v>-1</v>
      </c>
      <c r="AU677">
        <f t="shared" si="116"/>
        <v>-5.5</v>
      </c>
      <c r="AV677">
        <f>SUM(Table1[[#This Row],[Satis]:[29]])</f>
        <v>-6</v>
      </c>
      <c r="AW677">
        <f t="shared" si="117"/>
        <v>-5</v>
      </c>
      <c r="AX677">
        <f t="shared" si="118"/>
        <v>-4</v>
      </c>
      <c r="AY677">
        <f t="shared" si="119"/>
        <v>-3</v>
      </c>
      <c r="AZ677" t="str">
        <f t="shared" si="120"/>
        <v>TDP HardCore</v>
      </c>
    </row>
    <row r="678" spans="1:52" x14ac:dyDescent="0.3">
      <c r="A678" t="s">
        <v>3696</v>
      </c>
      <c r="B678" s="94">
        <v>46046</v>
      </c>
      <c r="C678" t="s">
        <v>3697</v>
      </c>
      <c r="D678" t="s">
        <v>3698</v>
      </c>
      <c r="E678" t="s">
        <v>3436</v>
      </c>
      <c r="F678" t="s">
        <v>935</v>
      </c>
      <c r="G678" t="s">
        <v>39</v>
      </c>
      <c r="H678" t="s">
        <v>3699</v>
      </c>
      <c r="I678" t="s">
        <v>228</v>
      </c>
      <c r="J678" t="s">
        <v>203</v>
      </c>
      <c r="K678" t="s">
        <v>208</v>
      </c>
      <c r="L678" t="s">
        <v>170</v>
      </c>
      <c r="M678" t="s">
        <v>443</v>
      </c>
      <c r="N678" t="s">
        <v>162</v>
      </c>
      <c r="O678" t="s">
        <v>3700</v>
      </c>
      <c r="P678">
        <v>9573482919</v>
      </c>
      <c r="Q678" t="s">
        <v>54</v>
      </c>
      <c r="R678" t="s">
        <v>132</v>
      </c>
      <c r="S678" t="s">
        <v>89</v>
      </c>
      <c r="T678" t="s">
        <v>89</v>
      </c>
      <c r="U678" t="s">
        <v>90</v>
      </c>
      <c r="V678" t="s">
        <v>91</v>
      </c>
      <c r="W678" t="s">
        <v>5077</v>
      </c>
      <c r="X678" t="s">
        <v>91</v>
      </c>
      <c r="Y678" t="s">
        <v>716</v>
      </c>
      <c r="Z678" t="s">
        <v>92</v>
      </c>
      <c r="AA678" t="s">
        <v>92</v>
      </c>
      <c r="AB678" t="s">
        <v>93</v>
      </c>
      <c r="AC678" t="s">
        <v>94</v>
      </c>
      <c r="AD678" t="s">
        <v>494</v>
      </c>
      <c r="AE678" t="s">
        <v>185</v>
      </c>
      <c r="AF678">
        <v>0</v>
      </c>
      <c r="AG678" t="s">
        <v>196</v>
      </c>
      <c r="AH678" s="93">
        <f>VLOOKUP(Table1[[#This Row],[Caste]],Factor!$H$1:$K$13,4,0)</f>
        <v>0.80207032429970992</v>
      </c>
      <c r="AI678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678">
        <f>Table1[[#This Row],[Factor_1]]*Table1[[#This Row],[2024 Factor]]</f>
        <v>1.0971251128803523</v>
      </c>
      <c r="AK678">
        <f>VLOOKUP(Table1[[#This Row],[Q18: Gender]],Factor!$A$33:$E$35,5,0)</f>
        <v>0.85034013605442171</v>
      </c>
      <c r="AL678">
        <f>VLOOKUP(Table1[[#This Row],[Taluka]],Factor!$A$42:$G$46,7,0)</f>
        <v>1.9264642089343564</v>
      </c>
      <c r="AM678">
        <f>VLOOKUP(Table1[[#This Row],[Caste]]&amp;Table1[[#This Row],[Q18: Gender]],Factor!$W$1:$X$23,2,0)</f>
        <v>0.60762903356038633</v>
      </c>
      <c r="AN678">
        <f>VLOOKUP(Table1[[#This Row],[Taluka]]&amp;Table1[[#This Row],[Caste]]&amp;Table1[[#This Row],[Q18: Gender]],Factor!$AK$4:$AL$93,2,0)</f>
        <v>2.0730893618557826</v>
      </c>
      <c r="AO678">
        <f t="shared" si="110"/>
        <v>1</v>
      </c>
      <c r="AP678">
        <f t="shared" si="111"/>
        <v>1</v>
      </c>
      <c r="AQ678">
        <f t="shared" si="112"/>
        <v>1</v>
      </c>
      <c r="AR678">
        <f t="shared" si="113"/>
        <v>1</v>
      </c>
      <c r="AS678">
        <f t="shared" si="114"/>
        <v>1</v>
      </c>
      <c r="AT678">
        <f t="shared" si="115"/>
        <v>1</v>
      </c>
      <c r="AU678">
        <f t="shared" si="116"/>
        <v>5.5</v>
      </c>
      <c r="AV678">
        <f>SUM(Table1[[#This Row],[Satis]:[29]])</f>
        <v>6</v>
      </c>
      <c r="AW678">
        <f t="shared" si="117"/>
        <v>5</v>
      </c>
      <c r="AX678">
        <f t="shared" si="118"/>
        <v>4</v>
      </c>
      <c r="AY678">
        <f t="shared" si="119"/>
        <v>3</v>
      </c>
      <c r="AZ678" t="str">
        <f t="shared" si="120"/>
        <v>YSRCP HardCore</v>
      </c>
    </row>
    <row r="679" spans="1:52" x14ac:dyDescent="0.3">
      <c r="A679" t="s">
        <v>3834</v>
      </c>
      <c r="B679" s="94">
        <v>46046</v>
      </c>
      <c r="C679" t="s">
        <v>3835</v>
      </c>
      <c r="D679" t="s">
        <v>3266</v>
      </c>
      <c r="E679" t="s">
        <v>3267</v>
      </c>
      <c r="F679" t="s">
        <v>69</v>
      </c>
      <c r="G679" t="s">
        <v>39</v>
      </c>
      <c r="H679" t="s">
        <v>3836</v>
      </c>
      <c r="I679" t="s">
        <v>227</v>
      </c>
      <c r="J679" t="s">
        <v>203</v>
      </c>
      <c r="K679" t="s">
        <v>203</v>
      </c>
      <c r="L679" t="s">
        <v>75</v>
      </c>
      <c r="M679" t="s">
        <v>51</v>
      </c>
      <c r="N679" t="s">
        <v>63</v>
      </c>
      <c r="O679" t="s">
        <v>537</v>
      </c>
      <c r="P679">
        <v>9666224516</v>
      </c>
      <c r="Q679" t="s">
        <v>54</v>
      </c>
      <c r="R679" t="s">
        <v>132</v>
      </c>
      <c r="S679" t="s">
        <v>43</v>
      </c>
      <c r="T679" t="s">
        <v>43</v>
      </c>
      <c r="U679" t="s">
        <v>44</v>
      </c>
      <c r="V679" t="s">
        <v>45</v>
      </c>
      <c r="W679" t="s">
        <v>5050</v>
      </c>
      <c r="X679" t="s">
        <v>45</v>
      </c>
      <c r="Y679" t="s">
        <v>46</v>
      </c>
      <c r="Z679" t="s">
        <v>47</v>
      </c>
      <c r="AA679" t="s">
        <v>48</v>
      </c>
      <c r="AB679" t="s">
        <v>49</v>
      </c>
      <c r="AC679" t="s">
        <v>49</v>
      </c>
      <c r="AD679" t="s">
        <v>494</v>
      </c>
      <c r="AE679" t="s">
        <v>189</v>
      </c>
      <c r="AF679" t="s">
        <v>4062</v>
      </c>
      <c r="AG679" t="s">
        <v>196</v>
      </c>
      <c r="AH679" s="93">
        <f>VLOOKUP(Table1[[#This Row],[Caste]],Factor!$H$1:$K$13,4,0)</f>
        <v>1.2612194085121222</v>
      </c>
      <c r="AI67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79">
        <f>Table1[[#This Row],[Factor_1]]*Table1[[#This Row],[2024 Factor]]</f>
        <v>0.92029223709519836</v>
      </c>
      <c r="AK679">
        <f>VLOOKUP(Table1[[#This Row],[Q18: Gender]],Factor!$A$33:$E$35,5,0)</f>
        <v>0.85034013605442171</v>
      </c>
      <c r="AL679">
        <f>VLOOKUP(Table1[[#This Row],[Taluka]],Factor!$A$42:$G$46,7,0)</f>
        <v>1.9264642089343564</v>
      </c>
      <c r="AM679">
        <f>VLOOKUP(Table1[[#This Row],[Caste]]&amp;Table1[[#This Row],[Q18: Gender]],Factor!$W$1:$X$23,2,0)</f>
        <v>0.85249089649430487</v>
      </c>
      <c r="AN679">
        <f>VLOOKUP(Table1[[#This Row],[Taluka]]&amp;Table1[[#This Row],[Caste]]&amp;Table1[[#This Row],[Q18: Gender]],Factor!$AK$4:$AL$93,2,0)</f>
        <v>1.7847621356853685</v>
      </c>
      <c r="AO679">
        <f t="shared" si="110"/>
        <v>-1</v>
      </c>
      <c r="AP679">
        <f t="shared" si="111"/>
        <v>-1</v>
      </c>
      <c r="AQ679">
        <f t="shared" si="112"/>
        <v>-1</v>
      </c>
      <c r="AR679">
        <f t="shared" si="113"/>
        <v>-1</v>
      </c>
      <c r="AS679">
        <f t="shared" si="114"/>
        <v>-1</v>
      </c>
      <c r="AT679">
        <f t="shared" si="115"/>
        <v>-1</v>
      </c>
      <c r="AU679">
        <f t="shared" si="116"/>
        <v>-5.5</v>
      </c>
      <c r="AV679">
        <f>SUM(Table1[[#This Row],[Satis]:[29]])</f>
        <v>-6</v>
      </c>
      <c r="AW679">
        <f t="shared" si="117"/>
        <v>-5</v>
      </c>
      <c r="AX679">
        <f t="shared" si="118"/>
        <v>-4</v>
      </c>
      <c r="AY679">
        <f t="shared" si="119"/>
        <v>-3</v>
      </c>
      <c r="AZ679" t="str">
        <f t="shared" si="120"/>
        <v>TDP HardCore</v>
      </c>
    </row>
    <row r="680" spans="1:52" x14ac:dyDescent="0.3">
      <c r="A680" t="s">
        <v>3837</v>
      </c>
      <c r="B680" s="94">
        <v>46046</v>
      </c>
      <c r="C680" t="s">
        <v>3838</v>
      </c>
      <c r="D680" t="s">
        <v>3839</v>
      </c>
      <c r="E680" t="s">
        <v>3377</v>
      </c>
      <c r="F680" t="s">
        <v>935</v>
      </c>
      <c r="G680" t="s">
        <v>39</v>
      </c>
      <c r="H680" t="s">
        <v>3840</v>
      </c>
      <c r="I680" t="s">
        <v>36</v>
      </c>
      <c r="J680" t="s">
        <v>203</v>
      </c>
      <c r="K680" t="s">
        <v>208</v>
      </c>
      <c r="L680" t="s">
        <v>451</v>
      </c>
      <c r="M680" t="s">
        <v>51</v>
      </c>
      <c r="N680" t="s">
        <v>52</v>
      </c>
      <c r="O680" t="s">
        <v>1600</v>
      </c>
      <c r="P680">
        <v>900000000</v>
      </c>
      <c r="Q680" t="s">
        <v>445</v>
      </c>
      <c r="R680" t="s">
        <v>2116</v>
      </c>
      <c r="S680" t="s">
        <v>88</v>
      </c>
      <c r="T680" t="s">
        <v>43</v>
      </c>
      <c r="U680" t="s">
        <v>90</v>
      </c>
      <c r="V680" t="s">
        <v>91</v>
      </c>
      <c r="W680" t="s">
        <v>5056</v>
      </c>
      <c r="X680" t="s">
        <v>45</v>
      </c>
      <c r="Y680" t="s">
        <v>46</v>
      </c>
      <c r="Z680" t="s">
        <v>242</v>
      </c>
      <c r="AA680" t="s">
        <v>48</v>
      </c>
      <c r="AB680" t="s">
        <v>49</v>
      </c>
      <c r="AC680" t="s">
        <v>49</v>
      </c>
      <c r="AD680" t="s">
        <v>494</v>
      </c>
      <c r="AE680" t="s">
        <v>189</v>
      </c>
      <c r="AF680" t="s">
        <v>4094</v>
      </c>
      <c r="AG680" t="s">
        <v>196</v>
      </c>
      <c r="AH680" s="93">
        <f>VLOOKUP(Table1[[#This Row],[Caste]],Factor!$H$1:$K$13,4,0)</f>
        <v>1.1705128247062893</v>
      </c>
      <c r="AI68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80">
        <f>Table1[[#This Row],[Factor_1]]*Table1[[#This Row],[2024 Factor]]</f>
        <v>2.3577066232182737</v>
      </c>
      <c r="AK680">
        <f>VLOOKUP(Table1[[#This Row],[Q18: Gender]],Factor!$A$33:$E$35,5,0)</f>
        <v>2.1645021645021645</v>
      </c>
      <c r="AL680">
        <f>VLOOKUP(Table1[[#This Row],[Taluka]],Factor!$A$42:$G$46,7,0)</f>
        <v>1.9264642089343564</v>
      </c>
      <c r="AM680">
        <f>VLOOKUP(Table1[[#This Row],[Caste]]&amp;Table1[[#This Row],[Q18: Gender]],Factor!$W$1:$X$23,2,0)</f>
        <v>2.1840056363422229</v>
      </c>
      <c r="AN680">
        <f>VLOOKUP(Table1[[#This Row],[Taluka]]&amp;Table1[[#This Row],[Caste]]&amp;Table1[[#This Row],[Q18: Gender]],Factor!$AK$4:$AL$93,2,0)</f>
        <v>6.9432761915375547</v>
      </c>
      <c r="AO680">
        <f t="shared" si="110"/>
        <v>-1</v>
      </c>
      <c r="AP680">
        <f t="shared" si="111"/>
        <v>1</v>
      </c>
      <c r="AQ680">
        <f t="shared" si="112"/>
        <v>1</v>
      </c>
      <c r="AR680">
        <f t="shared" si="113"/>
        <v>-1</v>
      </c>
      <c r="AS680">
        <f t="shared" si="114"/>
        <v>-1</v>
      </c>
      <c r="AT680">
        <f t="shared" si="115"/>
        <v>-1</v>
      </c>
      <c r="AU680">
        <f t="shared" si="116"/>
        <v>-1.5</v>
      </c>
      <c r="AV680">
        <f>SUM(Table1[[#This Row],[Satis]:[29]])</f>
        <v>-2</v>
      </c>
      <c r="AW680">
        <f t="shared" si="117"/>
        <v>-3</v>
      </c>
      <c r="AX680">
        <f t="shared" si="118"/>
        <v>-2</v>
      </c>
      <c r="AY680">
        <f t="shared" si="119"/>
        <v>-3</v>
      </c>
      <c r="AZ680" t="str">
        <f t="shared" si="120"/>
        <v>Neutral TDP</v>
      </c>
    </row>
    <row r="681" spans="1:52" x14ac:dyDescent="0.3">
      <c r="A681" t="s">
        <v>3139</v>
      </c>
      <c r="B681" s="94">
        <v>46046</v>
      </c>
      <c r="C681" t="s">
        <v>3140</v>
      </c>
      <c r="D681" t="s">
        <v>3141</v>
      </c>
      <c r="E681" t="s">
        <v>3142</v>
      </c>
      <c r="F681" t="s">
        <v>2547</v>
      </c>
      <c r="G681" t="s">
        <v>39</v>
      </c>
      <c r="H681" t="s">
        <v>3143</v>
      </c>
      <c r="I681" t="s">
        <v>59</v>
      </c>
      <c r="J681" t="s">
        <v>203</v>
      </c>
      <c r="K681" t="s">
        <v>204</v>
      </c>
      <c r="L681" t="s">
        <v>50</v>
      </c>
      <c r="M681" t="s">
        <v>51</v>
      </c>
      <c r="N681" t="s">
        <v>107</v>
      </c>
      <c r="O681" t="s">
        <v>3144</v>
      </c>
      <c r="P681">
        <v>9440917723</v>
      </c>
      <c r="Q681" t="s">
        <v>54</v>
      </c>
      <c r="R681" t="s">
        <v>61</v>
      </c>
      <c r="S681" t="s">
        <v>43</v>
      </c>
      <c r="T681" t="s">
        <v>43</v>
      </c>
      <c r="U681" t="s">
        <v>44</v>
      </c>
      <c r="V681" t="s">
        <v>45</v>
      </c>
      <c r="W681" t="s">
        <v>5079</v>
      </c>
      <c r="X681" t="s">
        <v>45</v>
      </c>
      <c r="Y681" t="s">
        <v>46</v>
      </c>
      <c r="Z681" t="s">
        <v>47</v>
      </c>
      <c r="AA681" t="s">
        <v>48</v>
      </c>
      <c r="AB681" t="s">
        <v>49</v>
      </c>
      <c r="AC681" t="s">
        <v>49</v>
      </c>
      <c r="AD681" t="s">
        <v>494</v>
      </c>
      <c r="AE681" t="s">
        <v>185</v>
      </c>
      <c r="AF681">
        <v>0</v>
      </c>
      <c r="AG681" t="s">
        <v>196</v>
      </c>
      <c r="AH681" s="93">
        <f>VLOOKUP(Table1[[#This Row],[Caste]],Factor!$H$1:$K$13,4,0)</f>
        <v>1.1461625511156397</v>
      </c>
      <c r="AI68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81">
        <f>Table1[[#This Row],[Factor_1]]*Table1[[#This Row],[2024 Factor]]</f>
        <v>0.77721139583220644</v>
      </c>
      <c r="AK681">
        <f>VLOOKUP(Table1[[#This Row],[Q18: Gender]],Factor!$A$33:$E$35,5,0)</f>
        <v>0.85034013605442171</v>
      </c>
      <c r="AL681">
        <f>VLOOKUP(Table1[[#This Row],[Taluka]],Factor!$A$42:$G$46,7,0)</f>
        <v>1.9264642089343564</v>
      </c>
      <c r="AM681">
        <f>VLOOKUP(Table1[[#This Row],[Caste]]&amp;Table1[[#This Row],[Q18: Gender]],Factor!$W$1:$X$23,2,0)</f>
        <v>0.71995135120329123</v>
      </c>
      <c r="AN681">
        <f>VLOOKUP(Table1[[#This Row],[Taluka]]&amp;Table1[[#This Row],[Caste]]&amp;Table1[[#This Row],[Q18: Gender]],Factor!$AK$4:$AL$93,2,0)</f>
        <v>0.70534647283248642</v>
      </c>
      <c r="AO681">
        <f t="shared" si="110"/>
        <v>-1</v>
      </c>
      <c r="AP681">
        <f t="shared" si="111"/>
        <v>-1</v>
      </c>
      <c r="AQ681">
        <f t="shared" si="112"/>
        <v>-1</v>
      </c>
      <c r="AR681">
        <f t="shared" si="113"/>
        <v>-1</v>
      </c>
      <c r="AS681">
        <f t="shared" si="114"/>
        <v>-1</v>
      </c>
      <c r="AT681">
        <f t="shared" si="115"/>
        <v>-1</v>
      </c>
      <c r="AU681">
        <f t="shared" si="116"/>
        <v>-5.5</v>
      </c>
      <c r="AV681">
        <f>SUM(Table1[[#This Row],[Satis]:[29]])</f>
        <v>-6</v>
      </c>
      <c r="AW681">
        <f t="shared" si="117"/>
        <v>-5</v>
      </c>
      <c r="AX681">
        <f t="shared" si="118"/>
        <v>-4</v>
      </c>
      <c r="AY681">
        <f t="shared" si="119"/>
        <v>-3</v>
      </c>
      <c r="AZ681" t="str">
        <f t="shared" si="120"/>
        <v>TDP HardCore</v>
      </c>
    </row>
    <row r="682" spans="1:52" x14ac:dyDescent="0.3">
      <c r="A682" t="s">
        <v>3183</v>
      </c>
      <c r="B682" s="94">
        <v>46046</v>
      </c>
      <c r="C682" t="s">
        <v>3184</v>
      </c>
      <c r="D682" t="s">
        <v>3185</v>
      </c>
      <c r="E682" t="s">
        <v>3186</v>
      </c>
      <c r="F682" t="s">
        <v>35</v>
      </c>
      <c r="G682" t="s">
        <v>39</v>
      </c>
      <c r="H682" t="s">
        <v>3187</v>
      </c>
      <c r="I682" t="s">
        <v>36</v>
      </c>
      <c r="J682" t="s">
        <v>71</v>
      </c>
      <c r="K682" t="s">
        <v>217</v>
      </c>
      <c r="L682" t="s">
        <v>62</v>
      </c>
      <c r="M682" t="s">
        <v>51</v>
      </c>
      <c r="N682" t="s">
        <v>52</v>
      </c>
      <c r="O682" t="s">
        <v>3188</v>
      </c>
      <c r="P682">
        <v>0</v>
      </c>
      <c r="Q682" t="s">
        <v>54</v>
      </c>
      <c r="R682" t="s">
        <v>2116</v>
      </c>
      <c r="S682" t="s">
        <v>43</v>
      </c>
      <c r="T682" t="s">
        <v>43</v>
      </c>
      <c r="U682" t="s">
        <v>44</v>
      </c>
      <c r="V682" t="s">
        <v>45</v>
      </c>
      <c r="W682" t="s">
        <v>5054</v>
      </c>
      <c r="X682" t="s">
        <v>45</v>
      </c>
      <c r="Y682" t="s">
        <v>46</v>
      </c>
      <c r="Z682" t="s">
        <v>47</v>
      </c>
      <c r="AA682" t="s">
        <v>48</v>
      </c>
      <c r="AB682" t="s">
        <v>49</v>
      </c>
      <c r="AC682" t="s">
        <v>49</v>
      </c>
      <c r="AD682" t="s">
        <v>494</v>
      </c>
      <c r="AE682" t="s">
        <v>185</v>
      </c>
      <c r="AF682">
        <v>0</v>
      </c>
      <c r="AG682" t="s">
        <v>196</v>
      </c>
      <c r="AH682" s="93">
        <f>VLOOKUP(Table1[[#This Row],[Caste]],Factor!$H$1:$K$13,4,0)</f>
        <v>1.1705128247062893</v>
      </c>
      <c r="AI68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82">
        <f>Table1[[#This Row],[Factor_1]]*Table1[[#This Row],[2024 Factor]]</f>
        <v>0.86308903171383233</v>
      </c>
      <c r="AK682">
        <f>VLOOKUP(Table1[[#This Row],[Q18: Gender]],Factor!$A$33:$E$35,5,0)</f>
        <v>0.85034013605442171</v>
      </c>
      <c r="AL682">
        <f>VLOOKUP(Table1[[#This Row],[Taluka]],Factor!$A$42:$G$46,7,0)</f>
        <v>1.1213131007097483</v>
      </c>
      <c r="AM682">
        <f>VLOOKUP(Table1[[#This Row],[Caste]]&amp;Table1[[#This Row],[Q18: Gender]],Factor!$W$1:$X$23,2,0)</f>
        <v>0.79950206330384943</v>
      </c>
      <c r="AN682">
        <f>VLOOKUP(Table1[[#This Row],[Taluka]]&amp;Table1[[#This Row],[Caste]]&amp;Table1[[#This Row],[Q18: Gender]],Factor!$AK$4:$AL$93,2,0)</f>
        <v>0.7401439088249181</v>
      </c>
      <c r="AO682">
        <f t="shared" si="110"/>
        <v>-1</v>
      </c>
      <c r="AP682">
        <f t="shared" si="111"/>
        <v>-1</v>
      </c>
      <c r="AQ682">
        <f t="shared" si="112"/>
        <v>-1</v>
      </c>
      <c r="AR682">
        <f t="shared" si="113"/>
        <v>-1</v>
      </c>
      <c r="AS682">
        <f t="shared" si="114"/>
        <v>-1</v>
      </c>
      <c r="AT682">
        <f t="shared" si="115"/>
        <v>-1</v>
      </c>
      <c r="AU682">
        <f t="shared" si="116"/>
        <v>-5.5</v>
      </c>
      <c r="AV682">
        <f>SUM(Table1[[#This Row],[Satis]:[29]])</f>
        <v>-6</v>
      </c>
      <c r="AW682">
        <f t="shared" si="117"/>
        <v>-5</v>
      </c>
      <c r="AX682">
        <f t="shared" si="118"/>
        <v>-4</v>
      </c>
      <c r="AY682">
        <f t="shared" si="119"/>
        <v>-3</v>
      </c>
      <c r="AZ682" t="str">
        <f t="shared" si="120"/>
        <v>TDP HardCore</v>
      </c>
    </row>
    <row r="683" spans="1:52" x14ac:dyDescent="0.3">
      <c r="A683" t="s">
        <v>3133</v>
      </c>
      <c r="B683" s="94">
        <v>46046</v>
      </c>
      <c r="C683" t="s">
        <v>3134</v>
      </c>
      <c r="D683" t="s">
        <v>3135</v>
      </c>
      <c r="E683" t="s">
        <v>3136</v>
      </c>
      <c r="F683" t="s">
        <v>2547</v>
      </c>
      <c r="G683" t="s">
        <v>39</v>
      </c>
      <c r="H683" t="s">
        <v>3137</v>
      </c>
      <c r="I683" t="s">
        <v>59</v>
      </c>
      <c r="J683" t="s">
        <v>203</v>
      </c>
      <c r="K683" t="s">
        <v>204</v>
      </c>
      <c r="L683" t="s">
        <v>50</v>
      </c>
      <c r="M683" t="s">
        <v>51</v>
      </c>
      <c r="N683" t="s">
        <v>107</v>
      </c>
      <c r="O683" t="s">
        <v>3138</v>
      </c>
      <c r="P683">
        <v>9000000000</v>
      </c>
      <c r="Q683" t="s">
        <v>54</v>
      </c>
      <c r="R683" t="s">
        <v>2116</v>
      </c>
      <c r="S683" t="s">
        <v>43</v>
      </c>
      <c r="T683" t="s">
        <v>43</v>
      </c>
      <c r="U683" t="s">
        <v>44</v>
      </c>
      <c r="V683" t="s">
        <v>45</v>
      </c>
      <c r="W683" t="s">
        <v>5056</v>
      </c>
      <c r="X683" t="s">
        <v>45</v>
      </c>
      <c r="Y683" t="s">
        <v>46</v>
      </c>
      <c r="Z683" t="s">
        <v>47</v>
      </c>
      <c r="AA683" t="s">
        <v>48</v>
      </c>
      <c r="AB683" t="s">
        <v>49</v>
      </c>
      <c r="AC683" t="s">
        <v>49</v>
      </c>
      <c r="AD683" t="s">
        <v>494</v>
      </c>
      <c r="AE683" t="s">
        <v>185</v>
      </c>
      <c r="AF683">
        <v>0</v>
      </c>
      <c r="AG683" t="s">
        <v>196</v>
      </c>
      <c r="AH683" s="93">
        <f>VLOOKUP(Table1[[#This Row],[Caste]],Factor!$H$1:$K$13,4,0)</f>
        <v>1.1461625511156397</v>
      </c>
      <c r="AI68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83">
        <f>Table1[[#This Row],[Factor_1]]*Table1[[#This Row],[2024 Factor]]</f>
        <v>0.77721139583220644</v>
      </c>
      <c r="AK683">
        <f>VLOOKUP(Table1[[#This Row],[Q18: Gender]],Factor!$A$33:$E$35,5,0)</f>
        <v>0.85034013605442171</v>
      </c>
      <c r="AL683">
        <f>VLOOKUP(Table1[[#This Row],[Taluka]],Factor!$A$42:$G$46,7,0)</f>
        <v>1.9264642089343564</v>
      </c>
      <c r="AM683">
        <f>VLOOKUP(Table1[[#This Row],[Caste]]&amp;Table1[[#This Row],[Q18: Gender]],Factor!$W$1:$X$23,2,0)</f>
        <v>0.71995135120329123</v>
      </c>
      <c r="AN683">
        <f>VLOOKUP(Table1[[#This Row],[Taluka]]&amp;Table1[[#This Row],[Caste]]&amp;Table1[[#This Row],[Q18: Gender]],Factor!$AK$4:$AL$93,2,0)</f>
        <v>0.70534647283248642</v>
      </c>
      <c r="AO683">
        <f t="shared" si="110"/>
        <v>-1</v>
      </c>
      <c r="AP683">
        <f t="shared" si="111"/>
        <v>-1</v>
      </c>
      <c r="AQ683">
        <f t="shared" si="112"/>
        <v>-1</v>
      </c>
      <c r="AR683">
        <f t="shared" si="113"/>
        <v>-1</v>
      </c>
      <c r="AS683">
        <f t="shared" si="114"/>
        <v>-1</v>
      </c>
      <c r="AT683">
        <f t="shared" si="115"/>
        <v>-1</v>
      </c>
      <c r="AU683">
        <f t="shared" si="116"/>
        <v>-5.5</v>
      </c>
      <c r="AV683">
        <f>SUM(Table1[[#This Row],[Satis]:[29]])</f>
        <v>-6</v>
      </c>
      <c r="AW683">
        <f t="shared" si="117"/>
        <v>-5</v>
      </c>
      <c r="AX683">
        <f t="shared" si="118"/>
        <v>-4</v>
      </c>
      <c r="AY683">
        <f t="shared" si="119"/>
        <v>-3</v>
      </c>
      <c r="AZ683" t="str">
        <f t="shared" si="120"/>
        <v>TDP HardCore</v>
      </c>
    </row>
    <row r="684" spans="1:52" x14ac:dyDescent="0.3">
      <c r="A684" t="s">
        <v>3195</v>
      </c>
      <c r="B684" s="94">
        <v>46046</v>
      </c>
      <c r="C684" t="s">
        <v>3196</v>
      </c>
      <c r="D684" t="s">
        <v>3197</v>
      </c>
      <c r="E684" t="s">
        <v>3198</v>
      </c>
      <c r="F684" t="s">
        <v>240</v>
      </c>
      <c r="G684" t="s">
        <v>39</v>
      </c>
      <c r="H684" t="s">
        <v>3199</v>
      </c>
      <c r="I684" t="s">
        <v>159</v>
      </c>
      <c r="J684" t="s">
        <v>71</v>
      </c>
      <c r="K684" t="s">
        <v>218</v>
      </c>
      <c r="L684" t="s">
        <v>62</v>
      </c>
      <c r="M684" t="s">
        <v>51</v>
      </c>
      <c r="N684" t="s">
        <v>52</v>
      </c>
      <c r="O684" t="s">
        <v>3200</v>
      </c>
      <c r="P684">
        <v>9999999999</v>
      </c>
      <c r="Q684" t="s">
        <v>445</v>
      </c>
      <c r="R684" t="s">
        <v>2116</v>
      </c>
      <c r="S684" t="s">
        <v>43</v>
      </c>
      <c r="T684" t="s">
        <v>43</v>
      </c>
      <c r="U684" t="s">
        <v>44</v>
      </c>
      <c r="V684" t="s">
        <v>45</v>
      </c>
      <c r="W684" t="s">
        <v>5102</v>
      </c>
      <c r="X684" t="s">
        <v>45</v>
      </c>
      <c r="Y684" t="s">
        <v>46</v>
      </c>
      <c r="Z684" t="s">
        <v>242</v>
      </c>
      <c r="AA684" t="s">
        <v>242</v>
      </c>
      <c r="AB684" t="s">
        <v>49</v>
      </c>
      <c r="AC684" t="s">
        <v>49</v>
      </c>
      <c r="AD684" t="s">
        <v>494</v>
      </c>
      <c r="AE684" t="s">
        <v>185</v>
      </c>
      <c r="AF684">
        <v>0</v>
      </c>
      <c r="AG684" t="s">
        <v>196</v>
      </c>
      <c r="AH684" s="93">
        <f>VLOOKUP(Table1[[#This Row],[Caste]],Factor!$H$1:$K$13,4,0)</f>
        <v>2.1852575402829908</v>
      </c>
      <c r="AI684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684">
        <f>Table1[[#This Row],[Factor_1]]*Table1[[#This Row],[2024 Factor]]</f>
        <v>2.3491518558042173</v>
      </c>
      <c r="AK684">
        <f>VLOOKUP(Table1[[#This Row],[Q18: Gender]],Factor!$A$33:$E$35,5,0)</f>
        <v>2.1645021645021645</v>
      </c>
      <c r="AL684">
        <f>VLOOKUP(Table1[[#This Row],[Taluka]],Factor!$A$42:$G$46,7,0)</f>
        <v>1.1213131007097483</v>
      </c>
      <c r="AM684">
        <f>VLOOKUP(Table1[[#This Row],[Caste]]&amp;Table1[[#This Row],[Q18: Gender]],Factor!$W$1:$X$23,2,0)</f>
        <v>3.5510435029598604</v>
      </c>
      <c r="AN684">
        <f>VLOOKUP(Table1[[#This Row],[Taluka]]&amp;Table1[[#This Row],[Caste]]&amp;Table1[[#This Row],[Q18: Gender]],Factor!$AK$4:$AL$93,2,0)</f>
        <v>1.027312553073255</v>
      </c>
      <c r="AO684">
        <f t="shared" si="110"/>
        <v>-1</v>
      </c>
      <c r="AP684">
        <f t="shared" si="111"/>
        <v>-1</v>
      </c>
      <c r="AQ684">
        <f t="shared" si="112"/>
        <v>-1</v>
      </c>
      <c r="AR684">
        <f t="shared" si="113"/>
        <v>-1</v>
      </c>
      <c r="AS684">
        <f t="shared" si="114"/>
        <v>-1</v>
      </c>
      <c r="AT684">
        <f t="shared" si="115"/>
        <v>-1</v>
      </c>
      <c r="AU684">
        <f t="shared" si="116"/>
        <v>-5.5</v>
      </c>
      <c r="AV684">
        <f>SUM(Table1[[#This Row],[Satis]:[29]])</f>
        <v>-6</v>
      </c>
      <c r="AW684">
        <f t="shared" si="117"/>
        <v>-5</v>
      </c>
      <c r="AX684">
        <f t="shared" si="118"/>
        <v>-4</v>
      </c>
      <c r="AY684">
        <f t="shared" si="119"/>
        <v>-3</v>
      </c>
      <c r="AZ684" t="str">
        <f t="shared" si="120"/>
        <v>TDP HardCore</v>
      </c>
    </row>
    <row r="685" spans="1:52" x14ac:dyDescent="0.3">
      <c r="A685" t="s">
        <v>3858</v>
      </c>
      <c r="B685" s="94">
        <v>46046</v>
      </c>
      <c r="C685" t="s">
        <v>3859</v>
      </c>
      <c r="D685" t="s">
        <v>3860</v>
      </c>
      <c r="E685" t="s">
        <v>1197</v>
      </c>
      <c r="F685" t="s">
        <v>35</v>
      </c>
      <c r="G685" t="s">
        <v>39</v>
      </c>
      <c r="H685" t="s">
        <v>3861</v>
      </c>
      <c r="I685" t="s">
        <v>59</v>
      </c>
      <c r="J685" t="s">
        <v>71</v>
      </c>
      <c r="K685" t="s">
        <v>217</v>
      </c>
      <c r="L685" t="s">
        <v>451</v>
      </c>
      <c r="M685" t="s">
        <v>51</v>
      </c>
      <c r="N685" t="s">
        <v>63</v>
      </c>
      <c r="O685" t="s">
        <v>3862</v>
      </c>
      <c r="P685">
        <v>0</v>
      </c>
      <c r="Q685" t="s">
        <v>445</v>
      </c>
      <c r="R685" t="s">
        <v>2116</v>
      </c>
      <c r="S685" t="s">
        <v>43</v>
      </c>
      <c r="T685" t="s">
        <v>43</v>
      </c>
      <c r="U685" t="s">
        <v>44</v>
      </c>
      <c r="V685" t="s">
        <v>45</v>
      </c>
      <c r="W685" t="s">
        <v>5042</v>
      </c>
      <c r="X685" t="s">
        <v>45</v>
      </c>
      <c r="Y685" t="s">
        <v>46</v>
      </c>
      <c r="Z685" t="s">
        <v>47</v>
      </c>
      <c r="AA685" t="s">
        <v>48</v>
      </c>
      <c r="AB685" t="s">
        <v>49</v>
      </c>
      <c r="AC685" t="s">
        <v>49</v>
      </c>
      <c r="AD685" t="s">
        <v>494</v>
      </c>
      <c r="AE685" t="s">
        <v>1250</v>
      </c>
      <c r="AF685" t="s">
        <v>1773</v>
      </c>
      <c r="AG685" t="s">
        <v>498</v>
      </c>
      <c r="AH685" s="93">
        <f>VLOOKUP(Table1[[#This Row],[Caste]],Factor!$H$1:$K$13,4,0)</f>
        <v>1.1461625511156397</v>
      </c>
      <c r="AI68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85">
        <f>Table1[[#This Row],[Factor_1]]*Table1[[#This Row],[2024 Factor]]</f>
        <v>3.0326483876590018</v>
      </c>
      <c r="AK685">
        <f>VLOOKUP(Table1[[#This Row],[Q18: Gender]],Factor!$A$33:$E$35,5,0)</f>
        <v>2.1645021645021645</v>
      </c>
      <c r="AL685">
        <f>VLOOKUP(Table1[[#This Row],[Taluka]],Factor!$A$42:$G$46,7,0)</f>
        <v>1.1213131007097483</v>
      </c>
      <c r="AM685">
        <f>VLOOKUP(Table1[[#This Row],[Caste]]&amp;Table1[[#This Row],[Q18: Gender]],Factor!$W$1:$X$23,2,0)</f>
        <v>2.8092219390089208</v>
      </c>
      <c r="AN685">
        <f>VLOOKUP(Table1[[#This Row],[Taluka]]&amp;Table1[[#This Row],[Caste]]&amp;Table1[[#This Row],[Q18: Gender]],Factor!$AK$4:$AL$93,2,0)</f>
        <v>1.8020838461961379</v>
      </c>
      <c r="AO685">
        <f t="shared" si="110"/>
        <v>-1</v>
      </c>
      <c r="AP685">
        <f t="shared" si="111"/>
        <v>-1</v>
      </c>
      <c r="AQ685">
        <f t="shared" si="112"/>
        <v>-1</v>
      </c>
      <c r="AR685">
        <f t="shared" si="113"/>
        <v>-1</v>
      </c>
      <c r="AS685">
        <f t="shared" si="114"/>
        <v>-1</v>
      </c>
      <c r="AT685">
        <f t="shared" si="115"/>
        <v>-1</v>
      </c>
      <c r="AU685">
        <f t="shared" si="116"/>
        <v>-5.5</v>
      </c>
      <c r="AV685">
        <f>SUM(Table1[[#This Row],[Satis]:[29]])</f>
        <v>-6</v>
      </c>
      <c r="AW685">
        <f t="shared" si="117"/>
        <v>-5</v>
      </c>
      <c r="AX685">
        <f t="shared" si="118"/>
        <v>-4</v>
      </c>
      <c r="AY685">
        <f t="shared" si="119"/>
        <v>-3</v>
      </c>
      <c r="AZ685" t="str">
        <f t="shared" si="120"/>
        <v>TDP HardCore</v>
      </c>
    </row>
    <row r="686" spans="1:52" x14ac:dyDescent="0.3">
      <c r="A686" t="s">
        <v>3863</v>
      </c>
      <c r="B686" s="94">
        <v>46046</v>
      </c>
      <c r="C686" t="s">
        <v>3864</v>
      </c>
      <c r="D686" t="s">
        <v>3865</v>
      </c>
      <c r="E686" t="s">
        <v>3866</v>
      </c>
      <c r="F686" t="s">
        <v>35</v>
      </c>
      <c r="G686" t="s">
        <v>39</v>
      </c>
      <c r="H686" t="s">
        <v>3867</v>
      </c>
      <c r="I686" t="s">
        <v>70</v>
      </c>
      <c r="J686" s="112" t="s">
        <v>203</v>
      </c>
      <c r="K686" s="112" t="s">
        <v>205</v>
      </c>
      <c r="L686" t="s">
        <v>161</v>
      </c>
      <c r="M686" t="s">
        <v>443</v>
      </c>
      <c r="N686" t="s">
        <v>52</v>
      </c>
      <c r="O686" t="s">
        <v>3868</v>
      </c>
      <c r="P686">
        <v>0</v>
      </c>
      <c r="Q686" t="s">
        <v>445</v>
      </c>
      <c r="R686" t="s">
        <v>139</v>
      </c>
      <c r="S686" t="s">
        <v>89</v>
      </c>
      <c r="T686" t="s">
        <v>89</v>
      </c>
      <c r="U686" t="s">
        <v>90</v>
      </c>
      <c r="V686" t="s">
        <v>91</v>
      </c>
      <c r="W686" t="s">
        <v>5043</v>
      </c>
      <c r="X686" t="s">
        <v>91</v>
      </c>
      <c r="Y686" t="s">
        <v>716</v>
      </c>
      <c r="Z686" t="s">
        <v>47</v>
      </c>
      <c r="AA686" t="s">
        <v>92</v>
      </c>
      <c r="AB686" t="s">
        <v>351</v>
      </c>
      <c r="AC686" t="s">
        <v>94</v>
      </c>
      <c r="AD686" t="s">
        <v>494</v>
      </c>
      <c r="AE686" t="s">
        <v>189</v>
      </c>
      <c r="AF686" t="s">
        <v>1773</v>
      </c>
      <c r="AG686" t="s">
        <v>196</v>
      </c>
      <c r="AH686" s="93">
        <f>VLOOKUP(Table1[[#This Row],[Caste]],Factor!$H$1:$K$13,4,0)</f>
        <v>1.3836274505214585</v>
      </c>
      <c r="AI686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686">
        <f>Table1[[#This Row],[Factor_1]]*Table1[[#This Row],[2024 Factor]]</f>
        <v>3.4809023142961388</v>
      </c>
      <c r="AK686">
        <f>VLOOKUP(Table1[[#This Row],[Q18: Gender]],Factor!$A$33:$E$35,5,0)</f>
        <v>2.1645021645021645</v>
      </c>
      <c r="AL686">
        <f>VLOOKUP(Table1[[#This Row],[Taluka]],Factor!$A$42:$G$46,7,0)</f>
        <v>1.9264642089343564</v>
      </c>
      <c r="AM686">
        <f>VLOOKUP(Table1[[#This Row],[Caste]]&amp;Table1[[#This Row],[Q18: Gender]],Factor!$W$1:$X$23,2,0)</f>
        <v>1.9278542477265657</v>
      </c>
      <c r="AN686">
        <f>VLOOKUP(Table1[[#This Row],[Taluka]]&amp;Table1[[#This Row],[Caste]]&amp;Table1[[#This Row],[Q18: Gender]],Factor!$AK$4:$AL$93,2,0)</f>
        <v>4.0768956513699193</v>
      </c>
      <c r="AO686">
        <f t="shared" si="110"/>
        <v>1</v>
      </c>
      <c r="AP686">
        <f t="shared" si="111"/>
        <v>1</v>
      </c>
      <c r="AQ686">
        <f t="shared" si="112"/>
        <v>1</v>
      </c>
      <c r="AR686">
        <f t="shared" si="113"/>
        <v>1</v>
      </c>
      <c r="AS686">
        <f t="shared" si="114"/>
        <v>1</v>
      </c>
      <c r="AT686">
        <f t="shared" si="115"/>
        <v>-1</v>
      </c>
      <c r="AU686">
        <f t="shared" si="116"/>
        <v>3.5</v>
      </c>
      <c r="AV686">
        <f>SUM(Table1[[#This Row],[Satis]:[29]])</f>
        <v>4</v>
      </c>
      <c r="AW686">
        <f t="shared" si="117"/>
        <v>3</v>
      </c>
      <c r="AX686">
        <f t="shared" si="118"/>
        <v>2</v>
      </c>
      <c r="AY686" t="str">
        <f t="shared" si="119"/>
        <v>ND</v>
      </c>
      <c r="AZ686" t="str">
        <f t="shared" si="120"/>
        <v>ND</v>
      </c>
    </row>
    <row r="687" spans="1:52" x14ac:dyDescent="0.3">
      <c r="A687" t="s">
        <v>3291</v>
      </c>
      <c r="B687" s="94">
        <v>46046</v>
      </c>
      <c r="C687" t="s">
        <v>3292</v>
      </c>
      <c r="D687" t="s">
        <v>3197</v>
      </c>
      <c r="E687" t="s">
        <v>3198</v>
      </c>
      <c r="F687" t="s">
        <v>240</v>
      </c>
      <c r="G687" t="s">
        <v>39</v>
      </c>
      <c r="H687" t="s">
        <v>3293</v>
      </c>
      <c r="I687" t="s">
        <v>159</v>
      </c>
      <c r="J687" t="s">
        <v>71</v>
      </c>
      <c r="K687" t="s">
        <v>218</v>
      </c>
      <c r="L687" t="s">
        <v>62</v>
      </c>
      <c r="M687" t="s">
        <v>51</v>
      </c>
      <c r="N687" t="s">
        <v>52</v>
      </c>
      <c r="O687" t="s">
        <v>3200</v>
      </c>
      <c r="P687">
        <v>9999999999</v>
      </c>
      <c r="Q687" t="s">
        <v>445</v>
      </c>
      <c r="R687" t="s">
        <v>2116</v>
      </c>
      <c r="S687" t="s">
        <v>43</v>
      </c>
      <c r="T687" t="s">
        <v>43</v>
      </c>
      <c r="U687" t="s">
        <v>44</v>
      </c>
      <c r="V687" t="s">
        <v>45</v>
      </c>
      <c r="W687" t="s">
        <v>5102</v>
      </c>
      <c r="X687" t="s">
        <v>45</v>
      </c>
      <c r="Y687" t="s">
        <v>46</v>
      </c>
      <c r="Z687" t="s">
        <v>242</v>
      </c>
      <c r="AA687" t="s">
        <v>242</v>
      </c>
      <c r="AB687" t="s">
        <v>49</v>
      </c>
      <c r="AC687" t="s">
        <v>49</v>
      </c>
      <c r="AD687">
        <v>0</v>
      </c>
      <c r="AE687" t="s">
        <v>185</v>
      </c>
      <c r="AF687">
        <v>0</v>
      </c>
      <c r="AG687" t="s">
        <v>196</v>
      </c>
      <c r="AH687" s="93">
        <f>VLOOKUP(Table1[[#This Row],[Caste]],Factor!$H$1:$K$13,4,0)</f>
        <v>2.1852575402829908</v>
      </c>
      <c r="AI687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687">
        <f>Table1[[#This Row],[Factor_1]]*Table1[[#This Row],[2024 Factor]]</f>
        <v>2.3491518558042173</v>
      </c>
      <c r="AK687">
        <f>VLOOKUP(Table1[[#This Row],[Q18: Gender]],Factor!$A$33:$E$35,5,0)</f>
        <v>2.1645021645021645</v>
      </c>
      <c r="AL687">
        <f>VLOOKUP(Table1[[#This Row],[Taluka]],Factor!$A$42:$G$46,7,0)</f>
        <v>1.1213131007097483</v>
      </c>
      <c r="AM687">
        <f>VLOOKUP(Table1[[#This Row],[Caste]]&amp;Table1[[#This Row],[Q18: Gender]],Factor!$W$1:$X$23,2,0)</f>
        <v>3.5510435029598604</v>
      </c>
      <c r="AN687">
        <f>VLOOKUP(Table1[[#This Row],[Taluka]]&amp;Table1[[#This Row],[Caste]]&amp;Table1[[#This Row],[Q18: Gender]],Factor!$AK$4:$AL$93,2,0)</f>
        <v>1.027312553073255</v>
      </c>
      <c r="AO687">
        <f t="shared" si="110"/>
        <v>-1</v>
      </c>
      <c r="AP687">
        <f t="shared" si="111"/>
        <v>-1</v>
      </c>
      <c r="AQ687">
        <f t="shared" si="112"/>
        <v>-1</v>
      </c>
      <c r="AR687">
        <f t="shared" si="113"/>
        <v>-1</v>
      </c>
      <c r="AS687">
        <f t="shared" si="114"/>
        <v>-1</v>
      </c>
      <c r="AT687">
        <f t="shared" si="115"/>
        <v>-1</v>
      </c>
      <c r="AU687">
        <f t="shared" si="116"/>
        <v>-5.5</v>
      </c>
      <c r="AV687">
        <f>SUM(Table1[[#This Row],[Satis]:[29]])</f>
        <v>-6</v>
      </c>
      <c r="AW687">
        <f t="shared" si="117"/>
        <v>-5</v>
      </c>
      <c r="AX687">
        <f t="shared" si="118"/>
        <v>-4</v>
      </c>
      <c r="AY687">
        <f t="shared" si="119"/>
        <v>-3</v>
      </c>
      <c r="AZ687" t="str">
        <f t="shared" si="120"/>
        <v>TDP HardCore</v>
      </c>
    </row>
    <row r="688" spans="1:52" x14ac:dyDescent="0.3">
      <c r="A688" t="s">
        <v>3623</v>
      </c>
      <c r="B688" s="94">
        <v>46046</v>
      </c>
      <c r="C688" t="s">
        <v>3624</v>
      </c>
      <c r="D688" t="s">
        <v>3197</v>
      </c>
      <c r="E688" t="s">
        <v>3198</v>
      </c>
      <c r="F688" t="s">
        <v>240</v>
      </c>
      <c r="G688" t="s">
        <v>39</v>
      </c>
      <c r="H688" t="s">
        <v>3625</v>
      </c>
      <c r="I688" t="s">
        <v>159</v>
      </c>
      <c r="J688" t="s">
        <v>71</v>
      </c>
      <c r="K688" t="s">
        <v>218</v>
      </c>
      <c r="L688" t="s">
        <v>62</v>
      </c>
      <c r="M688" t="s">
        <v>51</v>
      </c>
      <c r="N688" t="s">
        <v>52</v>
      </c>
      <c r="O688" t="s">
        <v>3200</v>
      </c>
      <c r="P688">
        <v>9999999999</v>
      </c>
      <c r="Q688" t="s">
        <v>445</v>
      </c>
      <c r="R688" t="s">
        <v>2116</v>
      </c>
      <c r="S688" t="s">
        <v>43</v>
      </c>
      <c r="T688" t="s">
        <v>43</v>
      </c>
      <c r="U688" t="s">
        <v>44</v>
      </c>
      <c r="V688" t="s">
        <v>45</v>
      </c>
      <c r="W688" t="s">
        <v>5102</v>
      </c>
      <c r="X688" t="s">
        <v>45</v>
      </c>
      <c r="Y688" t="s">
        <v>46</v>
      </c>
      <c r="Z688" t="s">
        <v>242</v>
      </c>
      <c r="AA688" t="s">
        <v>242</v>
      </c>
      <c r="AB688" t="s">
        <v>49</v>
      </c>
      <c r="AC688" t="s">
        <v>49</v>
      </c>
      <c r="AD688">
        <v>0</v>
      </c>
      <c r="AE688" t="s">
        <v>185</v>
      </c>
      <c r="AF688">
        <v>0</v>
      </c>
      <c r="AG688" t="s">
        <v>196</v>
      </c>
      <c r="AH688" s="93">
        <f>VLOOKUP(Table1[[#This Row],[Caste]],Factor!$H$1:$K$13,4,0)</f>
        <v>2.1852575402829908</v>
      </c>
      <c r="AI688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688">
        <f>Table1[[#This Row],[Factor_1]]*Table1[[#This Row],[2024 Factor]]</f>
        <v>2.3491518558042173</v>
      </c>
      <c r="AK688">
        <f>VLOOKUP(Table1[[#This Row],[Q18: Gender]],Factor!$A$33:$E$35,5,0)</f>
        <v>2.1645021645021645</v>
      </c>
      <c r="AL688">
        <f>VLOOKUP(Table1[[#This Row],[Taluka]],Factor!$A$42:$G$46,7,0)</f>
        <v>1.1213131007097483</v>
      </c>
      <c r="AM688">
        <f>VLOOKUP(Table1[[#This Row],[Caste]]&amp;Table1[[#This Row],[Q18: Gender]],Factor!$W$1:$X$23,2,0)</f>
        <v>3.5510435029598604</v>
      </c>
      <c r="AN688">
        <f>VLOOKUP(Table1[[#This Row],[Taluka]]&amp;Table1[[#This Row],[Caste]]&amp;Table1[[#This Row],[Q18: Gender]],Factor!$AK$4:$AL$93,2,0)</f>
        <v>1.027312553073255</v>
      </c>
      <c r="AO688">
        <f t="shared" si="110"/>
        <v>-1</v>
      </c>
      <c r="AP688">
        <f t="shared" si="111"/>
        <v>-1</v>
      </c>
      <c r="AQ688">
        <f t="shared" si="112"/>
        <v>-1</v>
      </c>
      <c r="AR688">
        <f t="shared" si="113"/>
        <v>-1</v>
      </c>
      <c r="AS688">
        <f t="shared" si="114"/>
        <v>-1</v>
      </c>
      <c r="AT688">
        <f t="shared" si="115"/>
        <v>-1</v>
      </c>
      <c r="AU688">
        <f t="shared" si="116"/>
        <v>-5.5</v>
      </c>
      <c r="AV688">
        <f>SUM(Table1[[#This Row],[Satis]:[29]])</f>
        <v>-6</v>
      </c>
      <c r="AW688">
        <f t="shared" si="117"/>
        <v>-5</v>
      </c>
      <c r="AX688">
        <f t="shared" si="118"/>
        <v>-4</v>
      </c>
      <c r="AY688">
        <f t="shared" si="119"/>
        <v>-3</v>
      </c>
      <c r="AZ688" t="str">
        <f t="shared" si="120"/>
        <v>TDP HardCore</v>
      </c>
    </row>
    <row r="689" spans="1:52" x14ac:dyDescent="0.3">
      <c r="A689" t="s">
        <v>3438</v>
      </c>
      <c r="B689" s="94">
        <v>46046</v>
      </c>
      <c r="C689" t="s">
        <v>3439</v>
      </c>
      <c r="D689" t="s">
        <v>3440</v>
      </c>
      <c r="E689" t="s">
        <v>3441</v>
      </c>
      <c r="F689" t="s">
        <v>35</v>
      </c>
      <c r="G689" t="s">
        <v>39</v>
      </c>
      <c r="H689" t="s">
        <v>3442</v>
      </c>
      <c r="I689" t="s">
        <v>36</v>
      </c>
      <c r="J689" t="s">
        <v>71</v>
      </c>
      <c r="K689" t="s">
        <v>217</v>
      </c>
      <c r="L689" t="s">
        <v>62</v>
      </c>
      <c r="M689" t="s">
        <v>51</v>
      </c>
      <c r="N689" t="s">
        <v>63</v>
      </c>
      <c r="O689" t="s">
        <v>3443</v>
      </c>
      <c r="P689">
        <v>0</v>
      </c>
      <c r="Q689" t="s">
        <v>54</v>
      </c>
      <c r="R689" t="s">
        <v>139</v>
      </c>
      <c r="S689" t="s">
        <v>43</v>
      </c>
      <c r="T689" t="s">
        <v>43</v>
      </c>
      <c r="U689" t="s">
        <v>44</v>
      </c>
      <c r="V689" t="s">
        <v>45</v>
      </c>
      <c r="W689" t="s">
        <v>5054</v>
      </c>
      <c r="X689" t="s">
        <v>45</v>
      </c>
      <c r="Y689" t="s">
        <v>46</v>
      </c>
      <c r="Z689" t="s">
        <v>47</v>
      </c>
      <c r="AA689" t="s">
        <v>48</v>
      </c>
      <c r="AB689" t="s">
        <v>49</v>
      </c>
      <c r="AC689" t="s">
        <v>49</v>
      </c>
      <c r="AD689" t="s">
        <v>494</v>
      </c>
      <c r="AE689" t="s">
        <v>185</v>
      </c>
      <c r="AF689" t="s">
        <v>4096</v>
      </c>
      <c r="AG689" t="s">
        <v>196</v>
      </c>
      <c r="AH689" s="93">
        <f>VLOOKUP(Table1[[#This Row],[Caste]],Factor!$H$1:$K$13,4,0)</f>
        <v>1.1705128247062893</v>
      </c>
      <c r="AI68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89">
        <f>Table1[[#This Row],[Factor_1]]*Table1[[#This Row],[2024 Factor]]</f>
        <v>0.86308903171383233</v>
      </c>
      <c r="AK689">
        <f>VLOOKUP(Table1[[#This Row],[Q18: Gender]],Factor!$A$33:$E$35,5,0)</f>
        <v>0.85034013605442171</v>
      </c>
      <c r="AL689">
        <f>VLOOKUP(Table1[[#This Row],[Taluka]],Factor!$A$42:$G$46,7,0)</f>
        <v>1.1213131007097483</v>
      </c>
      <c r="AM689">
        <f>VLOOKUP(Table1[[#This Row],[Caste]]&amp;Table1[[#This Row],[Q18: Gender]],Factor!$W$1:$X$23,2,0)</f>
        <v>0.79950206330384943</v>
      </c>
      <c r="AN689">
        <f>VLOOKUP(Table1[[#This Row],[Taluka]]&amp;Table1[[#This Row],[Caste]]&amp;Table1[[#This Row],[Q18: Gender]],Factor!$AK$4:$AL$93,2,0)</f>
        <v>0.7401439088249181</v>
      </c>
      <c r="AO689">
        <f t="shared" si="110"/>
        <v>-1</v>
      </c>
      <c r="AP689">
        <f t="shared" si="111"/>
        <v>-1</v>
      </c>
      <c r="AQ689">
        <f t="shared" si="112"/>
        <v>-1</v>
      </c>
      <c r="AR689">
        <f t="shared" si="113"/>
        <v>-1</v>
      </c>
      <c r="AS689">
        <f t="shared" si="114"/>
        <v>-1</v>
      </c>
      <c r="AT689">
        <f t="shared" si="115"/>
        <v>-1</v>
      </c>
      <c r="AU689">
        <f t="shared" si="116"/>
        <v>-5.5</v>
      </c>
      <c r="AV689">
        <f>SUM(Table1[[#This Row],[Satis]:[29]])</f>
        <v>-6</v>
      </c>
      <c r="AW689">
        <f t="shared" si="117"/>
        <v>-5</v>
      </c>
      <c r="AX689">
        <f t="shared" si="118"/>
        <v>-4</v>
      </c>
      <c r="AY689">
        <f t="shared" si="119"/>
        <v>-3</v>
      </c>
      <c r="AZ689" t="str">
        <f t="shared" si="120"/>
        <v>TDP HardCore</v>
      </c>
    </row>
    <row r="690" spans="1:52" x14ac:dyDescent="0.3">
      <c r="A690" t="s">
        <v>3581</v>
      </c>
      <c r="B690" s="94">
        <v>46046</v>
      </c>
      <c r="C690" t="s">
        <v>3582</v>
      </c>
      <c r="D690" t="s">
        <v>3583</v>
      </c>
      <c r="E690" t="s">
        <v>3075</v>
      </c>
      <c r="F690" t="s">
        <v>935</v>
      </c>
      <c r="G690" t="s">
        <v>39</v>
      </c>
      <c r="H690" t="s">
        <v>3584</v>
      </c>
      <c r="I690" t="s">
        <v>59</v>
      </c>
      <c r="J690" t="s">
        <v>203</v>
      </c>
      <c r="K690" t="s">
        <v>208</v>
      </c>
      <c r="L690" t="s">
        <v>50</v>
      </c>
      <c r="M690" t="s">
        <v>51</v>
      </c>
      <c r="N690" t="s">
        <v>52</v>
      </c>
      <c r="O690" t="s">
        <v>3585</v>
      </c>
      <c r="P690">
        <v>9000696869</v>
      </c>
      <c r="Q690" t="s">
        <v>54</v>
      </c>
      <c r="R690" t="s">
        <v>132</v>
      </c>
      <c r="S690" t="s">
        <v>89</v>
      </c>
      <c r="T690" t="s">
        <v>43</v>
      </c>
      <c r="U690" t="s">
        <v>44</v>
      </c>
      <c r="V690" t="s">
        <v>45</v>
      </c>
      <c r="W690" t="s">
        <v>5064</v>
      </c>
      <c r="X690" t="s">
        <v>45</v>
      </c>
      <c r="Y690" t="s">
        <v>46</v>
      </c>
      <c r="Z690" t="s">
        <v>47</v>
      </c>
      <c r="AA690" t="s">
        <v>48</v>
      </c>
      <c r="AB690" t="s">
        <v>49</v>
      </c>
      <c r="AC690" t="s">
        <v>49</v>
      </c>
      <c r="AD690" t="s">
        <v>494</v>
      </c>
      <c r="AE690" t="s">
        <v>185</v>
      </c>
      <c r="AF690">
        <v>0</v>
      </c>
      <c r="AG690" t="s">
        <v>196</v>
      </c>
      <c r="AH690" s="93">
        <f>VLOOKUP(Table1[[#This Row],[Caste]],Factor!$H$1:$K$13,4,0)</f>
        <v>1.1461625511156397</v>
      </c>
      <c r="AI69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90">
        <f>Table1[[#This Row],[Factor_1]]*Table1[[#This Row],[2024 Factor]]</f>
        <v>0.77721139583220644</v>
      </c>
      <c r="AK690">
        <f>VLOOKUP(Table1[[#This Row],[Q18: Gender]],Factor!$A$33:$E$35,5,0)</f>
        <v>0.85034013605442171</v>
      </c>
      <c r="AL690">
        <f>VLOOKUP(Table1[[#This Row],[Taluka]],Factor!$A$42:$G$46,7,0)</f>
        <v>1.9264642089343564</v>
      </c>
      <c r="AM690">
        <f>VLOOKUP(Table1[[#This Row],[Caste]]&amp;Table1[[#This Row],[Q18: Gender]],Factor!$W$1:$X$23,2,0)</f>
        <v>0.71995135120329123</v>
      </c>
      <c r="AN690">
        <f>VLOOKUP(Table1[[#This Row],[Taluka]]&amp;Table1[[#This Row],[Caste]]&amp;Table1[[#This Row],[Q18: Gender]],Factor!$AK$4:$AL$93,2,0)</f>
        <v>0.70534647283248642</v>
      </c>
      <c r="AO690">
        <f t="shared" si="110"/>
        <v>-1</v>
      </c>
      <c r="AP690">
        <f t="shared" si="111"/>
        <v>-1</v>
      </c>
      <c r="AQ690">
        <f t="shared" si="112"/>
        <v>-1</v>
      </c>
      <c r="AR690">
        <f t="shared" si="113"/>
        <v>-1</v>
      </c>
      <c r="AS690">
        <f t="shared" si="114"/>
        <v>-1</v>
      </c>
      <c r="AT690">
        <f t="shared" si="115"/>
        <v>-1</v>
      </c>
      <c r="AU690">
        <f t="shared" si="116"/>
        <v>-5.5</v>
      </c>
      <c r="AV690">
        <f>SUM(Table1[[#This Row],[Satis]:[29]])</f>
        <v>-6</v>
      </c>
      <c r="AW690">
        <f t="shared" si="117"/>
        <v>-5</v>
      </c>
      <c r="AX690">
        <f t="shared" si="118"/>
        <v>-4</v>
      </c>
      <c r="AY690">
        <f t="shared" si="119"/>
        <v>-3</v>
      </c>
      <c r="AZ690" t="str">
        <f t="shared" si="120"/>
        <v>TDP HardCore</v>
      </c>
    </row>
    <row r="691" spans="1:52" x14ac:dyDescent="0.3">
      <c r="A691" t="s">
        <v>3813</v>
      </c>
      <c r="B691" s="94">
        <v>46046</v>
      </c>
      <c r="C691" t="s">
        <v>3814</v>
      </c>
      <c r="D691" t="s">
        <v>3815</v>
      </c>
      <c r="E691" t="s">
        <v>3816</v>
      </c>
      <c r="F691" t="s">
        <v>35</v>
      </c>
      <c r="G691" t="s">
        <v>39</v>
      </c>
      <c r="H691" t="s">
        <v>3817</v>
      </c>
      <c r="I691" t="s">
        <v>36</v>
      </c>
      <c r="J691" t="s">
        <v>71</v>
      </c>
      <c r="K691" t="s">
        <v>217</v>
      </c>
      <c r="L691" t="s">
        <v>82</v>
      </c>
      <c r="M691" t="s">
        <v>51</v>
      </c>
      <c r="N691" t="s">
        <v>52</v>
      </c>
      <c r="O691" t="s">
        <v>3818</v>
      </c>
      <c r="P691">
        <v>7793997007</v>
      </c>
      <c r="Q691" t="s">
        <v>54</v>
      </c>
      <c r="R691" t="s">
        <v>2116</v>
      </c>
      <c r="S691" t="s">
        <v>43</v>
      </c>
      <c r="T691" t="s">
        <v>43</v>
      </c>
      <c r="U691" t="s">
        <v>44</v>
      </c>
      <c r="V691" t="s">
        <v>45</v>
      </c>
      <c r="W691" t="s">
        <v>5079</v>
      </c>
      <c r="X691" t="s">
        <v>45</v>
      </c>
      <c r="Y691" t="s">
        <v>46</v>
      </c>
      <c r="Z691" t="s">
        <v>47</v>
      </c>
      <c r="AA691" t="s">
        <v>48</v>
      </c>
      <c r="AB691" t="s">
        <v>49</v>
      </c>
      <c r="AC691" t="s">
        <v>49</v>
      </c>
      <c r="AD691" t="s">
        <v>494</v>
      </c>
      <c r="AE691" t="s">
        <v>185</v>
      </c>
      <c r="AF691">
        <v>0</v>
      </c>
      <c r="AG691" t="s">
        <v>196</v>
      </c>
      <c r="AH691" s="93">
        <f>VLOOKUP(Table1[[#This Row],[Caste]],Factor!$H$1:$K$13,4,0)</f>
        <v>1.1705128247062893</v>
      </c>
      <c r="AI69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91">
        <f>Table1[[#This Row],[Factor_1]]*Table1[[#This Row],[2024 Factor]]</f>
        <v>0.86308903171383233</v>
      </c>
      <c r="AK691">
        <f>VLOOKUP(Table1[[#This Row],[Q18: Gender]],Factor!$A$33:$E$35,5,0)</f>
        <v>0.85034013605442171</v>
      </c>
      <c r="AL691">
        <f>VLOOKUP(Table1[[#This Row],[Taluka]],Factor!$A$42:$G$46,7,0)</f>
        <v>1.1213131007097483</v>
      </c>
      <c r="AM691">
        <f>VLOOKUP(Table1[[#This Row],[Caste]]&amp;Table1[[#This Row],[Q18: Gender]],Factor!$W$1:$X$23,2,0)</f>
        <v>0.79950206330384943</v>
      </c>
      <c r="AN691">
        <f>VLOOKUP(Table1[[#This Row],[Taluka]]&amp;Table1[[#This Row],[Caste]]&amp;Table1[[#This Row],[Q18: Gender]],Factor!$AK$4:$AL$93,2,0)</f>
        <v>0.7401439088249181</v>
      </c>
      <c r="AO691">
        <f t="shared" si="110"/>
        <v>-1</v>
      </c>
      <c r="AP691">
        <f t="shared" si="111"/>
        <v>-1</v>
      </c>
      <c r="AQ691">
        <f t="shared" si="112"/>
        <v>-1</v>
      </c>
      <c r="AR691">
        <f t="shared" si="113"/>
        <v>-1</v>
      </c>
      <c r="AS691">
        <f t="shared" si="114"/>
        <v>-1</v>
      </c>
      <c r="AT691">
        <f t="shared" si="115"/>
        <v>-1</v>
      </c>
      <c r="AU691">
        <f t="shared" si="116"/>
        <v>-5.5</v>
      </c>
      <c r="AV691">
        <f>SUM(Table1[[#This Row],[Satis]:[29]])</f>
        <v>-6</v>
      </c>
      <c r="AW691">
        <f t="shared" si="117"/>
        <v>-5</v>
      </c>
      <c r="AX691">
        <f t="shared" si="118"/>
        <v>-4</v>
      </c>
      <c r="AY691">
        <f t="shared" si="119"/>
        <v>-3</v>
      </c>
      <c r="AZ691" t="str">
        <f t="shared" si="120"/>
        <v>TDP HardCore</v>
      </c>
    </row>
    <row r="692" spans="1:52" x14ac:dyDescent="0.3">
      <c r="A692" t="s">
        <v>3892</v>
      </c>
      <c r="B692" s="94">
        <v>46046</v>
      </c>
      <c r="C692" t="s">
        <v>3893</v>
      </c>
      <c r="D692" t="s">
        <v>3460</v>
      </c>
      <c r="E692" t="s">
        <v>3461</v>
      </c>
      <c r="F692" t="s">
        <v>935</v>
      </c>
      <c r="G692" t="s">
        <v>39</v>
      </c>
      <c r="H692" t="s">
        <v>3894</v>
      </c>
      <c r="I692" t="s">
        <v>59</v>
      </c>
      <c r="J692" t="s">
        <v>203</v>
      </c>
      <c r="K692" t="s">
        <v>208</v>
      </c>
      <c r="L692" t="s">
        <v>62</v>
      </c>
      <c r="M692" t="s">
        <v>51</v>
      </c>
      <c r="N692" t="s">
        <v>107</v>
      </c>
      <c r="O692" t="s">
        <v>69</v>
      </c>
      <c r="P692">
        <v>7337274638</v>
      </c>
      <c r="Q692" t="s">
        <v>54</v>
      </c>
      <c r="R692" t="s">
        <v>132</v>
      </c>
      <c r="S692" t="s">
        <v>89</v>
      </c>
      <c r="T692" t="s">
        <v>89</v>
      </c>
      <c r="U692" t="s">
        <v>90</v>
      </c>
      <c r="V692" t="s">
        <v>91</v>
      </c>
      <c r="W692" t="s">
        <v>5057</v>
      </c>
      <c r="X692" t="s">
        <v>91</v>
      </c>
      <c r="Y692" t="s">
        <v>46</v>
      </c>
      <c r="Z692" t="s">
        <v>47</v>
      </c>
      <c r="AA692" t="s">
        <v>48</v>
      </c>
      <c r="AB692" t="s">
        <v>49</v>
      </c>
      <c r="AC692" t="s">
        <v>49</v>
      </c>
      <c r="AD692" t="s">
        <v>481</v>
      </c>
      <c r="AE692" t="s">
        <v>189</v>
      </c>
      <c r="AF692" t="s">
        <v>4085</v>
      </c>
      <c r="AG692" t="s">
        <v>196</v>
      </c>
      <c r="AH692" s="93">
        <f>VLOOKUP(Table1[[#This Row],[Caste]],Factor!$H$1:$K$13,4,0)</f>
        <v>1.1461625511156397</v>
      </c>
      <c r="AI69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92">
        <f>Table1[[#This Row],[Factor_1]]*Table1[[#This Row],[2024 Factor]]</f>
        <v>0.77721139583220644</v>
      </c>
      <c r="AK692">
        <f>VLOOKUP(Table1[[#This Row],[Q18: Gender]],Factor!$A$33:$E$35,5,0)</f>
        <v>0.85034013605442171</v>
      </c>
      <c r="AL692">
        <f>VLOOKUP(Table1[[#This Row],[Taluka]],Factor!$A$42:$G$46,7,0)</f>
        <v>1.9264642089343564</v>
      </c>
      <c r="AM692">
        <f>VLOOKUP(Table1[[#This Row],[Caste]]&amp;Table1[[#This Row],[Q18: Gender]],Factor!$W$1:$X$23,2,0)</f>
        <v>0.71995135120329123</v>
      </c>
      <c r="AN692">
        <f>VLOOKUP(Table1[[#This Row],[Taluka]]&amp;Table1[[#This Row],[Caste]]&amp;Table1[[#This Row],[Q18: Gender]],Factor!$AK$4:$AL$93,2,0)</f>
        <v>0.70534647283248642</v>
      </c>
      <c r="AO692">
        <f t="shared" si="110"/>
        <v>1</v>
      </c>
      <c r="AP692">
        <f t="shared" si="111"/>
        <v>1</v>
      </c>
      <c r="AQ692">
        <f t="shared" si="112"/>
        <v>1</v>
      </c>
      <c r="AR692">
        <f t="shared" si="113"/>
        <v>1</v>
      </c>
      <c r="AS692">
        <f t="shared" si="114"/>
        <v>-1</v>
      </c>
      <c r="AT692">
        <f t="shared" si="115"/>
        <v>-1</v>
      </c>
      <c r="AU692">
        <f t="shared" si="116"/>
        <v>2.5</v>
      </c>
      <c r="AV692">
        <f>SUM(Table1[[#This Row],[Satis]:[29]])</f>
        <v>2</v>
      </c>
      <c r="AW692">
        <f t="shared" si="117"/>
        <v>1</v>
      </c>
      <c r="AX692">
        <f t="shared" si="118"/>
        <v>0</v>
      </c>
      <c r="AY692">
        <f t="shared" si="119"/>
        <v>-2</v>
      </c>
      <c r="AZ692" t="str">
        <f t="shared" si="120"/>
        <v>Neutral TDP</v>
      </c>
    </row>
    <row r="693" spans="1:52" x14ac:dyDescent="0.3">
      <c r="A693" t="s">
        <v>3895</v>
      </c>
      <c r="B693" s="94">
        <v>46046</v>
      </c>
      <c r="C693" t="s">
        <v>3896</v>
      </c>
      <c r="D693" t="s">
        <v>3897</v>
      </c>
      <c r="E693" t="s">
        <v>3725</v>
      </c>
      <c r="F693" t="s">
        <v>69</v>
      </c>
      <c r="G693" t="s">
        <v>39</v>
      </c>
      <c r="H693" t="s">
        <v>3898</v>
      </c>
      <c r="I693" t="s">
        <v>59</v>
      </c>
      <c r="J693" t="s">
        <v>203</v>
      </c>
      <c r="K693" t="s">
        <v>203</v>
      </c>
      <c r="L693" t="s">
        <v>62</v>
      </c>
      <c r="M693" t="s">
        <v>51</v>
      </c>
      <c r="N693" t="s">
        <v>52</v>
      </c>
      <c r="O693" t="s">
        <v>406</v>
      </c>
      <c r="P693">
        <v>9908361168</v>
      </c>
      <c r="Q693" t="s">
        <v>54</v>
      </c>
      <c r="R693" t="s">
        <v>73</v>
      </c>
      <c r="S693" t="s">
        <v>43</v>
      </c>
      <c r="T693" t="s">
        <v>43</v>
      </c>
      <c r="U693" t="s">
        <v>44</v>
      </c>
      <c r="V693" t="s">
        <v>45</v>
      </c>
      <c r="W693" t="s">
        <v>5046</v>
      </c>
      <c r="X693" t="s">
        <v>45</v>
      </c>
      <c r="Y693" t="s">
        <v>46</v>
      </c>
      <c r="Z693" t="s">
        <v>47</v>
      </c>
      <c r="AA693" t="s">
        <v>48</v>
      </c>
      <c r="AB693" t="s">
        <v>49</v>
      </c>
      <c r="AC693" t="s">
        <v>49</v>
      </c>
      <c r="AD693" t="s">
        <v>481</v>
      </c>
      <c r="AE693" t="s">
        <v>189</v>
      </c>
      <c r="AF693" t="s">
        <v>1212</v>
      </c>
      <c r="AG693" t="s">
        <v>196</v>
      </c>
      <c r="AH693" s="93">
        <f>VLOOKUP(Table1[[#This Row],[Caste]],Factor!$H$1:$K$13,4,0)</f>
        <v>1.1461625511156397</v>
      </c>
      <c r="AI69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93">
        <f>Table1[[#This Row],[Factor_1]]*Table1[[#This Row],[2024 Factor]]</f>
        <v>0.77721139583220644</v>
      </c>
      <c r="AK693">
        <f>VLOOKUP(Table1[[#This Row],[Q18: Gender]],Factor!$A$33:$E$35,5,0)</f>
        <v>0.85034013605442171</v>
      </c>
      <c r="AL693">
        <f>VLOOKUP(Table1[[#This Row],[Taluka]],Factor!$A$42:$G$46,7,0)</f>
        <v>1.9264642089343564</v>
      </c>
      <c r="AM693">
        <f>VLOOKUP(Table1[[#This Row],[Caste]]&amp;Table1[[#This Row],[Q18: Gender]],Factor!$W$1:$X$23,2,0)</f>
        <v>0.71995135120329123</v>
      </c>
      <c r="AN693">
        <f>VLOOKUP(Table1[[#This Row],[Taluka]]&amp;Table1[[#This Row],[Caste]]&amp;Table1[[#This Row],[Q18: Gender]],Factor!$AK$4:$AL$93,2,0)</f>
        <v>0.70534647283248642</v>
      </c>
      <c r="AO693">
        <f t="shared" si="110"/>
        <v>-1</v>
      </c>
      <c r="AP693">
        <f t="shared" si="111"/>
        <v>-1</v>
      </c>
      <c r="AQ693">
        <f t="shared" si="112"/>
        <v>-1</v>
      </c>
      <c r="AR693">
        <f t="shared" si="113"/>
        <v>-1</v>
      </c>
      <c r="AS693">
        <f t="shared" si="114"/>
        <v>-1</v>
      </c>
      <c r="AT693">
        <f t="shared" si="115"/>
        <v>-1</v>
      </c>
      <c r="AU693">
        <f t="shared" si="116"/>
        <v>-5.5</v>
      </c>
      <c r="AV693">
        <f>SUM(Table1[[#This Row],[Satis]:[29]])</f>
        <v>-6</v>
      </c>
      <c r="AW693">
        <f t="shared" si="117"/>
        <v>-5</v>
      </c>
      <c r="AX693">
        <f t="shared" si="118"/>
        <v>-4</v>
      </c>
      <c r="AY693">
        <f t="shared" si="119"/>
        <v>-3</v>
      </c>
      <c r="AZ693" t="str">
        <f t="shared" si="120"/>
        <v>TDP HardCore</v>
      </c>
    </row>
    <row r="694" spans="1:52" x14ac:dyDescent="0.3">
      <c r="A694" t="s">
        <v>3899</v>
      </c>
      <c r="B694" s="94">
        <v>46046</v>
      </c>
      <c r="C694" t="s">
        <v>3900</v>
      </c>
      <c r="D694" t="s">
        <v>3901</v>
      </c>
      <c r="E694" t="s">
        <v>3902</v>
      </c>
      <c r="F694" t="s">
        <v>69</v>
      </c>
      <c r="G694" t="s">
        <v>39</v>
      </c>
      <c r="H694" t="s">
        <v>3903</v>
      </c>
      <c r="I694" t="s">
        <v>70</v>
      </c>
      <c r="J694" t="s">
        <v>203</v>
      </c>
      <c r="K694" t="s">
        <v>203</v>
      </c>
      <c r="L694" t="s">
        <v>75</v>
      </c>
      <c r="M694" t="s">
        <v>51</v>
      </c>
      <c r="N694" t="s">
        <v>162</v>
      </c>
      <c r="O694" t="s">
        <v>3904</v>
      </c>
      <c r="P694">
        <v>9999999999</v>
      </c>
      <c r="Q694" t="s">
        <v>54</v>
      </c>
      <c r="R694" t="s">
        <v>73</v>
      </c>
      <c r="S694" t="s">
        <v>43</v>
      </c>
      <c r="T694" t="s">
        <v>43</v>
      </c>
      <c r="U694" t="s">
        <v>44</v>
      </c>
      <c r="V694" t="s">
        <v>91</v>
      </c>
      <c r="W694" t="s">
        <v>5042</v>
      </c>
      <c r="X694" t="s">
        <v>91</v>
      </c>
      <c r="Y694" t="s">
        <v>46</v>
      </c>
      <c r="Z694" t="s">
        <v>92</v>
      </c>
      <c r="AA694" t="s">
        <v>92</v>
      </c>
      <c r="AB694" t="s">
        <v>147</v>
      </c>
      <c r="AC694" t="s">
        <v>94</v>
      </c>
      <c r="AD694" t="s">
        <v>481</v>
      </c>
      <c r="AE694" t="s">
        <v>189</v>
      </c>
      <c r="AF694" t="s">
        <v>4066</v>
      </c>
      <c r="AG694" t="s">
        <v>196</v>
      </c>
      <c r="AH694" s="93">
        <f>VLOOKUP(Table1[[#This Row],[Caste]],Factor!$H$1:$K$13,4,0)</f>
        <v>1.3836274505214585</v>
      </c>
      <c r="AI694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694">
        <f>Table1[[#This Row],[Factor_1]]*Table1[[#This Row],[2024 Factor]]</f>
        <v>1.9482662206881376</v>
      </c>
      <c r="AK694">
        <f>VLOOKUP(Table1[[#This Row],[Q18: Gender]],Factor!$A$33:$E$35,5,0)</f>
        <v>0.85034013605442171</v>
      </c>
      <c r="AL694">
        <f>VLOOKUP(Table1[[#This Row],[Taluka]],Factor!$A$42:$G$46,7,0)</f>
        <v>1.9264642089343564</v>
      </c>
      <c r="AM694">
        <f>VLOOKUP(Table1[[#This Row],[Caste]]&amp;Table1[[#This Row],[Q18: Gender]],Factor!$W$1:$X$23,2,0)</f>
        <v>1.0790228998469584</v>
      </c>
      <c r="AN694">
        <f>VLOOKUP(Table1[[#This Row],[Taluka]]&amp;Table1[[#This Row],[Caste]]&amp;Table1[[#This Row],[Q18: Gender]],Factor!$AK$4:$AL$93,2,0)</f>
        <v>2.1355167697651956</v>
      </c>
      <c r="AO694">
        <f t="shared" si="110"/>
        <v>-1</v>
      </c>
      <c r="AP694">
        <f t="shared" si="111"/>
        <v>-1</v>
      </c>
      <c r="AQ694">
        <f t="shared" si="112"/>
        <v>1</v>
      </c>
      <c r="AR694">
        <f t="shared" si="113"/>
        <v>1</v>
      </c>
      <c r="AS694">
        <f t="shared" si="114"/>
        <v>1</v>
      </c>
      <c r="AT694">
        <f t="shared" si="115"/>
        <v>1</v>
      </c>
      <c r="AU694">
        <f t="shared" si="116"/>
        <v>1.5</v>
      </c>
      <c r="AV694">
        <f>SUM(Table1[[#This Row],[Satis]:[29]])</f>
        <v>2</v>
      </c>
      <c r="AW694">
        <f t="shared" si="117"/>
        <v>3</v>
      </c>
      <c r="AX694">
        <f t="shared" si="118"/>
        <v>4</v>
      </c>
      <c r="AY694">
        <f t="shared" si="119"/>
        <v>2</v>
      </c>
      <c r="AZ694" t="str">
        <f t="shared" si="120"/>
        <v>YSRCP Sympathiser</v>
      </c>
    </row>
    <row r="695" spans="1:52" x14ac:dyDescent="0.3">
      <c r="A695" t="s">
        <v>3490</v>
      </c>
      <c r="B695" s="94">
        <v>46046</v>
      </c>
      <c r="C695" t="s">
        <v>3491</v>
      </c>
      <c r="D695" t="s">
        <v>3492</v>
      </c>
      <c r="E695" t="s">
        <v>3493</v>
      </c>
      <c r="F695" t="s">
        <v>35</v>
      </c>
      <c r="G695" t="s">
        <v>39</v>
      </c>
      <c r="H695" t="s">
        <v>3494</v>
      </c>
      <c r="I695" t="s">
        <v>70</v>
      </c>
      <c r="J695" t="s">
        <v>71</v>
      </c>
      <c r="K695" t="s">
        <v>217</v>
      </c>
      <c r="L695" t="s">
        <v>62</v>
      </c>
      <c r="M695" t="s">
        <v>443</v>
      </c>
      <c r="N695" t="s">
        <v>63</v>
      </c>
      <c r="O695" t="s">
        <v>3495</v>
      </c>
      <c r="P695">
        <v>8465938831</v>
      </c>
      <c r="Q695" t="s">
        <v>54</v>
      </c>
      <c r="R695" t="s">
        <v>42</v>
      </c>
      <c r="S695" t="s">
        <v>89</v>
      </c>
      <c r="T695" t="s">
        <v>89</v>
      </c>
      <c r="U695" t="s">
        <v>90</v>
      </c>
      <c r="V695" t="s">
        <v>91</v>
      </c>
      <c r="W695" t="s">
        <v>5054</v>
      </c>
      <c r="X695" t="s">
        <v>91</v>
      </c>
      <c r="Y695" t="s">
        <v>46</v>
      </c>
      <c r="Z695" t="s">
        <v>92</v>
      </c>
      <c r="AA695" t="s">
        <v>92</v>
      </c>
      <c r="AB695" t="s">
        <v>93</v>
      </c>
      <c r="AC695" t="s">
        <v>94</v>
      </c>
      <c r="AD695" t="s">
        <v>481</v>
      </c>
      <c r="AE695" t="s">
        <v>185</v>
      </c>
      <c r="AF695">
        <v>0</v>
      </c>
      <c r="AG695" t="s">
        <v>196</v>
      </c>
      <c r="AH695" s="93">
        <f>VLOOKUP(Table1[[#This Row],[Caste]],Factor!$H$1:$K$13,4,0)</f>
        <v>1.3836274505214585</v>
      </c>
      <c r="AI695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695">
        <f>Table1[[#This Row],[Factor_1]]*Table1[[#This Row],[2024 Factor]]</f>
        <v>1.9482662206881376</v>
      </c>
      <c r="AK695">
        <f>VLOOKUP(Table1[[#This Row],[Q18: Gender]],Factor!$A$33:$E$35,5,0)</f>
        <v>0.85034013605442171</v>
      </c>
      <c r="AL695">
        <f>VLOOKUP(Table1[[#This Row],[Taluka]],Factor!$A$42:$G$46,7,0)</f>
        <v>1.1213131007097483</v>
      </c>
      <c r="AM695">
        <f>VLOOKUP(Table1[[#This Row],[Caste]]&amp;Table1[[#This Row],[Q18: Gender]],Factor!$W$1:$X$23,2,0)</f>
        <v>1.0790228998469584</v>
      </c>
      <c r="AN695">
        <f>VLOOKUP(Table1[[#This Row],[Taluka]]&amp;Table1[[#This Row],[Caste]]&amp;Table1[[#This Row],[Q18: Gender]],Factor!$AK$4:$AL$93,2,0)</f>
        <v>0.90933567693352424</v>
      </c>
      <c r="AO695">
        <f t="shared" si="110"/>
        <v>1</v>
      </c>
      <c r="AP695">
        <f t="shared" si="111"/>
        <v>1</v>
      </c>
      <c r="AQ695">
        <f t="shared" si="112"/>
        <v>1</v>
      </c>
      <c r="AR695">
        <f t="shared" si="113"/>
        <v>1</v>
      </c>
      <c r="AS695">
        <f t="shared" si="114"/>
        <v>1</v>
      </c>
      <c r="AT695">
        <f t="shared" si="115"/>
        <v>1</v>
      </c>
      <c r="AU695">
        <f t="shared" si="116"/>
        <v>5.5</v>
      </c>
      <c r="AV695">
        <f>SUM(Table1[[#This Row],[Satis]:[29]])</f>
        <v>6</v>
      </c>
      <c r="AW695">
        <f t="shared" si="117"/>
        <v>5</v>
      </c>
      <c r="AX695">
        <f t="shared" si="118"/>
        <v>4</v>
      </c>
      <c r="AY695">
        <f t="shared" si="119"/>
        <v>3</v>
      </c>
      <c r="AZ695" t="str">
        <f t="shared" si="120"/>
        <v>YSRCP HardCore</v>
      </c>
    </row>
    <row r="696" spans="1:52" x14ac:dyDescent="0.3">
      <c r="A696" t="s">
        <v>3808</v>
      </c>
      <c r="B696" s="94">
        <v>46046</v>
      </c>
      <c r="C696" t="s">
        <v>3809</v>
      </c>
      <c r="D696" t="s">
        <v>3810</v>
      </c>
      <c r="E696" t="s">
        <v>3720</v>
      </c>
      <c r="F696" t="s">
        <v>240</v>
      </c>
      <c r="G696" t="s">
        <v>39</v>
      </c>
      <c r="H696" t="s">
        <v>3811</v>
      </c>
      <c r="I696" t="s">
        <v>36</v>
      </c>
      <c r="J696" t="s">
        <v>71</v>
      </c>
      <c r="K696" t="s">
        <v>218</v>
      </c>
      <c r="L696" t="s">
        <v>75</v>
      </c>
      <c r="M696" t="s">
        <v>51</v>
      </c>
      <c r="N696" t="s">
        <v>63</v>
      </c>
      <c r="O696" t="s">
        <v>3812</v>
      </c>
      <c r="P696">
        <v>9999999999</v>
      </c>
      <c r="Q696" t="s">
        <v>54</v>
      </c>
      <c r="R696" t="s">
        <v>2116</v>
      </c>
      <c r="S696" t="s">
        <v>43</v>
      </c>
      <c r="T696" t="s">
        <v>43</v>
      </c>
      <c r="U696" t="s">
        <v>44</v>
      </c>
      <c r="V696" t="s">
        <v>45</v>
      </c>
      <c r="W696" t="s">
        <v>5056</v>
      </c>
      <c r="X696" t="s">
        <v>45</v>
      </c>
      <c r="Y696" t="s">
        <v>46</v>
      </c>
      <c r="Z696" t="s">
        <v>47</v>
      </c>
      <c r="AA696" t="s">
        <v>48</v>
      </c>
      <c r="AB696" t="s">
        <v>49</v>
      </c>
      <c r="AC696" t="s">
        <v>49</v>
      </c>
      <c r="AD696" t="s">
        <v>494</v>
      </c>
      <c r="AE696" t="s">
        <v>185</v>
      </c>
      <c r="AF696">
        <v>0</v>
      </c>
      <c r="AG696" t="s">
        <v>196</v>
      </c>
      <c r="AH696" s="93">
        <f>VLOOKUP(Table1[[#This Row],[Caste]],Factor!$H$1:$K$13,4,0)</f>
        <v>1.1705128247062893</v>
      </c>
      <c r="AI69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96">
        <f>Table1[[#This Row],[Factor_1]]*Table1[[#This Row],[2024 Factor]]</f>
        <v>0.86308903171383233</v>
      </c>
      <c r="AK696">
        <f>VLOOKUP(Table1[[#This Row],[Q18: Gender]],Factor!$A$33:$E$35,5,0)</f>
        <v>0.85034013605442171</v>
      </c>
      <c r="AL696">
        <f>VLOOKUP(Table1[[#This Row],[Taluka]],Factor!$A$42:$G$46,7,0)</f>
        <v>1.1213131007097483</v>
      </c>
      <c r="AM696">
        <f>VLOOKUP(Table1[[#This Row],[Caste]]&amp;Table1[[#This Row],[Q18: Gender]],Factor!$W$1:$X$23,2,0)</f>
        <v>0.79950206330384943</v>
      </c>
      <c r="AN696">
        <f>VLOOKUP(Table1[[#This Row],[Taluka]]&amp;Table1[[#This Row],[Caste]]&amp;Table1[[#This Row],[Q18: Gender]],Factor!$AK$4:$AL$93,2,0)</f>
        <v>0.7401439088249181</v>
      </c>
      <c r="AO696">
        <f t="shared" si="110"/>
        <v>-1</v>
      </c>
      <c r="AP696">
        <f t="shared" si="111"/>
        <v>-1</v>
      </c>
      <c r="AQ696">
        <f t="shared" si="112"/>
        <v>-1</v>
      </c>
      <c r="AR696">
        <f t="shared" si="113"/>
        <v>-1</v>
      </c>
      <c r="AS696">
        <f t="shared" si="114"/>
        <v>-1</v>
      </c>
      <c r="AT696">
        <f t="shared" si="115"/>
        <v>-1</v>
      </c>
      <c r="AU696">
        <f t="shared" si="116"/>
        <v>-5.5</v>
      </c>
      <c r="AV696">
        <f>SUM(Table1[[#This Row],[Satis]:[29]])</f>
        <v>-6</v>
      </c>
      <c r="AW696">
        <f t="shared" si="117"/>
        <v>-5</v>
      </c>
      <c r="AX696">
        <f t="shared" si="118"/>
        <v>-4</v>
      </c>
      <c r="AY696">
        <f t="shared" si="119"/>
        <v>-3</v>
      </c>
      <c r="AZ696" t="str">
        <f t="shared" si="120"/>
        <v>TDP HardCore</v>
      </c>
    </row>
    <row r="697" spans="1:52" x14ac:dyDescent="0.3">
      <c r="A697" t="s">
        <v>3915</v>
      </c>
      <c r="B697" s="94">
        <v>46046</v>
      </c>
      <c r="C697" t="s">
        <v>3916</v>
      </c>
      <c r="D697" t="s">
        <v>3917</v>
      </c>
      <c r="E697" t="s">
        <v>3918</v>
      </c>
      <c r="F697" t="s">
        <v>35</v>
      </c>
      <c r="G697" t="s">
        <v>39</v>
      </c>
      <c r="H697" t="s">
        <v>3919</v>
      </c>
      <c r="I697" t="s">
        <v>59</v>
      </c>
      <c r="J697" t="s">
        <v>71</v>
      </c>
      <c r="K697" t="s">
        <v>216</v>
      </c>
      <c r="L697" t="s">
        <v>451</v>
      </c>
      <c r="M697" t="s">
        <v>51</v>
      </c>
      <c r="N697" t="s">
        <v>52</v>
      </c>
      <c r="O697" t="s">
        <v>3920</v>
      </c>
      <c r="P697">
        <v>0</v>
      </c>
      <c r="Q697" t="s">
        <v>445</v>
      </c>
      <c r="R697" t="s">
        <v>2116</v>
      </c>
      <c r="S697" t="s">
        <v>43</v>
      </c>
      <c r="T697" t="s">
        <v>43</v>
      </c>
      <c r="U697" t="s">
        <v>44</v>
      </c>
      <c r="V697" t="s">
        <v>45</v>
      </c>
      <c r="W697" t="s">
        <v>5107</v>
      </c>
      <c r="X697" t="s">
        <v>45</v>
      </c>
      <c r="Y697" t="s">
        <v>716</v>
      </c>
      <c r="Z697" t="s">
        <v>47</v>
      </c>
      <c r="AA697" t="s">
        <v>48</v>
      </c>
      <c r="AB697" t="s">
        <v>49</v>
      </c>
      <c r="AC697" t="s">
        <v>49</v>
      </c>
      <c r="AD697" t="s">
        <v>494</v>
      </c>
      <c r="AE697" t="s">
        <v>1250</v>
      </c>
      <c r="AF697" t="s">
        <v>1773</v>
      </c>
      <c r="AG697" t="s">
        <v>498</v>
      </c>
      <c r="AH697" s="93">
        <f>VLOOKUP(Table1[[#This Row],[Caste]],Factor!$H$1:$K$13,4,0)</f>
        <v>1.1461625511156397</v>
      </c>
      <c r="AI69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97">
        <f>Table1[[#This Row],[Factor_1]]*Table1[[#This Row],[2024 Factor]]</f>
        <v>3.0326483876590018</v>
      </c>
      <c r="AK697">
        <f>VLOOKUP(Table1[[#This Row],[Q18: Gender]],Factor!$A$33:$E$35,5,0)</f>
        <v>2.1645021645021645</v>
      </c>
      <c r="AL697">
        <f>VLOOKUP(Table1[[#This Row],[Taluka]],Factor!$A$42:$G$46,7,0)</f>
        <v>1.1213131007097483</v>
      </c>
      <c r="AM697">
        <f>VLOOKUP(Table1[[#This Row],[Caste]]&amp;Table1[[#This Row],[Q18: Gender]],Factor!$W$1:$X$23,2,0)</f>
        <v>2.8092219390089208</v>
      </c>
      <c r="AN697">
        <f>VLOOKUP(Table1[[#This Row],[Taluka]]&amp;Table1[[#This Row],[Caste]]&amp;Table1[[#This Row],[Q18: Gender]],Factor!$AK$4:$AL$93,2,0)</f>
        <v>1.8020838461961379</v>
      </c>
      <c r="AO697">
        <f t="shared" si="110"/>
        <v>-1</v>
      </c>
      <c r="AP697">
        <f t="shared" si="111"/>
        <v>-1</v>
      </c>
      <c r="AQ697">
        <f t="shared" si="112"/>
        <v>-1</v>
      </c>
      <c r="AR697">
        <f t="shared" si="113"/>
        <v>-1</v>
      </c>
      <c r="AS697">
        <f t="shared" si="114"/>
        <v>-1</v>
      </c>
      <c r="AT697">
        <f t="shared" si="115"/>
        <v>-1</v>
      </c>
      <c r="AU697">
        <f t="shared" si="116"/>
        <v>-5.5</v>
      </c>
      <c r="AV697">
        <f>SUM(Table1[[#This Row],[Satis]:[29]])</f>
        <v>-6</v>
      </c>
      <c r="AW697">
        <f t="shared" si="117"/>
        <v>-5</v>
      </c>
      <c r="AX697">
        <f t="shared" si="118"/>
        <v>-4</v>
      </c>
      <c r="AY697">
        <f t="shared" si="119"/>
        <v>-3</v>
      </c>
      <c r="AZ697" t="str">
        <f t="shared" si="120"/>
        <v>TDP HardCore</v>
      </c>
    </row>
    <row r="698" spans="1:52" x14ac:dyDescent="0.3">
      <c r="A698" t="s">
        <v>3649</v>
      </c>
      <c r="B698" s="94">
        <v>46046</v>
      </c>
      <c r="C698" t="s">
        <v>3650</v>
      </c>
      <c r="D698" t="s">
        <v>3651</v>
      </c>
      <c r="E698" t="s">
        <v>3652</v>
      </c>
      <c r="F698" t="s">
        <v>35</v>
      </c>
      <c r="G698" t="s">
        <v>39</v>
      </c>
      <c r="H698" t="s">
        <v>3653</v>
      </c>
      <c r="I698" t="s">
        <v>228</v>
      </c>
      <c r="J698" t="s">
        <v>71</v>
      </c>
      <c r="K698" t="s">
        <v>217</v>
      </c>
      <c r="L698" t="s">
        <v>62</v>
      </c>
      <c r="M698" t="s">
        <v>51</v>
      </c>
      <c r="N698" t="s">
        <v>107</v>
      </c>
      <c r="O698" t="s">
        <v>3654</v>
      </c>
      <c r="P698">
        <v>0</v>
      </c>
      <c r="Q698" t="s">
        <v>54</v>
      </c>
      <c r="R698" t="s">
        <v>2116</v>
      </c>
      <c r="S698" t="s">
        <v>43</v>
      </c>
      <c r="T698" t="s">
        <v>89</v>
      </c>
      <c r="U698" t="s">
        <v>90</v>
      </c>
      <c r="V698" t="s">
        <v>91</v>
      </c>
      <c r="W698" t="s">
        <v>5054</v>
      </c>
      <c r="X698" t="s">
        <v>91</v>
      </c>
      <c r="Y698" t="s">
        <v>46</v>
      </c>
      <c r="Z698" t="s">
        <v>47</v>
      </c>
      <c r="AA698" t="s">
        <v>48</v>
      </c>
      <c r="AB698" t="s">
        <v>49</v>
      </c>
      <c r="AC698" t="s">
        <v>49</v>
      </c>
      <c r="AD698" t="s">
        <v>494</v>
      </c>
      <c r="AE698" t="s">
        <v>185</v>
      </c>
      <c r="AF698">
        <v>0</v>
      </c>
      <c r="AG698" t="s">
        <v>196</v>
      </c>
      <c r="AH698" s="93">
        <f>VLOOKUP(Table1[[#This Row],[Caste]],Factor!$H$1:$K$13,4,0)</f>
        <v>0.80207032429970992</v>
      </c>
      <c r="AI69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98">
        <f>Table1[[#This Row],[Factor_1]]*Table1[[#This Row],[2024 Factor]]</f>
        <v>0.65595572330316032</v>
      </c>
      <c r="AK698">
        <f>VLOOKUP(Table1[[#This Row],[Q18: Gender]],Factor!$A$33:$E$35,5,0)</f>
        <v>0.85034013605442171</v>
      </c>
      <c r="AL698">
        <f>VLOOKUP(Table1[[#This Row],[Taluka]],Factor!$A$42:$G$46,7,0)</f>
        <v>1.1213131007097483</v>
      </c>
      <c r="AM698">
        <f>VLOOKUP(Table1[[#This Row],[Caste]]&amp;Table1[[#This Row],[Q18: Gender]],Factor!$W$1:$X$23,2,0)</f>
        <v>0.60762903356038633</v>
      </c>
      <c r="AN698">
        <f>VLOOKUP(Table1[[#This Row],[Taluka]]&amp;Table1[[#This Row],[Caste]]&amp;Table1[[#This Row],[Q18: Gender]],Factor!$AK$4:$AL$93,2,0)</f>
        <v>0.38672994380094594</v>
      </c>
      <c r="AO698">
        <f t="shared" si="110"/>
        <v>1</v>
      </c>
      <c r="AP698">
        <f t="shared" si="111"/>
        <v>1</v>
      </c>
      <c r="AQ698">
        <f t="shared" si="112"/>
        <v>1</v>
      </c>
      <c r="AR698">
        <f t="shared" si="113"/>
        <v>1</v>
      </c>
      <c r="AS698">
        <f t="shared" si="114"/>
        <v>-1</v>
      </c>
      <c r="AT698">
        <f t="shared" si="115"/>
        <v>-1</v>
      </c>
      <c r="AU698">
        <f t="shared" si="116"/>
        <v>2.5</v>
      </c>
      <c r="AV698">
        <f>SUM(Table1[[#This Row],[Satis]:[29]])</f>
        <v>2</v>
      </c>
      <c r="AW698">
        <f t="shared" si="117"/>
        <v>1</v>
      </c>
      <c r="AX698">
        <f t="shared" si="118"/>
        <v>0</v>
      </c>
      <c r="AY698">
        <f t="shared" si="119"/>
        <v>-2</v>
      </c>
      <c r="AZ698" t="str">
        <f t="shared" si="120"/>
        <v>Neutral TDP</v>
      </c>
    </row>
    <row r="699" spans="1:52" x14ac:dyDescent="0.3">
      <c r="A699" t="s">
        <v>3617</v>
      </c>
      <c r="B699" s="94">
        <v>46046</v>
      </c>
      <c r="C699" t="s">
        <v>3618</v>
      </c>
      <c r="D699" t="s">
        <v>3619</v>
      </c>
      <c r="E699" t="s">
        <v>3620</v>
      </c>
      <c r="F699" t="s">
        <v>240</v>
      </c>
      <c r="G699" t="s">
        <v>39</v>
      </c>
      <c r="H699" t="s">
        <v>3621</v>
      </c>
      <c r="I699" t="s">
        <v>228</v>
      </c>
      <c r="J699" t="s">
        <v>71</v>
      </c>
      <c r="K699" t="s">
        <v>218</v>
      </c>
      <c r="L699" t="s">
        <v>62</v>
      </c>
      <c r="M699" t="s">
        <v>443</v>
      </c>
      <c r="N699" t="s">
        <v>63</v>
      </c>
      <c r="O699" t="s">
        <v>3622</v>
      </c>
      <c r="P699">
        <v>7093114367</v>
      </c>
      <c r="Q699" t="s">
        <v>54</v>
      </c>
      <c r="R699" t="s">
        <v>2116</v>
      </c>
      <c r="S699" t="s">
        <v>43</v>
      </c>
      <c r="T699" t="s">
        <v>43</v>
      </c>
      <c r="U699" t="s">
        <v>44</v>
      </c>
      <c r="V699" t="s">
        <v>45</v>
      </c>
      <c r="W699" t="s">
        <v>5057</v>
      </c>
      <c r="X699" t="s">
        <v>45</v>
      </c>
      <c r="Y699" t="s">
        <v>46</v>
      </c>
      <c r="Z699" t="s">
        <v>47</v>
      </c>
      <c r="AA699" t="s">
        <v>48</v>
      </c>
      <c r="AB699" t="s">
        <v>49</v>
      </c>
      <c r="AC699" t="s">
        <v>49</v>
      </c>
      <c r="AD699" t="s">
        <v>494</v>
      </c>
      <c r="AE699" t="s">
        <v>185</v>
      </c>
      <c r="AF699">
        <v>0</v>
      </c>
      <c r="AG699" t="s">
        <v>196</v>
      </c>
      <c r="AH699" s="93">
        <f>VLOOKUP(Table1[[#This Row],[Caste]],Factor!$H$1:$K$13,4,0)</f>
        <v>0.80207032429970992</v>
      </c>
      <c r="AI69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699">
        <f>Table1[[#This Row],[Factor_1]]*Table1[[#This Row],[2024 Factor]]</f>
        <v>0.65595572330316032</v>
      </c>
      <c r="AK699">
        <f>VLOOKUP(Table1[[#This Row],[Q18: Gender]],Factor!$A$33:$E$35,5,0)</f>
        <v>0.85034013605442171</v>
      </c>
      <c r="AL699">
        <f>VLOOKUP(Table1[[#This Row],[Taluka]],Factor!$A$42:$G$46,7,0)</f>
        <v>1.1213131007097483</v>
      </c>
      <c r="AM699">
        <f>VLOOKUP(Table1[[#This Row],[Caste]]&amp;Table1[[#This Row],[Q18: Gender]],Factor!$W$1:$X$23,2,0)</f>
        <v>0.60762903356038633</v>
      </c>
      <c r="AN699">
        <f>VLOOKUP(Table1[[#This Row],[Taluka]]&amp;Table1[[#This Row],[Caste]]&amp;Table1[[#This Row],[Q18: Gender]],Factor!$AK$4:$AL$93,2,0)</f>
        <v>0.38672994380094594</v>
      </c>
      <c r="AO699">
        <f t="shared" si="110"/>
        <v>-1</v>
      </c>
      <c r="AP699">
        <f t="shared" si="111"/>
        <v>-1</v>
      </c>
      <c r="AQ699">
        <f t="shared" si="112"/>
        <v>-1</v>
      </c>
      <c r="AR699">
        <f t="shared" si="113"/>
        <v>-1</v>
      </c>
      <c r="AS699">
        <f t="shared" si="114"/>
        <v>-1</v>
      </c>
      <c r="AT699">
        <f t="shared" si="115"/>
        <v>-1</v>
      </c>
      <c r="AU699">
        <f t="shared" si="116"/>
        <v>-5.5</v>
      </c>
      <c r="AV699">
        <f>SUM(Table1[[#This Row],[Satis]:[29]])</f>
        <v>-6</v>
      </c>
      <c r="AW699">
        <f t="shared" si="117"/>
        <v>-5</v>
      </c>
      <c r="AX699">
        <f t="shared" si="118"/>
        <v>-4</v>
      </c>
      <c r="AY699">
        <f t="shared" si="119"/>
        <v>-3</v>
      </c>
      <c r="AZ699" t="str">
        <f t="shared" si="120"/>
        <v>TDP HardCore</v>
      </c>
    </row>
    <row r="700" spans="1:52" x14ac:dyDescent="0.3">
      <c r="A700" t="s">
        <v>3932</v>
      </c>
      <c r="B700" s="94">
        <v>46046</v>
      </c>
      <c r="C700" t="s">
        <v>3933</v>
      </c>
      <c r="D700" t="s">
        <v>3934</v>
      </c>
      <c r="E700" t="s">
        <v>3935</v>
      </c>
      <c r="F700" t="s">
        <v>3936</v>
      </c>
      <c r="G700" t="s">
        <v>39</v>
      </c>
      <c r="H700" t="s">
        <v>3937</v>
      </c>
      <c r="I700" t="s">
        <v>70</v>
      </c>
      <c r="J700" t="s">
        <v>203</v>
      </c>
      <c r="K700" t="s">
        <v>203</v>
      </c>
      <c r="L700" t="s">
        <v>75</v>
      </c>
      <c r="M700" t="s">
        <v>51</v>
      </c>
      <c r="N700" t="s">
        <v>63</v>
      </c>
      <c r="O700" t="s">
        <v>3938</v>
      </c>
      <c r="P700">
        <v>0</v>
      </c>
      <c r="Q700" t="s">
        <v>54</v>
      </c>
      <c r="R700" t="s">
        <v>132</v>
      </c>
      <c r="S700" t="s">
        <v>89</v>
      </c>
      <c r="T700" t="s">
        <v>43</v>
      </c>
      <c r="U700" t="s">
        <v>44</v>
      </c>
      <c r="V700" t="s">
        <v>45</v>
      </c>
      <c r="W700" t="s">
        <v>296</v>
      </c>
      <c r="X700" t="s">
        <v>91</v>
      </c>
      <c r="Y700" t="s">
        <v>638</v>
      </c>
      <c r="Z700" t="s">
        <v>92</v>
      </c>
      <c r="AA700" t="s">
        <v>92</v>
      </c>
      <c r="AB700" t="s">
        <v>147</v>
      </c>
      <c r="AC700" t="s">
        <v>2590</v>
      </c>
      <c r="AD700" t="s">
        <v>494</v>
      </c>
      <c r="AE700" t="s">
        <v>185</v>
      </c>
      <c r="AF700" t="s">
        <v>4090</v>
      </c>
      <c r="AG700" t="s">
        <v>196</v>
      </c>
      <c r="AH700" s="93">
        <f>VLOOKUP(Table1[[#This Row],[Caste]],Factor!$H$1:$K$13,4,0)</f>
        <v>1.3836274505214585</v>
      </c>
      <c r="AI700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700">
        <f>Table1[[#This Row],[Factor_1]]*Table1[[#This Row],[2024 Factor]]</f>
        <v>1.9482662206881376</v>
      </c>
      <c r="AK700">
        <f>VLOOKUP(Table1[[#This Row],[Q18: Gender]],Factor!$A$33:$E$35,5,0)</f>
        <v>0.85034013605442171</v>
      </c>
      <c r="AL700">
        <f>VLOOKUP(Table1[[#This Row],[Taluka]],Factor!$A$42:$G$46,7,0)</f>
        <v>1.9264642089343564</v>
      </c>
      <c r="AM700">
        <f>VLOOKUP(Table1[[#This Row],[Caste]]&amp;Table1[[#This Row],[Q18: Gender]],Factor!$W$1:$X$23,2,0)</f>
        <v>1.0790228998469584</v>
      </c>
      <c r="AN700">
        <f>VLOOKUP(Table1[[#This Row],[Taluka]]&amp;Table1[[#This Row],[Caste]]&amp;Table1[[#This Row],[Q18: Gender]],Factor!$AK$4:$AL$93,2,0)</f>
        <v>2.1355167697651956</v>
      </c>
      <c r="AO700">
        <f t="shared" si="110"/>
        <v>-1</v>
      </c>
      <c r="AP700">
        <f t="shared" si="111"/>
        <v>-1</v>
      </c>
      <c r="AQ700">
        <f t="shared" si="112"/>
        <v>-1</v>
      </c>
      <c r="AR700">
        <f t="shared" si="113"/>
        <v>1</v>
      </c>
      <c r="AS700">
        <f t="shared" si="114"/>
        <v>1</v>
      </c>
      <c r="AT700">
        <f t="shared" si="115"/>
        <v>1</v>
      </c>
      <c r="AU700">
        <f t="shared" si="116"/>
        <v>-0.5</v>
      </c>
      <c r="AV700">
        <f>SUM(Table1[[#This Row],[Satis]:[29]])</f>
        <v>0</v>
      </c>
      <c r="AW700">
        <f t="shared" si="117"/>
        <v>1</v>
      </c>
      <c r="AX700">
        <f t="shared" si="118"/>
        <v>2</v>
      </c>
      <c r="AY700">
        <f t="shared" si="119"/>
        <v>2</v>
      </c>
      <c r="AZ700" t="str">
        <f t="shared" si="120"/>
        <v>Neutral YSRCP</v>
      </c>
    </row>
    <row r="701" spans="1:52" x14ac:dyDescent="0.3">
      <c r="A701" t="s">
        <v>3939</v>
      </c>
      <c r="B701" s="94">
        <v>46046</v>
      </c>
      <c r="C701" t="s">
        <v>3940</v>
      </c>
      <c r="D701" t="s">
        <v>3941</v>
      </c>
      <c r="E701" t="s">
        <v>3942</v>
      </c>
      <c r="F701" t="s">
        <v>35</v>
      </c>
      <c r="G701" t="s">
        <v>39</v>
      </c>
      <c r="H701" t="s">
        <v>3943</v>
      </c>
      <c r="I701" t="s">
        <v>70</v>
      </c>
      <c r="J701" t="s">
        <v>71</v>
      </c>
      <c r="K701" t="s">
        <v>216</v>
      </c>
      <c r="L701" t="s">
        <v>451</v>
      </c>
      <c r="M701" t="s">
        <v>443</v>
      </c>
      <c r="N701" t="s">
        <v>63</v>
      </c>
      <c r="O701" t="s">
        <v>3944</v>
      </c>
      <c r="P701">
        <v>0</v>
      </c>
      <c r="Q701" t="s">
        <v>445</v>
      </c>
      <c r="R701" t="s">
        <v>139</v>
      </c>
      <c r="S701" t="s">
        <v>43</v>
      </c>
      <c r="T701" t="s">
        <v>43</v>
      </c>
      <c r="U701" t="s">
        <v>90</v>
      </c>
      <c r="V701" t="s">
        <v>91</v>
      </c>
      <c r="W701" t="s">
        <v>5110</v>
      </c>
      <c r="X701" t="s">
        <v>91</v>
      </c>
      <c r="Y701" t="s">
        <v>638</v>
      </c>
      <c r="Z701" t="s">
        <v>92</v>
      </c>
      <c r="AA701" t="s">
        <v>691</v>
      </c>
      <c r="AB701" t="s">
        <v>49</v>
      </c>
      <c r="AC701" t="s">
        <v>49</v>
      </c>
      <c r="AD701" t="s">
        <v>494</v>
      </c>
      <c r="AE701" t="s">
        <v>1250</v>
      </c>
      <c r="AF701" t="s">
        <v>1773</v>
      </c>
      <c r="AG701" t="s">
        <v>498</v>
      </c>
      <c r="AH701" s="93">
        <f>VLOOKUP(Table1[[#This Row],[Caste]],Factor!$H$1:$K$13,4,0)</f>
        <v>1.3836274505214585</v>
      </c>
      <c r="AI701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701">
        <f>Table1[[#This Row],[Factor_1]]*Table1[[#This Row],[2024 Factor]]</f>
        <v>1.2753497331114214</v>
      </c>
      <c r="AK701">
        <f>VLOOKUP(Table1[[#This Row],[Q18: Gender]],Factor!$A$33:$E$35,5,0)</f>
        <v>2.1645021645021645</v>
      </c>
      <c r="AL701">
        <f>VLOOKUP(Table1[[#This Row],[Taluka]],Factor!$A$42:$G$46,7,0)</f>
        <v>1.1213131007097483</v>
      </c>
      <c r="AM701">
        <f>VLOOKUP(Table1[[#This Row],[Caste]]&amp;Table1[[#This Row],[Q18: Gender]],Factor!$W$1:$X$23,2,0)</f>
        <v>1.9278542477265657</v>
      </c>
      <c r="AN701">
        <f>VLOOKUP(Table1[[#This Row],[Taluka]]&amp;Table1[[#This Row],[Caste]]&amp;Table1[[#This Row],[Q18: Gender]],Factor!$AK$4:$AL$93,2,0)</f>
        <v>1.2302776805571209</v>
      </c>
      <c r="AO701">
        <f t="shared" si="110"/>
        <v>-1</v>
      </c>
      <c r="AP701">
        <f t="shared" si="111"/>
        <v>1</v>
      </c>
      <c r="AQ701">
        <f t="shared" si="112"/>
        <v>1</v>
      </c>
      <c r="AR701">
        <f t="shared" si="113"/>
        <v>1</v>
      </c>
      <c r="AS701">
        <f t="shared" si="114"/>
        <v>-1</v>
      </c>
      <c r="AT701">
        <f t="shared" si="115"/>
        <v>1</v>
      </c>
      <c r="AU701">
        <f t="shared" si="116"/>
        <v>2.5</v>
      </c>
      <c r="AV701">
        <f>SUM(Table1[[#This Row],[Satis]:[29]])</f>
        <v>2</v>
      </c>
      <c r="AW701">
        <f t="shared" si="117"/>
        <v>1</v>
      </c>
      <c r="AX701">
        <f t="shared" si="118"/>
        <v>2</v>
      </c>
      <c r="AY701" t="str">
        <f t="shared" si="119"/>
        <v>ND</v>
      </c>
      <c r="AZ701" t="str">
        <f t="shared" si="120"/>
        <v>ND</v>
      </c>
    </row>
    <row r="702" spans="1:52" x14ac:dyDescent="0.3">
      <c r="A702" t="s">
        <v>3034</v>
      </c>
      <c r="B702" s="94">
        <v>46046</v>
      </c>
      <c r="C702" t="s">
        <v>3035</v>
      </c>
      <c r="D702" t="s">
        <v>3036</v>
      </c>
      <c r="E702" t="s">
        <v>1197</v>
      </c>
      <c r="F702" t="s">
        <v>35</v>
      </c>
      <c r="G702" t="s">
        <v>39</v>
      </c>
      <c r="H702" t="s">
        <v>3037</v>
      </c>
      <c r="I702" t="s">
        <v>228</v>
      </c>
      <c r="J702" t="s">
        <v>71</v>
      </c>
      <c r="K702" t="s">
        <v>217</v>
      </c>
      <c r="L702" t="s">
        <v>161</v>
      </c>
      <c r="M702" t="s">
        <v>51</v>
      </c>
      <c r="N702" t="s">
        <v>63</v>
      </c>
      <c r="O702" t="s">
        <v>542</v>
      </c>
      <c r="P702">
        <v>8121435041</v>
      </c>
      <c r="Q702" t="s">
        <v>54</v>
      </c>
      <c r="R702" t="s">
        <v>132</v>
      </c>
      <c r="S702" t="s">
        <v>89</v>
      </c>
      <c r="T702" t="s">
        <v>43</v>
      </c>
      <c r="U702" t="s">
        <v>44</v>
      </c>
      <c r="V702" t="s">
        <v>91</v>
      </c>
      <c r="W702" t="s">
        <v>5058</v>
      </c>
      <c r="X702" t="s">
        <v>45</v>
      </c>
      <c r="Y702" t="s">
        <v>46</v>
      </c>
      <c r="Z702" t="s">
        <v>47</v>
      </c>
      <c r="AA702" t="s">
        <v>48</v>
      </c>
      <c r="AB702" t="s">
        <v>49</v>
      </c>
      <c r="AC702" t="s">
        <v>49</v>
      </c>
      <c r="AD702" t="s">
        <v>481</v>
      </c>
      <c r="AE702" t="s">
        <v>185</v>
      </c>
      <c r="AF702">
        <v>0</v>
      </c>
      <c r="AG702" t="s">
        <v>196</v>
      </c>
      <c r="AH702" s="93">
        <f>VLOOKUP(Table1[[#This Row],[Caste]],Factor!$H$1:$K$13,4,0)</f>
        <v>0.80207032429970992</v>
      </c>
      <c r="AI70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02">
        <f>Table1[[#This Row],[Factor_1]]*Table1[[#This Row],[2024 Factor]]</f>
        <v>0.65595572330316032</v>
      </c>
      <c r="AK702">
        <f>VLOOKUP(Table1[[#This Row],[Q18: Gender]],Factor!$A$33:$E$35,5,0)</f>
        <v>0.85034013605442171</v>
      </c>
      <c r="AL702">
        <f>VLOOKUP(Table1[[#This Row],[Taluka]],Factor!$A$42:$G$46,7,0)</f>
        <v>1.1213131007097483</v>
      </c>
      <c r="AM702">
        <f>VLOOKUP(Table1[[#This Row],[Caste]]&amp;Table1[[#This Row],[Q18: Gender]],Factor!$W$1:$X$23,2,0)</f>
        <v>0.60762903356038633</v>
      </c>
      <c r="AN702">
        <f>VLOOKUP(Table1[[#This Row],[Taluka]]&amp;Table1[[#This Row],[Caste]]&amp;Table1[[#This Row],[Q18: Gender]],Factor!$AK$4:$AL$93,2,0)</f>
        <v>0.38672994380094594</v>
      </c>
      <c r="AO702">
        <f t="shared" si="110"/>
        <v>-1</v>
      </c>
      <c r="AP702">
        <f t="shared" si="111"/>
        <v>-1</v>
      </c>
      <c r="AQ702">
        <f t="shared" si="112"/>
        <v>1</v>
      </c>
      <c r="AR702">
        <f t="shared" si="113"/>
        <v>-1</v>
      </c>
      <c r="AS702">
        <f t="shared" si="114"/>
        <v>-1</v>
      </c>
      <c r="AT702">
        <f t="shared" si="115"/>
        <v>-1</v>
      </c>
      <c r="AU702">
        <f t="shared" si="116"/>
        <v>-3.5</v>
      </c>
      <c r="AV702">
        <f>SUM(Table1[[#This Row],[Satis]:[29]])</f>
        <v>-4</v>
      </c>
      <c r="AW702">
        <f t="shared" si="117"/>
        <v>-3</v>
      </c>
      <c r="AX702">
        <f t="shared" si="118"/>
        <v>-2</v>
      </c>
      <c r="AY702">
        <f t="shared" si="119"/>
        <v>-3</v>
      </c>
      <c r="AZ702" t="str">
        <f t="shared" si="120"/>
        <v>Neutral TDP</v>
      </c>
    </row>
    <row r="703" spans="1:52" x14ac:dyDescent="0.3">
      <c r="A703" t="s">
        <v>3951</v>
      </c>
      <c r="B703" s="94">
        <v>46046</v>
      </c>
      <c r="C703" t="s">
        <v>3952</v>
      </c>
      <c r="D703" t="s">
        <v>3953</v>
      </c>
      <c r="E703" t="s">
        <v>3954</v>
      </c>
      <c r="F703" t="s">
        <v>69</v>
      </c>
      <c r="G703" t="s">
        <v>39</v>
      </c>
      <c r="H703" t="s">
        <v>3955</v>
      </c>
      <c r="I703" t="s">
        <v>59</v>
      </c>
      <c r="J703" t="s">
        <v>203</v>
      </c>
      <c r="K703" t="s">
        <v>203</v>
      </c>
      <c r="L703" t="s">
        <v>82</v>
      </c>
      <c r="M703" t="s">
        <v>51</v>
      </c>
      <c r="N703" t="s">
        <v>52</v>
      </c>
      <c r="O703" t="s">
        <v>1859</v>
      </c>
      <c r="P703">
        <v>9959351236</v>
      </c>
      <c r="Q703" t="s">
        <v>54</v>
      </c>
      <c r="R703" t="s">
        <v>73</v>
      </c>
      <c r="S703" t="s">
        <v>43</v>
      </c>
      <c r="T703" t="s">
        <v>43</v>
      </c>
      <c r="U703" t="s">
        <v>44</v>
      </c>
      <c r="V703" t="s">
        <v>45</v>
      </c>
      <c r="W703" t="s">
        <v>5058</v>
      </c>
      <c r="X703" t="s">
        <v>45</v>
      </c>
      <c r="Y703" t="s">
        <v>46</v>
      </c>
      <c r="Z703" t="s">
        <v>47</v>
      </c>
      <c r="AA703" t="s">
        <v>48</v>
      </c>
      <c r="AB703" t="s">
        <v>49</v>
      </c>
      <c r="AC703" t="s">
        <v>49</v>
      </c>
      <c r="AD703" t="s">
        <v>481</v>
      </c>
      <c r="AE703" t="s">
        <v>189</v>
      </c>
      <c r="AF703" t="s">
        <v>1212</v>
      </c>
      <c r="AG703" t="s">
        <v>196</v>
      </c>
      <c r="AH703" s="93">
        <f>VLOOKUP(Table1[[#This Row],[Caste]],Factor!$H$1:$K$13,4,0)</f>
        <v>1.1461625511156397</v>
      </c>
      <c r="AI70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03">
        <f>Table1[[#This Row],[Factor_1]]*Table1[[#This Row],[2024 Factor]]</f>
        <v>0.77721139583220644</v>
      </c>
      <c r="AK703">
        <f>VLOOKUP(Table1[[#This Row],[Q18: Gender]],Factor!$A$33:$E$35,5,0)</f>
        <v>0.85034013605442171</v>
      </c>
      <c r="AL703">
        <f>VLOOKUP(Table1[[#This Row],[Taluka]],Factor!$A$42:$G$46,7,0)</f>
        <v>1.9264642089343564</v>
      </c>
      <c r="AM703">
        <f>VLOOKUP(Table1[[#This Row],[Caste]]&amp;Table1[[#This Row],[Q18: Gender]],Factor!$W$1:$X$23,2,0)</f>
        <v>0.71995135120329123</v>
      </c>
      <c r="AN703">
        <f>VLOOKUP(Table1[[#This Row],[Taluka]]&amp;Table1[[#This Row],[Caste]]&amp;Table1[[#This Row],[Q18: Gender]],Factor!$AK$4:$AL$93,2,0)</f>
        <v>0.70534647283248642</v>
      </c>
      <c r="AO703">
        <f t="shared" si="110"/>
        <v>-1</v>
      </c>
      <c r="AP703">
        <f t="shared" si="111"/>
        <v>-1</v>
      </c>
      <c r="AQ703">
        <f t="shared" si="112"/>
        <v>-1</v>
      </c>
      <c r="AR703">
        <f t="shared" si="113"/>
        <v>-1</v>
      </c>
      <c r="AS703">
        <f t="shared" si="114"/>
        <v>-1</v>
      </c>
      <c r="AT703">
        <f t="shared" si="115"/>
        <v>-1</v>
      </c>
      <c r="AU703">
        <f t="shared" si="116"/>
        <v>-5.5</v>
      </c>
      <c r="AV703">
        <f>SUM(Table1[[#This Row],[Satis]:[29]])</f>
        <v>-6</v>
      </c>
      <c r="AW703">
        <f t="shared" si="117"/>
        <v>-5</v>
      </c>
      <c r="AX703">
        <f t="shared" si="118"/>
        <v>-4</v>
      </c>
      <c r="AY703">
        <f t="shared" si="119"/>
        <v>-3</v>
      </c>
      <c r="AZ703" t="str">
        <f t="shared" si="120"/>
        <v>TDP HardCore</v>
      </c>
    </row>
    <row r="704" spans="1:52" x14ac:dyDescent="0.3">
      <c r="A704" t="s">
        <v>3145</v>
      </c>
      <c r="B704" s="94">
        <v>46046</v>
      </c>
      <c r="C704" t="s">
        <v>3146</v>
      </c>
      <c r="D704" t="s">
        <v>3147</v>
      </c>
      <c r="E704" t="s">
        <v>3148</v>
      </c>
      <c r="F704" t="s">
        <v>35</v>
      </c>
      <c r="G704" t="s">
        <v>39</v>
      </c>
      <c r="H704" t="s">
        <v>3149</v>
      </c>
      <c r="I704" t="s">
        <v>36</v>
      </c>
      <c r="J704" t="s">
        <v>71</v>
      </c>
      <c r="K704" t="s">
        <v>216</v>
      </c>
      <c r="L704" t="s">
        <v>62</v>
      </c>
      <c r="M704" t="s">
        <v>51</v>
      </c>
      <c r="N704" t="s">
        <v>63</v>
      </c>
      <c r="O704" t="s">
        <v>3150</v>
      </c>
      <c r="P704">
        <v>9177547919</v>
      </c>
      <c r="Q704" t="s">
        <v>54</v>
      </c>
      <c r="R704" t="s">
        <v>132</v>
      </c>
      <c r="S704" t="s">
        <v>43</v>
      </c>
      <c r="T704" t="s">
        <v>43</v>
      </c>
      <c r="U704" t="s">
        <v>44</v>
      </c>
      <c r="V704" t="s">
        <v>45</v>
      </c>
      <c r="W704" t="s">
        <v>5048</v>
      </c>
      <c r="X704" t="s">
        <v>45</v>
      </c>
      <c r="Y704" t="s">
        <v>638</v>
      </c>
      <c r="Z704" t="s">
        <v>47</v>
      </c>
      <c r="AA704" t="s">
        <v>48</v>
      </c>
      <c r="AB704" t="s">
        <v>49</v>
      </c>
      <c r="AC704" t="s">
        <v>49</v>
      </c>
      <c r="AD704" t="s">
        <v>494</v>
      </c>
      <c r="AE704" t="s">
        <v>185</v>
      </c>
      <c r="AF704">
        <v>0</v>
      </c>
      <c r="AG704" t="s">
        <v>196</v>
      </c>
      <c r="AH704" s="93">
        <f>VLOOKUP(Table1[[#This Row],[Caste]],Factor!$H$1:$K$13,4,0)</f>
        <v>1.1705128247062893</v>
      </c>
      <c r="AI70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04">
        <f>Table1[[#This Row],[Factor_1]]*Table1[[#This Row],[2024 Factor]]</f>
        <v>0.86308903171383233</v>
      </c>
      <c r="AK704">
        <f>VLOOKUP(Table1[[#This Row],[Q18: Gender]],Factor!$A$33:$E$35,5,0)</f>
        <v>0.85034013605442171</v>
      </c>
      <c r="AL704">
        <f>VLOOKUP(Table1[[#This Row],[Taluka]],Factor!$A$42:$G$46,7,0)</f>
        <v>1.1213131007097483</v>
      </c>
      <c r="AM704">
        <f>VLOOKUP(Table1[[#This Row],[Caste]]&amp;Table1[[#This Row],[Q18: Gender]],Factor!$W$1:$X$23,2,0)</f>
        <v>0.79950206330384943</v>
      </c>
      <c r="AN704">
        <f>VLOOKUP(Table1[[#This Row],[Taluka]]&amp;Table1[[#This Row],[Caste]]&amp;Table1[[#This Row],[Q18: Gender]],Factor!$AK$4:$AL$93,2,0)</f>
        <v>0.7401439088249181</v>
      </c>
      <c r="AO704">
        <f t="shared" si="110"/>
        <v>-1</v>
      </c>
      <c r="AP704">
        <f t="shared" si="111"/>
        <v>-1</v>
      </c>
      <c r="AQ704">
        <f t="shared" si="112"/>
        <v>-1</v>
      </c>
      <c r="AR704">
        <f t="shared" si="113"/>
        <v>-1</v>
      </c>
      <c r="AS704">
        <f t="shared" si="114"/>
        <v>-1</v>
      </c>
      <c r="AT704">
        <f t="shared" si="115"/>
        <v>-1</v>
      </c>
      <c r="AU704">
        <f t="shared" si="116"/>
        <v>-5.5</v>
      </c>
      <c r="AV704">
        <f>SUM(Table1[[#This Row],[Satis]:[29]])</f>
        <v>-6</v>
      </c>
      <c r="AW704">
        <f t="shared" si="117"/>
        <v>-5</v>
      </c>
      <c r="AX704">
        <f t="shared" si="118"/>
        <v>-4</v>
      </c>
      <c r="AY704">
        <f t="shared" si="119"/>
        <v>-3</v>
      </c>
      <c r="AZ704" t="str">
        <f t="shared" si="120"/>
        <v>TDP HardCore</v>
      </c>
    </row>
    <row r="705" spans="1:52" x14ac:dyDescent="0.3">
      <c r="A705" t="s">
        <v>4034</v>
      </c>
      <c r="B705" s="94">
        <v>46046</v>
      </c>
      <c r="C705" t="s">
        <v>4035</v>
      </c>
      <c r="D705" t="s">
        <v>4036</v>
      </c>
      <c r="E705" t="s">
        <v>3942</v>
      </c>
      <c r="F705" t="s">
        <v>35</v>
      </c>
      <c r="G705" t="s">
        <v>39</v>
      </c>
      <c r="H705" t="s">
        <v>4037</v>
      </c>
      <c r="I705" t="s">
        <v>227</v>
      </c>
      <c r="J705" t="s">
        <v>71</v>
      </c>
      <c r="K705" t="s">
        <v>218</v>
      </c>
      <c r="L705" t="s">
        <v>62</v>
      </c>
      <c r="M705" t="s">
        <v>51</v>
      </c>
      <c r="N705" t="s">
        <v>63</v>
      </c>
      <c r="O705" t="s">
        <v>4038</v>
      </c>
      <c r="P705">
        <v>7093080518</v>
      </c>
      <c r="Q705" t="s">
        <v>54</v>
      </c>
      <c r="R705" t="s">
        <v>61</v>
      </c>
      <c r="S705" t="s">
        <v>43</v>
      </c>
      <c r="T705" t="s">
        <v>43</v>
      </c>
      <c r="U705" t="s">
        <v>90</v>
      </c>
      <c r="V705" t="s">
        <v>45</v>
      </c>
      <c r="W705" t="s">
        <v>5046</v>
      </c>
      <c r="X705" t="s">
        <v>45</v>
      </c>
      <c r="Y705" t="s">
        <v>46</v>
      </c>
      <c r="Z705" t="s">
        <v>47</v>
      </c>
      <c r="AA705" t="s">
        <v>48</v>
      </c>
      <c r="AB705" t="s">
        <v>49</v>
      </c>
      <c r="AC705" t="s">
        <v>49</v>
      </c>
      <c r="AD705" t="s">
        <v>494</v>
      </c>
      <c r="AE705" t="s">
        <v>185</v>
      </c>
      <c r="AF705">
        <v>0</v>
      </c>
      <c r="AG705" t="s">
        <v>196</v>
      </c>
      <c r="AH705" s="93">
        <f>VLOOKUP(Table1[[#This Row],[Caste]],Factor!$H$1:$K$13,4,0)</f>
        <v>1.2612194085121222</v>
      </c>
      <c r="AI70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05">
        <f>Table1[[#This Row],[Factor_1]]*Table1[[#This Row],[2024 Factor]]</f>
        <v>0.92029223709519836</v>
      </c>
      <c r="AK705">
        <f>VLOOKUP(Table1[[#This Row],[Q18: Gender]],Factor!$A$33:$E$35,5,0)</f>
        <v>0.85034013605442171</v>
      </c>
      <c r="AL705">
        <f>VLOOKUP(Table1[[#This Row],[Taluka]],Factor!$A$42:$G$46,7,0)</f>
        <v>1.1213131007097483</v>
      </c>
      <c r="AM705">
        <f>VLOOKUP(Table1[[#This Row],[Caste]]&amp;Table1[[#This Row],[Q18: Gender]],Factor!$W$1:$X$23,2,0)</f>
        <v>0.85249089649430487</v>
      </c>
      <c r="AN705">
        <f>VLOOKUP(Table1[[#This Row],[Taluka]]&amp;Table1[[#This Row],[Caste]]&amp;Table1[[#This Row],[Q18: Gender]],Factor!$AK$4:$AL$93,2,0)</f>
        <v>1.3317727120335781</v>
      </c>
      <c r="AO705">
        <f t="shared" si="110"/>
        <v>-1</v>
      </c>
      <c r="AP705">
        <f t="shared" si="111"/>
        <v>1</v>
      </c>
      <c r="AQ705">
        <f t="shared" si="112"/>
        <v>-1</v>
      </c>
      <c r="AR705">
        <f t="shared" si="113"/>
        <v>-1</v>
      </c>
      <c r="AS705">
        <f t="shared" si="114"/>
        <v>-1</v>
      </c>
      <c r="AT705">
        <f t="shared" si="115"/>
        <v>-1</v>
      </c>
      <c r="AU705">
        <f t="shared" si="116"/>
        <v>-3.5</v>
      </c>
      <c r="AV705">
        <f>SUM(Table1[[#This Row],[Satis]:[29]])</f>
        <v>-4</v>
      </c>
      <c r="AW705">
        <f t="shared" si="117"/>
        <v>-5</v>
      </c>
      <c r="AX705">
        <f t="shared" si="118"/>
        <v>-4</v>
      </c>
      <c r="AY705">
        <f t="shared" si="119"/>
        <v>-3</v>
      </c>
      <c r="AZ705" t="str">
        <f t="shared" si="120"/>
        <v>TDP Sympathiser</v>
      </c>
    </row>
    <row r="706" spans="1:52" x14ac:dyDescent="0.3">
      <c r="A706" t="s">
        <v>3690</v>
      </c>
      <c r="B706" s="94">
        <v>46046</v>
      </c>
      <c r="C706" t="s">
        <v>3691</v>
      </c>
      <c r="D706" t="s">
        <v>3692</v>
      </c>
      <c r="E706" t="s">
        <v>3693</v>
      </c>
      <c r="F706" t="s">
        <v>35</v>
      </c>
      <c r="G706" t="s">
        <v>39</v>
      </c>
      <c r="H706" t="s">
        <v>3694</v>
      </c>
      <c r="I706" t="s">
        <v>59</v>
      </c>
      <c r="J706" t="s">
        <v>71</v>
      </c>
      <c r="K706" t="s">
        <v>218</v>
      </c>
      <c r="L706" t="s">
        <v>50</v>
      </c>
      <c r="M706" t="s">
        <v>51</v>
      </c>
      <c r="N706" t="s">
        <v>63</v>
      </c>
      <c r="O706" t="s">
        <v>3695</v>
      </c>
      <c r="P706">
        <v>9704662454</v>
      </c>
      <c r="Q706" t="s">
        <v>54</v>
      </c>
      <c r="R706" t="s">
        <v>132</v>
      </c>
      <c r="S706" t="s">
        <v>43</v>
      </c>
      <c r="T706" t="s">
        <v>43</v>
      </c>
      <c r="U706" t="s">
        <v>44</v>
      </c>
      <c r="V706" t="s">
        <v>45</v>
      </c>
      <c r="W706" t="s">
        <v>5102</v>
      </c>
      <c r="X706" t="s">
        <v>45</v>
      </c>
      <c r="Y706" t="s">
        <v>46</v>
      </c>
      <c r="Z706" t="s">
        <v>47</v>
      </c>
      <c r="AA706" t="s">
        <v>48</v>
      </c>
      <c r="AB706" t="s">
        <v>49</v>
      </c>
      <c r="AC706" t="s">
        <v>49</v>
      </c>
      <c r="AD706" t="s">
        <v>494</v>
      </c>
      <c r="AE706" t="s">
        <v>185</v>
      </c>
      <c r="AF706">
        <v>0</v>
      </c>
      <c r="AG706" t="s">
        <v>196</v>
      </c>
      <c r="AH706" s="93">
        <f>VLOOKUP(Table1[[#This Row],[Caste]],Factor!$H$1:$K$13,4,0)</f>
        <v>1.1461625511156397</v>
      </c>
      <c r="AI70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06">
        <f>Table1[[#This Row],[Factor_1]]*Table1[[#This Row],[2024 Factor]]</f>
        <v>0.77721139583220644</v>
      </c>
      <c r="AK706">
        <f>VLOOKUP(Table1[[#This Row],[Q18: Gender]],Factor!$A$33:$E$35,5,0)</f>
        <v>0.85034013605442171</v>
      </c>
      <c r="AL706">
        <f>VLOOKUP(Table1[[#This Row],[Taluka]],Factor!$A$42:$G$46,7,0)</f>
        <v>1.1213131007097483</v>
      </c>
      <c r="AM706">
        <f>VLOOKUP(Table1[[#This Row],[Caste]]&amp;Table1[[#This Row],[Q18: Gender]],Factor!$W$1:$X$23,2,0)</f>
        <v>0.71995135120329123</v>
      </c>
      <c r="AN706">
        <f>VLOOKUP(Table1[[#This Row],[Taluka]]&amp;Table1[[#This Row],[Caste]]&amp;Table1[[#This Row],[Q18: Gender]],Factor!$AK$4:$AL$93,2,0)</f>
        <v>1.3370299504035861</v>
      </c>
      <c r="AO706">
        <f t="shared" ref="AO706:AO769" si="121">IF(T706="బాగుంది",-1,1)</f>
        <v>-1</v>
      </c>
      <c r="AP706">
        <f t="shared" ref="AP706:AP769" si="122">IF(U706="అమలవడం లేదు",1,-1)</f>
        <v>-1</v>
      </c>
      <c r="AQ706">
        <f t="shared" ref="AQ706:AQ769" si="123">IF(V706="జగన్ మోహన్ రెడ్డి గారు",1,-1)</f>
        <v>-1</v>
      </c>
      <c r="AR706">
        <f t="shared" ref="AR706:AR769" si="124">IF(X706="జగన్ మోహన్ రెడ్డి గారు",1,-1)</f>
        <v>-1</v>
      </c>
      <c r="AS706">
        <f t="shared" ref="AS706:AS769" si="125">IF(AA706="YSRCP (వైఎస్‌ఆర్‌సీపీ)",1,-1)</f>
        <v>-1</v>
      </c>
      <c r="AT706">
        <f t="shared" ref="AT706:AT769" si="126">IF(Z706="YSRCP (వైఎస్‌ఆర్‌సీపీ)",1,-1)</f>
        <v>-1</v>
      </c>
      <c r="AU706">
        <f t="shared" ref="AU706:AU769" si="127">AO706+AP706+AQ706+AR706+(0.5*AS706)+AT706</f>
        <v>-5.5</v>
      </c>
      <c r="AV706">
        <f>SUM(Table1[[#This Row],[Satis]:[29]])</f>
        <v>-6</v>
      </c>
      <c r="AW706">
        <f t="shared" ref="AW706:AW769" si="128">AO706+AQ706+AR706+AS706+AT706</f>
        <v>-5</v>
      </c>
      <c r="AX706">
        <f t="shared" ref="AX706:AX769" si="129">AQ706+AR706+AS706+AT706</f>
        <v>-4</v>
      </c>
      <c r="AY706">
        <f t="shared" ref="AY706:AY769" si="130">IF(AND(AO706=1,AS706=1,AT706=1),3,IF(AND(AO706=-1,AS706=-1,AT706=-1),-3,IF(AND(AO706=1,AS706=-1,AT706=1),2,IF(AND(AO706=-1,AS706=1,AT706=-1),-2,IF(AND(AS706=1,AT706=1),2,IF(AND(AS706=-1,AT706=-1),-2,"ND"))))))</f>
        <v>-3</v>
      </c>
      <c r="AZ706" t="str">
        <f t="shared" ref="AZ706:AZ769" si="131">IFERROR(IF(AV706=6,"YSRCP HardCore",IF(AV706=-6,"TDP HardCore",IF(AW706&gt;=4,"YSRCP Sympathiser",IF(AW706&lt;=-4,"TDP Sympathiser",IF(AX706&gt;=3,"YSRCP Sympathiser",IF(AX706&lt;=-3,"TDP Sympathiser",IF(AY706="ND","ND",IF(AY706&gt;=2,"Neutral YSRCP",IF(AY706&lt;=-2,"Neutral TDP",0))))))))),"ND")</f>
        <v>TDP HardCore</v>
      </c>
    </row>
    <row r="707" spans="1:52" x14ac:dyDescent="0.3">
      <c r="A707" t="s">
        <v>3819</v>
      </c>
      <c r="B707" s="94">
        <v>46046</v>
      </c>
      <c r="C707" t="s">
        <v>3820</v>
      </c>
      <c r="D707" t="s">
        <v>3821</v>
      </c>
      <c r="E707" t="s">
        <v>3822</v>
      </c>
      <c r="F707" t="s">
        <v>69</v>
      </c>
      <c r="G707" t="s">
        <v>39</v>
      </c>
      <c r="H707" t="s">
        <v>3823</v>
      </c>
      <c r="I707" t="s">
        <v>70</v>
      </c>
      <c r="J707" t="s">
        <v>203</v>
      </c>
      <c r="K707" t="s">
        <v>203</v>
      </c>
      <c r="L707" t="s">
        <v>75</v>
      </c>
      <c r="M707" t="s">
        <v>443</v>
      </c>
      <c r="N707" t="s">
        <v>52</v>
      </c>
      <c r="O707" t="s">
        <v>1727</v>
      </c>
      <c r="P707">
        <v>9999999999</v>
      </c>
      <c r="Q707" t="s">
        <v>54</v>
      </c>
      <c r="R707" t="s">
        <v>132</v>
      </c>
      <c r="S707" t="s">
        <v>43</v>
      </c>
      <c r="T707" t="s">
        <v>43</v>
      </c>
      <c r="U707" t="s">
        <v>44</v>
      </c>
      <c r="V707" t="s">
        <v>91</v>
      </c>
      <c r="W707" t="s">
        <v>5056</v>
      </c>
      <c r="X707" t="s">
        <v>91</v>
      </c>
      <c r="Y707" t="s">
        <v>46</v>
      </c>
      <c r="Z707" t="s">
        <v>92</v>
      </c>
      <c r="AA707" t="s">
        <v>92</v>
      </c>
      <c r="AB707" t="s">
        <v>147</v>
      </c>
      <c r="AC707" t="s">
        <v>148</v>
      </c>
      <c r="AD707" t="s">
        <v>494</v>
      </c>
      <c r="AE707" t="s">
        <v>185</v>
      </c>
      <c r="AF707" t="s">
        <v>2971</v>
      </c>
      <c r="AG707" t="s">
        <v>196</v>
      </c>
      <c r="AH707" s="93">
        <f>VLOOKUP(Table1[[#This Row],[Caste]],Factor!$H$1:$K$13,4,0)</f>
        <v>1.3836274505214585</v>
      </c>
      <c r="AI707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707">
        <f>Table1[[#This Row],[Factor_1]]*Table1[[#This Row],[2024 Factor]]</f>
        <v>1.9482662206881376</v>
      </c>
      <c r="AK707">
        <f>VLOOKUP(Table1[[#This Row],[Q18: Gender]],Factor!$A$33:$E$35,5,0)</f>
        <v>0.85034013605442171</v>
      </c>
      <c r="AL707">
        <f>VLOOKUP(Table1[[#This Row],[Taluka]],Factor!$A$42:$G$46,7,0)</f>
        <v>1.9264642089343564</v>
      </c>
      <c r="AM707">
        <f>VLOOKUP(Table1[[#This Row],[Caste]]&amp;Table1[[#This Row],[Q18: Gender]],Factor!$W$1:$X$23,2,0)</f>
        <v>1.0790228998469584</v>
      </c>
      <c r="AN707">
        <f>VLOOKUP(Table1[[#This Row],[Taluka]]&amp;Table1[[#This Row],[Caste]]&amp;Table1[[#This Row],[Q18: Gender]],Factor!$AK$4:$AL$93,2,0)</f>
        <v>2.1355167697651956</v>
      </c>
      <c r="AO707">
        <f t="shared" si="121"/>
        <v>-1</v>
      </c>
      <c r="AP707">
        <f t="shared" si="122"/>
        <v>-1</v>
      </c>
      <c r="AQ707">
        <f t="shared" si="123"/>
        <v>1</v>
      </c>
      <c r="AR707">
        <f t="shared" si="124"/>
        <v>1</v>
      </c>
      <c r="AS707">
        <f t="shared" si="125"/>
        <v>1</v>
      </c>
      <c r="AT707">
        <f t="shared" si="126"/>
        <v>1</v>
      </c>
      <c r="AU707">
        <f t="shared" si="127"/>
        <v>1.5</v>
      </c>
      <c r="AV707">
        <f>SUM(Table1[[#This Row],[Satis]:[29]])</f>
        <v>2</v>
      </c>
      <c r="AW707">
        <f t="shared" si="128"/>
        <v>3</v>
      </c>
      <c r="AX707">
        <f t="shared" si="129"/>
        <v>4</v>
      </c>
      <c r="AY707">
        <f t="shared" si="130"/>
        <v>2</v>
      </c>
      <c r="AZ707" t="str">
        <f t="shared" si="131"/>
        <v>YSRCP Sympathiser</v>
      </c>
    </row>
    <row r="708" spans="1:52" x14ac:dyDescent="0.3">
      <c r="A708" t="s">
        <v>3753</v>
      </c>
      <c r="B708" s="94">
        <v>46046</v>
      </c>
      <c r="C708" t="s">
        <v>3754</v>
      </c>
      <c r="D708" t="s">
        <v>3755</v>
      </c>
      <c r="E708" t="s">
        <v>3756</v>
      </c>
      <c r="F708" t="s">
        <v>2547</v>
      </c>
      <c r="G708" t="s">
        <v>39</v>
      </c>
      <c r="H708" t="s">
        <v>3757</v>
      </c>
      <c r="I708" s="112" t="s">
        <v>59</v>
      </c>
      <c r="J708" t="s">
        <v>203</v>
      </c>
      <c r="K708" t="s">
        <v>204</v>
      </c>
      <c r="L708" t="s">
        <v>50</v>
      </c>
      <c r="M708" t="s">
        <v>51</v>
      </c>
      <c r="N708" t="s">
        <v>52</v>
      </c>
      <c r="O708" t="s">
        <v>3758</v>
      </c>
      <c r="P708">
        <v>9059251616</v>
      </c>
      <c r="Q708" t="s">
        <v>54</v>
      </c>
      <c r="R708" t="s">
        <v>61</v>
      </c>
      <c r="S708" t="s">
        <v>43</v>
      </c>
      <c r="T708" t="s">
        <v>43</v>
      </c>
      <c r="U708" t="s">
        <v>44</v>
      </c>
      <c r="V708" t="s">
        <v>45</v>
      </c>
      <c r="W708" t="s">
        <v>5094</v>
      </c>
      <c r="X708" t="s">
        <v>45</v>
      </c>
      <c r="Y708" t="s">
        <v>46</v>
      </c>
      <c r="Z708" t="s">
        <v>47</v>
      </c>
      <c r="AA708" t="s">
        <v>48</v>
      </c>
      <c r="AB708" t="s">
        <v>49</v>
      </c>
      <c r="AC708" t="s">
        <v>49</v>
      </c>
      <c r="AD708" t="s">
        <v>494</v>
      </c>
      <c r="AE708" t="s">
        <v>185</v>
      </c>
      <c r="AF708" t="s">
        <v>4057</v>
      </c>
      <c r="AG708" t="s">
        <v>196</v>
      </c>
      <c r="AH708" s="93">
        <f>VLOOKUP(Table1[[#This Row],[Caste]],Factor!$H$1:$K$13,4,0)</f>
        <v>1.1461625511156397</v>
      </c>
      <c r="AI70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08">
        <f>Table1[[#This Row],[Factor_1]]*Table1[[#This Row],[2024 Factor]]</f>
        <v>0.77721139583220644</v>
      </c>
      <c r="AK708">
        <f>VLOOKUP(Table1[[#This Row],[Q18: Gender]],Factor!$A$33:$E$35,5,0)</f>
        <v>0.85034013605442171</v>
      </c>
      <c r="AL708">
        <f>VLOOKUP(Table1[[#This Row],[Taluka]],Factor!$A$42:$G$46,7,0)</f>
        <v>1.9264642089343564</v>
      </c>
      <c r="AM708">
        <f>VLOOKUP(Table1[[#This Row],[Caste]]&amp;Table1[[#This Row],[Q18: Gender]],Factor!$W$1:$X$23,2,0)</f>
        <v>0.71995135120329123</v>
      </c>
      <c r="AN708">
        <f>VLOOKUP(Table1[[#This Row],[Taluka]]&amp;Table1[[#This Row],[Caste]]&amp;Table1[[#This Row],[Q18: Gender]],Factor!$AK$4:$AL$93,2,0)</f>
        <v>0.70534647283248642</v>
      </c>
      <c r="AO708">
        <f t="shared" si="121"/>
        <v>-1</v>
      </c>
      <c r="AP708">
        <f t="shared" si="122"/>
        <v>-1</v>
      </c>
      <c r="AQ708">
        <f t="shared" si="123"/>
        <v>-1</v>
      </c>
      <c r="AR708">
        <f t="shared" si="124"/>
        <v>-1</v>
      </c>
      <c r="AS708">
        <f t="shared" si="125"/>
        <v>-1</v>
      </c>
      <c r="AT708">
        <f t="shared" si="126"/>
        <v>-1</v>
      </c>
      <c r="AU708">
        <f t="shared" si="127"/>
        <v>-5.5</v>
      </c>
      <c r="AV708">
        <f>SUM(Table1[[#This Row],[Satis]:[29]])</f>
        <v>-6</v>
      </c>
      <c r="AW708">
        <f t="shared" si="128"/>
        <v>-5</v>
      </c>
      <c r="AX708">
        <f t="shared" si="129"/>
        <v>-4</v>
      </c>
      <c r="AY708">
        <f t="shared" si="130"/>
        <v>-3</v>
      </c>
      <c r="AZ708" t="str">
        <f t="shared" si="131"/>
        <v>TDP HardCore</v>
      </c>
    </row>
    <row r="709" spans="1:52" x14ac:dyDescent="0.3">
      <c r="A709" t="s">
        <v>3067</v>
      </c>
      <c r="B709" s="94">
        <v>46046</v>
      </c>
      <c r="C709" t="s">
        <v>3068</v>
      </c>
      <c r="D709" t="s">
        <v>3069</v>
      </c>
      <c r="E709" t="s">
        <v>3070</v>
      </c>
      <c r="F709" t="s">
        <v>69</v>
      </c>
      <c r="G709" t="s">
        <v>39</v>
      </c>
      <c r="H709" t="s">
        <v>3071</v>
      </c>
      <c r="I709" t="s">
        <v>59</v>
      </c>
      <c r="J709" t="s">
        <v>203</v>
      </c>
      <c r="K709" t="s">
        <v>203</v>
      </c>
      <c r="L709" t="s">
        <v>62</v>
      </c>
      <c r="M709" t="s">
        <v>51</v>
      </c>
      <c r="N709" t="s">
        <v>52</v>
      </c>
      <c r="O709" t="s">
        <v>964</v>
      </c>
      <c r="P709">
        <v>9182568667</v>
      </c>
      <c r="Q709" t="s">
        <v>54</v>
      </c>
      <c r="R709" t="s">
        <v>132</v>
      </c>
      <c r="S709" t="s">
        <v>43</v>
      </c>
      <c r="T709" t="s">
        <v>43</v>
      </c>
      <c r="U709" t="s">
        <v>44</v>
      </c>
      <c r="V709" t="s">
        <v>45</v>
      </c>
      <c r="W709" t="s">
        <v>5111</v>
      </c>
      <c r="X709" t="s">
        <v>45</v>
      </c>
      <c r="Y709" t="s">
        <v>46</v>
      </c>
      <c r="Z709" t="s">
        <v>47</v>
      </c>
      <c r="AA709" t="s">
        <v>48</v>
      </c>
      <c r="AB709" t="s">
        <v>49</v>
      </c>
      <c r="AC709" t="s">
        <v>49</v>
      </c>
      <c r="AD709" t="s">
        <v>494</v>
      </c>
      <c r="AE709" t="s">
        <v>185</v>
      </c>
      <c r="AF709">
        <v>0</v>
      </c>
      <c r="AG709" t="s">
        <v>196</v>
      </c>
      <c r="AH709" s="93">
        <f>VLOOKUP(Table1[[#This Row],[Caste]],Factor!$H$1:$K$13,4,0)</f>
        <v>1.1461625511156397</v>
      </c>
      <c r="AI70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09">
        <f>Table1[[#This Row],[Factor_1]]*Table1[[#This Row],[2024 Factor]]</f>
        <v>0.77721139583220644</v>
      </c>
      <c r="AK709">
        <f>VLOOKUP(Table1[[#This Row],[Q18: Gender]],Factor!$A$33:$E$35,5,0)</f>
        <v>0.85034013605442171</v>
      </c>
      <c r="AL709">
        <f>VLOOKUP(Table1[[#This Row],[Taluka]],Factor!$A$42:$G$46,7,0)</f>
        <v>1.9264642089343564</v>
      </c>
      <c r="AM709">
        <f>VLOOKUP(Table1[[#This Row],[Caste]]&amp;Table1[[#This Row],[Q18: Gender]],Factor!$W$1:$X$23,2,0)</f>
        <v>0.71995135120329123</v>
      </c>
      <c r="AN709">
        <f>VLOOKUP(Table1[[#This Row],[Taluka]]&amp;Table1[[#This Row],[Caste]]&amp;Table1[[#This Row],[Q18: Gender]],Factor!$AK$4:$AL$93,2,0)</f>
        <v>0.70534647283248642</v>
      </c>
      <c r="AO709">
        <f t="shared" si="121"/>
        <v>-1</v>
      </c>
      <c r="AP709">
        <f t="shared" si="122"/>
        <v>-1</v>
      </c>
      <c r="AQ709">
        <f t="shared" si="123"/>
        <v>-1</v>
      </c>
      <c r="AR709">
        <f t="shared" si="124"/>
        <v>-1</v>
      </c>
      <c r="AS709">
        <f t="shared" si="125"/>
        <v>-1</v>
      </c>
      <c r="AT709">
        <f t="shared" si="126"/>
        <v>-1</v>
      </c>
      <c r="AU709">
        <f t="shared" si="127"/>
        <v>-5.5</v>
      </c>
      <c r="AV709">
        <f>SUM(Table1[[#This Row],[Satis]:[29]])</f>
        <v>-6</v>
      </c>
      <c r="AW709">
        <f t="shared" si="128"/>
        <v>-5</v>
      </c>
      <c r="AX709">
        <f t="shared" si="129"/>
        <v>-4</v>
      </c>
      <c r="AY709">
        <f t="shared" si="130"/>
        <v>-3</v>
      </c>
      <c r="AZ709" t="str">
        <f t="shared" si="131"/>
        <v>TDP HardCore</v>
      </c>
    </row>
    <row r="710" spans="1:52" x14ac:dyDescent="0.3">
      <c r="A710" t="s">
        <v>3561</v>
      </c>
      <c r="B710" s="94">
        <v>46046</v>
      </c>
      <c r="C710" t="s">
        <v>3562</v>
      </c>
      <c r="D710" t="s">
        <v>3563</v>
      </c>
      <c r="E710" t="s">
        <v>3564</v>
      </c>
      <c r="F710" t="s">
        <v>69</v>
      </c>
      <c r="G710" t="s">
        <v>39</v>
      </c>
      <c r="H710" t="s">
        <v>3565</v>
      </c>
      <c r="I710" t="s">
        <v>59</v>
      </c>
      <c r="J710" t="s">
        <v>203</v>
      </c>
      <c r="K710" t="s">
        <v>203</v>
      </c>
      <c r="L710" t="s">
        <v>50</v>
      </c>
      <c r="M710" t="s">
        <v>51</v>
      </c>
      <c r="N710" t="s">
        <v>52</v>
      </c>
      <c r="O710" t="s">
        <v>3566</v>
      </c>
      <c r="P710">
        <v>9999999999</v>
      </c>
      <c r="Q710" t="s">
        <v>54</v>
      </c>
      <c r="R710" t="s">
        <v>73</v>
      </c>
      <c r="S710" t="s">
        <v>43</v>
      </c>
      <c r="T710" t="s">
        <v>43</v>
      </c>
      <c r="U710" t="s">
        <v>44</v>
      </c>
      <c r="V710" t="s">
        <v>45</v>
      </c>
      <c r="W710" t="s">
        <v>5111</v>
      </c>
      <c r="X710" t="s">
        <v>45</v>
      </c>
      <c r="Y710" t="s">
        <v>46</v>
      </c>
      <c r="Z710" t="s">
        <v>47</v>
      </c>
      <c r="AA710" t="s">
        <v>48</v>
      </c>
      <c r="AB710" t="s">
        <v>49</v>
      </c>
      <c r="AC710" t="s">
        <v>49</v>
      </c>
      <c r="AD710" t="s">
        <v>494</v>
      </c>
      <c r="AE710" t="s">
        <v>185</v>
      </c>
      <c r="AF710">
        <v>0</v>
      </c>
      <c r="AG710" t="s">
        <v>196</v>
      </c>
      <c r="AH710" s="93">
        <f>VLOOKUP(Table1[[#This Row],[Caste]],Factor!$H$1:$K$13,4,0)</f>
        <v>1.1461625511156397</v>
      </c>
      <c r="AI71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10">
        <f>Table1[[#This Row],[Factor_1]]*Table1[[#This Row],[2024 Factor]]</f>
        <v>0.77721139583220644</v>
      </c>
      <c r="AK710">
        <f>VLOOKUP(Table1[[#This Row],[Q18: Gender]],Factor!$A$33:$E$35,5,0)</f>
        <v>0.85034013605442171</v>
      </c>
      <c r="AL710">
        <f>VLOOKUP(Table1[[#This Row],[Taluka]],Factor!$A$42:$G$46,7,0)</f>
        <v>1.9264642089343564</v>
      </c>
      <c r="AM710">
        <f>VLOOKUP(Table1[[#This Row],[Caste]]&amp;Table1[[#This Row],[Q18: Gender]],Factor!$W$1:$X$23,2,0)</f>
        <v>0.71995135120329123</v>
      </c>
      <c r="AN710">
        <f>VLOOKUP(Table1[[#This Row],[Taluka]]&amp;Table1[[#This Row],[Caste]]&amp;Table1[[#This Row],[Q18: Gender]],Factor!$AK$4:$AL$93,2,0)</f>
        <v>0.70534647283248642</v>
      </c>
      <c r="AO710">
        <f t="shared" si="121"/>
        <v>-1</v>
      </c>
      <c r="AP710">
        <f t="shared" si="122"/>
        <v>-1</v>
      </c>
      <c r="AQ710">
        <f t="shared" si="123"/>
        <v>-1</v>
      </c>
      <c r="AR710">
        <f t="shared" si="124"/>
        <v>-1</v>
      </c>
      <c r="AS710">
        <f t="shared" si="125"/>
        <v>-1</v>
      </c>
      <c r="AT710">
        <f t="shared" si="126"/>
        <v>-1</v>
      </c>
      <c r="AU710">
        <f t="shared" si="127"/>
        <v>-5.5</v>
      </c>
      <c r="AV710">
        <f>SUM(Table1[[#This Row],[Satis]:[29]])</f>
        <v>-6</v>
      </c>
      <c r="AW710">
        <f t="shared" si="128"/>
        <v>-5</v>
      </c>
      <c r="AX710">
        <f t="shared" si="129"/>
        <v>-4</v>
      </c>
      <c r="AY710">
        <f t="shared" si="130"/>
        <v>-3</v>
      </c>
      <c r="AZ710" t="str">
        <f t="shared" si="131"/>
        <v>TDP HardCore</v>
      </c>
    </row>
    <row r="711" spans="1:52" x14ac:dyDescent="0.3">
      <c r="A711" t="s">
        <v>3992</v>
      </c>
      <c r="B711" s="94">
        <v>46046</v>
      </c>
      <c r="C711" t="s">
        <v>3993</v>
      </c>
      <c r="D711" t="s">
        <v>3994</v>
      </c>
      <c r="E711" t="s">
        <v>3192</v>
      </c>
      <c r="F711" t="s">
        <v>2547</v>
      </c>
      <c r="G711" t="s">
        <v>39</v>
      </c>
      <c r="H711" t="s">
        <v>3995</v>
      </c>
      <c r="I711" t="s">
        <v>59</v>
      </c>
      <c r="J711" t="s">
        <v>203</v>
      </c>
      <c r="K711" t="s">
        <v>204</v>
      </c>
      <c r="L711" t="s">
        <v>451</v>
      </c>
      <c r="M711" t="s">
        <v>443</v>
      </c>
      <c r="N711" t="s">
        <v>52</v>
      </c>
      <c r="O711" t="s">
        <v>3996</v>
      </c>
      <c r="P711">
        <v>9959683564</v>
      </c>
      <c r="Q711" t="s">
        <v>445</v>
      </c>
      <c r="R711" t="s">
        <v>132</v>
      </c>
      <c r="S711" t="s">
        <v>88</v>
      </c>
      <c r="T711" t="s">
        <v>43</v>
      </c>
      <c r="U711" t="s">
        <v>44</v>
      </c>
      <c r="V711" t="s">
        <v>45</v>
      </c>
      <c r="W711" t="s">
        <v>5056</v>
      </c>
      <c r="X711" t="s">
        <v>45</v>
      </c>
      <c r="Y711" t="s">
        <v>716</v>
      </c>
      <c r="Z711" t="s">
        <v>47</v>
      </c>
      <c r="AA711" t="s">
        <v>48</v>
      </c>
      <c r="AB711" t="s">
        <v>49</v>
      </c>
      <c r="AC711" t="s">
        <v>49</v>
      </c>
      <c r="AD711" t="s">
        <v>481</v>
      </c>
      <c r="AE711" t="s">
        <v>189</v>
      </c>
      <c r="AF711" t="s">
        <v>1445</v>
      </c>
      <c r="AG711" t="s">
        <v>196</v>
      </c>
      <c r="AH711" s="93">
        <f>VLOOKUP(Table1[[#This Row],[Caste]],Factor!$H$1:$K$13,4,0)</f>
        <v>1.1461625511156397</v>
      </c>
      <c r="AI71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11">
        <f>Table1[[#This Row],[Factor_1]]*Table1[[#This Row],[2024 Factor]]</f>
        <v>3.0326483876590018</v>
      </c>
      <c r="AK711">
        <f>VLOOKUP(Table1[[#This Row],[Q18: Gender]],Factor!$A$33:$E$35,5,0)</f>
        <v>2.1645021645021645</v>
      </c>
      <c r="AL711">
        <f>VLOOKUP(Table1[[#This Row],[Taluka]],Factor!$A$42:$G$46,7,0)</f>
        <v>1.9264642089343564</v>
      </c>
      <c r="AM711">
        <f>VLOOKUP(Table1[[#This Row],[Caste]]&amp;Table1[[#This Row],[Q18: Gender]],Factor!$W$1:$X$23,2,0)</f>
        <v>2.8092219390089208</v>
      </c>
      <c r="AN711">
        <f>VLOOKUP(Table1[[#This Row],[Taluka]]&amp;Table1[[#This Row],[Caste]]&amp;Table1[[#This Row],[Q18: Gender]],Factor!$AK$4:$AL$93,2,0)</f>
        <v>6.3481182554923778</v>
      </c>
      <c r="AO711">
        <f t="shared" si="121"/>
        <v>-1</v>
      </c>
      <c r="AP711">
        <f t="shared" si="122"/>
        <v>-1</v>
      </c>
      <c r="AQ711">
        <f t="shared" si="123"/>
        <v>-1</v>
      </c>
      <c r="AR711">
        <f t="shared" si="124"/>
        <v>-1</v>
      </c>
      <c r="AS711">
        <f t="shared" si="125"/>
        <v>-1</v>
      </c>
      <c r="AT711">
        <f t="shared" si="126"/>
        <v>-1</v>
      </c>
      <c r="AU711">
        <f t="shared" si="127"/>
        <v>-5.5</v>
      </c>
      <c r="AV711">
        <f>SUM(Table1[[#This Row],[Satis]:[29]])</f>
        <v>-6</v>
      </c>
      <c r="AW711">
        <f t="shared" si="128"/>
        <v>-5</v>
      </c>
      <c r="AX711">
        <f t="shared" si="129"/>
        <v>-4</v>
      </c>
      <c r="AY711">
        <f t="shared" si="130"/>
        <v>-3</v>
      </c>
      <c r="AZ711" t="str">
        <f t="shared" si="131"/>
        <v>TDP HardCore</v>
      </c>
    </row>
    <row r="712" spans="1:52" x14ac:dyDescent="0.3">
      <c r="A712" t="s">
        <v>3997</v>
      </c>
      <c r="B712" s="94">
        <v>46046</v>
      </c>
      <c r="C712" t="s">
        <v>3998</v>
      </c>
      <c r="D712" t="s">
        <v>3999</v>
      </c>
      <c r="E712" t="s">
        <v>4000</v>
      </c>
      <c r="F712" t="s">
        <v>240</v>
      </c>
      <c r="G712" t="s">
        <v>39</v>
      </c>
      <c r="H712" t="s">
        <v>4001</v>
      </c>
      <c r="I712" t="s">
        <v>227</v>
      </c>
      <c r="J712" t="s">
        <v>37</v>
      </c>
      <c r="K712" t="s">
        <v>38</v>
      </c>
      <c r="L712" t="s">
        <v>62</v>
      </c>
      <c r="M712" t="s">
        <v>51</v>
      </c>
      <c r="N712" t="s">
        <v>107</v>
      </c>
      <c r="O712" t="s">
        <v>2448</v>
      </c>
      <c r="P712">
        <v>9999999999</v>
      </c>
      <c r="Q712" t="s">
        <v>445</v>
      </c>
      <c r="R712" t="s">
        <v>2116</v>
      </c>
      <c r="S712" t="s">
        <v>43</v>
      </c>
      <c r="T712" t="s">
        <v>43</v>
      </c>
      <c r="U712" t="s">
        <v>44</v>
      </c>
      <c r="V712" t="s">
        <v>45</v>
      </c>
      <c r="W712" t="s">
        <v>5055</v>
      </c>
      <c r="X712" t="s">
        <v>45</v>
      </c>
      <c r="Y712" t="s">
        <v>46</v>
      </c>
      <c r="Z712" t="s">
        <v>47</v>
      </c>
      <c r="AA712" t="s">
        <v>242</v>
      </c>
      <c r="AB712" t="s">
        <v>49</v>
      </c>
      <c r="AC712" t="s">
        <v>49</v>
      </c>
      <c r="AD712" t="s">
        <v>184</v>
      </c>
      <c r="AE712" t="s">
        <v>189</v>
      </c>
      <c r="AF712" t="s">
        <v>4078</v>
      </c>
      <c r="AG712" t="s">
        <v>196</v>
      </c>
      <c r="AH712" s="93">
        <f>VLOOKUP(Table1[[#This Row],[Caste]],Factor!$H$1:$K$13,4,0)</f>
        <v>1.2612194085121222</v>
      </c>
      <c r="AI712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712">
        <f>Table1[[#This Row],[Factor_1]]*Table1[[#This Row],[2024 Factor]]</f>
        <v>1.6028209406152043</v>
      </c>
      <c r="AK712">
        <f>VLOOKUP(Table1[[#This Row],[Q18: Gender]],Factor!$A$33:$E$35,5,0)</f>
        <v>2.1645021645021645</v>
      </c>
      <c r="AL712">
        <f>VLOOKUP(Table1[[#This Row],[Taluka]],Factor!$A$42:$G$46,7,0)</f>
        <v>0.75433779645928134</v>
      </c>
      <c r="AM712">
        <f>VLOOKUP(Table1[[#This Row],[Caste]]&amp;Table1[[#This Row],[Q18: Gender]],Factor!$W$1:$X$23,2,0)</f>
        <v>2.4228688637206557</v>
      </c>
      <c r="AN712">
        <f>VLOOKUP(Table1[[#This Row],[Taluka]]&amp;Table1[[#This Row],[Caste]]&amp;Table1[[#This Row],[Q18: Gender]],Factor!$AK$4:$AL$93,2,0)</f>
        <v>5.174109875705593</v>
      </c>
      <c r="AO712">
        <f t="shared" si="121"/>
        <v>-1</v>
      </c>
      <c r="AP712">
        <f t="shared" si="122"/>
        <v>-1</v>
      </c>
      <c r="AQ712">
        <f t="shared" si="123"/>
        <v>-1</v>
      </c>
      <c r="AR712">
        <f t="shared" si="124"/>
        <v>-1</v>
      </c>
      <c r="AS712">
        <f t="shared" si="125"/>
        <v>-1</v>
      </c>
      <c r="AT712">
        <f t="shared" si="126"/>
        <v>-1</v>
      </c>
      <c r="AU712">
        <f t="shared" si="127"/>
        <v>-5.5</v>
      </c>
      <c r="AV712">
        <f>SUM(Table1[[#This Row],[Satis]:[29]])</f>
        <v>-6</v>
      </c>
      <c r="AW712">
        <f t="shared" si="128"/>
        <v>-5</v>
      </c>
      <c r="AX712">
        <f t="shared" si="129"/>
        <v>-4</v>
      </c>
      <c r="AY712">
        <f t="shared" si="130"/>
        <v>-3</v>
      </c>
      <c r="AZ712" t="str">
        <f t="shared" si="131"/>
        <v>TDP HardCore</v>
      </c>
    </row>
    <row r="713" spans="1:52" x14ac:dyDescent="0.3">
      <c r="A713" t="s">
        <v>3300</v>
      </c>
      <c r="B713" s="94">
        <v>46046</v>
      </c>
      <c r="C713" t="s">
        <v>3301</v>
      </c>
      <c r="D713" t="s">
        <v>3302</v>
      </c>
      <c r="E713" t="s">
        <v>3303</v>
      </c>
      <c r="F713" t="s">
        <v>240</v>
      </c>
      <c r="G713" t="s">
        <v>39</v>
      </c>
      <c r="H713" t="s">
        <v>3304</v>
      </c>
      <c r="I713" t="s">
        <v>59</v>
      </c>
      <c r="J713" t="s">
        <v>37</v>
      </c>
      <c r="K713" t="s">
        <v>38</v>
      </c>
      <c r="L713" t="s">
        <v>50</v>
      </c>
      <c r="M713" t="s">
        <v>51</v>
      </c>
      <c r="N713" t="s">
        <v>52</v>
      </c>
      <c r="O713" t="s">
        <v>2746</v>
      </c>
      <c r="P713">
        <v>9999999999</v>
      </c>
      <c r="Q713" t="s">
        <v>54</v>
      </c>
      <c r="R713" t="s">
        <v>2116</v>
      </c>
      <c r="S713" t="s">
        <v>43</v>
      </c>
      <c r="T713" t="s">
        <v>43</v>
      </c>
      <c r="U713" t="s">
        <v>44</v>
      </c>
      <c r="V713" t="s">
        <v>45</v>
      </c>
      <c r="W713" t="s">
        <v>5054</v>
      </c>
      <c r="X713" t="s">
        <v>45</v>
      </c>
      <c r="Y713" t="s">
        <v>46</v>
      </c>
      <c r="Z713" t="s">
        <v>47</v>
      </c>
      <c r="AA713" t="s">
        <v>92</v>
      </c>
      <c r="AB713" t="s">
        <v>93</v>
      </c>
      <c r="AC713" t="s">
        <v>148</v>
      </c>
      <c r="AD713" t="s">
        <v>494</v>
      </c>
      <c r="AE713" t="s">
        <v>185</v>
      </c>
      <c r="AF713">
        <v>0</v>
      </c>
      <c r="AG713" t="s">
        <v>196</v>
      </c>
      <c r="AH713" s="93">
        <f>VLOOKUP(Table1[[#This Row],[Caste]],Factor!$H$1:$K$13,4,0)</f>
        <v>1.1461625511156397</v>
      </c>
      <c r="AI713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713">
        <f>Table1[[#This Row],[Factor_1]]*Table1[[#This Row],[2024 Factor]]</f>
        <v>1.2999324650914248</v>
      </c>
      <c r="AK713">
        <f>VLOOKUP(Table1[[#This Row],[Q18: Gender]],Factor!$A$33:$E$35,5,0)</f>
        <v>0.85034013605442171</v>
      </c>
      <c r="AL713">
        <f>VLOOKUP(Table1[[#This Row],[Taluka]],Factor!$A$42:$G$46,7,0)</f>
        <v>0.75433779645928134</v>
      </c>
      <c r="AM713">
        <f>VLOOKUP(Table1[[#This Row],[Caste]]&amp;Table1[[#This Row],[Q18: Gender]],Factor!$W$1:$X$23,2,0)</f>
        <v>0.71995135120329123</v>
      </c>
      <c r="AN713">
        <f>VLOOKUP(Table1[[#This Row],[Taluka]]&amp;Table1[[#This Row],[Caste]]&amp;Table1[[#This Row],[Q18: Gender]],Factor!$AK$4:$AL$93,2,0)</f>
        <v>0.55527787174877274</v>
      </c>
      <c r="AO713">
        <f t="shared" si="121"/>
        <v>-1</v>
      </c>
      <c r="AP713">
        <f t="shared" si="122"/>
        <v>-1</v>
      </c>
      <c r="AQ713">
        <f t="shared" si="123"/>
        <v>-1</v>
      </c>
      <c r="AR713">
        <f t="shared" si="124"/>
        <v>-1</v>
      </c>
      <c r="AS713">
        <f t="shared" si="125"/>
        <v>1</v>
      </c>
      <c r="AT713">
        <f t="shared" si="126"/>
        <v>-1</v>
      </c>
      <c r="AU713">
        <f t="shared" si="127"/>
        <v>-4.5</v>
      </c>
      <c r="AV713">
        <f>SUM(Table1[[#This Row],[Satis]:[29]])</f>
        <v>-4</v>
      </c>
      <c r="AW713">
        <f t="shared" si="128"/>
        <v>-3</v>
      </c>
      <c r="AX713">
        <f t="shared" si="129"/>
        <v>-2</v>
      </c>
      <c r="AY713">
        <f t="shared" si="130"/>
        <v>-2</v>
      </c>
      <c r="AZ713" t="str">
        <f t="shared" si="131"/>
        <v>Neutral TDP</v>
      </c>
    </row>
    <row r="714" spans="1:52" x14ac:dyDescent="0.3">
      <c r="A714" t="s">
        <v>3971</v>
      </c>
      <c r="B714" s="94">
        <v>46046</v>
      </c>
      <c r="C714" t="s">
        <v>3972</v>
      </c>
      <c r="D714" t="s">
        <v>3973</v>
      </c>
      <c r="E714" t="s">
        <v>3974</v>
      </c>
      <c r="F714" t="s">
        <v>69</v>
      </c>
      <c r="G714" t="s">
        <v>39</v>
      </c>
      <c r="H714" t="s">
        <v>3975</v>
      </c>
      <c r="I714" t="s">
        <v>59</v>
      </c>
      <c r="J714" t="s">
        <v>203</v>
      </c>
      <c r="K714" t="s">
        <v>203</v>
      </c>
      <c r="L714" t="s">
        <v>50</v>
      </c>
      <c r="M714" t="s">
        <v>51</v>
      </c>
      <c r="N714" t="s">
        <v>107</v>
      </c>
      <c r="O714" t="s">
        <v>3976</v>
      </c>
      <c r="P714">
        <v>9849349509</v>
      </c>
      <c r="Q714" t="s">
        <v>54</v>
      </c>
      <c r="R714" t="s">
        <v>42</v>
      </c>
      <c r="S714" t="s">
        <v>43</v>
      </c>
      <c r="T714" t="s">
        <v>43</v>
      </c>
      <c r="U714" t="s">
        <v>44</v>
      </c>
      <c r="V714" t="s">
        <v>45</v>
      </c>
      <c r="W714" t="s">
        <v>5087</v>
      </c>
      <c r="X714" t="s">
        <v>45</v>
      </c>
      <c r="Y714" t="s">
        <v>46</v>
      </c>
      <c r="Z714" t="s">
        <v>47</v>
      </c>
      <c r="AA714" t="s">
        <v>48</v>
      </c>
      <c r="AB714" t="s">
        <v>49</v>
      </c>
      <c r="AC714" t="s">
        <v>49</v>
      </c>
      <c r="AD714" t="s">
        <v>494</v>
      </c>
      <c r="AE714" t="s">
        <v>185</v>
      </c>
      <c r="AF714">
        <v>0</v>
      </c>
      <c r="AG714" t="s">
        <v>196</v>
      </c>
      <c r="AH714" s="93">
        <f>VLOOKUP(Table1[[#This Row],[Caste]],Factor!$H$1:$K$13,4,0)</f>
        <v>1.1461625511156397</v>
      </c>
      <c r="AI71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14">
        <f>Table1[[#This Row],[Factor_1]]*Table1[[#This Row],[2024 Factor]]</f>
        <v>0.77721139583220644</v>
      </c>
      <c r="AK714">
        <f>VLOOKUP(Table1[[#This Row],[Q18: Gender]],Factor!$A$33:$E$35,5,0)</f>
        <v>0.85034013605442171</v>
      </c>
      <c r="AL714">
        <f>VLOOKUP(Table1[[#This Row],[Taluka]],Factor!$A$42:$G$46,7,0)</f>
        <v>1.9264642089343564</v>
      </c>
      <c r="AM714">
        <f>VLOOKUP(Table1[[#This Row],[Caste]]&amp;Table1[[#This Row],[Q18: Gender]],Factor!$W$1:$X$23,2,0)</f>
        <v>0.71995135120329123</v>
      </c>
      <c r="AN714">
        <f>VLOOKUP(Table1[[#This Row],[Taluka]]&amp;Table1[[#This Row],[Caste]]&amp;Table1[[#This Row],[Q18: Gender]],Factor!$AK$4:$AL$93,2,0)</f>
        <v>0.70534647283248642</v>
      </c>
      <c r="AO714">
        <f t="shared" si="121"/>
        <v>-1</v>
      </c>
      <c r="AP714">
        <f t="shared" si="122"/>
        <v>-1</v>
      </c>
      <c r="AQ714">
        <f t="shared" si="123"/>
        <v>-1</v>
      </c>
      <c r="AR714">
        <f t="shared" si="124"/>
        <v>-1</v>
      </c>
      <c r="AS714">
        <f t="shared" si="125"/>
        <v>-1</v>
      </c>
      <c r="AT714">
        <f t="shared" si="126"/>
        <v>-1</v>
      </c>
      <c r="AU714">
        <f t="shared" si="127"/>
        <v>-5.5</v>
      </c>
      <c r="AV714">
        <f>SUM(Table1[[#This Row],[Satis]:[29]])</f>
        <v>-6</v>
      </c>
      <c r="AW714">
        <f t="shared" si="128"/>
        <v>-5</v>
      </c>
      <c r="AX714">
        <f t="shared" si="129"/>
        <v>-4</v>
      </c>
      <c r="AY714">
        <f t="shared" si="130"/>
        <v>-3</v>
      </c>
      <c r="AZ714" t="str">
        <f t="shared" si="131"/>
        <v>TDP HardCore</v>
      </c>
    </row>
    <row r="715" spans="1:52" x14ac:dyDescent="0.3">
      <c r="A715" t="s">
        <v>3701</v>
      </c>
      <c r="B715" s="94">
        <v>46046</v>
      </c>
      <c r="C715" t="s">
        <v>3702</v>
      </c>
      <c r="D715" t="s">
        <v>3703</v>
      </c>
      <c r="E715" t="s">
        <v>3704</v>
      </c>
      <c r="F715" t="s">
        <v>2547</v>
      </c>
      <c r="G715" t="s">
        <v>39</v>
      </c>
      <c r="H715" t="s">
        <v>3705</v>
      </c>
      <c r="I715" t="s">
        <v>70</v>
      </c>
      <c r="J715" t="s">
        <v>203</v>
      </c>
      <c r="K715" t="s">
        <v>204</v>
      </c>
      <c r="L715" t="s">
        <v>62</v>
      </c>
      <c r="M715" t="s">
        <v>443</v>
      </c>
      <c r="N715" t="s">
        <v>52</v>
      </c>
      <c r="O715" t="s">
        <v>3706</v>
      </c>
      <c r="P715">
        <v>9000000000</v>
      </c>
      <c r="Q715" t="s">
        <v>54</v>
      </c>
      <c r="R715" t="s">
        <v>132</v>
      </c>
      <c r="S715" t="s">
        <v>88</v>
      </c>
      <c r="T715" t="s">
        <v>89</v>
      </c>
      <c r="U715" t="s">
        <v>90</v>
      </c>
      <c r="V715" t="s">
        <v>91</v>
      </c>
      <c r="W715" t="s">
        <v>5064</v>
      </c>
      <c r="X715" t="s">
        <v>91</v>
      </c>
      <c r="Y715" t="s">
        <v>638</v>
      </c>
      <c r="Z715" t="s">
        <v>92</v>
      </c>
      <c r="AA715" t="s">
        <v>48</v>
      </c>
      <c r="AB715" t="s">
        <v>49</v>
      </c>
      <c r="AC715" t="s">
        <v>49</v>
      </c>
      <c r="AD715" t="s">
        <v>494</v>
      </c>
      <c r="AE715" t="s">
        <v>185</v>
      </c>
      <c r="AF715">
        <v>0</v>
      </c>
      <c r="AG715" t="s">
        <v>196</v>
      </c>
      <c r="AH715" s="93">
        <f>VLOOKUP(Table1[[#This Row],[Caste]],Factor!$H$1:$K$13,4,0)</f>
        <v>1.3836274505214585</v>
      </c>
      <c r="AI71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15">
        <f>Table1[[#This Row],[Factor_1]]*Table1[[#This Row],[2024 Factor]]</f>
        <v>1.1648410586678206</v>
      </c>
      <c r="AK715">
        <f>VLOOKUP(Table1[[#This Row],[Q18: Gender]],Factor!$A$33:$E$35,5,0)</f>
        <v>0.85034013605442171</v>
      </c>
      <c r="AL715">
        <f>VLOOKUP(Table1[[#This Row],[Taluka]],Factor!$A$42:$G$46,7,0)</f>
        <v>1.9264642089343564</v>
      </c>
      <c r="AM715">
        <f>VLOOKUP(Table1[[#This Row],[Caste]]&amp;Table1[[#This Row],[Q18: Gender]],Factor!$W$1:$X$23,2,0)</f>
        <v>1.0790228998469584</v>
      </c>
      <c r="AN715">
        <f>VLOOKUP(Table1[[#This Row],[Taluka]]&amp;Table1[[#This Row],[Caste]]&amp;Table1[[#This Row],[Q18: Gender]],Factor!$AK$4:$AL$93,2,0)</f>
        <v>2.1355167697651956</v>
      </c>
      <c r="AO715">
        <f t="shared" si="121"/>
        <v>1</v>
      </c>
      <c r="AP715">
        <f t="shared" si="122"/>
        <v>1</v>
      </c>
      <c r="AQ715">
        <f t="shared" si="123"/>
        <v>1</v>
      </c>
      <c r="AR715">
        <f t="shared" si="124"/>
        <v>1</v>
      </c>
      <c r="AS715">
        <f t="shared" si="125"/>
        <v>-1</v>
      </c>
      <c r="AT715">
        <f t="shared" si="126"/>
        <v>1</v>
      </c>
      <c r="AU715">
        <f t="shared" si="127"/>
        <v>4.5</v>
      </c>
      <c r="AV715">
        <f>SUM(Table1[[#This Row],[Satis]:[29]])</f>
        <v>4</v>
      </c>
      <c r="AW715">
        <f t="shared" si="128"/>
        <v>3</v>
      </c>
      <c r="AX715">
        <f t="shared" si="129"/>
        <v>2</v>
      </c>
      <c r="AY715">
        <f t="shared" si="130"/>
        <v>2</v>
      </c>
      <c r="AZ715" t="str">
        <f t="shared" si="131"/>
        <v>Neutral YSRCP</v>
      </c>
    </row>
    <row r="716" spans="1:52" x14ac:dyDescent="0.3">
      <c r="A716" t="s">
        <v>3586</v>
      </c>
      <c r="B716" s="94">
        <v>46046</v>
      </c>
      <c r="C716" t="s">
        <v>3587</v>
      </c>
      <c r="D716" t="s">
        <v>3307</v>
      </c>
      <c r="E716" t="s">
        <v>3308</v>
      </c>
      <c r="F716" t="s">
        <v>935</v>
      </c>
      <c r="G716" t="s">
        <v>39</v>
      </c>
      <c r="H716" t="s">
        <v>3588</v>
      </c>
      <c r="I716" t="s">
        <v>159</v>
      </c>
      <c r="J716" t="s">
        <v>203</v>
      </c>
      <c r="K716" t="s">
        <v>208</v>
      </c>
      <c r="L716" t="s">
        <v>50</v>
      </c>
      <c r="M716" t="s">
        <v>51</v>
      </c>
      <c r="N716" t="s">
        <v>63</v>
      </c>
      <c r="O716" t="s">
        <v>3310</v>
      </c>
      <c r="P716">
        <v>9948284811</v>
      </c>
      <c r="Q716" t="s">
        <v>54</v>
      </c>
      <c r="R716" t="s">
        <v>61</v>
      </c>
      <c r="S716" t="s">
        <v>89</v>
      </c>
      <c r="T716" t="s">
        <v>43</v>
      </c>
      <c r="U716" t="s">
        <v>44</v>
      </c>
      <c r="V716" t="s">
        <v>91</v>
      </c>
      <c r="W716" t="s">
        <v>5078</v>
      </c>
      <c r="X716" t="s">
        <v>45</v>
      </c>
      <c r="Y716" t="s">
        <v>46</v>
      </c>
      <c r="Z716" t="s">
        <v>242</v>
      </c>
      <c r="AA716" t="s">
        <v>48</v>
      </c>
      <c r="AB716" t="s">
        <v>49</v>
      </c>
      <c r="AC716" t="s">
        <v>49</v>
      </c>
      <c r="AD716">
        <v>0</v>
      </c>
      <c r="AE716" t="s">
        <v>185</v>
      </c>
      <c r="AF716">
        <v>0</v>
      </c>
      <c r="AG716" t="s">
        <v>196</v>
      </c>
      <c r="AH716" s="93">
        <f>VLOOKUP(Table1[[#This Row],[Caste]],Factor!$H$1:$K$13,4,0)</f>
        <v>2.1852575402829908</v>
      </c>
      <c r="AI71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16">
        <f>Table1[[#This Row],[Factor_1]]*Table1[[#This Row],[2024 Factor]]</f>
        <v>1.7037641797963405</v>
      </c>
      <c r="AK716">
        <f>VLOOKUP(Table1[[#This Row],[Q18: Gender]],Factor!$A$33:$E$35,5,0)</f>
        <v>0.85034013605442171</v>
      </c>
      <c r="AL716">
        <f>VLOOKUP(Table1[[#This Row],[Taluka]],Factor!$A$42:$G$46,7,0)</f>
        <v>1.9264642089343564</v>
      </c>
      <c r="AM716">
        <f>VLOOKUP(Table1[[#This Row],[Caste]]&amp;Table1[[#This Row],[Q18: Gender]],Factor!$W$1:$X$23,2,0)</f>
        <v>1.5782415568710491</v>
      </c>
      <c r="AN716">
        <f>VLOOKUP(Table1[[#This Row],[Taluka]]&amp;Table1[[#This Row],[Caste]]&amp;Table1[[#This Row],[Q18: Gender]],Factor!$AK$4:$AL$93,2,0)</f>
        <v>0.88111541781135172</v>
      </c>
      <c r="AO716">
        <f t="shared" si="121"/>
        <v>-1</v>
      </c>
      <c r="AP716">
        <f t="shared" si="122"/>
        <v>-1</v>
      </c>
      <c r="AQ716">
        <f t="shared" si="123"/>
        <v>1</v>
      </c>
      <c r="AR716">
        <f t="shared" si="124"/>
        <v>-1</v>
      </c>
      <c r="AS716">
        <f t="shared" si="125"/>
        <v>-1</v>
      </c>
      <c r="AT716">
        <f t="shared" si="126"/>
        <v>-1</v>
      </c>
      <c r="AU716">
        <f t="shared" si="127"/>
        <v>-3.5</v>
      </c>
      <c r="AV716">
        <f>SUM(Table1[[#This Row],[Satis]:[29]])</f>
        <v>-4</v>
      </c>
      <c r="AW716">
        <f t="shared" si="128"/>
        <v>-3</v>
      </c>
      <c r="AX716">
        <f t="shared" si="129"/>
        <v>-2</v>
      </c>
      <c r="AY716">
        <f t="shared" si="130"/>
        <v>-3</v>
      </c>
      <c r="AZ716" t="str">
        <f t="shared" si="131"/>
        <v>Neutral TDP</v>
      </c>
    </row>
    <row r="717" spans="1:52" x14ac:dyDescent="0.3">
      <c r="A717" t="s">
        <v>3343</v>
      </c>
      <c r="B717" s="94">
        <v>46046</v>
      </c>
      <c r="C717" t="s">
        <v>3344</v>
      </c>
      <c r="D717" t="s">
        <v>3345</v>
      </c>
      <c r="E717" t="s">
        <v>3303</v>
      </c>
      <c r="F717" t="s">
        <v>240</v>
      </c>
      <c r="G717" t="s">
        <v>39</v>
      </c>
      <c r="H717" t="s">
        <v>3346</v>
      </c>
      <c r="I717" t="s">
        <v>230</v>
      </c>
      <c r="J717" t="s">
        <v>37</v>
      </c>
      <c r="K717" t="s">
        <v>38</v>
      </c>
      <c r="L717" t="s">
        <v>75</v>
      </c>
      <c r="M717" t="s">
        <v>51</v>
      </c>
      <c r="N717" t="s">
        <v>63</v>
      </c>
      <c r="O717" t="s">
        <v>3347</v>
      </c>
      <c r="P717">
        <v>8897959354</v>
      </c>
      <c r="Q717" t="s">
        <v>445</v>
      </c>
      <c r="R717" t="s">
        <v>2116</v>
      </c>
      <c r="S717" t="s">
        <v>43</v>
      </c>
      <c r="T717" t="s">
        <v>43</v>
      </c>
      <c r="U717" t="s">
        <v>90</v>
      </c>
      <c r="V717" t="s">
        <v>45</v>
      </c>
      <c r="W717" t="s">
        <v>5057</v>
      </c>
      <c r="X717" t="s">
        <v>45</v>
      </c>
      <c r="Y717" t="s">
        <v>46</v>
      </c>
      <c r="Z717" t="s">
        <v>92</v>
      </c>
      <c r="AA717" t="s">
        <v>242</v>
      </c>
      <c r="AB717" t="s">
        <v>49</v>
      </c>
      <c r="AC717" t="s">
        <v>49</v>
      </c>
      <c r="AD717" t="s">
        <v>494</v>
      </c>
      <c r="AE717" t="s">
        <v>185</v>
      </c>
      <c r="AF717">
        <v>0</v>
      </c>
      <c r="AG717" t="s">
        <v>196</v>
      </c>
      <c r="AH717" s="93">
        <f>VLOOKUP(Table1[[#This Row],[Caste]],Factor!$H$1:$K$13,4,0)</f>
        <v>1.0786696182614144</v>
      </c>
      <c r="AI717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717">
        <f>Table1[[#This Row],[Factor_1]]*Table1[[#This Row],[2024 Factor]]</f>
        <v>0.7135814397729362</v>
      </c>
      <c r="AK717">
        <f>VLOOKUP(Table1[[#This Row],[Q18: Gender]],Factor!$A$33:$E$35,5,0)</f>
        <v>2.1645021645021645</v>
      </c>
      <c r="AL717">
        <f>VLOOKUP(Table1[[#This Row],[Taluka]],Factor!$A$42:$G$46,7,0)</f>
        <v>0.75433779645928134</v>
      </c>
      <c r="AM717">
        <f>VLOOKUP(Table1[[#This Row],[Caste]]&amp;Table1[[#This Row],[Q18: Gender]],Factor!$W$1:$X$23,2,0)</f>
        <v>1.0786696182614144</v>
      </c>
      <c r="AN717">
        <f>VLOOKUP(Table1[[#This Row],[Taluka]]&amp;Table1[[#This Row],[Caste]]&amp;Table1[[#This Row],[Q18: Gender]],Factor!$AK$4:$AL$93,2,0)</f>
        <v>0.36371552453725964</v>
      </c>
      <c r="AO717">
        <f t="shared" si="121"/>
        <v>-1</v>
      </c>
      <c r="AP717">
        <f t="shared" si="122"/>
        <v>1</v>
      </c>
      <c r="AQ717">
        <f t="shared" si="123"/>
        <v>-1</v>
      </c>
      <c r="AR717">
        <f t="shared" si="124"/>
        <v>-1</v>
      </c>
      <c r="AS717">
        <f t="shared" si="125"/>
        <v>-1</v>
      </c>
      <c r="AT717">
        <f t="shared" si="126"/>
        <v>1</v>
      </c>
      <c r="AU717">
        <f t="shared" si="127"/>
        <v>-1.5</v>
      </c>
      <c r="AV717">
        <f>SUM(Table1[[#This Row],[Satis]:[29]])</f>
        <v>-2</v>
      </c>
      <c r="AW717">
        <f t="shared" si="128"/>
        <v>-3</v>
      </c>
      <c r="AX717">
        <f t="shared" si="129"/>
        <v>-2</v>
      </c>
      <c r="AY717" t="str">
        <f t="shared" si="130"/>
        <v>ND</v>
      </c>
      <c r="AZ717" t="str">
        <f t="shared" si="131"/>
        <v>ND</v>
      </c>
    </row>
    <row r="718" spans="1:52" x14ac:dyDescent="0.3">
      <c r="A718" t="s">
        <v>3977</v>
      </c>
      <c r="B718" s="94">
        <v>46046</v>
      </c>
      <c r="C718" t="s">
        <v>3978</v>
      </c>
      <c r="D718" t="s">
        <v>3979</v>
      </c>
      <c r="E718" t="s">
        <v>3267</v>
      </c>
      <c r="F718" t="s">
        <v>69</v>
      </c>
      <c r="G718" t="s">
        <v>39</v>
      </c>
      <c r="H718" t="s">
        <v>3980</v>
      </c>
      <c r="I718" t="s">
        <v>59</v>
      </c>
      <c r="J718" t="s">
        <v>203</v>
      </c>
      <c r="K718" t="s">
        <v>203</v>
      </c>
      <c r="L718" t="s">
        <v>50</v>
      </c>
      <c r="M718" t="s">
        <v>51</v>
      </c>
      <c r="N718" t="s">
        <v>52</v>
      </c>
      <c r="O718" t="s">
        <v>542</v>
      </c>
      <c r="P718">
        <v>9849596799</v>
      </c>
      <c r="Q718" t="s">
        <v>54</v>
      </c>
      <c r="R718" t="s">
        <v>139</v>
      </c>
      <c r="S718" t="s">
        <v>43</v>
      </c>
      <c r="T718" t="s">
        <v>43</v>
      </c>
      <c r="U718" t="s">
        <v>44</v>
      </c>
      <c r="V718" t="s">
        <v>45</v>
      </c>
      <c r="W718" t="s">
        <v>5047</v>
      </c>
      <c r="X718" t="s">
        <v>45</v>
      </c>
      <c r="Y718" t="s">
        <v>46</v>
      </c>
      <c r="Z718" t="s">
        <v>47</v>
      </c>
      <c r="AA718" t="s">
        <v>48</v>
      </c>
      <c r="AB718" t="s">
        <v>49</v>
      </c>
      <c r="AC718" t="s">
        <v>49</v>
      </c>
      <c r="AD718" t="s">
        <v>494</v>
      </c>
      <c r="AE718" t="s">
        <v>185</v>
      </c>
      <c r="AF718">
        <v>0</v>
      </c>
      <c r="AG718" t="s">
        <v>196</v>
      </c>
      <c r="AH718" s="93">
        <f>VLOOKUP(Table1[[#This Row],[Caste]],Factor!$H$1:$K$13,4,0)</f>
        <v>1.1461625511156397</v>
      </c>
      <c r="AI71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18">
        <f>Table1[[#This Row],[Factor_1]]*Table1[[#This Row],[2024 Factor]]</f>
        <v>0.77721139583220644</v>
      </c>
      <c r="AK718">
        <f>VLOOKUP(Table1[[#This Row],[Q18: Gender]],Factor!$A$33:$E$35,5,0)</f>
        <v>0.85034013605442171</v>
      </c>
      <c r="AL718">
        <f>VLOOKUP(Table1[[#This Row],[Taluka]],Factor!$A$42:$G$46,7,0)</f>
        <v>1.9264642089343564</v>
      </c>
      <c r="AM718">
        <f>VLOOKUP(Table1[[#This Row],[Caste]]&amp;Table1[[#This Row],[Q18: Gender]],Factor!$W$1:$X$23,2,0)</f>
        <v>0.71995135120329123</v>
      </c>
      <c r="AN718">
        <f>VLOOKUP(Table1[[#This Row],[Taluka]]&amp;Table1[[#This Row],[Caste]]&amp;Table1[[#This Row],[Q18: Gender]],Factor!$AK$4:$AL$93,2,0)</f>
        <v>0.70534647283248642</v>
      </c>
      <c r="AO718">
        <f t="shared" si="121"/>
        <v>-1</v>
      </c>
      <c r="AP718">
        <f t="shared" si="122"/>
        <v>-1</v>
      </c>
      <c r="AQ718">
        <f t="shared" si="123"/>
        <v>-1</v>
      </c>
      <c r="AR718">
        <f t="shared" si="124"/>
        <v>-1</v>
      </c>
      <c r="AS718">
        <f t="shared" si="125"/>
        <v>-1</v>
      </c>
      <c r="AT718">
        <f t="shared" si="126"/>
        <v>-1</v>
      </c>
      <c r="AU718">
        <f t="shared" si="127"/>
        <v>-5.5</v>
      </c>
      <c r="AV718">
        <f>SUM(Table1[[#This Row],[Satis]:[29]])</f>
        <v>-6</v>
      </c>
      <c r="AW718">
        <f t="shared" si="128"/>
        <v>-5</v>
      </c>
      <c r="AX718">
        <f t="shared" si="129"/>
        <v>-4</v>
      </c>
      <c r="AY718">
        <f t="shared" si="130"/>
        <v>-3</v>
      </c>
      <c r="AZ718" t="str">
        <f t="shared" si="131"/>
        <v>TDP HardCore</v>
      </c>
    </row>
    <row r="719" spans="1:52" x14ac:dyDescent="0.3">
      <c r="A719" t="s">
        <v>3511</v>
      </c>
      <c r="B719" s="94">
        <v>46046</v>
      </c>
      <c r="C719" t="s">
        <v>3512</v>
      </c>
      <c r="D719" t="s">
        <v>3513</v>
      </c>
      <c r="E719" t="s">
        <v>3514</v>
      </c>
      <c r="F719" t="s">
        <v>69</v>
      </c>
      <c r="G719" t="s">
        <v>39</v>
      </c>
      <c r="H719" t="s">
        <v>3515</v>
      </c>
      <c r="I719" t="s">
        <v>59</v>
      </c>
      <c r="J719" t="s">
        <v>203</v>
      </c>
      <c r="K719" t="s">
        <v>203</v>
      </c>
      <c r="L719" t="s">
        <v>170</v>
      </c>
      <c r="M719" t="s">
        <v>51</v>
      </c>
      <c r="N719" t="s">
        <v>162</v>
      </c>
      <c r="O719" t="s">
        <v>3516</v>
      </c>
      <c r="P719">
        <v>9999999999</v>
      </c>
      <c r="Q719" t="s">
        <v>54</v>
      </c>
      <c r="R719" t="s">
        <v>73</v>
      </c>
      <c r="S719" t="s">
        <v>43</v>
      </c>
      <c r="T719" t="s">
        <v>43</v>
      </c>
      <c r="U719" t="s">
        <v>44</v>
      </c>
      <c r="V719" t="s">
        <v>45</v>
      </c>
      <c r="W719" t="s">
        <v>5047</v>
      </c>
      <c r="X719" t="s">
        <v>45</v>
      </c>
      <c r="Y719" t="s">
        <v>46</v>
      </c>
      <c r="Z719" t="s">
        <v>47</v>
      </c>
      <c r="AA719" t="s">
        <v>48</v>
      </c>
      <c r="AB719" t="s">
        <v>49</v>
      </c>
      <c r="AC719" t="s">
        <v>49</v>
      </c>
      <c r="AD719" t="s">
        <v>494</v>
      </c>
      <c r="AE719" t="s">
        <v>185</v>
      </c>
      <c r="AF719">
        <v>0</v>
      </c>
      <c r="AG719" t="s">
        <v>196</v>
      </c>
      <c r="AH719" s="93">
        <f>VLOOKUP(Table1[[#This Row],[Caste]],Factor!$H$1:$K$13,4,0)</f>
        <v>1.1461625511156397</v>
      </c>
      <c r="AI71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19">
        <f>Table1[[#This Row],[Factor_1]]*Table1[[#This Row],[2024 Factor]]</f>
        <v>0.77721139583220644</v>
      </c>
      <c r="AK719">
        <f>VLOOKUP(Table1[[#This Row],[Q18: Gender]],Factor!$A$33:$E$35,5,0)</f>
        <v>0.85034013605442171</v>
      </c>
      <c r="AL719">
        <f>VLOOKUP(Table1[[#This Row],[Taluka]],Factor!$A$42:$G$46,7,0)</f>
        <v>1.9264642089343564</v>
      </c>
      <c r="AM719">
        <f>VLOOKUP(Table1[[#This Row],[Caste]]&amp;Table1[[#This Row],[Q18: Gender]],Factor!$W$1:$X$23,2,0)</f>
        <v>0.71995135120329123</v>
      </c>
      <c r="AN719">
        <f>VLOOKUP(Table1[[#This Row],[Taluka]]&amp;Table1[[#This Row],[Caste]]&amp;Table1[[#This Row],[Q18: Gender]],Factor!$AK$4:$AL$93,2,0)</f>
        <v>0.70534647283248642</v>
      </c>
      <c r="AO719">
        <f t="shared" si="121"/>
        <v>-1</v>
      </c>
      <c r="AP719">
        <f t="shared" si="122"/>
        <v>-1</v>
      </c>
      <c r="AQ719">
        <f t="shared" si="123"/>
        <v>-1</v>
      </c>
      <c r="AR719">
        <f t="shared" si="124"/>
        <v>-1</v>
      </c>
      <c r="AS719">
        <f t="shared" si="125"/>
        <v>-1</v>
      </c>
      <c r="AT719">
        <f t="shared" si="126"/>
        <v>-1</v>
      </c>
      <c r="AU719">
        <f t="shared" si="127"/>
        <v>-5.5</v>
      </c>
      <c r="AV719">
        <f>SUM(Table1[[#This Row],[Satis]:[29]])</f>
        <v>-6</v>
      </c>
      <c r="AW719">
        <f t="shared" si="128"/>
        <v>-5</v>
      </c>
      <c r="AX719">
        <f t="shared" si="129"/>
        <v>-4</v>
      </c>
      <c r="AY719">
        <f t="shared" si="130"/>
        <v>-3</v>
      </c>
      <c r="AZ719" t="str">
        <f t="shared" si="131"/>
        <v>TDP HardCore</v>
      </c>
    </row>
    <row r="720" spans="1:52" x14ac:dyDescent="0.3">
      <c r="A720" t="s">
        <v>3505</v>
      </c>
      <c r="B720" s="94">
        <v>46046</v>
      </c>
      <c r="C720" t="s">
        <v>3506</v>
      </c>
      <c r="D720" t="s">
        <v>3507</v>
      </c>
      <c r="E720" t="s">
        <v>3508</v>
      </c>
      <c r="F720" t="s">
        <v>935</v>
      </c>
      <c r="G720" t="s">
        <v>39</v>
      </c>
      <c r="H720" t="s">
        <v>3509</v>
      </c>
      <c r="I720" t="s">
        <v>36</v>
      </c>
      <c r="J720" t="s">
        <v>203</v>
      </c>
      <c r="K720" t="s">
        <v>208</v>
      </c>
      <c r="L720" t="s">
        <v>82</v>
      </c>
      <c r="M720" t="s">
        <v>51</v>
      </c>
      <c r="N720" t="s">
        <v>63</v>
      </c>
      <c r="O720" t="s">
        <v>3510</v>
      </c>
      <c r="P720">
        <v>9441448882</v>
      </c>
      <c r="Q720" t="s">
        <v>54</v>
      </c>
      <c r="R720" t="s">
        <v>132</v>
      </c>
      <c r="S720" t="s">
        <v>43</v>
      </c>
      <c r="T720" t="s">
        <v>43</v>
      </c>
      <c r="U720" t="s">
        <v>44</v>
      </c>
      <c r="V720" t="s">
        <v>45</v>
      </c>
      <c r="W720" t="s">
        <v>5087</v>
      </c>
      <c r="X720" t="s">
        <v>45</v>
      </c>
      <c r="Y720" t="s">
        <v>46</v>
      </c>
      <c r="Z720" t="s">
        <v>47</v>
      </c>
      <c r="AA720" t="s">
        <v>48</v>
      </c>
      <c r="AB720" t="s">
        <v>49</v>
      </c>
      <c r="AC720" t="s">
        <v>49</v>
      </c>
      <c r="AD720" t="s">
        <v>494</v>
      </c>
      <c r="AE720" t="s">
        <v>185</v>
      </c>
      <c r="AF720">
        <v>0</v>
      </c>
      <c r="AG720" t="s">
        <v>196</v>
      </c>
      <c r="AH720" s="93">
        <f>VLOOKUP(Table1[[#This Row],[Caste]],Factor!$H$1:$K$13,4,0)</f>
        <v>1.1705128247062893</v>
      </c>
      <c r="AI72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20">
        <f>Table1[[#This Row],[Factor_1]]*Table1[[#This Row],[2024 Factor]]</f>
        <v>0.86308903171383233</v>
      </c>
      <c r="AK720">
        <f>VLOOKUP(Table1[[#This Row],[Q18: Gender]],Factor!$A$33:$E$35,5,0)</f>
        <v>0.85034013605442171</v>
      </c>
      <c r="AL720">
        <f>VLOOKUP(Table1[[#This Row],[Taluka]],Factor!$A$42:$G$46,7,0)</f>
        <v>1.9264642089343564</v>
      </c>
      <c r="AM720">
        <f>VLOOKUP(Table1[[#This Row],[Caste]]&amp;Table1[[#This Row],[Q18: Gender]],Factor!$W$1:$X$23,2,0)</f>
        <v>0.79950206330384943</v>
      </c>
      <c r="AN720">
        <f>VLOOKUP(Table1[[#This Row],[Taluka]]&amp;Table1[[#This Row],[Caste]]&amp;Table1[[#This Row],[Q18: Gender]],Factor!$AK$4:$AL$93,2,0)</f>
        <v>1.1572126985895925</v>
      </c>
      <c r="AO720">
        <f t="shared" si="121"/>
        <v>-1</v>
      </c>
      <c r="AP720">
        <f t="shared" si="122"/>
        <v>-1</v>
      </c>
      <c r="AQ720">
        <f t="shared" si="123"/>
        <v>-1</v>
      </c>
      <c r="AR720">
        <f t="shared" si="124"/>
        <v>-1</v>
      </c>
      <c r="AS720">
        <f t="shared" si="125"/>
        <v>-1</v>
      </c>
      <c r="AT720">
        <f t="shared" si="126"/>
        <v>-1</v>
      </c>
      <c r="AU720">
        <f t="shared" si="127"/>
        <v>-5.5</v>
      </c>
      <c r="AV720">
        <f>SUM(Table1[[#This Row],[Satis]:[29]])</f>
        <v>-6</v>
      </c>
      <c r="AW720">
        <f t="shared" si="128"/>
        <v>-5</v>
      </c>
      <c r="AX720">
        <f t="shared" si="129"/>
        <v>-4</v>
      </c>
      <c r="AY720">
        <f t="shared" si="130"/>
        <v>-3</v>
      </c>
      <c r="AZ720" t="str">
        <f t="shared" si="131"/>
        <v>TDP HardCore</v>
      </c>
    </row>
    <row r="721" spans="1:52" x14ac:dyDescent="0.3">
      <c r="A721" t="s">
        <v>3264</v>
      </c>
      <c r="B721" s="94">
        <v>46046</v>
      </c>
      <c r="C721" t="s">
        <v>3265</v>
      </c>
      <c r="D721" t="s">
        <v>3266</v>
      </c>
      <c r="E721" t="s">
        <v>3267</v>
      </c>
      <c r="F721" t="s">
        <v>69</v>
      </c>
      <c r="G721" t="s">
        <v>39</v>
      </c>
      <c r="H721" t="s">
        <v>3268</v>
      </c>
      <c r="I721" t="s">
        <v>227</v>
      </c>
      <c r="J721" t="s">
        <v>203</v>
      </c>
      <c r="K721" t="s">
        <v>203</v>
      </c>
      <c r="L721" t="s">
        <v>75</v>
      </c>
      <c r="M721" t="s">
        <v>51</v>
      </c>
      <c r="N721" t="s">
        <v>63</v>
      </c>
      <c r="O721" t="s">
        <v>537</v>
      </c>
      <c r="P721">
        <v>9666224516</v>
      </c>
      <c r="Q721" t="s">
        <v>54</v>
      </c>
      <c r="R721" t="s">
        <v>132</v>
      </c>
      <c r="S721" t="s">
        <v>43</v>
      </c>
      <c r="T721" t="s">
        <v>43</v>
      </c>
      <c r="U721" t="s">
        <v>44</v>
      </c>
      <c r="V721" t="s">
        <v>45</v>
      </c>
      <c r="W721" t="s">
        <v>5050</v>
      </c>
      <c r="X721" t="s">
        <v>45</v>
      </c>
      <c r="Y721" t="s">
        <v>46</v>
      </c>
      <c r="Z721" t="s">
        <v>47</v>
      </c>
      <c r="AA721" t="s">
        <v>48</v>
      </c>
      <c r="AB721" t="s">
        <v>49</v>
      </c>
      <c r="AC721" t="s">
        <v>49</v>
      </c>
      <c r="AD721">
        <v>0</v>
      </c>
      <c r="AE721" t="s">
        <v>185</v>
      </c>
      <c r="AF721">
        <v>0</v>
      </c>
      <c r="AG721" t="s">
        <v>196</v>
      </c>
      <c r="AH721" s="93">
        <f>VLOOKUP(Table1[[#This Row],[Caste]],Factor!$H$1:$K$13,4,0)</f>
        <v>1.2612194085121222</v>
      </c>
      <c r="AI72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21">
        <f>Table1[[#This Row],[Factor_1]]*Table1[[#This Row],[2024 Factor]]</f>
        <v>0.92029223709519836</v>
      </c>
      <c r="AK721">
        <f>VLOOKUP(Table1[[#This Row],[Q18: Gender]],Factor!$A$33:$E$35,5,0)</f>
        <v>0.85034013605442171</v>
      </c>
      <c r="AL721">
        <f>VLOOKUP(Table1[[#This Row],[Taluka]],Factor!$A$42:$G$46,7,0)</f>
        <v>1.9264642089343564</v>
      </c>
      <c r="AM721">
        <f>VLOOKUP(Table1[[#This Row],[Caste]]&amp;Table1[[#This Row],[Q18: Gender]],Factor!$W$1:$X$23,2,0)</f>
        <v>0.85249089649430487</v>
      </c>
      <c r="AN721">
        <f>VLOOKUP(Table1[[#This Row],[Taluka]]&amp;Table1[[#This Row],[Caste]]&amp;Table1[[#This Row],[Q18: Gender]],Factor!$AK$4:$AL$93,2,0)</f>
        <v>1.7847621356853685</v>
      </c>
      <c r="AO721">
        <f t="shared" si="121"/>
        <v>-1</v>
      </c>
      <c r="AP721">
        <f t="shared" si="122"/>
        <v>-1</v>
      </c>
      <c r="AQ721">
        <f t="shared" si="123"/>
        <v>-1</v>
      </c>
      <c r="AR721">
        <f t="shared" si="124"/>
        <v>-1</v>
      </c>
      <c r="AS721">
        <f t="shared" si="125"/>
        <v>-1</v>
      </c>
      <c r="AT721">
        <f t="shared" si="126"/>
        <v>-1</v>
      </c>
      <c r="AU721">
        <f t="shared" si="127"/>
        <v>-5.5</v>
      </c>
      <c r="AV721">
        <f>SUM(Table1[[#This Row],[Satis]:[29]])</f>
        <v>-6</v>
      </c>
      <c r="AW721">
        <f t="shared" si="128"/>
        <v>-5</v>
      </c>
      <c r="AX721">
        <f t="shared" si="129"/>
        <v>-4</v>
      </c>
      <c r="AY721">
        <f t="shared" si="130"/>
        <v>-3</v>
      </c>
      <c r="AZ721" t="str">
        <f t="shared" si="131"/>
        <v>TDP HardCore</v>
      </c>
    </row>
    <row r="722" spans="1:52" x14ac:dyDescent="0.3">
      <c r="A722" t="s">
        <v>3100</v>
      </c>
      <c r="B722" s="94">
        <v>46046</v>
      </c>
      <c r="C722" t="s">
        <v>3101</v>
      </c>
      <c r="D722" t="s">
        <v>3102</v>
      </c>
      <c r="E722" t="s">
        <v>1197</v>
      </c>
      <c r="F722" t="s">
        <v>240</v>
      </c>
      <c r="G722" t="s">
        <v>39</v>
      </c>
      <c r="H722" t="s">
        <v>3103</v>
      </c>
      <c r="I722" t="s">
        <v>36</v>
      </c>
      <c r="J722" t="s">
        <v>37</v>
      </c>
      <c r="K722" t="s">
        <v>38</v>
      </c>
      <c r="L722" t="s">
        <v>50</v>
      </c>
      <c r="M722" t="s">
        <v>51</v>
      </c>
      <c r="N722" t="s">
        <v>107</v>
      </c>
      <c r="O722" t="s">
        <v>3104</v>
      </c>
      <c r="P722">
        <v>9849266471</v>
      </c>
      <c r="Q722" t="s">
        <v>54</v>
      </c>
      <c r="R722" t="s">
        <v>2116</v>
      </c>
      <c r="S722" t="s">
        <v>43</v>
      </c>
      <c r="T722" t="s">
        <v>43</v>
      </c>
      <c r="U722" t="s">
        <v>44</v>
      </c>
      <c r="V722" t="s">
        <v>45</v>
      </c>
      <c r="W722" t="s">
        <v>5087</v>
      </c>
      <c r="X722" t="s">
        <v>45</v>
      </c>
      <c r="Y722" t="s">
        <v>46</v>
      </c>
      <c r="Z722" t="s">
        <v>47</v>
      </c>
      <c r="AA722" t="s">
        <v>48</v>
      </c>
      <c r="AB722" t="s">
        <v>49</v>
      </c>
      <c r="AC722" t="s">
        <v>49</v>
      </c>
      <c r="AD722" t="s">
        <v>494</v>
      </c>
      <c r="AE722" t="s">
        <v>185</v>
      </c>
      <c r="AF722">
        <v>0</v>
      </c>
      <c r="AG722" t="s">
        <v>196</v>
      </c>
      <c r="AH722" s="93">
        <f>VLOOKUP(Table1[[#This Row],[Caste]],Factor!$H$1:$K$13,4,0)</f>
        <v>1.1705128247062893</v>
      </c>
      <c r="AI72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22">
        <f>Table1[[#This Row],[Factor_1]]*Table1[[#This Row],[2024 Factor]]</f>
        <v>0.86308903171383233</v>
      </c>
      <c r="AK722">
        <f>VLOOKUP(Table1[[#This Row],[Q18: Gender]],Factor!$A$33:$E$35,5,0)</f>
        <v>0.85034013605442171</v>
      </c>
      <c r="AL722">
        <f>VLOOKUP(Table1[[#This Row],[Taluka]],Factor!$A$42:$G$46,7,0)</f>
        <v>0.75433779645928134</v>
      </c>
      <c r="AM722">
        <f>VLOOKUP(Table1[[#This Row],[Caste]]&amp;Table1[[#This Row],[Q18: Gender]],Factor!$W$1:$X$23,2,0)</f>
        <v>0.79950206330384943</v>
      </c>
      <c r="AN722">
        <f>VLOOKUP(Table1[[#This Row],[Taluka]]&amp;Table1[[#This Row],[Caste]]&amp;Table1[[#This Row],[Q18: Gender]],Factor!$AK$4:$AL$93,2,0)</f>
        <v>0.40257772387792479</v>
      </c>
      <c r="AO722">
        <f t="shared" si="121"/>
        <v>-1</v>
      </c>
      <c r="AP722">
        <f t="shared" si="122"/>
        <v>-1</v>
      </c>
      <c r="AQ722">
        <f t="shared" si="123"/>
        <v>-1</v>
      </c>
      <c r="AR722">
        <f t="shared" si="124"/>
        <v>-1</v>
      </c>
      <c r="AS722">
        <f t="shared" si="125"/>
        <v>-1</v>
      </c>
      <c r="AT722">
        <f t="shared" si="126"/>
        <v>-1</v>
      </c>
      <c r="AU722">
        <f t="shared" si="127"/>
        <v>-5.5</v>
      </c>
      <c r="AV722">
        <f>SUM(Table1[[#This Row],[Satis]:[29]])</f>
        <v>-6</v>
      </c>
      <c r="AW722">
        <f t="shared" si="128"/>
        <v>-5</v>
      </c>
      <c r="AX722">
        <f t="shared" si="129"/>
        <v>-4</v>
      </c>
      <c r="AY722">
        <f t="shared" si="130"/>
        <v>-3</v>
      </c>
      <c r="AZ722" t="str">
        <f t="shared" si="131"/>
        <v>TDP HardCore</v>
      </c>
    </row>
    <row r="723" spans="1:52" x14ac:dyDescent="0.3">
      <c r="A723" t="s">
        <v>3800</v>
      </c>
      <c r="B723" s="94">
        <v>46046</v>
      </c>
      <c r="C723" t="s">
        <v>3801</v>
      </c>
      <c r="D723" t="s">
        <v>3802</v>
      </c>
      <c r="E723" t="s">
        <v>3081</v>
      </c>
      <c r="F723" t="s">
        <v>69</v>
      </c>
      <c r="G723" t="s">
        <v>39</v>
      </c>
      <c r="H723" t="s">
        <v>3803</v>
      </c>
      <c r="I723" t="s">
        <v>227</v>
      </c>
      <c r="J723" t="s">
        <v>203</v>
      </c>
      <c r="K723" t="s">
        <v>203</v>
      </c>
      <c r="L723" t="s">
        <v>75</v>
      </c>
      <c r="M723" t="s">
        <v>51</v>
      </c>
      <c r="N723" t="s">
        <v>162</v>
      </c>
      <c r="O723" t="s">
        <v>3804</v>
      </c>
      <c r="P723">
        <v>7287039286</v>
      </c>
      <c r="Q723" t="s">
        <v>54</v>
      </c>
      <c r="R723" t="s">
        <v>61</v>
      </c>
      <c r="S723" t="s">
        <v>43</v>
      </c>
      <c r="T723" t="s">
        <v>43</v>
      </c>
      <c r="U723" t="s">
        <v>44</v>
      </c>
      <c r="V723" t="s">
        <v>45</v>
      </c>
      <c r="W723" t="s">
        <v>5062</v>
      </c>
      <c r="X723" t="s">
        <v>45</v>
      </c>
      <c r="Y723" t="s">
        <v>46</v>
      </c>
      <c r="Z723" t="s">
        <v>47</v>
      </c>
      <c r="AA723" t="s">
        <v>48</v>
      </c>
      <c r="AB723" t="s">
        <v>49</v>
      </c>
      <c r="AC723" t="s">
        <v>49</v>
      </c>
      <c r="AD723" t="s">
        <v>481</v>
      </c>
      <c r="AE723" t="s">
        <v>185</v>
      </c>
      <c r="AF723">
        <v>0</v>
      </c>
      <c r="AG723" t="s">
        <v>196</v>
      </c>
      <c r="AH723" s="93">
        <f>VLOOKUP(Table1[[#This Row],[Caste]],Factor!$H$1:$K$13,4,0)</f>
        <v>1.2612194085121222</v>
      </c>
      <c r="AI72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23">
        <f>Table1[[#This Row],[Factor_1]]*Table1[[#This Row],[2024 Factor]]</f>
        <v>0.92029223709519836</v>
      </c>
      <c r="AK723">
        <f>VLOOKUP(Table1[[#This Row],[Q18: Gender]],Factor!$A$33:$E$35,5,0)</f>
        <v>0.85034013605442171</v>
      </c>
      <c r="AL723">
        <f>VLOOKUP(Table1[[#This Row],[Taluka]],Factor!$A$42:$G$46,7,0)</f>
        <v>1.9264642089343564</v>
      </c>
      <c r="AM723">
        <f>VLOOKUP(Table1[[#This Row],[Caste]]&amp;Table1[[#This Row],[Q18: Gender]],Factor!$W$1:$X$23,2,0)</f>
        <v>0.85249089649430487</v>
      </c>
      <c r="AN723">
        <f>VLOOKUP(Table1[[#This Row],[Taluka]]&amp;Table1[[#This Row],[Caste]]&amp;Table1[[#This Row],[Q18: Gender]],Factor!$AK$4:$AL$93,2,0)</f>
        <v>1.7847621356853685</v>
      </c>
      <c r="AO723">
        <f t="shared" si="121"/>
        <v>-1</v>
      </c>
      <c r="AP723">
        <f t="shared" si="122"/>
        <v>-1</v>
      </c>
      <c r="AQ723">
        <f t="shared" si="123"/>
        <v>-1</v>
      </c>
      <c r="AR723">
        <f t="shared" si="124"/>
        <v>-1</v>
      </c>
      <c r="AS723">
        <f t="shared" si="125"/>
        <v>-1</v>
      </c>
      <c r="AT723">
        <f t="shared" si="126"/>
        <v>-1</v>
      </c>
      <c r="AU723">
        <f t="shared" si="127"/>
        <v>-5.5</v>
      </c>
      <c r="AV723">
        <f>SUM(Table1[[#This Row],[Satis]:[29]])</f>
        <v>-6</v>
      </c>
      <c r="AW723">
        <f t="shared" si="128"/>
        <v>-5</v>
      </c>
      <c r="AX723">
        <f t="shared" si="129"/>
        <v>-4</v>
      </c>
      <c r="AY723">
        <f t="shared" si="130"/>
        <v>-3</v>
      </c>
      <c r="AZ723" t="str">
        <f t="shared" si="131"/>
        <v>TDP HardCore</v>
      </c>
    </row>
    <row r="724" spans="1:52" x14ac:dyDescent="0.3">
      <c r="A724" t="s">
        <v>4045</v>
      </c>
      <c r="B724" s="94">
        <v>46046</v>
      </c>
      <c r="C724" t="s">
        <v>4046</v>
      </c>
      <c r="D724" t="s">
        <v>4047</v>
      </c>
      <c r="E724" t="s">
        <v>4048</v>
      </c>
      <c r="F724" t="s">
        <v>35</v>
      </c>
      <c r="G724" t="s">
        <v>39</v>
      </c>
      <c r="H724" t="s">
        <v>4049</v>
      </c>
      <c r="I724" t="s">
        <v>70</v>
      </c>
      <c r="J724" t="s">
        <v>71</v>
      </c>
      <c r="K724" t="s">
        <v>217</v>
      </c>
      <c r="L724" t="s">
        <v>82</v>
      </c>
      <c r="M724" t="s">
        <v>51</v>
      </c>
      <c r="N724" t="s">
        <v>63</v>
      </c>
      <c r="O724" t="s">
        <v>4050</v>
      </c>
      <c r="P724">
        <v>0</v>
      </c>
      <c r="Q724" t="s">
        <v>54</v>
      </c>
      <c r="R724" t="s">
        <v>139</v>
      </c>
      <c r="S724" t="s">
        <v>43</v>
      </c>
      <c r="T724" t="s">
        <v>43</v>
      </c>
      <c r="U724" t="s">
        <v>44</v>
      </c>
      <c r="V724" t="s">
        <v>45</v>
      </c>
      <c r="W724" t="s">
        <v>5043</v>
      </c>
      <c r="X724" t="s">
        <v>45</v>
      </c>
      <c r="Y724" t="s">
        <v>46</v>
      </c>
      <c r="Z724" t="s">
        <v>47</v>
      </c>
      <c r="AA724" t="s">
        <v>48</v>
      </c>
      <c r="AB724" t="s">
        <v>49</v>
      </c>
      <c r="AC724" t="s">
        <v>49</v>
      </c>
      <c r="AD724" t="s">
        <v>494</v>
      </c>
      <c r="AE724" t="s">
        <v>1250</v>
      </c>
      <c r="AF724" t="s">
        <v>1773</v>
      </c>
      <c r="AG724" t="s">
        <v>498</v>
      </c>
      <c r="AH724" s="93">
        <f>VLOOKUP(Table1[[#This Row],[Caste]],Factor!$H$1:$K$13,4,0)</f>
        <v>1.3836274505214585</v>
      </c>
      <c r="AI72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24">
        <f>Table1[[#This Row],[Factor_1]]*Table1[[#This Row],[2024 Factor]]</f>
        <v>1.1648410586678206</v>
      </c>
      <c r="AK724">
        <f>VLOOKUP(Table1[[#This Row],[Q18: Gender]],Factor!$A$33:$E$35,5,0)</f>
        <v>0.85034013605442171</v>
      </c>
      <c r="AL724">
        <f>VLOOKUP(Table1[[#This Row],[Taluka]],Factor!$A$42:$G$46,7,0)</f>
        <v>1.1213131007097483</v>
      </c>
      <c r="AM724">
        <f>VLOOKUP(Table1[[#This Row],[Caste]]&amp;Table1[[#This Row],[Q18: Gender]],Factor!$W$1:$X$23,2,0)</f>
        <v>1.0790228998469584</v>
      </c>
      <c r="AN724">
        <f>VLOOKUP(Table1[[#This Row],[Taluka]]&amp;Table1[[#This Row],[Caste]]&amp;Table1[[#This Row],[Q18: Gender]],Factor!$AK$4:$AL$93,2,0)</f>
        <v>0.90933567693352424</v>
      </c>
      <c r="AO724">
        <f t="shared" si="121"/>
        <v>-1</v>
      </c>
      <c r="AP724">
        <f t="shared" si="122"/>
        <v>-1</v>
      </c>
      <c r="AQ724">
        <f t="shared" si="123"/>
        <v>-1</v>
      </c>
      <c r="AR724">
        <f t="shared" si="124"/>
        <v>-1</v>
      </c>
      <c r="AS724">
        <f t="shared" si="125"/>
        <v>-1</v>
      </c>
      <c r="AT724">
        <f t="shared" si="126"/>
        <v>-1</v>
      </c>
      <c r="AU724">
        <f t="shared" si="127"/>
        <v>-5.5</v>
      </c>
      <c r="AV724">
        <f>SUM(Table1[[#This Row],[Satis]:[29]])</f>
        <v>-6</v>
      </c>
      <c r="AW724">
        <f t="shared" si="128"/>
        <v>-5</v>
      </c>
      <c r="AX724">
        <f t="shared" si="129"/>
        <v>-4</v>
      </c>
      <c r="AY724">
        <f t="shared" si="130"/>
        <v>-3</v>
      </c>
      <c r="AZ724" t="str">
        <f t="shared" si="131"/>
        <v>TDP HardCore</v>
      </c>
    </row>
    <row r="725" spans="1:52" x14ac:dyDescent="0.3">
      <c r="A725" t="s">
        <v>4012</v>
      </c>
      <c r="B725" s="94">
        <v>46046</v>
      </c>
      <c r="C725" t="s">
        <v>4013</v>
      </c>
      <c r="D725" t="s">
        <v>4014</v>
      </c>
      <c r="E725" t="s">
        <v>3119</v>
      </c>
      <c r="F725" t="s">
        <v>935</v>
      </c>
      <c r="G725" t="s">
        <v>39</v>
      </c>
      <c r="H725" t="s">
        <v>4015</v>
      </c>
      <c r="I725" t="s">
        <v>70</v>
      </c>
      <c r="J725" t="s">
        <v>203</v>
      </c>
      <c r="K725" t="s">
        <v>208</v>
      </c>
      <c r="L725" t="s">
        <v>62</v>
      </c>
      <c r="M725" t="s">
        <v>51</v>
      </c>
      <c r="N725" t="s">
        <v>107</v>
      </c>
      <c r="O725" t="s">
        <v>4016</v>
      </c>
      <c r="P725">
        <v>8247693625</v>
      </c>
      <c r="Q725" t="s">
        <v>54</v>
      </c>
      <c r="R725" t="s">
        <v>132</v>
      </c>
      <c r="S725" t="s">
        <v>89</v>
      </c>
      <c r="T725" t="s">
        <v>43</v>
      </c>
      <c r="U725" t="s">
        <v>90</v>
      </c>
      <c r="V725" t="s">
        <v>91</v>
      </c>
      <c r="W725" t="s">
        <v>5058</v>
      </c>
      <c r="X725" t="s">
        <v>45</v>
      </c>
      <c r="Y725" t="s">
        <v>46</v>
      </c>
      <c r="Z725" t="s">
        <v>242</v>
      </c>
      <c r="AA725" t="s">
        <v>48</v>
      </c>
      <c r="AB725" t="s">
        <v>49</v>
      </c>
      <c r="AC725" t="s">
        <v>49</v>
      </c>
      <c r="AD725" t="s">
        <v>481</v>
      </c>
      <c r="AE725" t="s">
        <v>185</v>
      </c>
      <c r="AF725">
        <v>0</v>
      </c>
      <c r="AG725" t="s">
        <v>196</v>
      </c>
      <c r="AH725" s="93">
        <f>VLOOKUP(Table1[[#This Row],[Caste]],Factor!$H$1:$K$13,4,0)</f>
        <v>1.3836274505214585</v>
      </c>
      <c r="AI72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25">
        <f>Table1[[#This Row],[Factor_1]]*Table1[[#This Row],[2024 Factor]]</f>
        <v>1.1648410586678206</v>
      </c>
      <c r="AK725">
        <f>VLOOKUP(Table1[[#This Row],[Q18: Gender]],Factor!$A$33:$E$35,5,0)</f>
        <v>0.85034013605442171</v>
      </c>
      <c r="AL725">
        <f>VLOOKUP(Table1[[#This Row],[Taluka]],Factor!$A$42:$G$46,7,0)</f>
        <v>1.9264642089343564</v>
      </c>
      <c r="AM725">
        <f>VLOOKUP(Table1[[#This Row],[Caste]]&amp;Table1[[#This Row],[Q18: Gender]],Factor!$W$1:$X$23,2,0)</f>
        <v>1.0790228998469584</v>
      </c>
      <c r="AN725">
        <f>VLOOKUP(Table1[[#This Row],[Taluka]]&amp;Table1[[#This Row],[Caste]]&amp;Table1[[#This Row],[Q18: Gender]],Factor!$AK$4:$AL$93,2,0)</f>
        <v>2.1355167697651956</v>
      </c>
      <c r="AO725">
        <f t="shared" si="121"/>
        <v>-1</v>
      </c>
      <c r="AP725">
        <f t="shared" si="122"/>
        <v>1</v>
      </c>
      <c r="AQ725">
        <f t="shared" si="123"/>
        <v>1</v>
      </c>
      <c r="AR725">
        <f t="shared" si="124"/>
        <v>-1</v>
      </c>
      <c r="AS725">
        <f t="shared" si="125"/>
        <v>-1</v>
      </c>
      <c r="AT725">
        <f t="shared" si="126"/>
        <v>-1</v>
      </c>
      <c r="AU725">
        <f t="shared" si="127"/>
        <v>-1.5</v>
      </c>
      <c r="AV725">
        <f>SUM(Table1[[#This Row],[Satis]:[29]])</f>
        <v>-2</v>
      </c>
      <c r="AW725">
        <f t="shared" si="128"/>
        <v>-3</v>
      </c>
      <c r="AX725">
        <f t="shared" si="129"/>
        <v>-2</v>
      </c>
      <c r="AY725">
        <f t="shared" si="130"/>
        <v>-3</v>
      </c>
      <c r="AZ725" t="str">
        <f t="shared" si="131"/>
        <v>Neutral TDP</v>
      </c>
    </row>
    <row r="726" spans="1:52" x14ac:dyDescent="0.3">
      <c r="A726" s="94" t="s">
        <v>4099</v>
      </c>
      <c r="B726" s="94">
        <v>46047</v>
      </c>
      <c r="C726" t="s">
        <v>4100</v>
      </c>
      <c r="D726" t="s">
        <v>4101</v>
      </c>
      <c r="E726" t="s">
        <v>4042</v>
      </c>
      <c r="F726" t="s">
        <v>240</v>
      </c>
      <c r="G726" t="s">
        <v>39</v>
      </c>
      <c r="H726" t="s">
        <v>4102</v>
      </c>
      <c r="I726" t="s">
        <v>70</v>
      </c>
      <c r="J726" t="s">
        <v>71</v>
      </c>
      <c r="K726" t="s">
        <v>218</v>
      </c>
      <c r="L726" t="s">
        <v>62</v>
      </c>
      <c r="M726" t="s">
        <v>51</v>
      </c>
      <c r="N726" t="s">
        <v>63</v>
      </c>
      <c r="O726" t="s">
        <v>4103</v>
      </c>
      <c r="P726">
        <v>9908832968</v>
      </c>
      <c r="Q726" t="s">
        <v>54</v>
      </c>
      <c r="R726" t="s">
        <v>139</v>
      </c>
      <c r="S726" t="s">
        <v>43</v>
      </c>
      <c r="T726" t="s">
        <v>43</v>
      </c>
      <c r="U726" t="s">
        <v>44</v>
      </c>
      <c r="V726" t="s">
        <v>45</v>
      </c>
      <c r="W726" t="s">
        <v>5058</v>
      </c>
      <c r="X726" t="s">
        <v>45</v>
      </c>
      <c r="Y726" t="s">
        <v>46</v>
      </c>
      <c r="Z726" t="s">
        <v>47</v>
      </c>
      <c r="AA726" t="s">
        <v>48</v>
      </c>
      <c r="AB726" t="s">
        <v>49</v>
      </c>
      <c r="AC726" t="s">
        <v>49</v>
      </c>
      <c r="AD726" t="s">
        <v>184</v>
      </c>
      <c r="AE726" t="s">
        <v>185</v>
      </c>
      <c r="AF726">
        <v>0</v>
      </c>
      <c r="AG726" t="s">
        <v>196</v>
      </c>
      <c r="AH726" s="93">
        <f>VLOOKUP(Table1[[#This Row],[Caste]],Factor!$H$1:$K$13,4,0)</f>
        <v>1.3836274505214585</v>
      </c>
      <c r="AI72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26">
        <f>Table1[[#This Row],[Factor_1]]*Table1[[#This Row],[2024 Factor]]</f>
        <v>1.1648410586678206</v>
      </c>
      <c r="AK726">
        <f>VLOOKUP(Table1[[#This Row],[Q18: Gender]],Factor!$A$33:$E$35,5,0)</f>
        <v>0.85034013605442171</v>
      </c>
      <c r="AL726">
        <f>VLOOKUP(Table1[[#This Row],[Taluka]],Factor!$A$42:$G$46,7,0)</f>
        <v>1.1213131007097483</v>
      </c>
      <c r="AM726">
        <f>VLOOKUP(Table1[[#This Row],[Caste]]&amp;Table1[[#This Row],[Q18: Gender]],Factor!$W$1:$X$23,2,0)</f>
        <v>1.0790228998469584</v>
      </c>
      <c r="AN726">
        <f>VLOOKUP(Table1[[#This Row],[Taluka]]&amp;Table1[[#This Row],[Caste]]&amp;Table1[[#This Row],[Q18: Gender]],Factor!$AK$4:$AL$93,2,0)</f>
        <v>0.90933567693352424</v>
      </c>
      <c r="AO726">
        <f t="shared" si="121"/>
        <v>-1</v>
      </c>
      <c r="AP726">
        <f t="shared" si="122"/>
        <v>-1</v>
      </c>
      <c r="AQ726">
        <f t="shared" si="123"/>
        <v>-1</v>
      </c>
      <c r="AR726">
        <f t="shared" si="124"/>
        <v>-1</v>
      </c>
      <c r="AS726">
        <f t="shared" si="125"/>
        <v>-1</v>
      </c>
      <c r="AT726">
        <f t="shared" si="126"/>
        <v>-1</v>
      </c>
      <c r="AU726">
        <f t="shared" si="127"/>
        <v>-5.5</v>
      </c>
      <c r="AV726">
        <f>SUM(Table1[[#This Row],[Satis]:[29]])</f>
        <v>-6</v>
      </c>
      <c r="AW726">
        <f t="shared" si="128"/>
        <v>-5</v>
      </c>
      <c r="AX726">
        <f t="shared" si="129"/>
        <v>-4</v>
      </c>
      <c r="AY726">
        <f t="shared" si="130"/>
        <v>-3</v>
      </c>
      <c r="AZ726" t="str">
        <f t="shared" si="131"/>
        <v>TDP HardCore</v>
      </c>
    </row>
    <row r="727" spans="1:52" x14ac:dyDescent="0.3">
      <c r="A727" s="94" t="s">
        <v>4187</v>
      </c>
      <c r="B727" s="94">
        <v>46047</v>
      </c>
      <c r="C727" t="s">
        <v>4188</v>
      </c>
      <c r="D727" t="s">
        <v>4189</v>
      </c>
      <c r="E727" t="s">
        <v>4182</v>
      </c>
      <c r="F727" t="s">
        <v>240</v>
      </c>
      <c r="G727" t="s">
        <v>39</v>
      </c>
      <c r="H727" t="s">
        <v>4190</v>
      </c>
      <c r="I727" t="s">
        <v>36</v>
      </c>
      <c r="J727" t="s">
        <v>71</v>
      </c>
      <c r="K727" t="s">
        <v>218</v>
      </c>
      <c r="L727" t="s">
        <v>62</v>
      </c>
      <c r="M727" t="s">
        <v>51</v>
      </c>
      <c r="N727" t="s">
        <v>52</v>
      </c>
      <c r="O727" t="s">
        <v>4191</v>
      </c>
      <c r="P727">
        <v>9177314458</v>
      </c>
      <c r="Q727" t="s">
        <v>54</v>
      </c>
      <c r="R727" t="s">
        <v>132</v>
      </c>
      <c r="S727" t="s">
        <v>43</v>
      </c>
      <c r="T727" t="s">
        <v>43</v>
      </c>
      <c r="U727" t="s">
        <v>44</v>
      </c>
      <c r="V727" t="s">
        <v>45</v>
      </c>
      <c r="W727" t="s">
        <v>5093</v>
      </c>
      <c r="X727" t="s">
        <v>45</v>
      </c>
      <c r="Y727" t="s">
        <v>46</v>
      </c>
      <c r="Z727" t="s">
        <v>242</v>
      </c>
      <c r="AA727" t="s">
        <v>242</v>
      </c>
      <c r="AB727" t="s">
        <v>49</v>
      </c>
      <c r="AC727" t="s">
        <v>49</v>
      </c>
      <c r="AD727" t="s">
        <v>494</v>
      </c>
      <c r="AE727" t="s">
        <v>189</v>
      </c>
      <c r="AF727" t="s">
        <v>4192</v>
      </c>
      <c r="AG727" t="s">
        <v>196</v>
      </c>
      <c r="AH727" s="93">
        <f>VLOOKUP(Table1[[#This Row],[Caste]],Factor!$H$1:$K$13,4,0)</f>
        <v>1.1705128247062893</v>
      </c>
      <c r="AI727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727">
        <f>Table1[[#This Row],[Factor_1]]*Table1[[#This Row],[2024 Factor]]</f>
        <v>0.52890136495485462</v>
      </c>
      <c r="AK727">
        <f>VLOOKUP(Table1[[#This Row],[Q18: Gender]],Factor!$A$33:$E$35,5,0)</f>
        <v>0.85034013605442171</v>
      </c>
      <c r="AL727">
        <f>VLOOKUP(Table1[[#This Row],[Taluka]],Factor!$A$42:$G$46,7,0)</f>
        <v>1.1213131007097483</v>
      </c>
      <c r="AM727">
        <f>VLOOKUP(Table1[[#This Row],[Caste]]&amp;Table1[[#This Row],[Q18: Gender]],Factor!$W$1:$X$23,2,0)</f>
        <v>0.79950206330384943</v>
      </c>
      <c r="AN727">
        <f>VLOOKUP(Table1[[#This Row],[Taluka]]&amp;Table1[[#This Row],[Caste]]&amp;Table1[[#This Row],[Q18: Gender]],Factor!$AK$4:$AL$93,2,0)</f>
        <v>0.7401439088249181</v>
      </c>
      <c r="AO727">
        <f t="shared" si="121"/>
        <v>-1</v>
      </c>
      <c r="AP727">
        <f t="shared" si="122"/>
        <v>-1</v>
      </c>
      <c r="AQ727">
        <f t="shared" si="123"/>
        <v>-1</v>
      </c>
      <c r="AR727">
        <f t="shared" si="124"/>
        <v>-1</v>
      </c>
      <c r="AS727">
        <f t="shared" si="125"/>
        <v>-1</v>
      </c>
      <c r="AT727">
        <f t="shared" si="126"/>
        <v>-1</v>
      </c>
      <c r="AU727">
        <f t="shared" si="127"/>
        <v>-5.5</v>
      </c>
      <c r="AV727">
        <f>SUM(Table1[[#This Row],[Satis]:[29]])</f>
        <v>-6</v>
      </c>
      <c r="AW727">
        <f t="shared" si="128"/>
        <v>-5</v>
      </c>
      <c r="AX727">
        <f t="shared" si="129"/>
        <v>-4</v>
      </c>
      <c r="AY727">
        <f t="shared" si="130"/>
        <v>-3</v>
      </c>
      <c r="AZ727" t="str">
        <f t="shared" si="131"/>
        <v>TDP HardCore</v>
      </c>
    </row>
    <row r="728" spans="1:52" x14ac:dyDescent="0.3">
      <c r="A728" s="94" t="s">
        <v>4279</v>
      </c>
      <c r="B728" s="94">
        <v>46047</v>
      </c>
      <c r="C728" t="s">
        <v>4280</v>
      </c>
      <c r="D728" t="s">
        <v>4281</v>
      </c>
      <c r="E728" t="s">
        <v>4282</v>
      </c>
      <c r="F728" t="s">
        <v>35</v>
      </c>
      <c r="G728" t="s">
        <v>39</v>
      </c>
      <c r="H728" t="s">
        <v>4283</v>
      </c>
      <c r="I728" t="s">
        <v>70</v>
      </c>
      <c r="J728" t="s">
        <v>71</v>
      </c>
      <c r="K728" t="s">
        <v>213</v>
      </c>
      <c r="L728" t="s">
        <v>925</v>
      </c>
      <c r="M728" t="s">
        <v>443</v>
      </c>
      <c r="N728" t="s">
        <v>52</v>
      </c>
      <c r="O728" t="s">
        <v>4284</v>
      </c>
      <c r="P728">
        <v>0</v>
      </c>
      <c r="Q728" t="s">
        <v>54</v>
      </c>
      <c r="R728" t="s">
        <v>139</v>
      </c>
      <c r="S728" t="s">
        <v>89</v>
      </c>
      <c r="T728" t="s">
        <v>43</v>
      </c>
      <c r="U728" t="s">
        <v>44</v>
      </c>
      <c r="V728" t="s">
        <v>91</v>
      </c>
      <c r="W728" t="s">
        <v>5059</v>
      </c>
      <c r="X728" t="s">
        <v>91</v>
      </c>
      <c r="Y728" t="s">
        <v>638</v>
      </c>
      <c r="Z728" t="s">
        <v>47</v>
      </c>
      <c r="AA728" t="s">
        <v>92</v>
      </c>
      <c r="AB728" t="s">
        <v>147</v>
      </c>
      <c r="AC728" t="s">
        <v>2590</v>
      </c>
      <c r="AD728" t="s">
        <v>481</v>
      </c>
      <c r="AE728" t="s">
        <v>189</v>
      </c>
      <c r="AF728">
        <v>0</v>
      </c>
      <c r="AG728" t="s">
        <v>196</v>
      </c>
      <c r="AH728" s="93">
        <f>VLOOKUP(Table1[[#This Row],[Caste]],Factor!$H$1:$K$13,4,0)</f>
        <v>1.3836274505214585</v>
      </c>
      <c r="AI728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728">
        <f>Table1[[#This Row],[Factor_1]]*Table1[[#This Row],[2024 Factor]]</f>
        <v>1.9482662206881376</v>
      </c>
      <c r="AK728">
        <f>VLOOKUP(Table1[[#This Row],[Q18: Gender]],Factor!$A$33:$E$35,5,0)</f>
        <v>0.85034013605442171</v>
      </c>
      <c r="AL728">
        <f>VLOOKUP(Table1[[#This Row],[Taluka]],Factor!$A$42:$G$46,7,0)</f>
        <v>1.1213131007097483</v>
      </c>
      <c r="AM728">
        <f>VLOOKUP(Table1[[#This Row],[Caste]]&amp;Table1[[#This Row],[Q18: Gender]],Factor!$W$1:$X$23,2,0)</f>
        <v>1.0790228998469584</v>
      </c>
      <c r="AN728">
        <f>VLOOKUP(Table1[[#This Row],[Taluka]]&amp;Table1[[#This Row],[Caste]]&amp;Table1[[#This Row],[Q18: Gender]],Factor!$AK$4:$AL$93,2,0)</f>
        <v>0.90933567693352424</v>
      </c>
      <c r="AO728">
        <f t="shared" si="121"/>
        <v>-1</v>
      </c>
      <c r="AP728">
        <f t="shared" si="122"/>
        <v>-1</v>
      </c>
      <c r="AQ728">
        <f t="shared" si="123"/>
        <v>1</v>
      </c>
      <c r="AR728">
        <f t="shared" si="124"/>
        <v>1</v>
      </c>
      <c r="AS728">
        <f t="shared" si="125"/>
        <v>1</v>
      </c>
      <c r="AT728">
        <f t="shared" si="126"/>
        <v>-1</v>
      </c>
      <c r="AU728">
        <f t="shared" si="127"/>
        <v>-0.5</v>
      </c>
      <c r="AV728">
        <f>SUM(Table1[[#This Row],[Satis]:[29]])</f>
        <v>0</v>
      </c>
      <c r="AW728">
        <f t="shared" si="128"/>
        <v>1</v>
      </c>
      <c r="AX728">
        <f t="shared" si="129"/>
        <v>2</v>
      </c>
      <c r="AY728">
        <f t="shared" si="130"/>
        <v>-2</v>
      </c>
      <c r="AZ728" t="str">
        <f t="shared" si="131"/>
        <v>Neutral TDP</v>
      </c>
    </row>
    <row r="729" spans="1:52" x14ac:dyDescent="0.3">
      <c r="A729" s="94" t="s">
        <v>4240</v>
      </c>
      <c r="B729" s="94">
        <v>46047</v>
      </c>
      <c r="C729" t="s">
        <v>4241</v>
      </c>
      <c r="D729" t="s">
        <v>4242</v>
      </c>
      <c r="E729" t="s">
        <v>4243</v>
      </c>
      <c r="F729" t="s">
        <v>35</v>
      </c>
      <c r="G729" t="s">
        <v>39</v>
      </c>
      <c r="H729" t="s">
        <v>4244</v>
      </c>
      <c r="I729" t="s">
        <v>70</v>
      </c>
      <c r="J729" t="s">
        <v>71</v>
      </c>
      <c r="K729" t="s">
        <v>213</v>
      </c>
      <c r="L729" t="s">
        <v>62</v>
      </c>
      <c r="M729" t="s">
        <v>51</v>
      </c>
      <c r="N729" t="s">
        <v>107</v>
      </c>
      <c r="O729" t="s">
        <v>4245</v>
      </c>
      <c r="P729">
        <v>0</v>
      </c>
      <c r="Q729" t="s">
        <v>54</v>
      </c>
      <c r="R729" t="s">
        <v>2116</v>
      </c>
      <c r="S729" t="s">
        <v>43</v>
      </c>
      <c r="T729" t="s">
        <v>43</v>
      </c>
      <c r="U729" t="s">
        <v>90</v>
      </c>
      <c r="V729" t="s">
        <v>91</v>
      </c>
      <c r="W729" t="s">
        <v>5054</v>
      </c>
      <c r="X729" t="s">
        <v>91</v>
      </c>
      <c r="Y729" t="s">
        <v>716</v>
      </c>
      <c r="Z729" t="s">
        <v>47</v>
      </c>
      <c r="AA729" t="s">
        <v>92</v>
      </c>
      <c r="AB729" t="s">
        <v>147</v>
      </c>
      <c r="AC729" t="s">
        <v>2590</v>
      </c>
      <c r="AD729" t="s">
        <v>481</v>
      </c>
      <c r="AE729" t="s">
        <v>189</v>
      </c>
      <c r="AF729">
        <v>0</v>
      </c>
      <c r="AG729" t="s">
        <v>196</v>
      </c>
      <c r="AH729" s="93">
        <f>VLOOKUP(Table1[[#This Row],[Caste]],Factor!$H$1:$K$13,4,0)</f>
        <v>1.3836274505214585</v>
      </c>
      <c r="AI729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729">
        <f>Table1[[#This Row],[Factor_1]]*Table1[[#This Row],[2024 Factor]]</f>
        <v>1.9482662206881376</v>
      </c>
      <c r="AK729">
        <f>VLOOKUP(Table1[[#This Row],[Q18: Gender]],Factor!$A$33:$E$35,5,0)</f>
        <v>0.85034013605442171</v>
      </c>
      <c r="AL729">
        <f>VLOOKUP(Table1[[#This Row],[Taluka]],Factor!$A$42:$G$46,7,0)</f>
        <v>1.1213131007097483</v>
      </c>
      <c r="AM729">
        <f>VLOOKUP(Table1[[#This Row],[Caste]]&amp;Table1[[#This Row],[Q18: Gender]],Factor!$W$1:$X$23,2,0)</f>
        <v>1.0790228998469584</v>
      </c>
      <c r="AN729">
        <f>VLOOKUP(Table1[[#This Row],[Taluka]]&amp;Table1[[#This Row],[Caste]]&amp;Table1[[#This Row],[Q18: Gender]],Factor!$AK$4:$AL$93,2,0)</f>
        <v>0.90933567693352424</v>
      </c>
      <c r="AO729">
        <f t="shared" si="121"/>
        <v>-1</v>
      </c>
      <c r="AP729">
        <f t="shared" si="122"/>
        <v>1</v>
      </c>
      <c r="AQ729">
        <f t="shared" si="123"/>
        <v>1</v>
      </c>
      <c r="AR729">
        <f t="shared" si="124"/>
        <v>1</v>
      </c>
      <c r="AS729">
        <f t="shared" si="125"/>
        <v>1</v>
      </c>
      <c r="AT729">
        <f t="shared" si="126"/>
        <v>-1</v>
      </c>
      <c r="AU729">
        <f t="shared" si="127"/>
        <v>1.5</v>
      </c>
      <c r="AV729">
        <f>SUM(Table1[[#This Row],[Satis]:[29]])</f>
        <v>2</v>
      </c>
      <c r="AW729">
        <f t="shared" si="128"/>
        <v>1</v>
      </c>
      <c r="AX729">
        <f t="shared" si="129"/>
        <v>2</v>
      </c>
      <c r="AY729">
        <f t="shared" si="130"/>
        <v>-2</v>
      </c>
      <c r="AZ729" t="str">
        <f t="shared" si="131"/>
        <v>Neutral TDP</v>
      </c>
    </row>
    <row r="730" spans="1:52" x14ac:dyDescent="0.3">
      <c r="A730" s="94" t="s">
        <v>4104</v>
      </c>
      <c r="B730" s="94">
        <v>46047</v>
      </c>
      <c r="C730" t="s">
        <v>4105</v>
      </c>
      <c r="D730" t="s">
        <v>4106</v>
      </c>
      <c r="E730" t="s">
        <v>4042</v>
      </c>
      <c r="F730" t="s">
        <v>240</v>
      </c>
      <c r="G730" t="s">
        <v>39</v>
      </c>
      <c r="H730" t="s">
        <v>4107</v>
      </c>
      <c r="I730" t="s">
        <v>70</v>
      </c>
      <c r="J730" t="s">
        <v>71</v>
      </c>
      <c r="K730" t="s">
        <v>218</v>
      </c>
      <c r="L730" t="s">
        <v>451</v>
      </c>
      <c r="M730" t="s">
        <v>443</v>
      </c>
      <c r="N730" t="s">
        <v>63</v>
      </c>
      <c r="O730" t="s">
        <v>4108</v>
      </c>
      <c r="P730">
        <v>9704415645</v>
      </c>
      <c r="Q730" t="s">
        <v>445</v>
      </c>
      <c r="R730" t="s">
        <v>139</v>
      </c>
      <c r="S730" t="s">
        <v>43</v>
      </c>
      <c r="T730" t="s">
        <v>43</v>
      </c>
      <c r="U730" t="s">
        <v>44</v>
      </c>
      <c r="V730" t="s">
        <v>45</v>
      </c>
      <c r="W730" t="s">
        <v>5040</v>
      </c>
      <c r="X730" t="s">
        <v>45</v>
      </c>
      <c r="Y730" t="s">
        <v>46</v>
      </c>
      <c r="Z730" t="s">
        <v>242</v>
      </c>
      <c r="AA730" t="s">
        <v>242</v>
      </c>
      <c r="AB730" t="s">
        <v>49</v>
      </c>
      <c r="AC730" t="s">
        <v>49</v>
      </c>
      <c r="AD730" t="s">
        <v>184</v>
      </c>
      <c r="AE730" t="s">
        <v>185</v>
      </c>
      <c r="AF730" t="s">
        <v>4109</v>
      </c>
      <c r="AG730" t="s">
        <v>196</v>
      </c>
      <c r="AH730" s="93">
        <f>VLOOKUP(Table1[[#This Row],[Caste]],Factor!$H$1:$K$13,4,0)</f>
        <v>1.3836274505214585</v>
      </c>
      <c r="AI730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730">
        <f>Table1[[#This Row],[Factor_1]]*Table1[[#This Row],[2024 Factor]]</f>
        <v>1.2753497331114214</v>
      </c>
      <c r="AK730">
        <f>VLOOKUP(Table1[[#This Row],[Q18: Gender]],Factor!$A$33:$E$35,5,0)</f>
        <v>2.1645021645021645</v>
      </c>
      <c r="AL730">
        <f>VLOOKUP(Table1[[#This Row],[Taluka]],Factor!$A$42:$G$46,7,0)</f>
        <v>1.1213131007097483</v>
      </c>
      <c r="AM730">
        <f>VLOOKUP(Table1[[#This Row],[Caste]]&amp;Table1[[#This Row],[Q18: Gender]],Factor!$W$1:$X$23,2,0)</f>
        <v>1.9278542477265657</v>
      </c>
      <c r="AN730">
        <f>VLOOKUP(Table1[[#This Row],[Taluka]]&amp;Table1[[#This Row],[Caste]]&amp;Table1[[#This Row],[Q18: Gender]],Factor!$AK$4:$AL$93,2,0)</f>
        <v>1.2302776805571209</v>
      </c>
      <c r="AO730">
        <f t="shared" si="121"/>
        <v>-1</v>
      </c>
      <c r="AP730">
        <f t="shared" si="122"/>
        <v>-1</v>
      </c>
      <c r="AQ730">
        <f t="shared" si="123"/>
        <v>-1</v>
      </c>
      <c r="AR730">
        <f t="shared" si="124"/>
        <v>-1</v>
      </c>
      <c r="AS730">
        <f t="shared" si="125"/>
        <v>-1</v>
      </c>
      <c r="AT730">
        <f t="shared" si="126"/>
        <v>-1</v>
      </c>
      <c r="AU730">
        <f t="shared" si="127"/>
        <v>-5.5</v>
      </c>
      <c r="AV730">
        <f>SUM(Table1[[#This Row],[Satis]:[29]])</f>
        <v>-6</v>
      </c>
      <c r="AW730">
        <f t="shared" si="128"/>
        <v>-5</v>
      </c>
      <c r="AX730">
        <f t="shared" si="129"/>
        <v>-4</v>
      </c>
      <c r="AY730">
        <f t="shared" si="130"/>
        <v>-3</v>
      </c>
      <c r="AZ730" t="str">
        <f t="shared" si="131"/>
        <v>TDP HardCore</v>
      </c>
    </row>
    <row r="731" spans="1:52" x14ac:dyDescent="0.3">
      <c r="A731" s="94" t="s">
        <v>4414</v>
      </c>
      <c r="B731" s="94">
        <v>46047</v>
      </c>
      <c r="C731" t="s">
        <v>4415</v>
      </c>
      <c r="D731" t="s">
        <v>4416</v>
      </c>
      <c r="E731" t="s">
        <v>4383</v>
      </c>
      <c r="F731" t="s">
        <v>35</v>
      </c>
      <c r="G731" t="s">
        <v>39</v>
      </c>
      <c r="H731" t="s">
        <v>4417</v>
      </c>
      <c r="I731" t="s">
        <v>36</v>
      </c>
      <c r="J731" t="s">
        <v>71</v>
      </c>
      <c r="K731" t="s">
        <v>213</v>
      </c>
      <c r="L731" t="s">
        <v>451</v>
      </c>
      <c r="M731" t="s">
        <v>51</v>
      </c>
      <c r="N731" t="s">
        <v>63</v>
      </c>
      <c r="O731" t="s">
        <v>4418</v>
      </c>
      <c r="P731">
        <v>0</v>
      </c>
      <c r="Q731" t="s">
        <v>445</v>
      </c>
      <c r="R731" t="s">
        <v>139</v>
      </c>
      <c r="S731" t="s">
        <v>88</v>
      </c>
      <c r="T731" t="s">
        <v>43</v>
      </c>
      <c r="U731" t="s">
        <v>44</v>
      </c>
      <c r="V731" t="s">
        <v>45</v>
      </c>
      <c r="W731" t="s">
        <v>5082</v>
      </c>
      <c r="X731" t="s">
        <v>45</v>
      </c>
      <c r="Y731" t="s">
        <v>46</v>
      </c>
      <c r="Z731" t="s">
        <v>47</v>
      </c>
      <c r="AA731" t="s">
        <v>48</v>
      </c>
      <c r="AB731" t="s">
        <v>49</v>
      </c>
      <c r="AC731" t="s">
        <v>49</v>
      </c>
      <c r="AD731" t="s">
        <v>184</v>
      </c>
      <c r="AE731" t="s">
        <v>1250</v>
      </c>
      <c r="AF731">
        <v>0</v>
      </c>
      <c r="AG731" t="s">
        <v>498</v>
      </c>
      <c r="AH731" s="93">
        <f>VLOOKUP(Table1[[#This Row],[Caste]],Factor!$H$1:$K$13,4,0)</f>
        <v>1.1705128247062893</v>
      </c>
      <c r="AI73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31">
        <f>Table1[[#This Row],[Factor_1]]*Table1[[#This Row],[2024 Factor]]</f>
        <v>2.3577066232182737</v>
      </c>
      <c r="AK731">
        <f>VLOOKUP(Table1[[#This Row],[Q18: Gender]],Factor!$A$33:$E$35,5,0)</f>
        <v>2.1645021645021645</v>
      </c>
      <c r="AL731">
        <f>VLOOKUP(Table1[[#This Row],[Taluka]],Factor!$A$42:$G$46,7,0)</f>
        <v>1.1213131007097483</v>
      </c>
      <c r="AM731">
        <f>VLOOKUP(Table1[[#This Row],[Caste]]&amp;Table1[[#This Row],[Q18: Gender]],Factor!$W$1:$X$23,2,0)</f>
        <v>2.1840056363422229</v>
      </c>
      <c r="AN731">
        <f>VLOOKUP(Table1[[#This Row],[Taluka]]&amp;Table1[[#This Row],[Caste]]&amp;Table1[[#This Row],[Q18: Gender]],Factor!$AK$4:$AL$93,2,0)</f>
        <v>0.95944580773600496</v>
      </c>
      <c r="AO731">
        <f t="shared" si="121"/>
        <v>-1</v>
      </c>
      <c r="AP731">
        <f t="shared" si="122"/>
        <v>-1</v>
      </c>
      <c r="AQ731">
        <f t="shared" si="123"/>
        <v>-1</v>
      </c>
      <c r="AR731">
        <f t="shared" si="124"/>
        <v>-1</v>
      </c>
      <c r="AS731">
        <f t="shared" si="125"/>
        <v>-1</v>
      </c>
      <c r="AT731">
        <f t="shared" si="126"/>
        <v>-1</v>
      </c>
      <c r="AU731">
        <f t="shared" si="127"/>
        <v>-5.5</v>
      </c>
      <c r="AV731">
        <f>SUM(Table1[[#This Row],[Satis]:[29]])</f>
        <v>-6</v>
      </c>
      <c r="AW731">
        <f t="shared" si="128"/>
        <v>-5</v>
      </c>
      <c r="AX731">
        <f t="shared" si="129"/>
        <v>-4</v>
      </c>
      <c r="AY731">
        <f t="shared" si="130"/>
        <v>-3</v>
      </c>
      <c r="AZ731" t="str">
        <f t="shared" si="131"/>
        <v>TDP HardCore</v>
      </c>
    </row>
    <row r="732" spans="1:52" x14ac:dyDescent="0.3">
      <c r="A732" s="94" t="s">
        <v>4368</v>
      </c>
      <c r="B732" s="94">
        <v>46047</v>
      </c>
      <c r="C732" t="s">
        <v>4369</v>
      </c>
      <c r="D732" t="s">
        <v>4370</v>
      </c>
      <c r="E732" t="s">
        <v>4371</v>
      </c>
      <c r="F732" t="s">
        <v>35</v>
      </c>
      <c r="G732" t="s">
        <v>39</v>
      </c>
      <c r="H732" t="s">
        <v>4372</v>
      </c>
      <c r="I732" t="s">
        <v>36</v>
      </c>
      <c r="J732" t="s">
        <v>71</v>
      </c>
      <c r="K732" t="s">
        <v>213</v>
      </c>
      <c r="L732" t="s">
        <v>62</v>
      </c>
      <c r="M732" t="s">
        <v>51</v>
      </c>
      <c r="N732" t="s">
        <v>107</v>
      </c>
      <c r="O732" t="s">
        <v>4373</v>
      </c>
      <c r="P732">
        <v>0</v>
      </c>
      <c r="Q732" t="s">
        <v>54</v>
      </c>
      <c r="R732" t="s">
        <v>2116</v>
      </c>
      <c r="S732" t="s">
        <v>88</v>
      </c>
      <c r="T732" t="s">
        <v>43</v>
      </c>
      <c r="U732" t="s">
        <v>44</v>
      </c>
      <c r="V732" t="s">
        <v>91</v>
      </c>
      <c r="W732" t="s">
        <v>5111</v>
      </c>
      <c r="X732" t="s">
        <v>45</v>
      </c>
      <c r="Y732" t="s">
        <v>638</v>
      </c>
      <c r="Z732" t="s">
        <v>47</v>
      </c>
      <c r="AA732" t="s">
        <v>48</v>
      </c>
      <c r="AB732" t="s">
        <v>49</v>
      </c>
      <c r="AC732" t="s">
        <v>49</v>
      </c>
      <c r="AD732" t="s">
        <v>481</v>
      </c>
      <c r="AE732" t="s">
        <v>1250</v>
      </c>
      <c r="AF732">
        <v>0</v>
      </c>
      <c r="AG732" t="s">
        <v>498</v>
      </c>
      <c r="AH732" s="93">
        <f>VLOOKUP(Table1[[#This Row],[Caste]],Factor!$H$1:$K$13,4,0)</f>
        <v>1.1705128247062893</v>
      </c>
      <c r="AI73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32">
        <f>Table1[[#This Row],[Factor_1]]*Table1[[#This Row],[2024 Factor]]</f>
        <v>0.86308903171383233</v>
      </c>
      <c r="AK732">
        <f>VLOOKUP(Table1[[#This Row],[Q18: Gender]],Factor!$A$33:$E$35,5,0)</f>
        <v>0.85034013605442171</v>
      </c>
      <c r="AL732">
        <f>VLOOKUP(Table1[[#This Row],[Taluka]],Factor!$A$42:$G$46,7,0)</f>
        <v>1.1213131007097483</v>
      </c>
      <c r="AM732">
        <f>VLOOKUP(Table1[[#This Row],[Caste]]&amp;Table1[[#This Row],[Q18: Gender]],Factor!$W$1:$X$23,2,0)</f>
        <v>0.79950206330384943</v>
      </c>
      <c r="AN732">
        <f>VLOOKUP(Table1[[#This Row],[Taluka]]&amp;Table1[[#This Row],[Caste]]&amp;Table1[[#This Row],[Q18: Gender]],Factor!$AK$4:$AL$93,2,0)</f>
        <v>0.7401439088249181</v>
      </c>
      <c r="AO732">
        <f t="shared" si="121"/>
        <v>-1</v>
      </c>
      <c r="AP732">
        <f t="shared" si="122"/>
        <v>-1</v>
      </c>
      <c r="AQ732">
        <f t="shared" si="123"/>
        <v>1</v>
      </c>
      <c r="AR732">
        <f t="shared" si="124"/>
        <v>-1</v>
      </c>
      <c r="AS732">
        <f t="shared" si="125"/>
        <v>-1</v>
      </c>
      <c r="AT732">
        <f t="shared" si="126"/>
        <v>-1</v>
      </c>
      <c r="AU732">
        <f t="shared" si="127"/>
        <v>-3.5</v>
      </c>
      <c r="AV732">
        <f>SUM(Table1[[#This Row],[Satis]:[29]])</f>
        <v>-4</v>
      </c>
      <c r="AW732">
        <f t="shared" si="128"/>
        <v>-3</v>
      </c>
      <c r="AX732">
        <f t="shared" si="129"/>
        <v>-2</v>
      </c>
      <c r="AY732">
        <f t="shared" si="130"/>
        <v>-3</v>
      </c>
      <c r="AZ732" t="str">
        <f t="shared" si="131"/>
        <v>Neutral TDP</v>
      </c>
    </row>
    <row r="733" spans="1:52" x14ac:dyDescent="0.3">
      <c r="A733" s="94" t="s">
        <v>4116</v>
      </c>
      <c r="B733" s="94">
        <v>46047</v>
      </c>
      <c r="C733" t="s">
        <v>4117</v>
      </c>
      <c r="D733" t="s">
        <v>4112</v>
      </c>
      <c r="E733" t="s">
        <v>3180</v>
      </c>
      <c r="F733" t="s">
        <v>240</v>
      </c>
      <c r="G733" t="s">
        <v>39</v>
      </c>
      <c r="H733" t="s">
        <v>4118</v>
      </c>
      <c r="I733" t="s">
        <v>70</v>
      </c>
      <c r="J733" t="s">
        <v>71</v>
      </c>
      <c r="K733" t="s">
        <v>218</v>
      </c>
      <c r="L733" t="s">
        <v>75</v>
      </c>
      <c r="M733" t="s">
        <v>443</v>
      </c>
      <c r="N733" t="s">
        <v>63</v>
      </c>
      <c r="O733" t="s">
        <v>4114</v>
      </c>
      <c r="P733">
        <v>9095768911</v>
      </c>
      <c r="Q733" t="s">
        <v>54</v>
      </c>
      <c r="R733" t="s">
        <v>132</v>
      </c>
      <c r="S733" t="s">
        <v>89</v>
      </c>
      <c r="T733" t="s">
        <v>89</v>
      </c>
      <c r="U733" t="s">
        <v>90</v>
      </c>
      <c r="V733" t="s">
        <v>91</v>
      </c>
      <c r="W733" t="s">
        <v>5051</v>
      </c>
      <c r="X733" t="s">
        <v>91</v>
      </c>
      <c r="Y733" t="s">
        <v>638</v>
      </c>
      <c r="Z733" t="s">
        <v>92</v>
      </c>
      <c r="AA733" t="s">
        <v>92</v>
      </c>
      <c r="AB733" t="s">
        <v>147</v>
      </c>
      <c r="AC733" t="s">
        <v>148</v>
      </c>
      <c r="AD733">
        <v>0</v>
      </c>
      <c r="AE733" t="s">
        <v>185</v>
      </c>
      <c r="AF733">
        <v>0</v>
      </c>
      <c r="AG733" t="s">
        <v>196</v>
      </c>
      <c r="AH733" s="93">
        <f>VLOOKUP(Table1[[#This Row],[Caste]],Factor!$H$1:$K$13,4,0)</f>
        <v>1.3836274505214585</v>
      </c>
      <c r="AI733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733">
        <f>Table1[[#This Row],[Factor_1]]*Table1[[#This Row],[2024 Factor]]</f>
        <v>1.9482662206881376</v>
      </c>
      <c r="AK733">
        <f>VLOOKUP(Table1[[#This Row],[Q18: Gender]],Factor!$A$33:$E$35,5,0)</f>
        <v>0.85034013605442171</v>
      </c>
      <c r="AL733">
        <f>VLOOKUP(Table1[[#This Row],[Taluka]],Factor!$A$42:$G$46,7,0)</f>
        <v>1.1213131007097483</v>
      </c>
      <c r="AM733">
        <f>VLOOKUP(Table1[[#This Row],[Caste]]&amp;Table1[[#This Row],[Q18: Gender]],Factor!$W$1:$X$23,2,0)</f>
        <v>1.0790228998469584</v>
      </c>
      <c r="AN733">
        <f>VLOOKUP(Table1[[#This Row],[Taluka]]&amp;Table1[[#This Row],[Caste]]&amp;Table1[[#This Row],[Q18: Gender]],Factor!$AK$4:$AL$93,2,0)</f>
        <v>0.90933567693352424</v>
      </c>
      <c r="AO733">
        <f t="shared" si="121"/>
        <v>1</v>
      </c>
      <c r="AP733">
        <f t="shared" si="122"/>
        <v>1</v>
      </c>
      <c r="AQ733">
        <f t="shared" si="123"/>
        <v>1</v>
      </c>
      <c r="AR733">
        <f t="shared" si="124"/>
        <v>1</v>
      </c>
      <c r="AS733">
        <f t="shared" si="125"/>
        <v>1</v>
      </c>
      <c r="AT733">
        <f t="shared" si="126"/>
        <v>1</v>
      </c>
      <c r="AU733">
        <f t="shared" si="127"/>
        <v>5.5</v>
      </c>
      <c r="AV733">
        <f>SUM(Table1[[#This Row],[Satis]:[29]])</f>
        <v>6</v>
      </c>
      <c r="AW733">
        <f t="shared" si="128"/>
        <v>5</v>
      </c>
      <c r="AX733">
        <f t="shared" si="129"/>
        <v>4</v>
      </c>
      <c r="AY733">
        <f t="shared" si="130"/>
        <v>3</v>
      </c>
      <c r="AZ733" t="str">
        <f t="shared" si="131"/>
        <v>YSRCP HardCore</v>
      </c>
    </row>
    <row r="734" spans="1:52" x14ac:dyDescent="0.3">
      <c r="A734" s="94" t="s">
        <v>4262</v>
      </c>
      <c r="B734" s="94">
        <v>46047</v>
      </c>
      <c r="C734" t="s">
        <v>4263</v>
      </c>
      <c r="D734" t="s">
        <v>4264</v>
      </c>
      <c r="E734" t="s">
        <v>4265</v>
      </c>
      <c r="F734" t="s">
        <v>35</v>
      </c>
      <c r="G734" t="s">
        <v>39</v>
      </c>
      <c r="H734" t="s">
        <v>4266</v>
      </c>
      <c r="I734" t="s">
        <v>36</v>
      </c>
      <c r="J734" t="s">
        <v>71</v>
      </c>
      <c r="K734" t="s">
        <v>213</v>
      </c>
      <c r="L734" t="s">
        <v>925</v>
      </c>
      <c r="M734" t="s">
        <v>51</v>
      </c>
      <c r="N734" t="s">
        <v>107</v>
      </c>
      <c r="O734" t="s">
        <v>4267</v>
      </c>
      <c r="P734">
        <v>0</v>
      </c>
      <c r="Q734" t="s">
        <v>54</v>
      </c>
      <c r="R734" t="s">
        <v>2116</v>
      </c>
      <c r="S734" t="s">
        <v>43</v>
      </c>
      <c r="T734" t="s">
        <v>43</v>
      </c>
      <c r="U734" t="s">
        <v>44</v>
      </c>
      <c r="V734" t="s">
        <v>45</v>
      </c>
      <c r="W734" t="s">
        <v>5054</v>
      </c>
      <c r="X734" t="s">
        <v>45</v>
      </c>
      <c r="Y734" t="s">
        <v>638</v>
      </c>
      <c r="Z734" t="s">
        <v>47</v>
      </c>
      <c r="AA734" t="s">
        <v>48</v>
      </c>
      <c r="AB734" t="s">
        <v>49</v>
      </c>
      <c r="AC734" t="s">
        <v>49</v>
      </c>
      <c r="AD734" t="s">
        <v>481</v>
      </c>
      <c r="AE734" t="s">
        <v>1250</v>
      </c>
      <c r="AF734">
        <v>0</v>
      </c>
      <c r="AG734" t="s">
        <v>498</v>
      </c>
      <c r="AH734" s="93">
        <f>VLOOKUP(Table1[[#This Row],[Caste]],Factor!$H$1:$K$13,4,0)</f>
        <v>1.1705128247062893</v>
      </c>
      <c r="AI73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34">
        <f>Table1[[#This Row],[Factor_1]]*Table1[[#This Row],[2024 Factor]]</f>
        <v>0.86308903171383233</v>
      </c>
      <c r="AK734">
        <f>VLOOKUP(Table1[[#This Row],[Q18: Gender]],Factor!$A$33:$E$35,5,0)</f>
        <v>0.85034013605442171</v>
      </c>
      <c r="AL734">
        <f>VLOOKUP(Table1[[#This Row],[Taluka]],Factor!$A$42:$G$46,7,0)</f>
        <v>1.1213131007097483</v>
      </c>
      <c r="AM734">
        <f>VLOOKUP(Table1[[#This Row],[Caste]]&amp;Table1[[#This Row],[Q18: Gender]],Factor!$W$1:$X$23,2,0)</f>
        <v>0.79950206330384943</v>
      </c>
      <c r="AN734">
        <f>VLOOKUP(Table1[[#This Row],[Taluka]]&amp;Table1[[#This Row],[Caste]]&amp;Table1[[#This Row],[Q18: Gender]],Factor!$AK$4:$AL$93,2,0)</f>
        <v>0.7401439088249181</v>
      </c>
      <c r="AO734">
        <f t="shared" si="121"/>
        <v>-1</v>
      </c>
      <c r="AP734">
        <f t="shared" si="122"/>
        <v>-1</v>
      </c>
      <c r="AQ734">
        <f t="shared" si="123"/>
        <v>-1</v>
      </c>
      <c r="AR734">
        <f t="shared" si="124"/>
        <v>-1</v>
      </c>
      <c r="AS734">
        <f t="shared" si="125"/>
        <v>-1</v>
      </c>
      <c r="AT734">
        <f t="shared" si="126"/>
        <v>-1</v>
      </c>
      <c r="AU734">
        <f t="shared" si="127"/>
        <v>-5.5</v>
      </c>
      <c r="AV734">
        <f>SUM(Table1[[#This Row],[Satis]:[29]])</f>
        <v>-6</v>
      </c>
      <c r="AW734">
        <f t="shared" si="128"/>
        <v>-5</v>
      </c>
      <c r="AX734">
        <f t="shared" si="129"/>
        <v>-4</v>
      </c>
      <c r="AY734">
        <f t="shared" si="130"/>
        <v>-3</v>
      </c>
      <c r="AZ734" t="str">
        <f t="shared" si="131"/>
        <v>TDP HardCore</v>
      </c>
    </row>
    <row r="735" spans="1:52" x14ac:dyDescent="0.3">
      <c r="A735" s="94" t="s">
        <v>4296</v>
      </c>
      <c r="B735" s="94">
        <v>46047</v>
      </c>
      <c r="C735" t="s">
        <v>4297</v>
      </c>
      <c r="D735" t="s">
        <v>4298</v>
      </c>
      <c r="E735" t="s">
        <v>4299</v>
      </c>
      <c r="F735" t="s">
        <v>35</v>
      </c>
      <c r="G735" t="s">
        <v>39</v>
      </c>
      <c r="H735" t="s">
        <v>4300</v>
      </c>
      <c r="I735" t="s">
        <v>36</v>
      </c>
      <c r="J735" t="s">
        <v>71</v>
      </c>
      <c r="K735" t="s">
        <v>213</v>
      </c>
      <c r="L735" t="s">
        <v>451</v>
      </c>
      <c r="M735" t="s">
        <v>51</v>
      </c>
      <c r="N735" t="s">
        <v>63</v>
      </c>
      <c r="O735" t="s">
        <v>4301</v>
      </c>
      <c r="P735">
        <v>0</v>
      </c>
      <c r="Q735" t="s">
        <v>445</v>
      </c>
      <c r="R735" t="s">
        <v>2116</v>
      </c>
      <c r="S735" t="s">
        <v>88</v>
      </c>
      <c r="T735" t="s">
        <v>43</v>
      </c>
      <c r="U735" t="s">
        <v>90</v>
      </c>
      <c r="V735" t="s">
        <v>45</v>
      </c>
      <c r="W735" t="s">
        <v>5043</v>
      </c>
      <c r="X735" t="s">
        <v>45</v>
      </c>
      <c r="Y735" t="s">
        <v>46</v>
      </c>
      <c r="Z735" t="s">
        <v>47</v>
      </c>
      <c r="AA735" t="s">
        <v>48</v>
      </c>
      <c r="AB735" t="s">
        <v>49</v>
      </c>
      <c r="AC735" t="s">
        <v>49</v>
      </c>
      <c r="AD735" t="s">
        <v>481</v>
      </c>
      <c r="AE735" t="s">
        <v>1250</v>
      </c>
      <c r="AF735">
        <v>0</v>
      </c>
      <c r="AG735" t="s">
        <v>498</v>
      </c>
      <c r="AH735" s="93">
        <f>VLOOKUP(Table1[[#This Row],[Caste]],Factor!$H$1:$K$13,4,0)</f>
        <v>1.1705128247062893</v>
      </c>
      <c r="AI73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35">
        <f>Table1[[#This Row],[Factor_1]]*Table1[[#This Row],[2024 Factor]]</f>
        <v>2.3577066232182737</v>
      </c>
      <c r="AK735">
        <f>VLOOKUP(Table1[[#This Row],[Q18: Gender]],Factor!$A$33:$E$35,5,0)</f>
        <v>2.1645021645021645</v>
      </c>
      <c r="AL735">
        <f>VLOOKUP(Table1[[#This Row],[Taluka]],Factor!$A$42:$G$46,7,0)</f>
        <v>1.1213131007097483</v>
      </c>
      <c r="AM735">
        <f>VLOOKUP(Table1[[#This Row],[Caste]]&amp;Table1[[#This Row],[Q18: Gender]],Factor!$W$1:$X$23,2,0)</f>
        <v>2.1840056363422229</v>
      </c>
      <c r="AN735">
        <f>VLOOKUP(Table1[[#This Row],[Taluka]]&amp;Table1[[#This Row],[Caste]]&amp;Table1[[#This Row],[Q18: Gender]],Factor!$AK$4:$AL$93,2,0)</f>
        <v>0.95944580773600496</v>
      </c>
      <c r="AO735">
        <f t="shared" si="121"/>
        <v>-1</v>
      </c>
      <c r="AP735">
        <f t="shared" si="122"/>
        <v>1</v>
      </c>
      <c r="AQ735">
        <f t="shared" si="123"/>
        <v>-1</v>
      </c>
      <c r="AR735">
        <f t="shared" si="124"/>
        <v>-1</v>
      </c>
      <c r="AS735">
        <f t="shared" si="125"/>
        <v>-1</v>
      </c>
      <c r="AT735">
        <f t="shared" si="126"/>
        <v>-1</v>
      </c>
      <c r="AU735">
        <f t="shared" si="127"/>
        <v>-3.5</v>
      </c>
      <c r="AV735">
        <f>SUM(Table1[[#This Row],[Satis]:[29]])</f>
        <v>-4</v>
      </c>
      <c r="AW735">
        <f t="shared" si="128"/>
        <v>-5</v>
      </c>
      <c r="AX735">
        <f t="shared" si="129"/>
        <v>-4</v>
      </c>
      <c r="AY735">
        <f t="shared" si="130"/>
        <v>-3</v>
      </c>
      <c r="AZ735" t="str">
        <f t="shared" si="131"/>
        <v>TDP Sympathiser</v>
      </c>
    </row>
    <row r="736" spans="1:52" x14ac:dyDescent="0.3">
      <c r="A736" s="94" t="s">
        <v>4119</v>
      </c>
      <c r="B736" s="94">
        <v>46047</v>
      </c>
      <c r="C736" t="s">
        <v>4120</v>
      </c>
      <c r="D736" t="s">
        <v>4121</v>
      </c>
      <c r="E736" t="s">
        <v>4122</v>
      </c>
      <c r="F736" t="s">
        <v>240</v>
      </c>
      <c r="G736" t="s">
        <v>39</v>
      </c>
      <c r="H736" t="s">
        <v>4123</v>
      </c>
      <c r="I736" t="s">
        <v>59</v>
      </c>
      <c r="J736" t="s">
        <v>71</v>
      </c>
      <c r="K736" t="s">
        <v>218</v>
      </c>
      <c r="L736" t="s">
        <v>75</v>
      </c>
      <c r="M736" t="s">
        <v>51</v>
      </c>
      <c r="N736" t="s">
        <v>52</v>
      </c>
      <c r="O736" t="s">
        <v>480</v>
      </c>
      <c r="P736">
        <v>9989965121</v>
      </c>
      <c r="Q736" t="s">
        <v>54</v>
      </c>
      <c r="R736" t="s">
        <v>61</v>
      </c>
      <c r="S736" t="s">
        <v>43</v>
      </c>
      <c r="T736" t="s">
        <v>43</v>
      </c>
      <c r="U736" t="s">
        <v>44</v>
      </c>
      <c r="V736" t="s">
        <v>45</v>
      </c>
      <c r="W736" t="s">
        <v>5088</v>
      </c>
      <c r="X736" t="s">
        <v>45</v>
      </c>
      <c r="Y736" t="s">
        <v>46</v>
      </c>
      <c r="Z736" t="s">
        <v>47</v>
      </c>
      <c r="AA736" t="s">
        <v>48</v>
      </c>
      <c r="AB736" t="s">
        <v>49</v>
      </c>
      <c r="AC736" t="s">
        <v>49</v>
      </c>
      <c r="AD736" t="s">
        <v>184</v>
      </c>
      <c r="AE736" t="s">
        <v>185</v>
      </c>
      <c r="AF736">
        <v>0</v>
      </c>
      <c r="AG736" t="s">
        <v>196</v>
      </c>
      <c r="AH736" s="93">
        <f>VLOOKUP(Table1[[#This Row],[Caste]],Factor!$H$1:$K$13,4,0)</f>
        <v>1.1461625511156397</v>
      </c>
      <c r="AI73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36">
        <f>Table1[[#This Row],[Factor_1]]*Table1[[#This Row],[2024 Factor]]</f>
        <v>0.77721139583220644</v>
      </c>
      <c r="AK736">
        <f>VLOOKUP(Table1[[#This Row],[Q18: Gender]],Factor!$A$33:$E$35,5,0)</f>
        <v>0.85034013605442171</v>
      </c>
      <c r="AL736">
        <f>VLOOKUP(Table1[[#This Row],[Taluka]],Factor!$A$42:$G$46,7,0)</f>
        <v>1.1213131007097483</v>
      </c>
      <c r="AM736">
        <f>VLOOKUP(Table1[[#This Row],[Caste]]&amp;Table1[[#This Row],[Q18: Gender]],Factor!$W$1:$X$23,2,0)</f>
        <v>0.71995135120329123</v>
      </c>
      <c r="AN736">
        <f>VLOOKUP(Table1[[#This Row],[Taluka]]&amp;Table1[[#This Row],[Caste]]&amp;Table1[[#This Row],[Q18: Gender]],Factor!$AK$4:$AL$93,2,0)</f>
        <v>1.3370299504035861</v>
      </c>
      <c r="AO736">
        <f t="shared" si="121"/>
        <v>-1</v>
      </c>
      <c r="AP736">
        <f t="shared" si="122"/>
        <v>-1</v>
      </c>
      <c r="AQ736">
        <f t="shared" si="123"/>
        <v>-1</v>
      </c>
      <c r="AR736">
        <f t="shared" si="124"/>
        <v>-1</v>
      </c>
      <c r="AS736">
        <f t="shared" si="125"/>
        <v>-1</v>
      </c>
      <c r="AT736">
        <f t="shared" si="126"/>
        <v>-1</v>
      </c>
      <c r="AU736">
        <f t="shared" si="127"/>
        <v>-5.5</v>
      </c>
      <c r="AV736">
        <f>SUM(Table1[[#This Row],[Satis]:[29]])</f>
        <v>-6</v>
      </c>
      <c r="AW736">
        <f t="shared" si="128"/>
        <v>-5</v>
      </c>
      <c r="AX736">
        <f t="shared" si="129"/>
        <v>-4</v>
      </c>
      <c r="AY736">
        <f t="shared" si="130"/>
        <v>-3</v>
      </c>
      <c r="AZ736" t="str">
        <f t="shared" si="131"/>
        <v>TDP HardCore</v>
      </c>
    </row>
    <row r="737" spans="1:52" x14ac:dyDescent="0.3">
      <c r="A737" s="94" t="s">
        <v>4273</v>
      </c>
      <c r="B737" s="94">
        <v>46047</v>
      </c>
      <c r="C737" t="s">
        <v>4274</v>
      </c>
      <c r="D737" t="s">
        <v>4275</v>
      </c>
      <c r="E737" t="s">
        <v>4276</v>
      </c>
      <c r="F737" t="s">
        <v>35</v>
      </c>
      <c r="G737" t="s">
        <v>39</v>
      </c>
      <c r="H737" t="s">
        <v>4277</v>
      </c>
      <c r="I737" t="s">
        <v>227</v>
      </c>
      <c r="J737" t="s">
        <v>71</v>
      </c>
      <c r="K737" t="s">
        <v>213</v>
      </c>
      <c r="L737" t="s">
        <v>925</v>
      </c>
      <c r="M737" t="s">
        <v>51</v>
      </c>
      <c r="N737" t="s">
        <v>107</v>
      </c>
      <c r="O737" t="s">
        <v>4278</v>
      </c>
      <c r="P737">
        <v>0</v>
      </c>
      <c r="Q737" t="s">
        <v>54</v>
      </c>
      <c r="R737" t="s">
        <v>2116</v>
      </c>
      <c r="S737" t="s">
        <v>43</v>
      </c>
      <c r="T737" t="s">
        <v>43</v>
      </c>
      <c r="U737" t="s">
        <v>44</v>
      </c>
      <c r="V737" t="s">
        <v>45</v>
      </c>
      <c r="W737" t="s">
        <v>5046</v>
      </c>
      <c r="X737" t="s">
        <v>45</v>
      </c>
      <c r="Y737" t="s">
        <v>638</v>
      </c>
      <c r="Z737" t="s">
        <v>47</v>
      </c>
      <c r="AA737" t="s">
        <v>48</v>
      </c>
      <c r="AB737" t="s">
        <v>49</v>
      </c>
      <c r="AC737" t="s">
        <v>49</v>
      </c>
      <c r="AD737" t="s">
        <v>481</v>
      </c>
      <c r="AE737" t="s">
        <v>1250</v>
      </c>
      <c r="AF737">
        <v>0</v>
      </c>
      <c r="AG737" t="s">
        <v>498</v>
      </c>
      <c r="AH737" s="93">
        <f>VLOOKUP(Table1[[#This Row],[Caste]],Factor!$H$1:$K$13,4,0)</f>
        <v>1.2612194085121222</v>
      </c>
      <c r="AI73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37">
        <f>Table1[[#This Row],[Factor_1]]*Table1[[#This Row],[2024 Factor]]</f>
        <v>0.92029223709519836</v>
      </c>
      <c r="AK737">
        <f>VLOOKUP(Table1[[#This Row],[Q18: Gender]],Factor!$A$33:$E$35,5,0)</f>
        <v>0.85034013605442171</v>
      </c>
      <c r="AL737">
        <f>VLOOKUP(Table1[[#This Row],[Taluka]],Factor!$A$42:$G$46,7,0)</f>
        <v>1.1213131007097483</v>
      </c>
      <c r="AM737">
        <f>VLOOKUP(Table1[[#This Row],[Caste]]&amp;Table1[[#This Row],[Q18: Gender]],Factor!$W$1:$X$23,2,0)</f>
        <v>0.85249089649430487</v>
      </c>
      <c r="AN737">
        <f>VLOOKUP(Table1[[#This Row],[Taluka]]&amp;Table1[[#This Row],[Caste]]&amp;Table1[[#This Row],[Q18: Gender]],Factor!$AK$4:$AL$93,2,0)</f>
        <v>1.3317727120335781</v>
      </c>
      <c r="AO737">
        <f t="shared" si="121"/>
        <v>-1</v>
      </c>
      <c r="AP737">
        <f t="shared" si="122"/>
        <v>-1</v>
      </c>
      <c r="AQ737">
        <f t="shared" si="123"/>
        <v>-1</v>
      </c>
      <c r="AR737">
        <f t="shared" si="124"/>
        <v>-1</v>
      </c>
      <c r="AS737">
        <f t="shared" si="125"/>
        <v>-1</v>
      </c>
      <c r="AT737">
        <f t="shared" si="126"/>
        <v>-1</v>
      </c>
      <c r="AU737">
        <f t="shared" si="127"/>
        <v>-5.5</v>
      </c>
      <c r="AV737">
        <f>SUM(Table1[[#This Row],[Satis]:[29]])</f>
        <v>-6</v>
      </c>
      <c r="AW737">
        <f t="shared" si="128"/>
        <v>-5</v>
      </c>
      <c r="AX737">
        <f t="shared" si="129"/>
        <v>-4</v>
      </c>
      <c r="AY737">
        <f t="shared" si="130"/>
        <v>-3</v>
      </c>
      <c r="AZ737" t="str">
        <f t="shared" si="131"/>
        <v>TDP HardCore</v>
      </c>
    </row>
    <row r="738" spans="1:52" x14ac:dyDescent="0.3">
      <c r="A738" s="94" t="s">
        <v>4251</v>
      </c>
      <c r="B738" s="94">
        <v>46047</v>
      </c>
      <c r="C738" t="s">
        <v>4252</v>
      </c>
      <c r="D738" t="s">
        <v>4253</v>
      </c>
      <c r="E738" t="s">
        <v>4254</v>
      </c>
      <c r="F738" t="s">
        <v>35</v>
      </c>
      <c r="G738" t="s">
        <v>39</v>
      </c>
      <c r="H738" t="s">
        <v>4255</v>
      </c>
      <c r="I738" t="s">
        <v>70</v>
      </c>
      <c r="J738" t="s">
        <v>71</v>
      </c>
      <c r="K738" t="s">
        <v>213</v>
      </c>
      <c r="L738" t="s">
        <v>451</v>
      </c>
      <c r="M738" t="s">
        <v>443</v>
      </c>
      <c r="N738" t="s">
        <v>162</v>
      </c>
      <c r="O738" t="s">
        <v>4256</v>
      </c>
      <c r="P738">
        <v>0</v>
      </c>
      <c r="Q738" t="s">
        <v>445</v>
      </c>
      <c r="R738" t="s">
        <v>139</v>
      </c>
      <c r="S738" t="s">
        <v>88</v>
      </c>
      <c r="T738" t="s">
        <v>43</v>
      </c>
      <c r="U738" t="s">
        <v>90</v>
      </c>
      <c r="V738" t="s">
        <v>91</v>
      </c>
      <c r="W738" t="s">
        <v>5110</v>
      </c>
      <c r="X738" t="s">
        <v>91</v>
      </c>
      <c r="Y738" t="s">
        <v>46</v>
      </c>
      <c r="Z738" t="s">
        <v>47</v>
      </c>
      <c r="AA738" t="s">
        <v>92</v>
      </c>
      <c r="AB738" t="s">
        <v>351</v>
      </c>
      <c r="AC738" t="s">
        <v>381</v>
      </c>
      <c r="AD738" t="s">
        <v>481</v>
      </c>
      <c r="AE738" t="s">
        <v>189</v>
      </c>
      <c r="AF738" t="s">
        <v>1254</v>
      </c>
      <c r="AG738" t="s">
        <v>196</v>
      </c>
      <c r="AH738" s="93">
        <f>VLOOKUP(Table1[[#This Row],[Caste]],Factor!$H$1:$K$13,4,0)</f>
        <v>1.3836274505214585</v>
      </c>
      <c r="AI738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738">
        <f>Table1[[#This Row],[Factor_1]]*Table1[[#This Row],[2024 Factor]]</f>
        <v>3.4809023142961388</v>
      </c>
      <c r="AK738">
        <f>VLOOKUP(Table1[[#This Row],[Q18: Gender]],Factor!$A$33:$E$35,5,0)</f>
        <v>2.1645021645021645</v>
      </c>
      <c r="AL738">
        <f>VLOOKUP(Table1[[#This Row],[Taluka]],Factor!$A$42:$G$46,7,0)</f>
        <v>1.1213131007097483</v>
      </c>
      <c r="AM738">
        <f>VLOOKUP(Table1[[#This Row],[Caste]]&amp;Table1[[#This Row],[Q18: Gender]],Factor!$W$1:$X$23,2,0)</f>
        <v>1.9278542477265657</v>
      </c>
      <c r="AN738">
        <f>VLOOKUP(Table1[[#This Row],[Taluka]]&amp;Table1[[#This Row],[Caste]]&amp;Table1[[#This Row],[Q18: Gender]],Factor!$AK$4:$AL$93,2,0)</f>
        <v>1.2302776805571209</v>
      </c>
      <c r="AO738">
        <f t="shared" si="121"/>
        <v>-1</v>
      </c>
      <c r="AP738">
        <f t="shared" si="122"/>
        <v>1</v>
      </c>
      <c r="AQ738">
        <f t="shared" si="123"/>
        <v>1</v>
      </c>
      <c r="AR738">
        <f t="shared" si="124"/>
        <v>1</v>
      </c>
      <c r="AS738">
        <f t="shared" si="125"/>
        <v>1</v>
      </c>
      <c r="AT738">
        <f t="shared" si="126"/>
        <v>-1</v>
      </c>
      <c r="AU738">
        <f t="shared" si="127"/>
        <v>1.5</v>
      </c>
      <c r="AV738">
        <f>SUM(Table1[[#This Row],[Satis]:[29]])</f>
        <v>2</v>
      </c>
      <c r="AW738">
        <f t="shared" si="128"/>
        <v>1</v>
      </c>
      <c r="AX738">
        <f t="shared" si="129"/>
        <v>2</v>
      </c>
      <c r="AY738">
        <f t="shared" si="130"/>
        <v>-2</v>
      </c>
      <c r="AZ738" t="str">
        <f t="shared" si="131"/>
        <v>Neutral TDP</v>
      </c>
    </row>
    <row r="739" spans="1:52" x14ac:dyDescent="0.3">
      <c r="A739" s="94" t="s">
        <v>4124</v>
      </c>
      <c r="B739" s="94">
        <v>46047</v>
      </c>
      <c r="C739" t="s">
        <v>4125</v>
      </c>
      <c r="D739" t="s">
        <v>4126</v>
      </c>
      <c r="E739" t="s">
        <v>4127</v>
      </c>
      <c r="F739" t="s">
        <v>240</v>
      </c>
      <c r="G739" t="s">
        <v>39</v>
      </c>
      <c r="H739" t="s">
        <v>4128</v>
      </c>
      <c r="I739" t="s">
        <v>59</v>
      </c>
      <c r="J739" t="s">
        <v>71</v>
      </c>
      <c r="K739" t="s">
        <v>218</v>
      </c>
      <c r="L739" t="s">
        <v>451</v>
      </c>
      <c r="M739" t="s">
        <v>51</v>
      </c>
      <c r="N739" t="s">
        <v>63</v>
      </c>
      <c r="O739" t="s">
        <v>4129</v>
      </c>
      <c r="P739">
        <v>7013403145</v>
      </c>
      <c r="Q739" t="s">
        <v>445</v>
      </c>
      <c r="R739" t="s">
        <v>2116</v>
      </c>
      <c r="S739" t="s">
        <v>43</v>
      </c>
      <c r="T739" t="s">
        <v>43</v>
      </c>
      <c r="U739" t="s">
        <v>44</v>
      </c>
      <c r="V739" t="s">
        <v>45</v>
      </c>
      <c r="W739" t="s">
        <v>5054</v>
      </c>
      <c r="X739" t="s">
        <v>45</v>
      </c>
      <c r="Y739" t="s">
        <v>46</v>
      </c>
      <c r="Z739" t="s">
        <v>47</v>
      </c>
      <c r="AA739" t="s">
        <v>48</v>
      </c>
      <c r="AB739" t="s">
        <v>49</v>
      </c>
      <c r="AC739" t="s">
        <v>49</v>
      </c>
      <c r="AD739" t="s">
        <v>184</v>
      </c>
      <c r="AE739" t="s">
        <v>185</v>
      </c>
      <c r="AF739">
        <v>0</v>
      </c>
      <c r="AG739" t="s">
        <v>196</v>
      </c>
      <c r="AH739" s="93">
        <f>VLOOKUP(Table1[[#This Row],[Caste]],Factor!$H$1:$K$13,4,0)</f>
        <v>1.1461625511156397</v>
      </c>
      <c r="AI73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39">
        <f>Table1[[#This Row],[Factor_1]]*Table1[[#This Row],[2024 Factor]]</f>
        <v>3.0326483876590018</v>
      </c>
      <c r="AK739">
        <f>VLOOKUP(Table1[[#This Row],[Q18: Gender]],Factor!$A$33:$E$35,5,0)</f>
        <v>2.1645021645021645</v>
      </c>
      <c r="AL739">
        <f>VLOOKUP(Table1[[#This Row],[Taluka]],Factor!$A$42:$G$46,7,0)</f>
        <v>1.1213131007097483</v>
      </c>
      <c r="AM739">
        <f>VLOOKUP(Table1[[#This Row],[Caste]]&amp;Table1[[#This Row],[Q18: Gender]],Factor!$W$1:$X$23,2,0)</f>
        <v>2.8092219390089208</v>
      </c>
      <c r="AN739">
        <f>VLOOKUP(Table1[[#This Row],[Taluka]]&amp;Table1[[#This Row],[Caste]]&amp;Table1[[#This Row],[Q18: Gender]],Factor!$AK$4:$AL$93,2,0)</f>
        <v>1.8020838461961379</v>
      </c>
      <c r="AO739">
        <f t="shared" si="121"/>
        <v>-1</v>
      </c>
      <c r="AP739">
        <f t="shared" si="122"/>
        <v>-1</v>
      </c>
      <c r="AQ739">
        <f t="shared" si="123"/>
        <v>-1</v>
      </c>
      <c r="AR739">
        <f t="shared" si="124"/>
        <v>-1</v>
      </c>
      <c r="AS739">
        <f t="shared" si="125"/>
        <v>-1</v>
      </c>
      <c r="AT739">
        <f t="shared" si="126"/>
        <v>-1</v>
      </c>
      <c r="AU739">
        <f t="shared" si="127"/>
        <v>-5.5</v>
      </c>
      <c r="AV739">
        <f>SUM(Table1[[#This Row],[Satis]:[29]])</f>
        <v>-6</v>
      </c>
      <c r="AW739">
        <f t="shared" si="128"/>
        <v>-5</v>
      </c>
      <c r="AX739">
        <f t="shared" si="129"/>
        <v>-4</v>
      </c>
      <c r="AY739">
        <f t="shared" si="130"/>
        <v>-3</v>
      </c>
      <c r="AZ739" t="str">
        <f t="shared" si="131"/>
        <v>TDP HardCore</v>
      </c>
    </row>
    <row r="740" spans="1:52" x14ac:dyDescent="0.3">
      <c r="A740" s="94" t="s">
        <v>4130</v>
      </c>
      <c r="B740" s="94">
        <v>46047</v>
      </c>
      <c r="C740" t="s">
        <v>4131</v>
      </c>
      <c r="D740" t="s">
        <v>4132</v>
      </c>
      <c r="E740" t="s">
        <v>4133</v>
      </c>
      <c r="F740" t="s">
        <v>240</v>
      </c>
      <c r="G740" t="s">
        <v>39</v>
      </c>
      <c r="H740" t="s">
        <v>4134</v>
      </c>
      <c r="I740" t="s">
        <v>59</v>
      </c>
      <c r="J740" t="s">
        <v>71</v>
      </c>
      <c r="K740" t="s">
        <v>218</v>
      </c>
      <c r="L740" t="s">
        <v>62</v>
      </c>
      <c r="M740" t="s">
        <v>51</v>
      </c>
      <c r="N740" t="s">
        <v>107</v>
      </c>
      <c r="O740" t="s">
        <v>4135</v>
      </c>
      <c r="P740">
        <v>9963970036</v>
      </c>
      <c r="Q740" t="s">
        <v>54</v>
      </c>
      <c r="R740" t="s">
        <v>61</v>
      </c>
      <c r="S740" t="s">
        <v>43</v>
      </c>
      <c r="T740" t="s">
        <v>43</v>
      </c>
      <c r="U740" t="s">
        <v>90</v>
      </c>
      <c r="V740" t="s">
        <v>45</v>
      </c>
      <c r="W740" t="s">
        <v>5051</v>
      </c>
      <c r="X740" t="s">
        <v>45</v>
      </c>
      <c r="Y740" t="s">
        <v>46</v>
      </c>
      <c r="Z740" t="s">
        <v>47</v>
      </c>
      <c r="AA740" t="s">
        <v>48</v>
      </c>
      <c r="AB740" t="s">
        <v>49</v>
      </c>
      <c r="AC740" t="s">
        <v>49</v>
      </c>
      <c r="AD740" t="s">
        <v>184</v>
      </c>
      <c r="AE740" t="s">
        <v>185</v>
      </c>
      <c r="AF740">
        <v>0</v>
      </c>
      <c r="AG740" t="s">
        <v>196</v>
      </c>
      <c r="AH740" s="93">
        <f>VLOOKUP(Table1[[#This Row],[Caste]],Factor!$H$1:$K$13,4,0)</f>
        <v>1.1461625511156397</v>
      </c>
      <c r="AI74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40">
        <f>Table1[[#This Row],[Factor_1]]*Table1[[#This Row],[2024 Factor]]</f>
        <v>0.77721139583220644</v>
      </c>
      <c r="AK740">
        <f>VLOOKUP(Table1[[#This Row],[Q18: Gender]],Factor!$A$33:$E$35,5,0)</f>
        <v>0.85034013605442171</v>
      </c>
      <c r="AL740">
        <f>VLOOKUP(Table1[[#This Row],[Taluka]],Factor!$A$42:$G$46,7,0)</f>
        <v>1.1213131007097483</v>
      </c>
      <c r="AM740">
        <f>VLOOKUP(Table1[[#This Row],[Caste]]&amp;Table1[[#This Row],[Q18: Gender]],Factor!$W$1:$X$23,2,0)</f>
        <v>0.71995135120329123</v>
      </c>
      <c r="AN740">
        <f>VLOOKUP(Table1[[#This Row],[Taluka]]&amp;Table1[[#This Row],[Caste]]&amp;Table1[[#This Row],[Q18: Gender]],Factor!$AK$4:$AL$93,2,0)</f>
        <v>1.3370299504035861</v>
      </c>
      <c r="AO740">
        <f t="shared" si="121"/>
        <v>-1</v>
      </c>
      <c r="AP740">
        <f t="shared" si="122"/>
        <v>1</v>
      </c>
      <c r="AQ740">
        <f t="shared" si="123"/>
        <v>-1</v>
      </c>
      <c r="AR740">
        <f t="shared" si="124"/>
        <v>-1</v>
      </c>
      <c r="AS740">
        <f t="shared" si="125"/>
        <v>-1</v>
      </c>
      <c r="AT740">
        <f t="shared" si="126"/>
        <v>-1</v>
      </c>
      <c r="AU740">
        <f t="shared" si="127"/>
        <v>-3.5</v>
      </c>
      <c r="AV740">
        <f>SUM(Table1[[#This Row],[Satis]:[29]])</f>
        <v>-4</v>
      </c>
      <c r="AW740">
        <f t="shared" si="128"/>
        <v>-5</v>
      </c>
      <c r="AX740">
        <f t="shared" si="129"/>
        <v>-4</v>
      </c>
      <c r="AY740">
        <f t="shared" si="130"/>
        <v>-3</v>
      </c>
      <c r="AZ740" t="str">
        <f t="shared" si="131"/>
        <v>TDP Sympathiser</v>
      </c>
    </row>
    <row r="741" spans="1:52" x14ac:dyDescent="0.3">
      <c r="A741" s="94" t="s">
        <v>4312</v>
      </c>
      <c r="B741" s="94">
        <v>46047</v>
      </c>
      <c r="C741" t="s">
        <v>4313</v>
      </c>
      <c r="D741" t="s">
        <v>4314</v>
      </c>
      <c r="E741" t="s">
        <v>4299</v>
      </c>
      <c r="F741" t="s">
        <v>35</v>
      </c>
      <c r="G741" t="s">
        <v>39</v>
      </c>
      <c r="H741" t="s">
        <v>4315</v>
      </c>
      <c r="I741" t="s">
        <v>70</v>
      </c>
      <c r="J741" t="s">
        <v>71</v>
      </c>
      <c r="K741" t="s">
        <v>216</v>
      </c>
      <c r="L741" t="s">
        <v>62</v>
      </c>
      <c r="M741" t="s">
        <v>51</v>
      </c>
      <c r="N741" t="s">
        <v>63</v>
      </c>
      <c r="O741" t="s">
        <v>4316</v>
      </c>
      <c r="P741">
        <v>0</v>
      </c>
      <c r="Q741" t="s">
        <v>54</v>
      </c>
      <c r="R741" t="s">
        <v>61</v>
      </c>
      <c r="S741" t="s">
        <v>43</v>
      </c>
      <c r="T741" t="s">
        <v>43</v>
      </c>
      <c r="U741" t="s">
        <v>90</v>
      </c>
      <c r="V741" t="s">
        <v>91</v>
      </c>
      <c r="W741" t="s">
        <v>5059</v>
      </c>
      <c r="X741" t="s">
        <v>45</v>
      </c>
      <c r="Y741" t="s">
        <v>46</v>
      </c>
      <c r="Z741" t="s">
        <v>47</v>
      </c>
      <c r="AA741" t="s">
        <v>48</v>
      </c>
      <c r="AB741" t="s">
        <v>49</v>
      </c>
      <c r="AC741" t="s">
        <v>49</v>
      </c>
      <c r="AD741" t="s">
        <v>481</v>
      </c>
      <c r="AE741" t="s">
        <v>1250</v>
      </c>
      <c r="AF741">
        <v>0</v>
      </c>
      <c r="AG741" t="s">
        <v>498</v>
      </c>
      <c r="AH741" s="93">
        <f>VLOOKUP(Table1[[#This Row],[Caste]],Factor!$H$1:$K$13,4,0)</f>
        <v>1.3836274505214585</v>
      </c>
      <c r="AI74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41">
        <f>Table1[[#This Row],[Factor_1]]*Table1[[#This Row],[2024 Factor]]</f>
        <v>1.1648410586678206</v>
      </c>
      <c r="AK741">
        <f>VLOOKUP(Table1[[#This Row],[Q18: Gender]],Factor!$A$33:$E$35,5,0)</f>
        <v>0.85034013605442171</v>
      </c>
      <c r="AL741">
        <f>VLOOKUP(Table1[[#This Row],[Taluka]],Factor!$A$42:$G$46,7,0)</f>
        <v>1.1213131007097483</v>
      </c>
      <c r="AM741">
        <f>VLOOKUP(Table1[[#This Row],[Caste]]&amp;Table1[[#This Row],[Q18: Gender]],Factor!$W$1:$X$23,2,0)</f>
        <v>1.0790228998469584</v>
      </c>
      <c r="AN741">
        <f>VLOOKUP(Table1[[#This Row],[Taluka]]&amp;Table1[[#This Row],[Caste]]&amp;Table1[[#This Row],[Q18: Gender]],Factor!$AK$4:$AL$93,2,0)</f>
        <v>0.90933567693352424</v>
      </c>
      <c r="AO741">
        <f t="shared" si="121"/>
        <v>-1</v>
      </c>
      <c r="AP741">
        <f t="shared" si="122"/>
        <v>1</v>
      </c>
      <c r="AQ741">
        <f t="shared" si="123"/>
        <v>1</v>
      </c>
      <c r="AR741">
        <f t="shared" si="124"/>
        <v>-1</v>
      </c>
      <c r="AS741">
        <f t="shared" si="125"/>
        <v>-1</v>
      </c>
      <c r="AT741">
        <f t="shared" si="126"/>
        <v>-1</v>
      </c>
      <c r="AU741">
        <f t="shared" si="127"/>
        <v>-1.5</v>
      </c>
      <c r="AV741">
        <f>SUM(Table1[[#This Row],[Satis]:[29]])</f>
        <v>-2</v>
      </c>
      <c r="AW741">
        <f t="shared" si="128"/>
        <v>-3</v>
      </c>
      <c r="AX741">
        <f t="shared" si="129"/>
        <v>-2</v>
      </c>
      <c r="AY741">
        <f t="shared" si="130"/>
        <v>-3</v>
      </c>
      <c r="AZ741" t="str">
        <f t="shared" si="131"/>
        <v>Neutral TDP</v>
      </c>
    </row>
    <row r="742" spans="1:52" x14ac:dyDescent="0.3">
      <c r="A742" s="94" t="s">
        <v>4317</v>
      </c>
      <c r="B742" s="94">
        <v>46047</v>
      </c>
      <c r="C742" t="s">
        <v>4318</v>
      </c>
      <c r="D742" t="s">
        <v>4319</v>
      </c>
      <c r="E742" t="s">
        <v>4299</v>
      </c>
      <c r="F742" t="s">
        <v>35</v>
      </c>
      <c r="G742" t="s">
        <v>39</v>
      </c>
      <c r="H742" t="s">
        <v>4320</v>
      </c>
      <c r="I742" t="s">
        <v>36</v>
      </c>
      <c r="J742" t="s">
        <v>71</v>
      </c>
      <c r="K742" t="s">
        <v>213</v>
      </c>
      <c r="L742" t="s">
        <v>82</v>
      </c>
      <c r="M742" t="s">
        <v>51</v>
      </c>
      <c r="N742" t="s">
        <v>52</v>
      </c>
      <c r="O742" t="s">
        <v>4321</v>
      </c>
      <c r="P742">
        <v>0</v>
      </c>
      <c r="Q742" t="s">
        <v>54</v>
      </c>
      <c r="R742" t="s">
        <v>61</v>
      </c>
      <c r="S742" t="s">
        <v>43</v>
      </c>
      <c r="T742" t="s">
        <v>43</v>
      </c>
      <c r="U742" t="s">
        <v>44</v>
      </c>
      <c r="V742" t="s">
        <v>45</v>
      </c>
      <c r="W742" t="s">
        <v>5110</v>
      </c>
      <c r="X742" t="s">
        <v>45</v>
      </c>
      <c r="Y742" t="s">
        <v>638</v>
      </c>
      <c r="Z742" t="s">
        <v>47</v>
      </c>
      <c r="AA742" t="s">
        <v>48</v>
      </c>
      <c r="AB742" t="s">
        <v>49</v>
      </c>
      <c r="AC742" t="s">
        <v>49</v>
      </c>
      <c r="AD742" t="s">
        <v>481</v>
      </c>
      <c r="AE742" t="s">
        <v>1250</v>
      </c>
      <c r="AF742">
        <v>0</v>
      </c>
      <c r="AG742" t="s">
        <v>498</v>
      </c>
      <c r="AH742" s="93">
        <f>VLOOKUP(Table1[[#This Row],[Caste]],Factor!$H$1:$K$13,4,0)</f>
        <v>1.1705128247062893</v>
      </c>
      <c r="AI74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42">
        <f>Table1[[#This Row],[Factor_1]]*Table1[[#This Row],[2024 Factor]]</f>
        <v>0.86308903171383233</v>
      </c>
      <c r="AK742">
        <f>VLOOKUP(Table1[[#This Row],[Q18: Gender]],Factor!$A$33:$E$35,5,0)</f>
        <v>0.85034013605442171</v>
      </c>
      <c r="AL742">
        <f>VLOOKUP(Table1[[#This Row],[Taluka]],Factor!$A$42:$G$46,7,0)</f>
        <v>1.1213131007097483</v>
      </c>
      <c r="AM742">
        <f>VLOOKUP(Table1[[#This Row],[Caste]]&amp;Table1[[#This Row],[Q18: Gender]],Factor!$W$1:$X$23,2,0)</f>
        <v>0.79950206330384943</v>
      </c>
      <c r="AN742">
        <f>VLOOKUP(Table1[[#This Row],[Taluka]]&amp;Table1[[#This Row],[Caste]]&amp;Table1[[#This Row],[Q18: Gender]],Factor!$AK$4:$AL$93,2,0)</f>
        <v>0.7401439088249181</v>
      </c>
      <c r="AO742">
        <f t="shared" si="121"/>
        <v>-1</v>
      </c>
      <c r="AP742">
        <f t="shared" si="122"/>
        <v>-1</v>
      </c>
      <c r="AQ742">
        <f t="shared" si="123"/>
        <v>-1</v>
      </c>
      <c r="AR742">
        <f t="shared" si="124"/>
        <v>-1</v>
      </c>
      <c r="AS742">
        <f t="shared" si="125"/>
        <v>-1</v>
      </c>
      <c r="AT742">
        <f t="shared" si="126"/>
        <v>-1</v>
      </c>
      <c r="AU742">
        <f t="shared" si="127"/>
        <v>-5.5</v>
      </c>
      <c r="AV742">
        <f>SUM(Table1[[#This Row],[Satis]:[29]])</f>
        <v>-6</v>
      </c>
      <c r="AW742">
        <f t="shared" si="128"/>
        <v>-5</v>
      </c>
      <c r="AX742">
        <f t="shared" si="129"/>
        <v>-4</v>
      </c>
      <c r="AY742">
        <f t="shared" si="130"/>
        <v>-3</v>
      </c>
      <c r="AZ742" t="str">
        <f t="shared" si="131"/>
        <v>TDP HardCore</v>
      </c>
    </row>
    <row r="743" spans="1:52" x14ac:dyDescent="0.3">
      <c r="A743" s="94" t="s">
        <v>4136</v>
      </c>
      <c r="B743" s="94">
        <v>46047</v>
      </c>
      <c r="C743" t="s">
        <v>4137</v>
      </c>
      <c r="D743" t="s">
        <v>4138</v>
      </c>
      <c r="E743" t="s">
        <v>4127</v>
      </c>
      <c r="F743" t="s">
        <v>240</v>
      </c>
      <c r="G743" t="s">
        <v>39</v>
      </c>
      <c r="H743" t="s">
        <v>4139</v>
      </c>
      <c r="I743" t="s">
        <v>70</v>
      </c>
      <c r="J743" t="s">
        <v>71</v>
      </c>
      <c r="K743" t="s">
        <v>218</v>
      </c>
      <c r="L743" t="s">
        <v>82</v>
      </c>
      <c r="M743" t="s">
        <v>443</v>
      </c>
      <c r="N743" t="s">
        <v>52</v>
      </c>
      <c r="O743" t="s">
        <v>4140</v>
      </c>
      <c r="P743">
        <v>9989183050</v>
      </c>
      <c r="Q743" t="s">
        <v>54</v>
      </c>
      <c r="R743" t="s">
        <v>132</v>
      </c>
      <c r="S743" t="s">
        <v>43</v>
      </c>
      <c r="T743" t="s">
        <v>43</v>
      </c>
      <c r="U743" t="s">
        <v>44</v>
      </c>
      <c r="V743" t="s">
        <v>45</v>
      </c>
      <c r="W743" t="s">
        <v>5062</v>
      </c>
      <c r="X743" t="s">
        <v>45</v>
      </c>
      <c r="Y743" t="s">
        <v>46</v>
      </c>
      <c r="Z743" t="s">
        <v>47</v>
      </c>
      <c r="AA743" t="s">
        <v>48</v>
      </c>
      <c r="AB743" t="s">
        <v>49</v>
      </c>
      <c r="AC743" t="s">
        <v>49</v>
      </c>
      <c r="AD743" t="s">
        <v>184</v>
      </c>
      <c r="AE743" t="s">
        <v>185</v>
      </c>
      <c r="AF743" t="s">
        <v>4141</v>
      </c>
      <c r="AG743" t="s">
        <v>196</v>
      </c>
      <c r="AH743" s="93">
        <f>VLOOKUP(Table1[[#This Row],[Caste]],Factor!$H$1:$K$13,4,0)</f>
        <v>1.3836274505214585</v>
      </c>
      <c r="AI74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43">
        <f>Table1[[#This Row],[Factor_1]]*Table1[[#This Row],[2024 Factor]]</f>
        <v>1.1648410586678206</v>
      </c>
      <c r="AK743">
        <f>VLOOKUP(Table1[[#This Row],[Q18: Gender]],Factor!$A$33:$E$35,5,0)</f>
        <v>0.85034013605442171</v>
      </c>
      <c r="AL743">
        <f>VLOOKUP(Table1[[#This Row],[Taluka]],Factor!$A$42:$G$46,7,0)</f>
        <v>1.1213131007097483</v>
      </c>
      <c r="AM743">
        <f>VLOOKUP(Table1[[#This Row],[Caste]]&amp;Table1[[#This Row],[Q18: Gender]],Factor!$W$1:$X$23,2,0)</f>
        <v>1.0790228998469584</v>
      </c>
      <c r="AN743">
        <f>VLOOKUP(Table1[[#This Row],[Taluka]]&amp;Table1[[#This Row],[Caste]]&amp;Table1[[#This Row],[Q18: Gender]],Factor!$AK$4:$AL$93,2,0)</f>
        <v>0.90933567693352424</v>
      </c>
      <c r="AO743">
        <f t="shared" si="121"/>
        <v>-1</v>
      </c>
      <c r="AP743">
        <f t="shared" si="122"/>
        <v>-1</v>
      </c>
      <c r="AQ743">
        <f t="shared" si="123"/>
        <v>-1</v>
      </c>
      <c r="AR743">
        <f t="shared" si="124"/>
        <v>-1</v>
      </c>
      <c r="AS743">
        <f t="shared" si="125"/>
        <v>-1</v>
      </c>
      <c r="AT743">
        <f t="shared" si="126"/>
        <v>-1</v>
      </c>
      <c r="AU743">
        <f t="shared" si="127"/>
        <v>-5.5</v>
      </c>
      <c r="AV743">
        <f>SUM(Table1[[#This Row],[Satis]:[29]])</f>
        <v>-6</v>
      </c>
      <c r="AW743">
        <f t="shared" si="128"/>
        <v>-5</v>
      </c>
      <c r="AX743">
        <f t="shared" si="129"/>
        <v>-4</v>
      </c>
      <c r="AY743">
        <f t="shared" si="130"/>
        <v>-3</v>
      </c>
      <c r="AZ743" t="str">
        <f t="shared" si="131"/>
        <v>TDP HardCore</v>
      </c>
    </row>
    <row r="744" spans="1:52" x14ac:dyDescent="0.3">
      <c r="A744" s="94" t="s">
        <v>4142</v>
      </c>
      <c r="B744" s="94">
        <v>46047</v>
      </c>
      <c r="C744" t="s">
        <v>4143</v>
      </c>
      <c r="D744" t="s">
        <v>4144</v>
      </c>
      <c r="E744" t="s">
        <v>4145</v>
      </c>
      <c r="F744" t="s">
        <v>240</v>
      </c>
      <c r="G744" t="s">
        <v>39</v>
      </c>
      <c r="H744" t="s">
        <v>4146</v>
      </c>
      <c r="I744" t="s">
        <v>59</v>
      </c>
      <c r="J744" t="s">
        <v>71</v>
      </c>
      <c r="K744" t="s">
        <v>218</v>
      </c>
      <c r="L744" t="s">
        <v>62</v>
      </c>
      <c r="M744" t="s">
        <v>51</v>
      </c>
      <c r="N744" t="s">
        <v>52</v>
      </c>
      <c r="O744" t="s">
        <v>651</v>
      </c>
      <c r="P744">
        <v>8019741088</v>
      </c>
      <c r="Q744" t="s">
        <v>54</v>
      </c>
      <c r="R744" t="s">
        <v>2116</v>
      </c>
      <c r="S744" t="s">
        <v>88</v>
      </c>
      <c r="T744" t="s">
        <v>43</v>
      </c>
      <c r="U744" t="s">
        <v>90</v>
      </c>
      <c r="V744" t="s">
        <v>91</v>
      </c>
      <c r="W744" t="s">
        <v>5054</v>
      </c>
      <c r="X744" t="s">
        <v>45</v>
      </c>
      <c r="Y744" t="s">
        <v>46</v>
      </c>
      <c r="Z744" t="s">
        <v>242</v>
      </c>
      <c r="AA744" t="s">
        <v>48</v>
      </c>
      <c r="AB744" t="s">
        <v>49</v>
      </c>
      <c r="AC744" t="s">
        <v>49</v>
      </c>
      <c r="AD744" t="s">
        <v>184</v>
      </c>
      <c r="AE744" t="s">
        <v>185</v>
      </c>
      <c r="AF744">
        <v>0</v>
      </c>
      <c r="AG744" t="s">
        <v>196</v>
      </c>
      <c r="AH744" s="93">
        <f>VLOOKUP(Table1[[#This Row],[Caste]],Factor!$H$1:$K$13,4,0)</f>
        <v>1.1461625511156397</v>
      </c>
      <c r="AI74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44">
        <f>Table1[[#This Row],[Factor_1]]*Table1[[#This Row],[2024 Factor]]</f>
        <v>0.77721139583220644</v>
      </c>
      <c r="AK744">
        <f>VLOOKUP(Table1[[#This Row],[Q18: Gender]],Factor!$A$33:$E$35,5,0)</f>
        <v>0.85034013605442171</v>
      </c>
      <c r="AL744">
        <f>VLOOKUP(Table1[[#This Row],[Taluka]],Factor!$A$42:$G$46,7,0)</f>
        <v>1.1213131007097483</v>
      </c>
      <c r="AM744">
        <f>VLOOKUP(Table1[[#This Row],[Caste]]&amp;Table1[[#This Row],[Q18: Gender]],Factor!$W$1:$X$23,2,0)</f>
        <v>0.71995135120329123</v>
      </c>
      <c r="AN744">
        <f>VLOOKUP(Table1[[#This Row],[Taluka]]&amp;Table1[[#This Row],[Caste]]&amp;Table1[[#This Row],[Q18: Gender]],Factor!$AK$4:$AL$93,2,0)</f>
        <v>1.3370299504035861</v>
      </c>
      <c r="AO744">
        <f t="shared" si="121"/>
        <v>-1</v>
      </c>
      <c r="AP744">
        <f t="shared" si="122"/>
        <v>1</v>
      </c>
      <c r="AQ744">
        <f t="shared" si="123"/>
        <v>1</v>
      </c>
      <c r="AR744">
        <f t="shared" si="124"/>
        <v>-1</v>
      </c>
      <c r="AS744">
        <f t="shared" si="125"/>
        <v>-1</v>
      </c>
      <c r="AT744">
        <f t="shared" si="126"/>
        <v>-1</v>
      </c>
      <c r="AU744">
        <f t="shared" si="127"/>
        <v>-1.5</v>
      </c>
      <c r="AV744">
        <f>SUM(Table1[[#This Row],[Satis]:[29]])</f>
        <v>-2</v>
      </c>
      <c r="AW744">
        <f t="shared" si="128"/>
        <v>-3</v>
      </c>
      <c r="AX744">
        <f t="shared" si="129"/>
        <v>-2</v>
      </c>
      <c r="AY744">
        <f t="shared" si="130"/>
        <v>-3</v>
      </c>
      <c r="AZ744" t="str">
        <f t="shared" si="131"/>
        <v>Neutral TDP</v>
      </c>
    </row>
    <row r="745" spans="1:52" x14ac:dyDescent="0.3">
      <c r="A745" s="94" t="s">
        <v>4147</v>
      </c>
      <c r="B745" s="94">
        <v>46047</v>
      </c>
      <c r="C745" t="s">
        <v>4148</v>
      </c>
      <c r="D745" t="s">
        <v>4149</v>
      </c>
      <c r="E745" t="s">
        <v>4150</v>
      </c>
      <c r="F745" t="s">
        <v>240</v>
      </c>
      <c r="G745" t="s">
        <v>39</v>
      </c>
      <c r="H745" t="s">
        <v>4151</v>
      </c>
      <c r="I745" t="s">
        <v>59</v>
      </c>
      <c r="J745" t="s">
        <v>71</v>
      </c>
      <c r="K745" t="s">
        <v>218</v>
      </c>
      <c r="L745" t="s">
        <v>451</v>
      </c>
      <c r="M745" t="s">
        <v>51</v>
      </c>
      <c r="N745" t="s">
        <v>52</v>
      </c>
      <c r="O745" t="s">
        <v>4152</v>
      </c>
      <c r="P745">
        <v>999999999</v>
      </c>
      <c r="Q745" t="s">
        <v>445</v>
      </c>
      <c r="R745" t="s">
        <v>2116</v>
      </c>
      <c r="S745" t="s">
        <v>43</v>
      </c>
      <c r="T745" t="s">
        <v>43</v>
      </c>
      <c r="U745" t="s">
        <v>90</v>
      </c>
      <c r="V745" t="s">
        <v>45</v>
      </c>
      <c r="W745" t="s">
        <v>5069</v>
      </c>
      <c r="X745" t="s">
        <v>45</v>
      </c>
      <c r="Y745" t="s">
        <v>46</v>
      </c>
      <c r="Z745" t="s">
        <v>47</v>
      </c>
      <c r="AA745" t="s">
        <v>48</v>
      </c>
      <c r="AB745" t="s">
        <v>49</v>
      </c>
      <c r="AC745" t="s">
        <v>49</v>
      </c>
      <c r="AD745" t="s">
        <v>184</v>
      </c>
      <c r="AE745" t="s">
        <v>185</v>
      </c>
      <c r="AF745">
        <v>0</v>
      </c>
      <c r="AG745" t="s">
        <v>196</v>
      </c>
      <c r="AH745" s="93">
        <f>VLOOKUP(Table1[[#This Row],[Caste]],Factor!$H$1:$K$13,4,0)</f>
        <v>1.1461625511156397</v>
      </c>
      <c r="AI74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45">
        <f>Table1[[#This Row],[Factor_1]]*Table1[[#This Row],[2024 Factor]]</f>
        <v>3.0326483876590018</v>
      </c>
      <c r="AK745">
        <f>VLOOKUP(Table1[[#This Row],[Q18: Gender]],Factor!$A$33:$E$35,5,0)</f>
        <v>2.1645021645021645</v>
      </c>
      <c r="AL745">
        <f>VLOOKUP(Table1[[#This Row],[Taluka]],Factor!$A$42:$G$46,7,0)</f>
        <v>1.1213131007097483</v>
      </c>
      <c r="AM745">
        <f>VLOOKUP(Table1[[#This Row],[Caste]]&amp;Table1[[#This Row],[Q18: Gender]],Factor!$W$1:$X$23,2,0)</f>
        <v>2.8092219390089208</v>
      </c>
      <c r="AN745">
        <f>VLOOKUP(Table1[[#This Row],[Taluka]]&amp;Table1[[#This Row],[Caste]]&amp;Table1[[#This Row],[Q18: Gender]],Factor!$AK$4:$AL$93,2,0)</f>
        <v>1.8020838461961379</v>
      </c>
      <c r="AO745">
        <f t="shared" si="121"/>
        <v>-1</v>
      </c>
      <c r="AP745">
        <f t="shared" si="122"/>
        <v>1</v>
      </c>
      <c r="AQ745">
        <f t="shared" si="123"/>
        <v>-1</v>
      </c>
      <c r="AR745">
        <f t="shared" si="124"/>
        <v>-1</v>
      </c>
      <c r="AS745">
        <f t="shared" si="125"/>
        <v>-1</v>
      </c>
      <c r="AT745">
        <f t="shared" si="126"/>
        <v>-1</v>
      </c>
      <c r="AU745">
        <f t="shared" si="127"/>
        <v>-3.5</v>
      </c>
      <c r="AV745">
        <f>SUM(Table1[[#This Row],[Satis]:[29]])</f>
        <v>-4</v>
      </c>
      <c r="AW745">
        <f t="shared" si="128"/>
        <v>-5</v>
      </c>
      <c r="AX745">
        <f t="shared" si="129"/>
        <v>-4</v>
      </c>
      <c r="AY745">
        <f t="shared" si="130"/>
        <v>-3</v>
      </c>
      <c r="AZ745" t="str">
        <f t="shared" si="131"/>
        <v>TDP Sympathiser</v>
      </c>
    </row>
    <row r="746" spans="1:52" x14ac:dyDescent="0.3">
      <c r="A746" s="94" t="s">
        <v>4285</v>
      </c>
      <c r="B746" s="94">
        <v>46047</v>
      </c>
      <c r="C746" t="s">
        <v>4286</v>
      </c>
      <c r="D746" t="s">
        <v>4287</v>
      </c>
      <c r="E746" t="s">
        <v>1197</v>
      </c>
      <c r="F746" t="s">
        <v>35</v>
      </c>
      <c r="G746" t="s">
        <v>39</v>
      </c>
      <c r="H746" t="s">
        <v>4288</v>
      </c>
      <c r="I746" t="s">
        <v>36</v>
      </c>
      <c r="J746" t="s">
        <v>71</v>
      </c>
      <c r="K746" t="s">
        <v>213</v>
      </c>
      <c r="L746" t="s">
        <v>62</v>
      </c>
      <c r="M746" t="s">
        <v>51</v>
      </c>
      <c r="N746" t="s">
        <v>63</v>
      </c>
      <c r="O746" t="s">
        <v>4289</v>
      </c>
      <c r="P746">
        <v>0</v>
      </c>
      <c r="Q746" t="s">
        <v>54</v>
      </c>
      <c r="R746" t="s">
        <v>2116</v>
      </c>
      <c r="S746" t="s">
        <v>43</v>
      </c>
      <c r="T746" t="s">
        <v>43</v>
      </c>
      <c r="U746" t="s">
        <v>44</v>
      </c>
      <c r="V746" t="s">
        <v>45</v>
      </c>
      <c r="W746" t="s">
        <v>5107</v>
      </c>
      <c r="X746" t="s">
        <v>45</v>
      </c>
      <c r="Y746" t="s">
        <v>638</v>
      </c>
      <c r="Z746" t="s">
        <v>47</v>
      </c>
      <c r="AA746" t="s">
        <v>48</v>
      </c>
      <c r="AB746" t="s">
        <v>49</v>
      </c>
      <c r="AC746" t="s">
        <v>49</v>
      </c>
      <c r="AD746" t="s">
        <v>481</v>
      </c>
      <c r="AE746" t="s">
        <v>1250</v>
      </c>
      <c r="AF746">
        <v>0</v>
      </c>
      <c r="AG746" t="s">
        <v>498</v>
      </c>
      <c r="AH746" s="93">
        <f>VLOOKUP(Table1[[#This Row],[Caste]],Factor!$H$1:$K$13,4,0)</f>
        <v>1.1705128247062893</v>
      </c>
      <c r="AI74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46">
        <f>Table1[[#This Row],[Factor_1]]*Table1[[#This Row],[2024 Factor]]</f>
        <v>0.86308903171383233</v>
      </c>
      <c r="AK746">
        <f>VLOOKUP(Table1[[#This Row],[Q18: Gender]],Factor!$A$33:$E$35,5,0)</f>
        <v>0.85034013605442171</v>
      </c>
      <c r="AL746">
        <f>VLOOKUP(Table1[[#This Row],[Taluka]],Factor!$A$42:$G$46,7,0)</f>
        <v>1.1213131007097483</v>
      </c>
      <c r="AM746">
        <f>VLOOKUP(Table1[[#This Row],[Caste]]&amp;Table1[[#This Row],[Q18: Gender]],Factor!$W$1:$X$23,2,0)</f>
        <v>0.79950206330384943</v>
      </c>
      <c r="AN746">
        <f>VLOOKUP(Table1[[#This Row],[Taluka]]&amp;Table1[[#This Row],[Caste]]&amp;Table1[[#This Row],[Q18: Gender]],Factor!$AK$4:$AL$93,2,0)</f>
        <v>0.7401439088249181</v>
      </c>
      <c r="AO746">
        <f t="shared" si="121"/>
        <v>-1</v>
      </c>
      <c r="AP746">
        <f t="shared" si="122"/>
        <v>-1</v>
      </c>
      <c r="AQ746">
        <f t="shared" si="123"/>
        <v>-1</v>
      </c>
      <c r="AR746">
        <f t="shared" si="124"/>
        <v>-1</v>
      </c>
      <c r="AS746">
        <f t="shared" si="125"/>
        <v>-1</v>
      </c>
      <c r="AT746">
        <f t="shared" si="126"/>
        <v>-1</v>
      </c>
      <c r="AU746">
        <f t="shared" si="127"/>
        <v>-5.5</v>
      </c>
      <c r="AV746">
        <f>SUM(Table1[[#This Row],[Satis]:[29]])</f>
        <v>-6</v>
      </c>
      <c r="AW746">
        <f t="shared" si="128"/>
        <v>-5</v>
      </c>
      <c r="AX746">
        <f t="shared" si="129"/>
        <v>-4</v>
      </c>
      <c r="AY746">
        <f t="shared" si="130"/>
        <v>-3</v>
      </c>
      <c r="AZ746" t="str">
        <f t="shared" si="131"/>
        <v>TDP HardCore</v>
      </c>
    </row>
    <row r="747" spans="1:52" x14ac:dyDescent="0.3">
      <c r="A747" s="94" t="s">
        <v>4153</v>
      </c>
      <c r="B747" s="94">
        <v>46047</v>
      </c>
      <c r="C747" t="s">
        <v>4154</v>
      </c>
      <c r="D747" t="s">
        <v>4155</v>
      </c>
      <c r="E747" t="s">
        <v>4150</v>
      </c>
      <c r="F747" t="s">
        <v>240</v>
      </c>
      <c r="G747" t="s">
        <v>39</v>
      </c>
      <c r="H747" t="s">
        <v>4156</v>
      </c>
      <c r="I747" t="s">
        <v>36</v>
      </c>
      <c r="J747" t="s">
        <v>71</v>
      </c>
      <c r="K747" t="s">
        <v>218</v>
      </c>
      <c r="L747" t="s">
        <v>62</v>
      </c>
      <c r="M747" t="s">
        <v>51</v>
      </c>
      <c r="N747" t="s">
        <v>63</v>
      </c>
      <c r="O747" t="s">
        <v>4157</v>
      </c>
      <c r="P747">
        <v>9573896152</v>
      </c>
      <c r="Q747" t="s">
        <v>54</v>
      </c>
      <c r="R747" t="s">
        <v>61</v>
      </c>
      <c r="S747" t="s">
        <v>43</v>
      </c>
      <c r="T747" t="s">
        <v>43</v>
      </c>
      <c r="U747" t="s">
        <v>44</v>
      </c>
      <c r="V747" t="s">
        <v>45</v>
      </c>
      <c r="W747" t="s">
        <v>5058</v>
      </c>
      <c r="X747" t="s">
        <v>45</v>
      </c>
      <c r="Y747" t="s">
        <v>46</v>
      </c>
      <c r="Z747" t="s">
        <v>47</v>
      </c>
      <c r="AA747" t="s">
        <v>48</v>
      </c>
      <c r="AB747" t="s">
        <v>49</v>
      </c>
      <c r="AC747" t="s">
        <v>49</v>
      </c>
      <c r="AD747" t="s">
        <v>184</v>
      </c>
      <c r="AE747" t="s">
        <v>185</v>
      </c>
      <c r="AF747">
        <v>0</v>
      </c>
      <c r="AG747" t="s">
        <v>196</v>
      </c>
      <c r="AH747" s="93">
        <f>VLOOKUP(Table1[[#This Row],[Caste]],Factor!$H$1:$K$13,4,0)</f>
        <v>1.1705128247062893</v>
      </c>
      <c r="AI74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47">
        <f>Table1[[#This Row],[Factor_1]]*Table1[[#This Row],[2024 Factor]]</f>
        <v>0.86308903171383233</v>
      </c>
      <c r="AK747">
        <f>VLOOKUP(Table1[[#This Row],[Q18: Gender]],Factor!$A$33:$E$35,5,0)</f>
        <v>0.85034013605442171</v>
      </c>
      <c r="AL747">
        <f>VLOOKUP(Table1[[#This Row],[Taluka]],Factor!$A$42:$G$46,7,0)</f>
        <v>1.1213131007097483</v>
      </c>
      <c r="AM747">
        <f>VLOOKUP(Table1[[#This Row],[Caste]]&amp;Table1[[#This Row],[Q18: Gender]],Factor!$W$1:$X$23,2,0)</f>
        <v>0.79950206330384943</v>
      </c>
      <c r="AN747">
        <f>VLOOKUP(Table1[[#This Row],[Taluka]]&amp;Table1[[#This Row],[Caste]]&amp;Table1[[#This Row],[Q18: Gender]],Factor!$AK$4:$AL$93,2,0)</f>
        <v>0.7401439088249181</v>
      </c>
      <c r="AO747">
        <f t="shared" si="121"/>
        <v>-1</v>
      </c>
      <c r="AP747">
        <f t="shared" si="122"/>
        <v>-1</v>
      </c>
      <c r="AQ747">
        <f t="shared" si="123"/>
        <v>-1</v>
      </c>
      <c r="AR747">
        <f t="shared" si="124"/>
        <v>-1</v>
      </c>
      <c r="AS747">
        <f t="shared" si="125"/>
        <v>-1</v>
      </c>
      <c r="AT747">
        <f t="shared" si="126"/>
        <v>-1</v>
      </c>
      <c r="AU747">
        <f t="shared" si="127"/>
        <v>-5.5</v>
      </c>
      <c r="AV747">
        <f>SUM(Table1[[#This Row],[Satis]:[29]])</f>
        <v>-6</v>
      </c>
      <c r="AW747">
        <f t="shared" si="128"/>
        <v>-5</v>
      </c>
      <c r="AX747">
        <f t="shared" si="129"/>
        <v>-4</v>
      </c>
      <c r="AY747">
        <f t="shared" si="130"/>
        <v>-3</v>
      </c>
      <c r="AZ747" t="str">
        <f t="shared" si="131"/>
        <v>TDP HardCore</v>
      </c>
    </row>
    <row r="748" spans="1:52" x14ac:dyDescent="0.3">
      <c r="A748" s="94" t="s">
        <v>4158</v>
      </c>
      <c r="B748" s="94">
        <v>46047</v>
      </c>
      <c r="C748" t="s">
        <v>4159</v>
      </c>
      <c r="D748" t="s">
        <v>4160</v>
      </c>
      <c r="E748" t="s">
        <v>4161</v>
      </c>
      <c r="F748" t="s">
        <v>240</v>
      </c>
      <c r="G748" t="s">
        <v>39</v>
      </c>
      <c r="H748" t="s">
        <v>4162</v>
      </c>
      <c r="I748" t="s">
        <v>70</v>
      </c>
      <c r="J748" t="s">
        <v>71</v>
      </c>
      <c r="K748" t="s">
        <v>218</v>
      </c>
      <c r="L748" t="s">
        <v>62</v>
      </c>
      <c r="M748" t="s">
        <v>443</v>
      </c>
      <c r="N748" t="s">
        <v>107</v>
      </c>
      <c r="O748" t="s">
        <v>2482</v>
      </c>
      <c r="P748">
        <v>9573389307</v>
      </c>
      <c r="Q748" t="s">
        <v>54</v>
      </c>
      <c r="R748" t="s">
        <v>73</v>
      </c>
      <c r="S748" t="s">
        <v>88</v>
      </c>
      <c r="T748" t="s">
        <v>89</v>
      </c>
      <c r="U748" t="s">
        <v>90</v>
      </c>
      <c r="V748" t="s">
        <v>91</v>
      </c>
      <c r="W748" t="s">
        <v>5055</v>
      </c>
      <c r="X748" t="s">
        <v>45</v>
      </c>
      <c r="Y748" t="s">
        <v>716</v>
      </c>
      <c r="Z748" t="s">
        <v>92</v>
      </c>
      <c r="AA748" t="s">
        <v>92</v>
      </c>
      <c r="AB748" t="s">
        <v>93</v>
      </c>
      <c r="AC748" t="s">
        <v>94</v>
      </c>
      <c r="AD748" t="s">
        <v>184</v>
      </c>
      <c r="AE748" t="s">
        <v>185</v>
      </c>
      <c r="AF748">
        <v>0</v>
      </c>
      <c r="AG748" t="s">
        <v>196</v>
      </c>
      <c r="AH748" s="93">
        <f>VLOOKUP(Table1[[#This Row],[Caste]],Factor!$H$1:$K$13,4,0)</f>
        <v>1.3836274505214585</v>
      </c>
      <c r="AI748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748">
        <f>Table1[[#This Row],[Factor_1]]*Table1[[#This Row],[2024 Factor]]</f>
        <v>1.9482662206881376</v>
      </c>
      <c r="AK748">
        <f>VLOOKUP(Table1[[#This Row],[Q18: Gender]],Factor!$A$33:$E$35,5,0)</f>
        <v>0.85034013605442171</v>
      </c>
      <c r="AL748">
        <f>VLOOKUP(Table1[[#This Row],[Taluka]],Factor!$A$42:$G$46,7,0)</f>
        <v>1.1213131007097483</v>
      </c>
      <c r="AM748">
        <f>VLOOKUP(Table1[[#This Row],[Caste]]&amp;Table1[[#This Row],[Q18: Gender]],Factor!$W$1:$X$23,2,0)</f>
        <v>1.0790228998469584</v>
      </c>
      <c r="AN748">
        <f>VLOOKUP(Table1[[#This Row],[Taluka]]&amp;Table1[[#This Row],[Caste]]&amp;Table1[[#This Row],[Q18: Gender]],Factor!$AK$4:$AL$93,2,0)</f>
        <v>0.90933567693352424</v>
      </c>
      <c r="AO748">
        <f t="shared" si="121"/>
        <v>1</v>
      </c>
      <c r="AP748">
        <f t="shared" si="122"/>
        <v>1</v>
      </c>
      <c r="AQ748">
        <f t="shared" si="123"/>
        <v>1</v>
      </c>
      <c r="AR748">
        <f t="shared" si="124"/>
        <v>-1</v>
      </c>
      <c r="AS748">
        <f t="shared" si="125"/>
        <v>1</v>
      </c>
      <c r="AT748">
        <f t="shared" si="126"/>
        <v>1</v>
      </c>
      <c r="AU748">
        <f t="shared" si="127"/>
        <v>3.5</v>
      </c>
      <c r="AV748">
        <f>SUM(Table1[[#This Row],[Satis]:[29]])</f>
        <v>4</v>
      </c>
      <c r="AW748">
        <f t="shared" si="128"/>
        <v>3</v>
      </c>
      <c r="AX748">
        <f t="shared" si="129"/>
        <v>2</v>
      </c>
      <c r="AY748">
        <f t="shared" si="130"/>
        <v>3</v>
      </c>
      <c r="AZ748" t="str">
        <f t="shared" si="131"/>
        <v>Neutral YSRCP</v>
      </c>
    </row>
    <row r="749" spans="1:52" x14ac:dyDescent="0.3">
      <c r="A749" s="94" t="s">
        <v>4169</v>
      </c>
      <c r="B749" s="94">
        <v>46047</v>
      </c>
      <c r="C749" t="s">
        <v>4170</v>
      </c>
      <c r="D749" t="s">
        <v>4171</v>
      </c>
      <c r="E749" t="s">
        <v>4166</v>
      </c>
      <c r="F749" t="s">
        <v>240</v>
      </c>
      <c r="G749" t="s">
        <v>39</v>
      </c>
      <c r="H749" t="s">
        <v>4172</v>
      </c>
      <c r="I749" t="s">
        <v>36</v>
      </c>
      <c r="J749" t="s">
        <v>71</v>
      </c>
      <c r="K749" t="s">
        <v>218</v>
      </c>
      <c r="L749" t="s">
        <v>75</v>
      </c>
      <c r="M749" t="s">
        <v>51</v>
      </c>
      <c r="N749" t="s">
        <v>52</v>
      </c>
      <c r="O749" t="s">
        <v>4173</v>
      </c>
      <c r="P749">
        <v>9515435118</v>
      </c>
      <c r="Q749" t="s">
        <v>54</v>
      </c>
      <c r="R749" t="s">
        <v>73</v>
      </c>
      <c r="S749" t="s">
        <v>43</v>
      </c>
      <c r="T749" t="s">
        <v>43</v>
      </c>
      <c r="U749" t="s">
        <v>90</v>
      </c>
      <c r="V749" t="s">
        <v>45</v>
      </c>
      <c r="W749" t="s">
        <v>5069</v>
      </c>
      <c r="X749" t="s">
        <v>45</v>
      </c>
      <c r="Y749" t="s">
        <v>46</v>
      </c>
      <c r="Z749" t="s">
        <v>47</v>
      </c>
      <c r="AA749" t="s">
        <v>48</v>
      </c>
      <c r="AB749" t="s">
        <v>49</v>
      </c>
      <c r="AC749" t="s">
        <v>49</v>
      </c>
      <c r="AD749" t="s">
        <v>494</v>
      </c>
      <c r="AE749" t="s">
        <v>185</v>
      </c>
      <c r="AF749">
        <v>0</v>
      </c>
      <c r="AG749" t="s">
        <v>196</v>
      </c>
      <c r="AH749" s="93">
        <f>VLOOKUP(Table1[[#This Row],[Caste]],Factor!$H$1:$K$13,4,0)</f>
        <v>1.1705128247062893</v>
      </c>
      <c r="AI74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49">
        <f>Table1[[#This Row],[Factor_1]]*Table1[[#This Row],[2024 Factor]]</f>
        <v>0.86308903171383233</v>
      </c>
      <c r="AK749">
        <f>VLOOKUP(Table1[[#This Row],[Q18: Gender]],Factor!$A$33:$E$35,5,0)</f>
        <v>0.85034013605442171</v>
      </c>
      <c r="AL749">
        <f>VLOOKUP(Table1[[#This Row],[Taluka]],Factor!$A$42:$G$46,7,0)</f>
        <v>1.1213131007097483</v>
      </c>
      <c r="AM749">
        <f>VLOOKUP(Table1[[#This Row],[Caste]]&amp;Table1[[#This Row],[Q18: Gender]],Factor!$W$1:$X$23,2,0)</f>
        <v>0.79950206330384943</v>
      </c>
      <c r="AN749">
        <f>VLOOKUP(Table1[[#This Row],[Taluka]]&amp;Table1[[#This Row],[Caste]]&amp;Table1[[#This Row],[Q18: Gender]],Factor!$AK$4:$AL$93,2,0)</f>
        <v>0.7401439088249181</v>
      </c>
      <c r="AO749">
        <f t="shared" si="121"/>
        <v>-1</v>
      </c>
      <c r="AP749">
        <f t="shared" si="122"/>
        <v>1</v>
      </c>
      <c r="AQ749">
        <f t="shared" si="123"/>
        <v>-1</v>
      </c>
      <c r="AR749">
        <f t="shared" si="124"/>
        <v>-1</v>
      </c>
      <c r="AS749">
        <f t="shared" si="125"/>
        <v>-1</v>
      </c>
      <c r="AT749">
        <f t="shared" si="126"/>
        <v>-1</v>
      </c>
      <c r="AU749">
        <f t="shared" si="127"/>
        <v>-3.5</v>
      </c>
      <c r="AV749">
        <f>SUM(Table1[[#This Row],[Satis]:[29]])</f>
        <v>-4</v>
      </c>
      <c r="AW749">
        <f t="shared" si="128"/>
        <v>-5</v>
      </c>
      <c r="AX749">
        <f t="shared" si="129"/>
        <v>-4</v>
      </c>
      <c r="AY749">
        <f t="shared" si="130"/>
        <v>-3</v>
      </c>
      <c r="AZ749" t="str">
        <f t="shared" si="131"/>
        <v>TDP Sympathiser</v>
      </c>
    </row>
    <row r="750" spans="1:52" x14ac:dyDescent="0.3">
      <c r="A750" s="94" t="s">
        <v>4174</v>
      </c>
      <c r="B750" s="94">
        <v>46047</v>
      </c>
      <c r="C750" t="s">
        <v>4175</v>
      </c>
      <c r="D750" t="s">
        <v>4176</v>
      </c>
      <c r="E750" t="s">
        <v>4166</v>
      </c>
      <c r="F750" t="s">
        <v>240</v>
      </c>
      <c r="G750" t="s">
        <v>39</v>
      </c>
      <c r="H750" t="s">
        <v>4177</v>
      </c>
      <c r="I750" t="s">
        <v>36</v>
      </c>
      <c r="J750" t="s">
        <v>71</v>
      </c>
      <c r="K750" t="s">
        <v>218</v>
      </c>
      <c r="L750" t="s">
        <v>62</v>
      </c>
      <c r="M750" t="s">
        <v>51</v>
      </c>
      <c r="N750" t="s">
        <v>63</v>
      </c>
      <c r="O750" t="s">
        <v>4178</v>
      </c>
      <c r="P750">
        <v>7075084539</v>
      </c>
      <c r="Q750" t="s">
        <v>445</v>
      </c>
      <c r="R750" t="s">
        <v>2116</v>
      </c>
      <c r="S750" t="s">
        <v>43</v>
      </c>
      <c r="T750" t="s">
        <v>43</v>
      </c>
      <c r="U750" t="s">
        <v>90</v>
      </c>
      <c r="V750" t="s">
        <v>91</v>
      </c>
      <c r="W750" t="s">
        <v>5062</v>
      </c>
      <c r="X750" t="s">
        <v>91</v>
      </c>
      <c r="Y750" t="s">
        <v>46</v>
      </c>
      <c r="Z750" t="s">
        <v>92</v>
      </c>
      <c r="AA750" t="s">
        <v>242</v>
      </c>
      <c r="AB750" t="s">
        <v>49</v>
      </c>
      <c r="AC750" t="s">
        <v>49</v>
      </c>
      <c r="AD750" t="s">
        <v>494</v>
      </c>
      <c r="AE750" t="s">
        <v>185</v>
      </c>
      <c r="AF750">
        <v>0</v>
      </c>
      <c r="AG750" t="s">
        <v>196</v>
      </c>
      <c r="AH750" s="93">
        <f>VLOOKUP(Table1[[#This Row],[Caste]],Factor!$H$1:$K$13,4,0)</f>
        <v>1.1705128247062893</v>
      </c>
      <c r="AI750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750">
        <f>Table1[[#This Row],[Factor_1]]*Table1[[#This Row],[2024 Factor]]</f>
        <v>1.444803728657164</v>
      </c>
      <c r="AK750">
        <f>VLOOKUP(Table1[[#This Row],[Q18: Gender]],Factor!$A$33:$E$35,5,0)</f>
        <v>2.1645021645021645</v>
      </c>
      <c r="AL750">
        <f>VLOOKUP(Table1[[#This Row],[Taluka]],Factor!$A$42:$G$46,7,0)</f>
        <v>1.1213131007097483</v>
      </c>
      <c r="AM750">
        <f>VLOOKUP(Table1[[#This Row],[Caste]]&amp;Table1[[#This Row],[Q18: Gender]],Factor!$W$1:$X$23,2,0)</f>
        <v>2.1840056363422229</v>
      </c>
      <c r="AN750">
        <f>VLOOKUP(Table1[[#This Row],[Taluka]]&amp;Table1[[#This Row],[Caste]]&amp;Table1[[#This Row],[Q18: Gender]],Factor!$AK$4:$AL$93,2,0)</f>
        <v>0.95944580773600496</v>
      </c>
      <c r="AO750">
        <f t="shared" si="121"/>
        <v>-1</v>
      </c>
      <c r="AP750">
        <f t="shared" si="122"/>
        <v>1</v>
      </c>
      <c r="AQ750">
        <f t="shared" si="123"/>
        <v>1</v>
      </c>
      <c r="AR750">
        <f t="shared" si="124"/>
        <v>1</v>
      </c>
      <c r="AS750">
        <f t="shared" si="125"/>
        <v>-1</v>
      </c>
      <c r="AT750">
        <f t="shared" si="126"/>
        <v>1</v>
      </c>
      <c r="AU750">
        <f t="shared" si="127"/>
        <v>2.5</v>
      </c>
      <c r="AV750">
        <f>SUM(Table1[[#This Row],[Satis]:[29]])</f>
        <v>2</v>
      </c>
      <c r="AW750">
        <f t="shared" si="128"/>
        <v>1</v>
      </c>
      <c r="AX750">
        <f t="shared" si="129"/>
        <v>2</v>
      </c>
      <c r="AY750" t="str">
        <f t="shared" si="130"/>
        <v>ND</v>
      </c>
      <c r="AZ750" t="str">
        <f t="shared" si="131"/>
        <v>ND</v>
      </c>
    </row>
    <row r="751" spans="1:52" x14ac:dyDescent="0.3">
      <c r="A751" s="94" t="s">
        <v>4179</v>
      </c>
      <c r="B751" s="94">
        <v>46047</v>
      </c>
      <c r="C751" t="s">
        <v>4180</v>
      </c>
      <c r="D751" t="s">
        <v>4181</v>
      </c>
      <c r="E751" t="s">
        <v>4182</v>
      </c>
      <c r="F751" t="s">
        <v>240</v>
      </c>
      <c r="G751" t="s">
        <v>39</v>
      </c>
      <c r="H751" t="s">
        <v>4183</v>
      </c>
      <c r="I751" t="s">
        <v>70</v>
      </c>
      <c r="J751" t="s">
        <v>71</v>
      </c>
      <c r="K751" t="s">
        <v>218</v>
      </c>
      <c r="L751" t="s">
        <v>451</v>
      </c>
      <c r="M751" t="s">
        <v>443</v>
      </c>
      <c r="N751" t="s">
        <v>63</v>
      </c>
      <c r="O751" t="s">
        <v>452</v>
      </c>
      <c r="P751">
        <v>9999999999</v>
      </c>
      <c r="Q751" t="s">
        <v>445</v>
      </c>
      <c r="R751" t="s">
        <v>73</v>
      </c>
      <c r="S751" t="s">
        <v>88</v>
      </c>
      <c r="T751" t="s">
        <v>89</v>
      </c>
      <c r="U751" t="s">
        <v>90</v>
      </c>
      <c r="V751" t="s">
        <v>91</v>
      </c>
      <c r="W751" t="s">
        <v>5112</v>
      </c>
      <c r="X751" t="s">
        <v>91</v>
      </c>
      <c r="Y751" t="s">
        <v>46</v>
      </c>
      <c r="Z751" t="s">
        <v>92</v>
      </c>
      <c r="AA751" t="s">
        <v>92</v>
      </c>
      <c r="AB751" t="s">
        <v>93</v>
      </c>
      <c r="AC751" t="s">
        <v>94</v>
      </c>
      <c r="AD751" t="s">
        <v>494</v>
      </c>
      <c r="AE751" t="s">
        <v>185</v>
      </c>
      <c r="AF751">
        <v>0</v>
      </c>
      <c r="AG751" t="s">
        <v>196</v>
      </c>
      <c r="AH751" s="93">
        <f>VLOOKUP(Table1[[#This Row],[Caste]],Factor!$H$1:$K$13,4,0)</f>
        <v>1.3836274505214585</v>
      </c>
      <c r="AI751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751">
        <f>Table1[[#This Row],[Factor_1]]*Table1[[#This Row],[2024 Factor]]</f>
        <v>3.4809023142961388</v>
      </c>
      <c r="AK751">
        <f>VLOOKUP(Table1[[#This Row],[Q18: Gender]],Factor!$A$33:$E$35,5,0)</f>
        <v>2.1645021645021645</v>
      </c>
      <c r="AL751">
        <f>VLOOKUP(Table1[[#This Row],[Taluka]],Factor!$A$42:$G$46,7,0)</f>
        <v>1.1213131007097483</v>
      </c>
      <c r="AM751">
        <f>VLOOKUP(Table1[[#This Row],[Caste]]&amp;Table1[[#This Row],[Q18: Gender]],Factor!$W$1:$X$23,2,0)</f>
        <v>1.9278542477265657</v>
      </c>
      <c r="AN751">
        <f>VLOOKUP(Table1[[#This Row],[Taluka]]&amp;Table1[[#This Row],[Caste]]&amp;Table1[[#This Row],[Q18: Gender]],Factor!$AK$4:$AL$93,2,0)</f>
        <v>1.2302776805571209</v>
      </c>
      <c r="AO751">
        <f t="shared" si="121"/>
        <v>1</v>
      </c>
      <c r="AP751">
        <f t="shared" si="122"/>
        <v>1</v>
      </c>
      <c r="AQ751">
        <f t="shared" si="123"/>
        <v>1</v>
      </c>
      <c r="AR751">
        <f t="shared" si="124"/>
        <v>1</v>
      </c>
      <c r="AS751">
        <f t="shared" si="125"/>
        <v>1</v>
      </c>
      <c r="AT751">
        <f t="shared" si="126"/>
        <v>1</v>
      </c>
      <c r="AU751">
        <f t="shared" si="127"/>
        <v>5.5</v>
      </c>
      <c r="AV751">
        <f>SUM(Table1[[#This Row],[Satis]:[29]])</f>
        <v>6</v>
      </c>
      <c r="AW751">
        <f t="shared" si="128"/>
        <v>5</v>
      </c>
      <c r="AX751">
        <f t="shared" si="129"/>
        <v>4</v>
      </c>
      <c r="AY751">
        <f t="shared" si="130"/>
        <v>3</v>
      </c>
      <c r="AZ751" t="str">
        <f t="shared" si="131"/>
        <v>YSRCP HardCore</v>
      </c>
    </row>
    <row r="752" spans="1:52" x14ac:dyDescent="0.3">
      <c r="A752" s="94" t="s">
        <v>4163</v>
      </c>
      <c r="B752" s="94">
        <v>46047</v>
      </c>
      <c r="C752" t="s">
        <v>4164</v>
      </c>
      <c r="D752" t="s">
        <v>4165</v>
      </c>
      <c r="E752" t="s">
        <v>4166</v>
      </c>
      <c r="F752" t="s">
        <v>240</v>
      </c>
      <c r="G752" t="s">
        <v>39</v>
      </c>
      <c r="H752" t="s">
        <v>4167</v>
      </c>
      <c r="I752" t="s">
        <v>70</v>
      </c>
      <c r="J752" t="s">
        <v>71</v>
      </c>
      <c r="K752" t="s">
        <v>218</v>
      </c>
      <c r="L752" t="s">
        <v>75</v>
      </c>
      <c r="M752" t="s">
        <v>51</v>
      </c>
      <c r="N752" t="s">
        <v>63</v>
      </c>
      <c r="O752" t="s">
        <v>4168</v>
      </c>
      <c r="P752">
        <v>9573871559</v>
      </c>
      <c r="Q752" t="s">
        <v>445</v>
      </c>
      <c r="R752" t="s">
        <v>132</v>
      </c>
      <c r="S752" t="s">
        <v>88</v>
      </c>
      <c r="T752" t="s">
        <v>89</v>
      </c>
      <c r="U752" t="s">
        <v>44</v>
      </c>
      <c r="V752" t="s">
        <v>91</v>
      </c>
      <c r="W752" t="s">
        <v>5055</v>
      </c>
      <c r="X752" t="s">
        <v>91</v>
      </c>
      <c r="Y752" t="s">
        <v>46</v>
      </c>
      <c r="Z752" t="s">
        <v>47</v>
      </c>
      <c r="AA752" t="s">
        <v>92</v>
      </c>
      <c r="AB752" t="s">
        <v>93</v>
      </c>
      <c r="AC752" t="s">
        <v>94</v>
      </c>
      <c r="AD752" t="s">
        <v>184</v>
      </c>
      <c r="AE752" t="s">
        <v>189</v>
      </c>
      <c r="AF752">
        <v>0</v>
      </c>
      <c r="AG752" t="s">
        <v>196</v>
      </c>
      <c r="AH752" s="93">
        <f>VLOOKUP(Table1[[#This Row],[Caste]],Factor!$H$1:$K$13,4,0)</f>
        <v>1.3836274505214585</v>
      </c>
      <c r="AI752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752">
        <f>Table1[[#This Row],[Factor_1]]*Table1[[#This Row],[2024 Factor]]</f>
        <v>3.4809023142961388</v>
      </c>
      <c r="AK752">
        <f>VLOOKUP(Table1[[#This Row],[Q18: Gender]],Factor!$A$33:$E$35,5,0)</f>
        <v>2.1645021645021645</v>
      </c>
      <c r="AL752">
        <f>VLOOKUP(Table1[[#This Row],[Taluka]],Factor!$A$42:$G$46,7,0)</f>
        <v>1.1213131007097483</v>
      </c>
      <c r="AM752">
        <f>VLOOKUP(Table1[[#This Row],[Caste]]&amp;Table1[[#This Row],[Q18: Gender]],Factor!$W$1:$X$23,2,0)</f>
        <v>1.9278542477265657</v>
      </c>
      <c r="AN752">
        <f>VLOOKUP(Table1[[#This Row],[Taluka]]&amp;Table1[[#This Row],[Caste]]&amp;Table1[[#This Row],[Q18: Gender]],Factor!$AK$4:$AL$93,2,0)</f>
        <v>1.2302776805571209</v>
      </c>
      <c r="AO752">
        <f t="shared" si="121"/>
        <v>1</v>
      </c>
      <c r="AP752">
        <f t="shared" si="122"/>
        <v>-1</v>
      </c>
      <c r="AQ752">
        <f t="shared" si="123"/>
        <v>1</v>
      </c>
      <c r="AR752">
        <f t="shared" si="124"/>
        <v>1</v>
      </c>
      <c r="AS752">
        <f t="shared" si="125"/>
        <v>1</v>
      </c>
      <c r="AT752">
        <f t="shared" si="126"/>
        <v>-1</v>
      </c>
      <c r="AU752">
        <f t="shared" si="127"/>
        <v>1.5</v>
      </c>
      <c r="AV752">
        <f>SUM(Table1[[#This Row],[Satis]:[29]])</f>
        <v>2</v>
      </c>
      <c r="AW752">
        <f t="shared" si="128"/>
        <v>3</v>
      </c>
      <c r="AX752">
        <f t="shared" si="129"/>
        <v>2</v>
      </c>
      <c r="AY752" t="str">
        <f t="shared" si="130"/>
        <v>ND</v>
      </c>
      <c r="AZ752" t="str">
        <f t="shared" si="131"/>
        <v>ND</v>
      </c>
    </row>
    <row r="753" spans="1:52" x14ac:dyDescent="0.3">
      <c r="A753" s="94" t="s">
        <v>4184</v>
      </c>
      <c r="B753" s="94">
        <v>46047</v>
      </c>
      <c r="C753" t="s">
        <v>4185</v>
      </c>
      <c r="D753" t="s">
        <v>4181</v>
      </c>
      <c r="E753" t="s">
        <v>4182</v>
      </c>
      <c r="F753" t="s">
        <v>240</v>
      </c>
      <c r="G753" t="s">
        <v>39</v>
      </c>
      <c r="H753" t="s">
        <v>4186</v>
      </c>
      <c r="I753" t="s">
        <v>70</v>
      </c>
      <c r="J753" t="s">
        <v>71</v>
      </c>
      <c r="K753" t="s">
        <v>218</v>
      </c>
      <c r="L753" t="s">
        <v>451</v>
      </c>
      <c r="M753" t="s">
        <v>443</v>
      </c>
      <c r="N753" t="s">
        <v>63</v>
      </c>
      <c r="O753" t="s">
        <v>452</v>
      </c>
      <c r="P753">
        <v>9999999999</v>
      </c>
      <c r="Q753" t="s">
        <v>445</v>
      </c>
      <c r="R753" t="s">
        <v>73</v>
      </c>
      <c r="S753" t="s">
        <v>88</v>
      </c>
      <c r="T753" t="s">
        <v>89</v>
      </c>
      <c r="U753" t="s">
        <v>90</v>
      </c>
      <c r="V753" t="s">
        <v>91</v>
      </c>
      <c r="W753" t="s">
        <v>5112</v>
      </c>
      <c r="X753" t="s">
        <v>91</v>
      </c>
      <c r="Y753" t="s">
        <v>46</v>
      </c>
      <c r="Z753" t="s">
        <v>92</v>
      </c>
      <c r="AA753" t="s">
        <v>92</v>
      </c>
      <c r="AB753" t="s">
        <v>93</v>
      </c>
      <c r="AC753" t="s">
        <v>94</v>
      </c>
      <c r="AD753">
        <v>0</v>
      </c>
      <c r="AE753" t="s">
        <v>185</v>
      </c>
      <c r="AF753">
        <v>0</v>
      </c>
      <c r="AG753" t="s">
        <v>196</v>
      </c>
      <c r="AH753" s="93">
        <f>VLOOKUP(Table1[[#This Row],[Caste]],Factor!$H$1:$K$13,4,0)</f>
        <v>1.3836274505214585</v>
      </c>
      <c r="AI753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753">
        <f>Table1[[#This Row],[Factor_1]]*Table1[[#This Row],[2024 Factor]]</f>
        <v>3.4809023142961388</v>
      </c>
      <c r="AK753">
        <f>VLOOKUP(Table1[[#This Row],[Q18: Gender]],Factor!$A$33:$E$35,5,0)</f>
        <v>2.1645021645021645</v>
      </c>
      <c r="AL753">
        <f>VLOOKUP(Table1[[#This Row],[Taluka]],Factor!$A$42:$G$46,7,0)</f>
        <v>1.1213131007097483</v>
      </c>
      <c r="AM753">
        <f>VLOOKUP(Table1[[#This Row],[Caste]]&amp;Table1[[#This Row],[Q18: Gender]],Factor!$W$1:$X$23,2,0)</f>
        <v>1.9278542477265657</v>
      </c>
      <c r="AN753">
        <f>VLOOKUP(Table1[[#This Row],[Taluka]]&amp;Table1[[#This Row],[Caste]]&amp;Table1[[#This Row],[Q18: Gender]],Factor!$AK$4:$AL$93,2,0)</f>
        <v>1.2302776805571209</v>
      </c>
      <c r="AO753">
        <f t="shared" si="121"/>
        <v>1</v>
      </c>
      <c r="AP753">
        <f t="shared" si="122"/>
        <v>1</v>
      </c>
      <c r="AQ753">
        <f t="shared" si="123"/>
        <v>1</v>
      </c>
      <c r="AR753">
        <f t="shared" si="124"/>
        <v>1</v>
      </c>
      <c r="AS753">
        <f t="shared" si="125"/>
        <v>1</v>
      </c>
      <c r="AT753">
        <f t="shared" si="126"/>
        <v>1</v>
      </c>
      <c r="AU753">
        <f t="shared" si="127"/>
        <v>5.5</v>
      </c>
      <c r="AV753">
        <f>SUM(Table1[[#This Row],[Satis]:[29]])</f>
        <v>6</v>
      </c>
      <c r="AW753">
        <f t="shared" si="128"/>
        <v>5</v>
      </c>
      <c r="AX753">
        <f t="shared" si="129"/>
        <v>4</v>
      </c>
      <c r="AY753">
        <f t="shared" si="130"/>
        <v>3</v>
      </c>
      <c r="AZ753" t="str">
        <f t="shared" si="131"/>
        <v>YSRCP HardCore</v>
      </c>
    </row>
    <row r="754" spans="1:52" x14ac:dyDescent="0.3">
      <c r="A754" s="94" t="s">
        <v>4198</v>
      </c>
      <c r="B754" s="94">
        <v>46047</v>
      </c>
      <c r="C754" t="s">
        <v>4199</v>
      </c>
      <c r="D754" t="s">
        <v>4200</v>
      </c>
      <c r="E754" t="s">
        <v>4182</v>
      </c>
      <c r="F754" t="s">
        <v>240</v>
      </c>
      <c r="G754" t="s">
        <v>39</v>
      </c>
      <c r="H754" t="s">
        <v>4201</v>
      </c>
      <c r="I754" t="s">
        <v>70</v>
      </c>
      <c r="J754" t="s">
        <v>71</v>
      </c>
      <c r="K754" t="s">
        <v>218</v>
      </c>
      <c r="L754" t="s">
        <v>75</v>
      </c>
      <c r="M754" t="s">
        <v>51</v>
      </c>
      <c r="N754" t="s">
        <v>63</v>
      </c>
      <c r="O754" t="s">
        <v>4202</v>
      </c>
      <c r="P754">
        <v>9618056502</v>
      </c>
      <c r="Q754" t="s">
        <v>445</v>
      </c>
      <c r="R754" t="s">
        <v>132</v>
      </c>
      <c r="S754" t="s">
        <v>88</v>
      </c>
      <c r="T754" t="s">
        <v>43</v>
      </c>
      <c r="U754" t="s">
        <v>44</v>
      </c>
      <c r="V754" t="s">
        <v>45</v>
      </c>
      <c r="W754" t="s">
        <v>5090</v>
      </c>
      <c r="X754" t="s">
        <v>45</v>
      </c>
      <c r="Y754" t="s">
        <v>46</v>
      </c>
      <c r="Z754" t="s">
        <v>47</v>
      </c>
      <c r="AA754" t="s">
        <v>48</v>
      </c>
      <c r="AB754" t="s">
        <v>49</v>
      </c>
      <c r="AC754" t="s">
        <v>49</v>
      </c>
      <c r="AD754" t="s">
        <v>494</v>
      </c>
      <c r="AE754" t="s">
        <v>185</v>
      </c>
      <c r="AF754">
        <v>0</v>
      </c>
      <c r="AG754" t="s">
        <v>196</v>
      </c>
      <c r="AH754" s="93">
        <f>VLOOKUP(Table1[[#This Row],[Caste]],Factor!$H$1:$K$13,4,0)</f>
        <v>1.3836274505214585</v>
      </c>
      <c r="AI75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54">
        <f>Table1[[#This Row],[Factor_1]]*Table1[[#This Row],[2024 Factor]]</f>
        <v>2.0811826914865059</v>
      </c>
      <c r="AK754">
        <f>VLOOKUP(Table1[[#This Row],[Q18: Gender]],Factor!$A$33:$E$35,5,0)</f>
        <v>2.1645021645021645</v>
      </c>
      <c r="AL754">
        <f>VLOOKUP(Table1[[#This Row],[Taluka]],Factor!$A$42:$G$46,7,0)</f>
        <v>1.1213131007097483</v>
      </c>
      <c r="AM754">
        <f>VLOOKUP(Table1[[#This Row],[Caste]]&amp;Table1[[#This Row],[Q18: Gender]],Factor!$W$1:$X$23,2,0)</f>
        <v>1.9278542477265657</v>
      </c>
      <c r="AN754">
        <f>VLOOKUP(Table1[[#This Row],[Taluka]]&amp;Table1[[#This Row],[Caste]]&amp;Table1[[#This Row],[Q18: Gender]],Factor!$AK$4:$AL$93,2,0)</f>
        <v>1.2302776805571209</v>
      </c>
      <c r="AO754">
        <f t="shared" si="121"/>
        <v>-1</v>
      </c>
      <c r="AP754">
        <f t="shared" si="122"/>
        <v>-1</v>
      </c>
      <c r="AQ754">
        <f t="shared" si="123"/>
        <v>-1</v>
      </c>
      <c r="AR754">
        <f t="shared" si="124"/>
        <v>-1</v>
      </c>
      <c r="AS754">
        <f t="shared" si="125"/>
        <v>-1</v>
      </c>
      <c r="AT754">
        <f t="shared" si="126"/>
        <v>-1</v>
      </c>
      <c r="AU754">
        <f t="shared" si="127"/>
        <v>-5.5</v>
      </c>
      <c r="AV754">
        <f>SUM(Table1[[#This Row],[Satis]:[29]])</f>
        <v>-6</v>
      </c>
      <c r="AW754">
        <f t="shared" si="128"/>
        <v>-5</v>
      </c>
      <c r="AX754">
        <f t="shared" si="129"/>
        <v>-4</v>
      </c>
      <c r="AY754">
        <f t="shared" si="130"/>
        <v>-3</v>
      </c>
      <c r="AZ754" t="str">
        <f t="shared" si="131"/>
        <v>TDP HardCore</v>
      </c>
    </row>
    <row r="755" spans="1:52" x14ac:dyDescent="0.3">
      <c r="A755" s="94" t="s">
        <v>4203</v>
      </c>
      <c r="B755" s="94">
        <v>46047</v>
      </c>
      <c r="C755" t="s">
        <v>4204</v>
      </c>
      <c r="D755" t="s">
        <v>4205</v>
      </c>
      <c r="E755" t="s">
        <v>4206</v>
      </c>
      <c r="F755" t="s">
        <v>240</v>
      </c>
      <c r="G755" t="s">
        <v>39</v>
      </c>
      <c r="H755" t="s">
        <v>4207</v>
      </c>
      <c r="I755" t="s">
        <v>59</v>
      </c>
      <c r="J755" t="s">
        <v>71</v>
      </c>
      <c r="K755" t="s">
        <v>218</v>
      </c>
      <c r="L755" t="s">
        <v>62</v>
      </c>
      <c r="M755" t="s">
        <v>51</v>
      </c>
      <c r="N755" t="s">
        <v>63</v>
      </c>
      <c r="O755" t="s">
        <v>748</v>
      </c>
      <c r="P755">
        <v>8008458857</v>
      </c>
      <c r="Q755" t="s">
        <v>445</v>
      </c>
      <c r="R755" t="s">
        <v>132</v>
      </c>
      <c r="S755" t="s">
        <v>43</v>
      </c>
      <c r="T755" t="s">
        <v>43</v>
      </c>
      <c r="U755" t="s">
        <v>90</v>
      </c>
      <c r="V755" t="s">
        <v>45</v>
      </c>
      <c r="W755" t="s">
        <v>5057</v>
      </c>
      <c r="X755" t="s">
        <v>45</v>
      </c>
      <c r="Y755" t="s">
        <v>46</v>
      </c>
      <c r="Z755" t="s">
        <v>242</v>
      </c>
      <c r="AA755" t="s">
        <v>48</v>
      </c>
      <c r="AB755" t="s">
        <v>49</v>
      </c>
      <c r="AC755" t="s">
        <v>49</v>
      </c>
      <c r="AD755" t="s">
        <v>494</v>
      </c>
      <c r="AE755" t="s">
        <v>185</v>
      </c>
      <c r="AF755">
        <v>0</v>
      </c>
      <c r="AG755" t="s">
        <v>196</v>
      </c>
      <c r="AH755" s="93">
        <f>VLOOKUP(Table1[[#This Row],[Caste]],Factor!$H$1:$K$13,4,0)</f>
        <v>1.1461625511156397</v>
      </c>
      <c r="AI75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55">
        <f>Table1[[#This Row],[Factor_1]]*Table1[[#This Row],[2024 Factor]]</f>
        <v>3.0326483876590018</v>
      </c>
      <c r="AK755">
        <f>VLOOKUP(Table1[[#This Row],[Q18: Gender]],Factor!$A$33:$E$35,5,0)</f>
        <v>2.1645021645021645</v>
      </c>
      <c r="AL755">
        <f>VLOOKUP(Table1[[#This Row],[Taluka]],Factor!$A$42:$G$46,7,0)</f>
        <v>1.1213131007097483</v>
      </c>
      <c r="AM755">
        <f>VLOOKUP(Table1[[#This Row],[Caste]]&amp;Table1[[#This Row],[Q18: Gender]],Factor!$W$1:$X$23,2,0)</f>
        <v>2.8092219390089208</v>
      </c>
      <c r="AN755">
        <f>VLOOKUP(Table1[[#This Row],[Taluka]]&amp;Table1[[#This Row],[Caste]]&amp;Table1[[#This Row],[Q18: Gender]],Factor!$AK$4:$AL$93,2,0)</f>
        <v>1.8020838461961379</v>
      </c>
      <c r="AO755">
        <f t="shared" si="121"/>
        <v>-1</v>
      </c>
      <c r="AP755">
        <f t="shared" si="122"/>
        <v>1</v>
      </c>
      <c r="AQ755">
        <f t="shared" si="123"/>
        <v>-1</v>
      </c>
      <c r="AR755">
        <f t="shared" si="124"/>
        <v>-1</v>
      </c>
      <c r="AS755">
        <f t="shared" si="125"/>
        <v>-1</v>
      </c>
      <c r="AT755">
        <f t="shared" si="126"/>
        <v>-1</v>
      </c>
      <c r="AU755">
        <f t="shared" si="127"/>
        <v>-3.5</v>
      </c>
      <c r="AV755">
        <f>SUM(Table1[[#This Row],[Satis]:[29]])</f>
        <v>-4</v>
      </c>
      <c r="AW755">
        <f t="shared" si="128"/>
        <v>-5</v>
      </c>
      <c r="AX755">
        <f t="shared" si="129"/>
        <v>-4</v>
      </c>
      <c r="AY755">
        <f t="shared" si="130"/>
        <v>-3</v>
      </c>
      <c r="AZ755" t="str">
        <f t="shared" si="131"/>
        <v>TDP Sympathiser</v>
      </c>
    </row>
    <row r="756" spans="1:52" x14ac:dyDescent="0.3">
      <c r="A756" s="94" t="s">
        <v>4208</v>
      </c>
      <c r="B756" s="94">
        <v>46047</v>
      </c>
      <c r="C756" t="s">
        <v>4204</v>
      </c>
      <c r="D756" t="s">
        <v>4205</v>
      </c>
      <c r="E756" t="s">
        <v>4206</v>
      </c>
      <c r="F756" t="s">
        <v>240</v>
      </c>
      <c r="G756" t="s">
        <v>39</v>
      </c>
      <c r="H756" t="s">
        <v>4209</v>
      </c>
      <c r="I756" t="s">
        <v>59</v>
      </c>
      <c r="J756" t="s">
        <v>71</v>
      </c>
      <c r="K756" t="s">
        <v>218</v>
      </c>
      <c r="L756" t="s">
        <v>62</v>
      </c>
      <c r="M756" t="s">
        <v>51</v>
      </c>
      <c r="N756" t="s">
        <v>63</v>
      </c>
      <c r="O756" t="s">
        <v>748</v>
      </c>
      <c r="P756">
        <v>8008458857</v>
      </c>
      <c r="Q756" t="s">
        <v>445</v>
      </c>
      <c r="R756" t="s">
        <v>132</v>
      </c>
      <c r="S756" t="s">
        <v>43</v>
      </c>
      <c r="T756" t="s">
        <v>43</v>
      </c>
      <c r="U756" t="s">
        <v>90</v>
      </c>
      <c r="V756" t="s">
        <v>45</v>
      </c>
      <c r="W756" t="s">
        <v>5057</v>
      </c>
      <c r="X756" t="s">
        <v>45</v>
      </c>
      <c r="Y756" t="s">
        <v>46</v>
      </c>
      <c r="Z756" t="s">
        <v>242</v>
      </c>
      <c r="AA756" t="s">
        <v>48</v>
      </c>
      <c r="AB756" t="s">
        <v>49</v>
      </c>
      <c r="AC756" t="s">
        <v>49</v>
      </c>
      <c r="AD756">
        <v>0</v>
      </c>
      <c r="AE756" t="s">
        <v>185</v>
      </c>
      <c r="AF756">
        <v>0</v>
      </c>
      <c r="AG756" t="s">
        <v>196</v>
      </c>
      <c r="AH756" s="93">
        <f>VLOOKUP(Table1[[#This Row],[Caste]],Factor!$H$1:$K$13,4,0)</f>
        <v>1.1461625511156397</v>
      </c>
      <c r="AI75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56">
        <f>Table1[[#This Row],[Factor_1]]*Table1[[#This Row],[2024 Factor]]</f>
        <v>3.0326483876590018</v>
      </c>
      <c r="AK756">
        <f>VLOOKUP(Table1[[#This Row],[Q18: Gender]],Factor!$A$33:$E$35,5,0)</f>
        <v>2.1645021645021645</v>
      </c>
      <c r="AL756">
        <f>VLOOKUP(Table1[[#This Row],[Taluka]],Factor!$A$42:$G$46,7,0)</f>
        <v>1.1213131007097483</v>
      </c>
      <c r="AM756">
        <f>VLOOKUP(Table1[[#This Row],[Caste]]&amp;Table1[[#This Row],[Q18: Gender]],Factor!$W$1:$X$23,2,0)</f>
        <v>2.8092219390089208</v>
      </c>
      <c r="AN756">
        <f>VLOOKUP(Table1[[#This Row],[Taluka]]&amp;Table1[[#This Row],[Caste]]&amp;Table1[[#This Row],[Q18: Gender]],Factor!$AK$4:$AL$93,2,0)</f>
        <v>1.8020838461961379</v>
      </c>
      <c r="AO756">
        <f t="shared" si="121"/>
        <v>-1</v>
      </c>
      <c r="AP756">
        <f t="shared" si="122"/>
        <v>1</v>
      </c>
      <c r="AQ756">
        <f t="shared" si="123"/>
        <v>-1</v>
      </c>
      <c r="AR756">
        <f t="shared" si="124"/>
        <v>-1</v>
      </c>
      <c r="AS756">
        <f t="shared" si="125"/>
        <v>-1</v>
      </c>
      <c r="AT756">
        <f t="shared" si="126"/>
        <v>-1</v>
      </c>
      <c r="AU756">
        <f t="shared" si="127"/>
        <v>-3.5</v>
      </c>
      <c r="AV756">
        <f>SUM(Table1[[#This Row],[Satis]:[29]])</f>
        <v>-4</v>
      </c>
      <c r="AW756">
        <f t="shared" si="128"/>
        <v>-5</v>
      </c>
      <c r="AX756">
        <f t="shared" si="129"/>
        <v>-4</v>
      </c>
      <c r="AY756">
        <f t="shared" si="130"/>
        <v>-3</v>
      </c>
      <c r="AZ756" t="str">
        <f t="shared" si="131"/>
        <v>TDP Sympathiser</v>
      </c>
    </row>
    <row r="757" spans="1:52" x14ac:dyDescent="0.3">
      <c r="A757" s="94" t="s">
        <v>4210</v>
      </c>
      <c r="B757" s="94">
        <v>46047</v>
      </c>
      <c r="C757" t="s">
        <v>4204</v>
      </c>
      <c r="D757" t="s">
        <v>4205</v>
      </c>
      <c r="E757" t="s">
        <v>4206</v>
      </c>
      <c r="F757" t="s">
        <v>240</v>
      </c>
      <c r="G757" t="s">
        <v>39</v>
      </c>
      <c r="H757" t="s">
        <v>4211</v>
      </c>
      <c r="I757" t="s">
        <v>59</v>
      </c>
      <c r="J757" t="s">
        <v>71</v>
      </c>
      <c r="K757" t="s">
        <v>218</v>
      </c>
      <c r="L757" t="s">
        <v>62</v>
      </c>
      <c r="M757" t="s">
        <v>51</v>
      </c>
      <c r="N757" t="s">
        <v>63</v>
      </c>
      <c r="O757" t="s">
        <v>748</v>
      </c>
      <c r="P757">
        <v>8008458857</v>
      </c>
      <c r="Q757" t="s">
        <v>445</v>
      </c>
      <c r="R757" t="s">
        <v>132</v>
      </c>
      <c r="S757" t="s">
        <v>43</v>
      </c>
      <c r="T757" t="s">
        <v>43</v>
      </c>
      <c r="U757" t="s">
        <v>90</v>
      </c>
      <c r="V757" t="s">
        <v>45</v>
      </c>
      <c r="W757" t="s">
        <v>5057</v>
      </c>
      <c r="X757" t="s">
        <v>45</v>
      </c>
      <c r="Y757" t="s">
        <v>46</v>
      </c>
      <c r="Z757" t="s">
        <v>242</v>
      </c>
      <c r="AA757" t="s">
        <v>48</v>
      </c>
      <c r="AB757" t="s">
        <v>49</v>
      </c>
      <c r="AC757" t="s">
        <v>49</v>
      </c>
      <c r="AD757">
        <v>0</v>
      </c>
      <c r="AE757" t="s">
        <v>185</v>
      </c>
      <c r="AF757">
        <v>0</v>
      </c>
      <c r="AG757" t="s">
        <v>196</v>
      </c>
      <c r="AH757" s="93">
        <f>VLOOKUP(Table1[[#This Row],[Caste]],Factor!$H$1:$K$13,4,0)</f>
        <v>1.1461625511156397</v>
      </c>
      <c r="AI75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57">
        <f>Table1[[#This Row],[Factor_1]]*Table1[[#This Row],[2024 Factor]]</f>
        <v>3.0326483876590018</v>
      </c>
      <c r="AK757">
        <f>VLOOKUP(Table1[[#This Row],[Q18: Gender]],Factor!$A$33:$E$35,5,0)</f>
        <v>2.1645021645021645</v>
      </c>
      <c r="AL757">
        <f>VLOOKUP(Table1[[#This Row],[Taluka]],Factor!$A$42:$G$46,7,0)</f>
        <v>1.1213131007097483</v>
      </c>
      <c r="AM757">
        <f>VLOOKUP(Table1[[#This Row],[Caste]]&amp;Table1[[#This Row],[Q18: Gender]],Factor!$W$1:$X$23,2,0)</f>
        <v>2.8092219390089208</v>
      </c>
      <c r="AN757">
        <f>VLOOKUP(Table1[[#This Row],[Taluka]]&amp;Table1[[#This Row],[Caste]]&amp;Table1[[#This Row],[Q18: Gender]],Factor!$AK$4:$AL$93,2,0)</f>
        <v>1.8020838461961379</v>
      </c>
      <c r="AO757">
        <f t="shared" si="121"/>
        <v>-1</v>
      </c>
      <c r="AP757">
        <f t="shared" si="122"/>
        <v>1</v>
      </c>
      <c r="AQ757">
        <f t="shared" si="123"/>
        <v>-1</v>
      </c>
      <c r="AR757">
        <f t="shared" si="124"/>
        <v>-1</v>
      </c>
      <c r="AS757">
        <f t="shared" si="125"/>
        <v>-1</v>
      </c>
      <c r="AT757">
        <f t="shared" si="126"/>
        <v>-1</v>
      </c>
      <c r="AU757">
        <f t="shared" si="127"/>
        <v>-3.5</v>
      </c>
      <c r="AV757">
        <f>SUM(Table1[[#This Row],[Satis]:[29]])</f>
        <v>-4</v>
      </c>
      <c r="AW757">
        <f t="shared" si="128"/>
        <v>-5</v>
      </c>
      <c r="AX757">
        <f t="shared" si="129"/>
        <v>-4</v>
      </c>
      <c r="AY757">
        <f t="shared" si="130"/>
        <v>-3</v>
      </c>
      <c r="AZ757" t="str">
        <f t="shared" si="131"/>
        <v>TDP Sympathiser</v>
      </c>
    </row>
    <row r="758" spans="1:52" x14ac:dyDescent="0.3">
      <c r="A758" s="94" t="s">
        <v>4215</v>
      </c>
      <c r="B758" s="94">
        <v>46047</v>
      </c>
      <c r="C758" t="s">
        <v>4213</v>
      </c>
      <c r="D758" t="s">
        <v>4205</v>
      </c>
      <c r="E758" t="s">
        <v>4206</v>
      </c>
      <c r="F758" t="s">
        <v>240</v>
      </c>
      <c r="G758" t="s">
        <v>39</v>
      </c>
      <c r="H758" t="s">
        <v>4216</v>
      </c>
      <c r="I758" t="s">
        <v>59</v>
      </c>
      <c r="J758" t="s">
        <v>71</v>
      </c>
      <c r="K758" t="s">
        <v>218</v>
      </c>
      <c r="L758" t="s">
        <v>62</v>
      </c>
      <c r="M758" t="s">
        <v>51</v>
      </c>
      <c r="N758" t="s">
        <v>63</v>
      </c>
      <c r="O758" t="s">
        <v>748</v>
      </c>
      <c r="P758">
        <v>8008458857</v>
      </c>
      <c r="Q758" t="s">
        <v>445</v>
      </c>
      <c r="R758" t="s">
        <v>132</v>
      </c>
      <c r="S758" t="s">
        <v>43</v>
      </c>
      <c r="T758" t="s">
        <v>43</v>
      </c>
      <c r="U758" t="s">
        <v>90</v>
      </c>
      <c r="V758" t="s">
        <v>45</v>
      </c>
      <c r="W758" t="s">
        <v>5057</v>
      </c>
      <c r="X758" t="s">
        <v>45</v>
      </c>
      <c r="Y758" t="s">
        <v>46</v>
      </c>
      <c r="Z758" t="s">
        <v>242</v>
      </c>
      <c r="AA758" t="s">
        <v>48</v>
      </c>
      <c r="AB758" t="s">
        <v>49</v>
      </c>
      <c r="AC758" t="s">
        <v>49</v>
      </c>
      <c r="AD758">
        <v>0</v>
      </c>
      <c r="AE758" t="s">
        <v>185</v>
      </c>
      <c r="AF758">
        <v>0</v>
      </c>
      <c r="AG758" t="s">
        <v>196</v>
      </c>
      <c r="AH758" s="93">
        <f>VLOOKUP(Table1[[#This Row],[Caste]],Factor!$H$1:$K$13,4,0)</f>
        <v>1.1461625511156397</v>
      </c>
      <c r="AI75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58">
        <f>Table1[[#This Row],[Factor_1]]*Table1[[#This Row],[2024 Factor]]</f>
        <v>3.0326483876590018</v>
      </c>
      <c r="AK758">
        <f>VLOOKUP(Table1[[#This Row],[Q18: Gender]],Factor!$A$33:$E$35,5,0)</f>
        <v>2.1645021645021645</v>
      </c>
      <c r="AL758">
        <f>VLOOKUP(Table1[[#This Row],[Taluka]],Factor!$A$42:$G$46,7,0)</f>
        <v>1.1213131007097483</v>
      </c>
      <c r="AM758">
        <f>VLOOKUP(Table1[[#This Row],[Caste]]&amp;Table1[[#This Row],[Q18: Gender]],Factor!$W$1:$X$23,2,0)</f>
        <v>2.8092219390089208</v>
      </c>
      <c r="AN758">
        <f>VLOOKUP(Table1[[#This Row],[Taluka]]&amp;Table1[[#This Row],[Caste]]&amp;Table1[[#This Row],[Q18: Gender]],Factor!$AK$4:$AL$93,2,0)</f>
        <v>1.8020838461961379</v>
      </c>
      <c r="AO758">
        <f t="shared" si="121"/>
        <v>-1</v>
      </c>
      <c r="AP758">
        <f t="shared" si="122"/>
        <v>1</v>
      </c>
      <c r="AQ758">
        <f t="shared" si="123"/>
        <v>-1</v>
      </c>
      <c r="AR758">
        <f t="shared" si="124"/>
        <v>-1</v>
      </c>
      <c r="AS758">
        <f t="shared" si="125"/>
        <v>-1</v>
      </c>
      <c r="AT758">
        <f t="shared" si="126"/>
        <v>-1</v>
      </c>
      <c r="AU758">
        <f t="shared" si="127"/>
        <v>-3.5</v>
      </c>
      <c r="AV758">
        <f>SUM(Table1[[#This Row],[Satis]:[29]])</f>
        <v>-4</v>
      </c>
      <c r="AW758">
        <f t="shared" si="128"/>
        <v>-5</v>
      </c>
      <c r="AX758">
        <f t="shared" si="129"/>
        <v>-4</v>
      </c>
      <c r="AY758">
        <f t="shared" si="130"/>
        <v>-3</v>
      </c>
      <c r="AZ758" t="str">
        <f t="shared" si="131"/>
        <v>TDP Sympathiser</v>
      </c>
    </row>
    <row r="759" spans="1:52" x14ac:dyDescent="0.3">
      <c r="A759" s="94" t="s">
        <v>4212</v>
      </c>
      <c r="B759" s="94">
        <v>46047</v>
      </c>
      <c r="C759" t="s">
        <v>4213</v>
      </c>
      <c r="D759" t="s">
        <v>4205</v>
      </c>
      <c r="E759" t="s">
        <v>4206</v>
      </c>
      <c r="F759" t="s">
        <v>240</v>
      </c>
      <c r="G759" t="s">
        <v>39</v>
      </c>
      <c r="H759" t="s">
        <v>4214</v>
      </c>
      <c r="I759" t="s">
        <v>59</v>
      </c>
      <c r="J759" t="s">
        <v>71</v>
      </c>
      <c r="K759" t="s">
        <v>218</v>
      </c>
      <c r="L759" t="s">
        <v>62</v>
      </c>
      <c r="M759" t="s">
        <v>51</v>
      </c>
      <c r="N759" t="s">
        <v>63</v>
      </c>
      <c r="O759" t="s">
        <v>748</v>
      </c>
      <c r="P759">
        <v>8008458857</v>
      </c>
      <c r="Q759" t="s">
        <v>445</v>
      </c>
      <c r="R759" t="s">
        <v>132</v>
      </c>
      <c r="S759" t="s">
        <v>43</v>
      </c>
      <c r="T759" t="s">
        <v>43</v>
      </c>
      <c r="U759" t="s">
        <v>90</v>
      </c>
      <c r="V759" t="s">
        <v>45</v>
      </c>
      <c r="W759" t="s">
        <v>5057</v>
      </c>
      <c r="X759" t="s">
        <v>45</v>
      </c>
      <c r="Y759" t="s">
        <v>46</v>
      </c>
      <c r="Z759" t="s">
        <v>242</v>
      </c>
      <c r="AA759" t="s">
        <v>48</v>
      </c>
      <c r="AB759" t="s">
        <v>49</v>
      </c>
      <c r="AC759" t="s">
        <v>49</v>
      </c>
      <c r="AD759">
        <v>0</v>
      </c>
      <c r="AE759" t="s">
        <v>185</v>
      </c>
      <c r="AF759">
        <v>0</v>
      </c>
      <c r="AG759" t="s">
        <v>196</v>
      </c>
      <c r="AH759" s="93">
        <f>VLOOKUP(Table1[[#This Row],[Caste]],Factor!$H$1:$K$13,4,0)</f>
        <v>1.1461625511156397</v>
      </c>
      <c r="AI75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59">
        <f>Table1[[#This Row],[Factor_1]]*Table1[[#This Row],[2024 Factor]]</f>
        <v>3.0326483876590018</v>
      </c>
      <c r="AK759">
        <f>VLOOKUP(Table1[[#This Row],[Q18: Gender]],Factor!$A$33:$E$35,5,0)</f>
        <v>2.1645021645021645</v>
      </c>
      <c r="AL759">
        <f>VLOOKUP(Table1[[#This Row],[Taluka]],Factor!$A$42:$G$46,7,0)</f>
        <v>1.1213131007097483</v>
      </c>
      <c r="AM759">
        <f>VLOOKUP(Table1[[#This Row],[Caste]]&amp;Table1[[#This Row],[Q18: Gender]],Factor!$W$1:$X$23,2,0)</f>
        <v>2.8092219390089208</v>
      </c>
      <c r="AN759">
        <f>VLOOKUP(Table1[[#This Row],[Taluka]]&amp;Table1[[#This Row],[Caste]]&amp;Table1[[#This Row],[Q18: Gender]],Factor!$AK$4:$AL$93,2,0)</f>
        <v>1.8020838461961379</v>
      </c>
      <c r="AO759">
        <f t="shared" si="121"/>
        <v>-1</v>
      </c>
      <c r="AP759">
        <f t="shared" si="122"/>
        <v>1</v>
      </c>
      <c r="AQ759">
        <f t="shared" si="123"/>
        <v>-1</v>
      </c>
      <c r="AR759">
        <f t="shared" si="124"/>
        <v>-1</v>
      </c>
      <c r="AS759">
        <f t="shared" si="125"/>
        <v>-1</v>
      </c>
      <c r="AT759">
        <f t="shared" si="126"/>
        <v>-1</v>
      </c>
      <c r="AU759">
        <f t="shared" si="127"/>
        <v>-3.5</v>
      </c>
      <c r="AV759">
        <f>SUM(Table1[[#This Row],[Satis]:[29]])</f>
        <v>-4</v>
      </c>
      <c r="AW759">
        <f t="shared" si="128"/>
        <v>-5</v>
      </c>
      <c r="AX759">
        <f t="shared" si="129"/>
        <v>-4</v>
      </c>
      <c r="AY759">
        <f t="shared" si="130"/>
        <v>-3</v>
      </c>
      <c r="AZ759" t="str">
        <f t="shared" si="131"/>
        <v>TDP Sympathiser</v>
      </c>
    </row>
    <row r="760" spans="1:52" x14ac:dyDescent="0.3">
      <c r="A760" s="94" t="s">
        <v>4217</v>
      </c>
      <c r="B760" s="94">
        <v>46047</v>
      </c>
      <c r="C760" t="s">
        <v>4218</v>
      </c>
      <c r="D760" t="s">
        <v>4219</v>
      </c>
      <c r="E760" t="s">
        <v>4220</v>
      </c>
      <c r="F760" t="s">
        <v>240</v>
      </c>
      <c r="G760" t="s">
        <v>39</v>
      </c>
      <c r="H760" t="s">
        <v>4221</v>
      </c>
      <c r="I760" t="s">
        <v>59</v>
      </c>
      <c r="J760" t="s">
        <v>71</v>
      </c>
      <c r="K760" t="s">
        <v>218</v>
      </c>
      <c r="L760" t="s">
        <v>451</v>
      </c>
      <c r="M760" t="s">
        <v>51</v>
      </c>
      <c r="N760" t="s">
        <v>52</v>
      </c>
      <c r="O760" t="s">
        <v>1779</v>
      </c>
      <c r="P760">
        <v>9494248509</v>
      </c>
      <c r="Q760" t="s">
        <v>445</v>
      </c>
      <c r="R760" t="s">
        <v>132</v>
      </c>
      <c r="S760" t="s">
        <v>43</v>
      </c>
      <c r="T760" t="s">
        <v>43</v>
      </c>
      <c r="U760" t="s">
        <v>90</v>
      </c>
      <c r="V760" t="s">
        <v>45</v>
      </c>
      <c r="W760" t="s">
        <v>5054</v>
      </c>
      <c r="X760" t="s">
        <v>45</v>
      </c>
      <c r="Y760" t="s">
        <v>46</v>
      </c>
      <c r="Z760" t="s">
        <v>47</v>
      </c>
      <c r="AA760" t="s">
        <v>48</v>
      </c>
      <c r="AB760" t="s">
        <v>49</v>
      </c>
      <c r="AC760" t="s">
        <v>49</v>
      </c>
      <c r="AD760" t="s">
        <v>494</v>
      </c>
      <c r="AE760" t="s">
        <v>185</v>
      </c>
      <c r="AF760">
        <v>0</v>
      </c>
      <c r="AG760" t="s">
        <v>196</v>
      </c>
      <c r="AH760" s="93">
        <f>VLOOKUP(Table1[[#This Row],[Caste]],Factor!$H$1:$K$13,4,0)</f>
        <v>1.1461625511156397</v>
      </c>
      <c r="AI76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60">
        <f>Table1[[#This Row],[Factor_1]]*Table1[[#This Row],[2024 Factor]]</f>
        <v>3.0326483876590018</v>
      </c>
      <c r="AK760">
        <f>VLOOKUP(Table1[[#This Row],[Q18: Gender]],Factor!$A$33:$E$35,5,0)</f>
        <v>2.1645021645021645</v>
      </c>
      <c r="AL760">
        <f>VLOOKUP(Table1[[#This Row],[Taluka]],Factor!$A$42:$G$46,7,0)</f>
        <v>1.1213131007097483</v>
      </c>
      <c r="AM760">
        <f>VLOOKUP(Table1[[#This Row],[Caste]]&amp;Table1[[#This Row],[Q18: Gender]],Factor!$W$1:$X$23,2,0)</f>
        <v>2.8092219390089208</v>
      </c>
      <c r="AN760">
        <f>VLOOKUP(Table1[[#This Row],[Taluka]]&amp;Table1[[#This Row],[Caste]]&amp;Table1[[#This Row],[Q18: Gender]],Factor!$AK$4:$AL$93,2,0)</f>
        <v>1.8020838461961379</v>
      </c>
      <c r="AO760">
        <f t="shared" si="121"/>
        <v>-1</v>
      </c>
      <c r="AP760">
        <f t="shared" si="122"/>
        <v>1</v>
      </c>
      <c r="AQ760">
        <f t="shared" si="123"/>
        <v>-1</v>
      </c>
      <c r="AR760">
        <f t="shared" si="124"/>
        <v>-1</v>
      </c>
      <c r="AS760">
        <f t="shared" si="125"/>
        <v>-1</v>
      </c>
      <c r="AT760">
        <f t="shared" si="126"/>
        <v>-1</v>
      </c>
      <c r="AU760">
        <f t="shared" si="127"/>
        <v>-3.5</v>
      </c>
      <c r="AV760">
        <f>SUM(Table1[[#This Row],[Satis]:[29]])</f>
        <v>-4</v>
      </c>
      <c r="AW760">
        <f t="shared" si="128"/>
        <v>-5</v>
      </c>
      <c r="AX760">
        <f t="shared" si="129"/>
        <v>-4</v>
      </c>
      <c r="AY760">
        <f t="shared" si="130"/>
        <v>-3</v>
      </c>
      <c r="AZ760" t="str">
        <f t="shared" si="131"/>
        <v>TDP Sympathiser</v>
      </c>
    </row>
    <row r="761" spans="1:52" x14ac:dyDescent="0.3">
      <c r="A761" s="94" t="s">
        <v>4222</v>
      </c>
      <c r="B761" s="94">
        <v>46047</v>
      </c>
      <c r="C761" t="s">
        <v>4223</v>
      </c>
      <c r="D761" t="s">
        <v>4224</v>
      </c>
      <c r="E761" t="s">
        <v>4225</v>
      </c>
      <c r="F761" t="s">
        <v>240</v>
      </c>
      <c r="G761" t="s">
        <v>39</v>
      </c>
      <c r="H761" t="s">
        <v>4226</v>
      </c>
      <c r="I761" t="s">
        <v>59</v>
      </c>
      <c r="J761" t="s">
        <v>71</v>
      </c>
      <c r="K761" t="s">
        <v>218</v>
      </c>
      <c r="L761" t="s">
        <v>62</v>
      </c>
      <c r="M761" t="s">
        <v>51</v>
      </c>
      <c r="N761" t="s">
        <v>52</v>
      </c>
      <c r="O761" t="s">
        <v>4227</v>
      </c>
      <c r="P761">
        <v>9999999999</v>
      </c>
      <c r="Q761" t="s">
        <v>54</v>
      </c>
      <c r="R761" t="s">
        <v>61</v>
      </c>
      <c r="S761" t="s">
        <v>89</v>
      </c>
      <c r="T761" t="s">
        <v>43</v>
      </c>
      <c r="U761" t="s">
        <v>90</v>
      </c>
      <c r="V761" t="s">
        <v>45</v>
      </c>
      <c r="W761" t="s">
        <v>5050</v>
      </c>
      <c r="X761" t="s">
        <v>45</v>
      </c>
      <c r="Y761" t="s">
        <v>46</v>
      </c>
      <c r="Z761" t="s">
        <v>47</v>
      </c>
      <c r="AA761" t="s">
        <v>48</v>
      </c>
      <c r="AB761" t="s">
        <v>49</v>
      </c>
      <c r="AC761" t="s">
        <v>49</v>
      </c>
      <c r="AD761" t="s">
        <v>494</v>
      </c>
      <c r="AE761" t="s">
        <v>185</v>
      </c>
      <c r="AF761">
        <v>0</v>
      </c>
      <c r="AG761" t="s">
        <v>196</v>
      </c>
      <c r="AH761" s="93">
        <f>VLOOKUP(Table1[[#This Row],[Caste]],Factor!$H$1:$K$13,4,0)</f>
        <v>1.1461625511156397</v>
      </c>
      <c r="AI76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61">
        <f>Table1[[#This Row],[Factor_1]]*Table1[[#This Row],[2024 Factor]]</f>
        <v>0.77721139583220644</v>
      </c>
      <c r="AK761">
        <f>VLOOKUP(Table1[[#This Row],[Q18: Gender]],Factor!$A$33:$E$35,5,0)</f>
        <v>0.85034013605442171</v>
      </c>
      <c r="AL761">
        <f>VLOOKUP(Table1[[#This Row],[Taluka]],Factor!$A$42:$G$46,7,0)</f>
        <v>1.1213131007097483</v>
      </c>
      <c r="AM761">
        <f>VLOOKUP(Table1[[#This Row],[Caste]]&amp;Table1[[#This Row],[Q18: Gender]],Factor!$W$1:$X$23,2,0)</f>
        <v>0.71995135120329123</v>
      </c>
      <c r="AN761">
        <f>VLOOKUP(Table1[[#This Row],[Taluka]]&amp;Table1[[#This Row],[Caste]]&amp;Table1[[#This Row],[Q18: Gender]],Factor!$AK$4:$AL$93,2,0)</f>
        <v>1.3370299504035861</v>
      </c>
      <c r="AO761">
        <f t="shared" si="121"/>
        <v>-1</v>
      </c>
      <c r="AP761">
        <f t="shared" si="122"/>
        <v>1</v>
      </c>
      <c r="AQ761">
        <f t="shared" si="123"/>
        <v>-1</v>
      </c>
      <c r="AR761">
        <f t="shared" si="124"/>
        <v>-1</v>
      </c>
      <c r="AS761">
        <f t="shared" si="125"/>
        <v>-1</v>
      </c>
      <c r="AT761">
        <f t="shared" si="126"/>
        <v>-1</v>
      </c>
      <c r="AU761">
        <f t="shared" si="127"/>
        <v>-3.5</v>
      </c>
      <c r="AV761">
        <f>SUM(Table1[[#This Row],[Satis]:[29]])</f>
        <v>-4</v>
      </c>
      <c r="AW761">
        <f t="shared" si="128"/>
        <v>-5</v>
      </c>
      <c r="AX761">
        <f t="shared" si="129"/>
        <v>-4</v>
      </c>
      <c r="AY761">
        <f t="shared" si="130"/>
        <v>-3</v>
      </c>
      <c r="AZ761" t="str">
        <f t="shared" si="131"/>
        <v>TDP Sympathiser</v>
      </c>
    </row>
    <row r="762" spans="1:52" x14ac:dyDescent="0.3">
      <c r="A762" s="94" t="s">
        <v>4110</v>
      </c>
      <c r="B762" s="94">
        <v>46047</v>
      </c>
      <c r="C762" t="s">
        <v>4111</v>
      </c>
      <c r="D762" t="s">
        <v>4112</v>
      </c>
      <c r="E762" t="s">
        <v>3180</v>
      </c>
      <c r="F762" t="s">
        <v>240</v>
      </c>
      <c r="G762" t="s">
        <v>39</v>
      </c>
      <c r="H762" t="s">
        <v>4113</v>
      </c>
      <c r="I762" t="s">
        <v>70</v>
      </c>
      <c r="J762" t="s">
        <v>71</v>
      </c>
      <c r="K762" t="s">
        <v>218</v>
      </c>
      <c r="L762" t="s">
        <v>75</v>
      </c>
      <c r="M762" t="s">
        <v>443</v>
      </c>
      <c r="N762" t="s">
        <v>63</v>
      </c>
      <c r="O762" t="s">
        <v>4114</v>
      </c>
      <c r="P762">
        <v>9095768911</v>
      </c>
      <c r="Q762" t="s">
        <v>54</v>
      </c>
      <c r="R762" t="s">
        <v>132</v>
      </c>
      <c r="S762" t="s">
        <v>89</v>
      </c>
      <c r="T762" t="s">
        <v>89</v>
      </c>
      <c r="U762" t="s">
        <v>90</v>
      </c>
      <c r="V762" t="s">
        <v>91</v>
      </c>
      <c r="W762" t="s">
        <v>5051</v>
      </c>
      <c r="X762" t="s">
        <v>91</v>
      </c>
      <c r="Y762" t="s">
        <v>638</v>
      </c>
      <c r="Z762" t="s">
        <v>92</v>
      </c>
      <c r="AA762" t="s">
        <v>92</v>
      </c>
      <c r="AB762" t="s">
        <v>147</v>
      </c>
      <c r="AC762" t="s">
        <v>148</v>
      </c>
      <c r="AD762" t="s">
        <v>184</v>
      </c>
      <c r="AE762" t="s">
        <v>189</v>
      </c>
      <c r="AF762" t="s">
        <v>4115</v>
      </c>
      <c r="AG762" t="s">
        <v>196</v>
      </c>
      <c r="AH762" s="93">
        <f>VLOOKUP(Table1[[#This Row],[Caste]],Factor!$H$1:$K$13,4,0)</f>
        <v>1.3836274505214585</v>
      </c>
      <c r="AI762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762">
        <f>Table1[[#This Row],[Factor_1]]*Table1[[#This Row],[2024 Factor]]</f>
        <v>1.9482662206881376</v>
      </c>
      <c r="AK762">
        <f>VLOOKUP(Table1[[#This Row],[Q18: Gender]],Factor!$A$33:$E$35,5,0)</f>
        <v>0.85034013605442171</v>
      </c>
      <c r="AL762">
        <f>VLOOKUP(Table1[[#This Row],[Taluka]],Factor!$A$42:$G$46,7,0)</f>
        <v>1.1213131007097483</v>
      </c>
      <c r="AM762">
        <f>VLOOKUP(Table1[[#This Row],[Caste]]&amp;Table1[[#This Row],[Q18: Gender]],Factor!$W$1:$X$23,2,0)</f>
        <v>1.0790228998469584</v>
      </c>
      <c r="AN762">
        <f>VLOOKUP(Table1[[#This Row],[Taluka]]&amp;Table1[[#This Row],[Caste]]&amp;Table1[[#This Row],[Q18: Gender]],Factor!$AK$4:$AL$93,2,0)</f>
        <v>0.90933567693352424</v>
      </c>
      <c r="AO762">
        <f t="shared" si="121"/>
        <v>1</v>
      </c>
      <c r="AP762">
        <f t="shared" si="122"/>
        <v>1</v>
      </c>
      <c r="AQ762">
        <f t="shared" si="123"/>
        <v>1</v>
      </c>
      <c r="AR762">
        <f t="shared" si="124"/>
        <v>1</v>
      </c>
      <c r="AS762">
        <f t="shared" si="125"/>
        <v>1</v>
      </c>
      <c r="AT762">
        <f t="shared" si="126"/>
        <v>1</v>
      </c>
      <c r="AU762">
        <f t="shared" si="127"/>
        <v>5.5</v>
      </c>
      <c r="AV762">
        <f>SUM(Table1[[#This Row],[Satis]:[29]])</f>
        <v>6</v>
      </c>
      <c r="AW762">
        <f t="shared" si="128"/>
        <v>5</v>
      </c>
      <c r="AX762">
        <f t="shared" si="129"/>
        <v>4</v>
      </c>
      <c r="AY762">
        <f t="shared" si="130"/>
        <v>3</v>
      </c>
      <c r="AZ762" t="str">
        <f t="shared" si="131"/>
        <v>YSRCP HardCore</v>
      </c>
    </row>
    <row r="763" spans="1:52" x14ac:dyDescent="0.3">
      <c r="A763" s="94" t="s">
        <v>4257</v>
      </c>
      <c r="B763" s="94">
        <v>46047</v>
      </c>
      <c r="C763" t="s">
        <v>4258</v>
      </c>
      <c r="D763" t="s">
        <v>4259</v>
      </c>
      <c r="E763" t="s">
        <v>1197</v>
      </c>
      <c r="F763" t="s">
        <v>35</v>
      </c>
      <c r="G763" t="s">
        <v>39</v>
      </c>
      <c r="H763" t="s">
        <v>4260</v>
      </c>
      <c r="I763" t="s">
        <v>36</v>
      </c>
      <c r="J763" t="s">
        <v>71</v>
      </c>
      <c r="K763" t="s">
        <v>213</v>
      </c>
      <c r="L763" t="s">
        <v>82</v>
      </c>
      <c r="M763" t="s">
        <v>51</v>
      </c>
      <c r="N763" t="s">
        <v>52</v>
      </c>
      <c r="O763" t="s">
        <v>4261</v>
      </c>
      <c r="P763">
        <v>0</v>
      </c>
      <c r="Q763" t="s">
        <v>54</v>
      </c>
      <c r="R763" t="s">
        <v>2116</v>
      </c>
      <c r="S763" t="s">
        <v>43</v>
      </c>
      <c r="T763" t="s">
        <v>43</v>
      </c>
      <c r="U763" t="s">
        <v>90</v>
      </c>
      <c r="V763" t="s">
        <v>45</v>
      </c>
      <c r="W763" t="s">
        <v>5107</v>
      </c>
      <c r="X763" t="s">
        <v>45</v>
      </c>
      <c r="Y763" t="s">
        <v>716</v>
      </c>
      <c r="Z763" t="s">
        <v>47</v>
      </c>
      <c r="AA763" t="s">
        <v>48</v>
      </c>
      <c r="AB763" t="s">
        <v>49</v>
      </c>
      <c r="AC763" t="s">
        <v>49</v>
      </c>
      <c r="AD763" t="s">
        <v>481</v>
      </c>
      <c r="AE763" t="s">
        <v>1250</v>
      </c>
      <c r="AF763">
        <v>0</v>
      </c>
      <c r="AG763" t="s">
        <v>498</v>
      </c>
      <c r="AH763" s="93">
        <f>VLOOKUP(Table1[[#This Row],[Caste]],Factor!$H$1:$K$13,4,0)</f>
        <v>1.1705128247062893</v>
      </c>
      <c r="AI76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63">
        <f>Table1[[#This Row],[Factor_1]]*Table1[[#This Row],[2024 Factor]]</f>
        <v>0.86308903171383233</v>
      </c>
      <c r="AK763">
        <f>VLOOKUP(Table1[[#This Row],[Q18: Gender]],Factor!$A$33:$E$35,5,0)</f>
        <v>0.85034013605442171</v>
      </c>
      <c r="AL763">
        <f>VLOOKUP(Table1[[#This Row],[Taluka]],Factor!$A$42:$G$46,7,0)</f>
        <v>1.1213131007097483</v>
      </c>
      <c r="AM763">
        <f>VLOOKUP(Table1[[#This Row],[Caste]]&amp;Table1[[#This Row],[Q18: Gender]],Factor!$W$1:$X$23,2,0)</f>
        <v>0.79950206330384943</v>
      </c>
      <c r="AN763">
        <f>VLOOKUP(Table1[[#This Row],[Taluka]]&amp;Table1[[#This Row],[Caste]]&amp;Table1[[#This Row],[Q18: Gender]],Factor!$AK$4:$AL$93,2,0)</f>
        <v>0.7401439088249181</v>
      </c>
      <c r="AO763">
        <f t="shared" si="121"/>
        <v>-1</v>
      </c>
      <c r="AP763">
        <f t="shared" si="122"/>
        <v>1</v>
      </c>
      <c r="AQ763">
        <f t="shared" si="123"/>
        <v>-1</v>
      </c>
      <c r="AR763">
        <f t="shared" si="124"/>
        <v>-1</v>
      </c>
      <c r="AS763">
        <f t="shared" si="125"/>
        <v>-1</v>
      </c>
      <c r="AT763">
        <f t="shared" si="126"/>
        <v>-1</v>
      </c>
      <c r="AU763">
        <f t="shared" si="127"/>
        <v>-3.5</v>
      </c>
      <c r="AV763">
        <f>SUM(Table1[[#This Row],[Satis]:[29]])</f>
        <v>-4</v>
      </c>
      <c r="AW763">
        <f t="shared" si="128"/>
        <v>-5</v>
      </c>
      <c r="AX763">
        <f t="shared" si="129"/>
        <v>-4</v>
      </c>
      <c r="AY763">
        <f t="shared" si="130"/>
        <v>-3</v>
      </c>
      <c r="AZ763" t="str">
        <f t="shared" si="131"/>
        <v>TDP Sympathiser</v>
      </c>
    </row>
    <row r="764" spans="1:52" x14ac:dyDescent="0.3">
      <c r="A764" s="94" t="s">
        <v>4228</v>
      </c>
      <c r="B764" s="94">
        <v>46047</v>
      </c>
      <c r="C764" t="s">
        <v>4229</v>
      </c>
      <c r="D764" t="s">
        <v>4230</v>
      </c>
      <c r="E764" t="s">
        <v>4231</v>
      </c>
      <c r="F764" t="s">
        <v>240</v>
      </c>
      <c r="G764" t="s">
        <v>39</v>
      </c>
      <c r="H764" t="s">
        <v>4232</v>
      </c>
      <c r="I764" t="s">
        <v>59</v>
      </c>
      <c r="J764" t="s">
        <v>71</v>
      </c>
      <c r="K764" t="s">
        <v>218</v>
      </c>
      <c r="L764" t="s">
        <v>451</v>
      </c>
      <c r="M764" t="s">
        <v>51</v>
      </c>
      <c r="N764" t="s">
        <v>63</v>
      </c>
      <c r="O764" t="s">
        <v>4233</v>
      </c>
      <c r="P764">
        <v>9154643919</v>
      </c>
      <c r="Q764" t="s">
        <v>445</v>
      </c>
      <c r="R764" t="s">
        <v>61</v>
      </c>
      <c r="S764" t="s">
        <v>43</v>
      </c>
      <c r="T764" t="s">
        <v>43</v>
      </c>
      <c r="U764" t="s">
        <v>90</v>
      </c>
      <c r="V764" t="s">
        <v>45</v>
      </c>
      <c r="W764" t="s">
        <v>5090</v>
      </c>
      <c r="X764" t="s">
        <v>45</v>
      </c>
      <c r="Y764" t="s">
        <v>46</v>
      </c>
      <c r="Z764" t="s">
        <v>242</v>
      </c>
      <c r="AA764" t="s">
        <v>48</v>
      </c>
      <c r="AB764" t="s">
        <v>49</v>
      </c>
      <c r="AC764" t="s">
        <v>49</v>
      </c>
      <c r="AD764" t="s">
        <v>494</v>
      </c>
      <c r="AE764" t="s">
        <v>185</v>
      </c>
      <c r="AF764">
        <v>0</v>
      </c>
      <c r="AG764" t="s">
        <v>196</v>
      </c>
      <c r="AH764" s="93">
        <f>VLOOKUP(Table1[[#This Row],[Caste]],Factor!$H$1:$K$13,4,0)</f>
        <v>1.1461625511156397</v>
      </c>
      <c r="AI76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64">
        <f>Table1[[#This Row],[Factor_1]]*Table1[[#This Row],[2024 Factor]]</f>
        <v>3.0326483876590018</v>
      </c>
      <c r="AK764">
        <f>VLOOKUP(Table1[[#This Row],[Q18: Gender]],Factor!$A$33:$E$35,5,0)</f>
        <v>2.1645021645021645</v>
      </c>
      <c r="AL764">
        <f>VLOOKUP(Table1[[#This Row],[Taluka]],Factor!$A$42:$G$46,7,0)</f>
        <v>1.1213131007097483</v>
      </c>
      <c r="AM764">
        <f>VLOOKUP(Table1[[#This Row],[Caste]]&amp;Table1[[#This Row],[Q18: Gender]],Factor!$W$1:$X$23,2,0)</f>
        <v>2.8092219390089208</v>
      </c>
      <c r="AN764">
        <f>VLOOKUP(Table1[[#This Row],[Taluka]]&amp;Table1[[#This Row],[Caste]]&amp;Table1[[#This Row],[Q18: Gender]],Factor!$AK$4:$AL$93,2,0)</f>
        <v>1.8020838461961379</v>
      </c>
      <c r="AO764">
        <f t="shared" si="121"/>
        <v>-1</v>
      </c>
      <c r="AP764">
        <f t="shared" si="122"/>
        <v>1</v>
      </c>
      <c r="AQ764">
        <f t="shared" si="123"/>
        <v>-1</v>
      </c>
      <c r="AR764">
        <f t="shared" si="124"/>
        <v>-1</v>
      </c>
      <c r="AS764">
        <f t="shared" si="125"/>
        <v>-1</v>
      </c>
      <c r="AT764">
        <f t="shared" si="126"/>
        <v>-1</v>
      </c>
      <c r="AU764">
        <f t="shared" si="127"/>
        <v>-3.5</v>
      </c>
      <c r="AV764">
        <f>SUM(Table1[[#This Row],[Satis]:[29]])</f>
        <v>-4</v>
      </c>
      <c r="AW764">
        <f t="shared" si="128"/>
        <v>-5</v>
      </c>
      <c r="AX764">
        <f t="shared" si="129"/>
        <v>-4</v>
      </c>
      <c r="AY764">
        <f t="shared" si="130"/>
        <v>-3</v>
      </c>
      <c r="AZ764" t="str">
        <f t="shared" si="131"/>
        <v>TDP Sympathiser</v>
      </c>
    </row>
    <row r="765" spans="1:52" x14ac:dyDescent="0.3">
      <c r="A765" s="94" t="s">
        <v>4419</v>
      </c>
      <c r="B765" s="94">
        <v>46047</v>
      </c>
      <c r="C765" t="s">
        <v>4420</v>
      </c>
      <c r="D765" t="s">
        <v>4421</v>
      </c>
      <c r="E765" t="s">
        <v>4377</v>
      </c>
      <c r="F765" t="s">
        <v>35</v>
      </c>
      <c r="G765" t="s">
        <v>39</v>
      </c>
      <c r="H765" t="s">
        <v>4422</v>
      </c>
      <c r="I765" t="s">
        <v>59</v>
      </c>
      <c r="J765" t="s">
        <v>71</v>
      </c>
      <c r="K765" t="s">
        <v>213</v>
      </c>
      <c r="L765" t="s">
        <v>451</v>
      </c>
      <c r="M765" t="s">
        <v>51</v>
      </c>
      <c r="N765" t="s">
        <v>63</v>
      </c>
      <c r="O765" t="s">
        <v>748</v>
      </c>
      <c r="P765">
        <v>0</v>
      </c>
      <c r="Q765" t="s">
        <v>445</v>
      </c>
      <c r="R765" t="s">
        <v>61</v>
      </c>
      <c r="S765" t="s">
        <v>43</v>
      </c>
      <c r="T765" t="s">
        <v>89</v>
      </c>
      <c r="U765" t="s">
        <v>44</v>
      </c>
      <c r="V765" t="s">
        <v>91</v>
      </c>
      <c r="W765" t="s">
        <v>5113</v>
      </c>
      <c r="X765" t="s">
        <v>91</v>
      </c>
      <c r="Y765" t="s">
        <v>46</v>
      </c>
      <c r="Z765" t="s">
        <v>92</v>
      </c>
      <c r="AA765" t="s">
        <v>92</v>
      </c>
      <c r="AB765" t="s">
        <v>147</v>
      </c>
      <c r="AC765" t="s">
        <v>94</v>
      </c>
      <c r="AD765" t="s">
        <v>184</v>
      </c>
      <c r="AE765" t="s">
        <v>189</v>
      </c>
      <c r="AF765">
        <v>0</v>
      </c>
      <c r="AG765" t="s">
        <v>196</v>
      </c>
      <c r="AH765" s="93">
        <f>VLOOKUP(Table1[[#This Row],[Caste]],Factor!$H$1:$K$13,4,0)</f>
        <v>1.1461625511156397</v>
      </c>
      <c r="AI765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765">
        <f>Table1[[#This Row],[Factor_1]]*Table1[[#This Row],[2024 Factor]]</f>
        <v>5.0722855010430106</v>
      </c>
      <c r="AK765">
        <f>VLOOKUP(Table1[[#This Row],[Q18: Gender]],Factor!$A$33:$E$35,5,0)</f>
        <v>2.1645021645021645</v>
      </c>
      <c r="AL765">
        <f>VLOOKUP(Table1[[#This Row],[Taluka]],Factor!$A$42:$G$46,7,0)</f>
        <v>1.1213131007097483</v>
      </c>
      <c r="AM765">
        <f>VLOOKUP(Table1[[#This Row],[Caste]]&amp;Table1[[#This Row],[Q18: Gender]],Factor!$W$1:$X$23,2,0)</f>
        <v>2.8092219390089208</v>
      </c>
      <c r="AN765">
        <f>VLOOKUP(Table1[[#This Row],[Taluka]]&amp;Table1[[#This Row],[Caste]]&amp;Table1[[#This Row],[Q18: Gender]],Factor!$AK$4:$AL$93,2,0)</f>
        <v>1.8020838461961379</v>
      </c>
      <c r="AO765">
        <f t="shared" si="121"/>
        <v>1</v>
      </c>
      <c r="AP765">
        <f t="shared" si="122"/>
        <v>-1</v>
      </c>
      <c r="AQ765">
        <f t="shared" si="123"/>
        <v>1</v>
      </c>
      <c r="AR765">
        <f t="shared" si="124"/>
        <v>1</v>
      </c>
      <c r="AS765">
        <f t="shared" si="125"/>
        <v>1</v>
      </c>
      <c r="AT765">
        <f t="shared" si="126"/>
        <v>1</v>
      </c>
      <c r="AU765">
        <f t="shared" si="127"/>
        <v>3.5</v>
      </c>
      <c r="AV765">
        <f>SUM(Table1[[#This Row],[Satis]:[29]])</f>
        <v>4</v>
      </c>
      <c r="AW765">
        <f t="shared" si="128"/>
        <v>5</v>
      </c>
      <c r="AX765">
        <f t="shared" si="129"/>
        <v>4</v>
      </c>
      <c r="AY765">
        <f t="shared" si="130"/>
        <v>3</v>
      </c>
      <c r="AZ765" t="str">
        <f t="shared" si="131"/>
        <v>YSRCP Sympathiser</v>
      </c>
    </row>
    <row r="766" spans="1:52" x14ac:dyDescent="0.3">
      <c r="A766" s="94" t="s">
        <v>4391</v>
      </c>
      <c r="B766" s="94">
        <v>46047</v>
      </c>
      <c r="C766" t="s">
        <v>4392</v>
      </c>
      <c r="D766" t="s">
        <v>4393</v>
      </c>
      <c r="E766" t="s">
        <v>4383</v>
      </c>
      <c r="F766" t="s">
        <v>35</v>
      </c>
      <c r="G766" t="s">
        <v>39</v>
      </c>
      <c r="H766" t="s">
        <v>4394</v>
      </c>
      <c r="I766" t="s">
        <v>70</v>
      </c>
      <c r="J766" t="s">
        <v>71</v>
      </c>
      <c r="K766" t="s">
        <v>213</v>
      </c>
      <c r="L766" t="s">
        <v>451</v>
      </c>
      <c r="M766" t="s">
        <v>443</v>
      </c>
      <c r="N766" t="s">
        <v>63</v>
      </c>
      <c r="O766" t="s">
        <v>4395</v>
      </c>
      <c r="P766">
        <v>0</v>
      </c>
      <c r="Q766" t="s">
        <v>445</v>
      </c>
      <c r="R766" t="s">
        <v>139</v>
      </c>
      <c r="S766" t="s">
        <v>89</v>
      </c>
      <c r="T766" t="s">
        <v>43</v>
      </c>
      <c r="U766" t="s">
        <v>44</v>
      </c>
      <c r="V766" t="s">
        <v>45</v>
      </c>
      <c r="W766" t="s">
        <v>5043</v>
      </c>
      <c r="X766" t="s">
        <v>91</v>
      </c>
      <c r="Y766" t="s">
        <v>716</v>
      </c>
      <c r="Z766" t="s">
        <v>242</v>
      </c>
      <c r="AA766" t="s">
        <v>48</v>
      </c>
      <c r="AB766" t="s">
        <v>49</v>
      </c>
      <c r="AC766" t="s">
        <v>49</v>
      </c>
      <c r="AD766" t="s">
        <v>481</v>
      </c>
      <c r="AE766" t="s">
        <v>1250</v>
      </c>
      <c r="AF766">
        <v>0</v>
      </c>
      <c r="AG766" t="s">
        <v>498</v>
      </c>
      <c r="AH766" s="93">
        <f>VLOOKUP(Table1[[#This Row],[Caste]],Factor!$H$1:$K$13,4,0)</f>
        <v>1.3836274505214585</v>
      </c>
      <c r="AI76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66">
        <f>Table1[[#This Row],[Factor_1]]*Table1[[#This Row],[2024 Factor]]</f>
        <v>2.0811826914865059</v>
      </c>
      <c r="AK766">
        <f>VLOOKUP(Table1[[#This Row],[Q18: Gender]],Factor!$A$33:$E$35,5,0)</f>
        <v>2.1645021645021645</v>
      </c>
      <c r="AL766">
        <f>VLOOKUP(Table1[[#This Row],[Taluka]],Factor!$A$42:$G$46,7,0)</f>
        <v>1.1213131007097483</v>
      </c>
      <c r="AM766">
        <f>VLOOKUP(Table1[[#This Row],[Caste]]&amp;Table1[[#This Row],[Q18: Gender]],Factor!$W$1:$X$23,2,0)</f>
        <v>1.9278542477265657</v>
      </c>
      <c r="AN766">
        <f>VLOOKUP(Table1[[#This Row],[Taluka]]&amp;Table1[[#This Row],[Caste]]&amp;Table1[[#This Row],[Q18: Gender]],Factor!$AK$4:$AL$93,2,0)</f>
        <v>1.2302776805571209</v>
      </c>
      <c r="AO766">
        <f t="shared" si="121"/>
        <v>-1</v>
      </c>
      <c r="AP766">
        <f t="shared" si="122"/>
        <v>-1</v>
      </c>
      <c r="AQ766">
        <f t="shared" si="123"/>
        <v>-1</v>
      </c>
      <c r="AR766">
        <f t="shared" si="124"/>
        <v>1</v>
      </c>
      <c r="AS766">
        <f t="shared" si="125"/>
        <v>-1</v>
      </c>
      <c r="AT766">
        <f t="shared" si="126"/>
        <v>-1</v>
      </c>
      <c r="AU766">
        <f t="shared" si="127"/>
        <v>-3.5</v>
      </c>
      <c r="AV766">
        <f>SUM(Table1[[#This Row],[Satis]:[29]])</f>
        <v>-4</v>
      </c>
      <c r="AW766">
        <f t="shared" si="128"/>
        <v>-3</v>
      </c>
      <c r="AX766">
        <f t="shared" si="129"/>
        <v>-2</v>
      </c>
      <c r="AY766">
        <f t="shared" si="130"/>
        <v>-3</v>
      </c>
      <c r="AZ766" t="str">
        <f t="shared" si="131"/>
        <v>Neutral TDP</v>
      </c>
    </row>
    <row r="767" spans="1:52" x14ac:dyDescent="0.3">
      <c r="A767" s="94" t="s">
        <v>4234</v>
      </c>
      <c r="B767" s="94">
        <v>46047</v>
      </c>
      <c r="C767" t="s">
        <v>4235</v>
      </c>
      <c r="D767" t="s">
        <v>4236</v>
      </c>
      <c r="E767" t="s">
        <v>4237</v>
      </c>
      <c r="F767" t="s">
        <v>240</v>
      </c>
      <c r="G767" t="s">
        <v>39</v>
      </c>
      <c r="H767" t="s">
        <v>4238</v>
      </c>
      <c r="I767" t="s">
        <v>59</v>
      </c>
      <c r="J767" t="s">
        <v>71</v>
      </c>
      <c r="K767" t="s">
        <v>218</v>
      </c>
      <c r="L767" t="s">
        <v>62</v>
      </c>
      <c r="M767" t="s">
        <v>51</v>
      </c>
      <c r="N767" t="s">
        <v>63</v>
      </c>
      <c r="O767" t="s">
        <v>4239</v>
      </c>
      <c r="P767">
        <v>9100036885</v>
      </c>
      <c r="Q767" t="s">
        <v>54</v>
      </c>
      <c r="R767" t="s">
        <v>2116</v>
      </c>
      <c r="S767" t="s">
        <v>43</v>
      </c>
      <c r="T767" t="s">
        <v>43</v>
      </c>
      <c r="U767" t="s">
        <v>44</v>
      </c>
      <c r="V767" t="s">
        <v>91</v>
      </c>
      <c r="W767" t="s">
        <v>5056</v>
      </c>
      <c r="X767" t="s">
        <v>91</v>
      </c>
      <c r="Y767" t="s">
        <v>46</v>
      </c>
      <c r="Z767" t="s">
        <v>92</v>
      </c>
      <c r="AA767" t="s">
        <v>48</v>
      </c>
      <c r="AB767" t="s">
        <v>49</v>
      </c>
      <c r="AC767" t="s">
        <v>49</v>
      </c>
      <c r="AD767" t="s">
        <v>184</v>
      </c>
      <c r="AE767" t="s">
        <v>185</v>
      </c>
      <c r="AF767">
        <v>0</v>
      </c>
      <c r="AG767" t="s">
        <v>196</v>
      </c>
      <c r="AH767" s="93">
        <f>VLOOKUP(Table1[[#This Row],[Caste]],Factor!$H$1:$K$13,4,0)</f>
        <v>1.1461625511156397</v>
      </c>
      <c r="AI76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67">
        <f>Table1[[#This Row],[Factor_1]]*Table1[[#This Row],[2024 Factor]]</f>
        <v>0.77721139583220644</v>
      </c>
      <c r="AK767">
        <f>VLOOKUP(Table1[[#This Row],[Q18: Gender]],Factor!$A$33:$E$35,5,0)</f>
        <v>0.85034013605442171</v>
      </c>
      <c r="AL767">
        <f>VLOOKUP(Table1[[#This Row],[Taluka]],Factor!$A$42:$G$46,7,0)</f>
        <v>1.1213131007097483</v>
      </c>
      <c r="AM767">
        <f>VLOOKUP(Table1[[#This Row],[Caste]]&amp;Table1[[#This Row],[Q18: Gender]],Factor!$W$1:$X$23,2,0)</f>
        <v>0.71995135120329123</v>
      </c>
      <c r="AN767">
        <f>VLOOKUP(Table1[[#This Row],[Taluka]]&amp;Table1[[#This Row],[Caste]]&amp;Table1[[#This Row],[Q18: Gender]],Factor!$AK$4:$AL$93,2,0)</f>
        <v>1.3370299504035861</v>
      </c>
      <c r="AO767">
        <f t="shared" si="121"/>
        <v>-1</v>
      </c>
      <c r="AP767">
        <f t="shared" si="122"/>
        <v>-1</v>
      </c>
      <c r="AQ767">
        <f t="shared" si="123"/>
        <v>1</v>
      </c>
      <c r="AR767">
        <f t="shared" si="124"/>
        <v>1</v>
      </c>
      <c r="AS767">
        <f t="shared" si="125"/>
        <v>-1</v>
      </c>
      <c r="AT767">
        <f t="shared" si="126"/>
        <v>1</v>
      </c>
      <c r="AU767">
        <f t="shared" si="127"/>
        <v>0.5</v>
      </c>
      <c r="AV767">
        <f>SUM(Table1[[#This Row],[Satis]:[29]])</f>
        <v>0</v>
      </c>
      <c r="AW767">
        <f t="shared" si="128"/>
        <v>1</v>
      </c>
      <c r="AX767">
        <f t="shared" si="129"/>
        <v>2</v>
      </c>
      <c r="AY767" t="str">
        <f t="shared" si="130"/>
        <v>ND</v>
      </c>
      <c r="AZ767" t="str">
        <f t="shared" si="131"/>
        <v>ND</v>
      </c>
    </row>
    <row r="768" spans="1:52" x14ac:dyDescent="0.3">
      <c r="A768" s="94" t="s">
        <v>4193</v>
      </c>
      <c r="B768" s="94">
        <v>46047</v>
      </c>
      <c r="C768" t="s">
        <v>4194</v>
      </c>
      <c r="D768" t="s">
        <v>4195</v>
      </c>
      <c r="E768" t="s">
        <v>4182</v>
      </c>
      <c r="F768" t="s">
        <v>240</v>
      </c>
      <c r="G768" t="s">
        <v>39</v>
      </c>
      <c r="H768" t="s">
        <v>4196</v>
      </c>
      <c r="I768" t="s">
        <v>36</v>
      </c>
      <c r="J768" t="s">
        <v>71</v>
      </c>
      <c r="K768" t="s">
        <v>218</v>
      </c>
      <c r="L768" t="s">
        <v>62</v>
      </c>
      <c r="M768" t="s">
        <v>51</v>
      </c>
      <c r="N768" t="s">
        <v>107</v>
      </c>
      <c r="O768" t="s">
        <v>4197</v>
      </c>
      <c r="P768">
        <v>9492722688</v>
      </c>
      <c r="Q768" t="s">
        <v>54</v>
      </c>
      <c r="R768" t="s">
        <v>2116</v>
      </c>
      <c r="S768" t="s">
        <v>43</v>
      </c>
      <c r="T768" t="s">
        <v>43</v>
      </c>
      <c r="U768" t="s">
        <v>44</v>
      </c>
      <c r="V768" t="s">
        <v>45</v>
      </c>
      <c r="W768" t="s">
        <v>5054</v>
      </c>
      <c r="X768" t="s">
        <v>45</v>
      </c>
      <c r="Y768" t="s">
        <v>716</v>
      </c>
      <c r="Z768" t="s">
        <v>242</v>
      </c>
      <c r="AA768" t="s">
        <v>242</v>
      </c>
      <c r="AB768" t="s">
        <v>49</v>
      </c>
      <c r="AC768" t="s">
        <v>49</v>
      </c>
      <c r="AD768" t="s">
        <v>494</v>
      </c>
      <c r="AE768" t="s">
        <v>189</v>
      </c>
      <c r="AF768" t="s">
        <v>4192</v>
      </c>
      <c r="AG768" t="s">
        <v>196</v>
      </c>
      <c r="AH768" s="93">
        <f>VLOOKUP(Table1[[#This Row],[Caste]],Factor!$H$1:$K$13,4,0)</f>
        <v>1.1705128247062893</v>
      </c>
      <c r="AI768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768">
        <f>Table1[[#This Row],[Factor_1]]*Table1[[#This Row],[2024 Factor]]</f>
        <v>0.52890136495485462</v>
      </c>
      <c r="AK768">
        <f>VLOOKUP(Table1[[#This Row],[Q18: Gender]],Factor!$A$33:$E$35,5,0)</f>
        <v>0.85034013605442171</v>
      </c>
      <c r="AL768">
        <f>VLOOKUP(Table1[[#This Row],[Taluka]],Factor!$A$42:$G$46,7,0)</f>
        <v>1.1213131007097483</v>
      </c>
      <c r="AM768">
        <f>VLOOKUP(Table1[[#This Row],[Caste]]&amp;Table1[[#This Row],[Q18: Gender]],Factor!$W$1:$X$23,2,0)</f>
        <v>0.79950206330384943</v>
      </c>
      <c r="AN768">
        <f>VLOOKUP(Table1[[#This Row],[Taluka]]&amp;Table1[[#This Row],[Caste]]&amp;Table1[[#This Row],[Q18: Gender]],Factor!$AK$4:$AL$93,2,0)</f>
        <v>0.7401439088249181</v>
      </c>
      <c r="AO768">
        <f t="shared" si="121"/>
        <v>-1</v>
      </c>
      <c r="AP768">
        <f t="shared" si="122"/>
        <v>-1</v>
      </c>
      <c r="AQ768">
        <f t="shared" si="123"/>
        <v>-1</v>
      </c>
      <c r="AR768">
        <f t="shared" si="124"/>
        <v>-1</v>
      </c>
      <c r="AS768">
        <f t="shared" si="125"/>
        <v>-1</v>
      </c>
      <c r="AT768">
        <f t="shared" si="126"/>
        <v>-1</v>
      </c>
      <c r="AU768">
        <f t="shared" si="127"/>
        <v>-5.5</v>
      </c>
      <c r="AV768">
        <f>SUM(Table1[[#This Row],[Satis]:[29]])</f>
        <v>-6</v>
      </c>
      <c r="AW768">
        <f t="shared" si="128"/>
        <v>-5</v>
      </c>
      <c r="AX768">
        <f t="shared" si="129"/>
        <v>-4</v>
      </c>
      <c r="AY768">
        <f t="shared" si="130"/>
        <v>-3</v>
      </c>
      <c r="AZ768" t="str">
        <f t="shared" si="131"/>
        <v>TDP HardCore</v>
      </c>
    </row>
    <row r="769" spans="1:52" x14ac:dyDescent="0.3">
      <c r="A769" s="94" t="s">
        <v>4246</v>
      </c>
      <c r="B769" s="94">
        <v>46047</v>
      </c>
      <c r="C769" t="s">
        <v>4247</v>
      </c>
      <c r="D769" t="s">
        <v>4248</v>
      </c>
      <c r="E769" t="s">
        <v>1197</v>
      </c>
      <c r="F769" t="s">
        <v>35</v>
      </c>
      <c r="G769" t="s">
        <v>39</v>
      </c>
      <c r="H769" t="s">
        <v>4249</v>
      </c>
      <c r="I769" t="s">
        <v>70</v>
      </c>
      <c r="J769" t="s">
        <v>71</v>
      </c>
      <c r="K769" t="s">
        <v>213</v>
      </c>
      <c r="L769" t="s">
        <v>50</v>
      </c>
      <c r="M769" t="s">
        <v>443</v>
      </c>
      <c r="N769" t="s">
        <v>162</v>
      </c>
      <c r="O769" t="s">
        <v>4250</v>
      </c>
      <c r="P769">
        <v>0</v>
      </c>
      <c r="Q769" t="s">
        <v>54</v>
      </c>
      <c r="R769" t="s">
        <v>2116</v>
      </c>
      <c r="S769" t="s">
        <v>43</v>
      </c>
      <c r="T769" t="s">
        <v>89</v>
      </c>
      <c r="U769" t="s">
        <v>90</v>
      </c>
      <c r="V769" t="s">
        <v>91</v>
      </c>
      <c r="W769" t="s">
        <v>5100</v>
      </c>
      <c r="X769" t="s">
        <v>91</v>
      </c>
      <c r="Y769" t="s">
        <v>46</v>
      </c>
      <c r="Z769" t="s">
        <v>92</v>
      </c>
      <c r="AA769" t="s">
        <v>92</v>
      </c>
      <c r="AB769" t="s">
        <v>93</v>
      </c>
      <c r="AC769" t="s">
        <v>94</v>
      </c>
      <c r="AD769" t="s">
        <v>481</v>
      </c>
      <c r="AE769" t="s">
        <v>185</v>
      </c>
      <c r="AF769">
        <v>0</v>
      </c>
      <c r="AG769" t="s">
        <v>196</v>
      </c>
      <c r="AH769" s="93">
        <f>VLOOKUP(Table1[[#This Row],[Caste]],Factor!$H$1:$K$13,4,0)</f>
        <v>1.3836274505214585</v>
      </c>
      <c r="AI769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769">
        <f>Table1[[#This Row],[Factor_1]]*Table1[[#This Row],[2024 Factor]]</f>
        <v>1.9482662206881376</v>
      </c>
      <c r="AK769">
        <f>VLOOKUP(Table1[[#This Row],[Q18: Gender]],Factor!$A$33:$E$35,5,0)</f>
        <v>0.85034013605442171</v>
      </c>
      <c r="AL769">
        <f>VLOOKUP(Table1[[#This Row],[Taluka]],Factor!$A$42:$G$46,7,0)</f>
        <v>1.1213131007097483</v>
      </c>
      <c r="AM769">
        <f>VLOOKUP(Table1[[#This Row],[Caste]]&amp;Table1[[#This Row],[Q18: Gender]],Factor!$W$1:$X$23,2,0)</f>
        <v>1.0790228998469584</v>
      </c>
      <c r="AN769">
        <f>VLOOKUP(Table1[[#This Row],[Taluka]]&amp;Table1[[#This Row],[Caste]]&amp;Table1[[#This Row],[Q18: Gender]],Factor!$AK$4:$AL$93,2,0)</f>
        <v>0.90933567693352424</v>
      </c>
      <c r="AO769">
        <f t="shared" si="121"/>
        <v>1</v>
      </c>
      <c r="AP769">
        <f t="shared" si="122"/>
        <v>1</v>
      </c>
      <c r="AQ769">
        <f t="shared" si="123"/>
        <v>1</v>
      </c>
      <c r="AR769">
        <f t="shared" si="124"/>
        <v>1</v>
      </c>
      <c r="AS769">
        <f t="shared" si="125"/>
        <v>1</v>
      </c>
      <c r="AT769">
        <f t="shared" si="126"/>
        <v>1</v>
      </c>
      <c r="AU769">
        <f t="shared" si="127"/>
        <v>5.5</v>
      </c>
      <c r="AV769">
        <f>SUM(Table1[[#This Row],[Satis]:[29]])</f>
        <v>6</v>
      </c>
      <c r="AW769">
        <f t="shared" si="128"/>
        <v>5</v>
      </c>
      <c r="AX769">
        <f t="shared" si="129"/>
        <v>4</v>
      </c>
      <c r="AY769">
        <f t="shared" si="130"/>
        <v>3</v>
      </c>
      <c r="AZ769" t="str">
        <f t="shared" si="131"/>
        <v>YSRCP HardCore</v>
      </c>
    </row>
    <row r="770" spans="1:52" x14ac:dyDescent="0.3">
      <c r="A770" s="94" t="s">
        <v>4268</v>
      </c>
      <c r="B770" s="94">
        <v>46047</v>
      </c>
      <c r="C770" t="s">
        <v>4269</v>
      </c>
      <c r="D770" t="s">
        <v>4270</v>
      </c>
      <c r="E770" t="s">
        <v>1197</v>
      </c>
      <c r="F770" t="s">
        <v>35</v>
      </c>
      <c r="G770" t="s">
        <v>39</v>
      </c>
      <c r="H770" t="s">
        <v>4271</v>
      </c>
      <c r="I770" t="s">
        <v>59</v>
      </c>
      <c r="J770" t="s">
        <v>71</v>
      </c>
      <c r="K770" t="s">
        <v>213</v>
      </c>
      <c r="L770" t="s">
        <v>82</v>
      </c>
      <c r="M770" t="s">
        <v>51</v>
      </c>
      <c r="N770" t="s">
        <v>52</v>
      </c>
      <c r="O770" t="s">
        <v>4272</v>
      </c>
      <c r="P770">
        <v>9849833365</v>
      </c>
      <c r="Q770" t="s">
        <v>54</v>
      </c>
      <c r="R770" t="s">
        <v>2116</v>
      </c>
      <c r="S770" t="s">
        <v>89</v>
      </c>
      <c r="T770" t="s">
        <v>43</v>
      </c>
      <c r="U770" t="s">
        <v>44</v>
      </c>
      <c r="V770" t="s">
        <v>45</v>
      </c>
      <c r="W770" t="s">
        <v>5114</v>
      </c>
      <c r="X770" t="s">
        <v>45</v>
      </c>
      <c r="Y770" t="s">
        <v>638</v>
      </c>
      <c r="Z770" t="s">
        <v>47</v>
      </c>
      <c r="AA770" t="s">
        <v>48</v>
      </c>
      <c r="AB770" t="s">
        <v>49</v>
      </c>
      <c r="AC770" t="s">
        <v>49</v>
      </c>
      <c r="AD770" t="s">
        <v>481</v>
      </c>
      <c r="AE770" t="s">
        <v>185</v>
      </c>
      <c r="AF770">
        <v>0</v>
      </c>
      <c r="AG770" t="s">
        <v>196</v>
      </c>
      <c r="AH770" s="93">
        <f>VLOOKUP(Table1[[#This Row],[Caste]],Factor!$H$1:$K$13,4,0)</f>
        <v>1.1461625511156397</v>
      </c>
      <c r="AI77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70">
        <f>Table1[[#This Row],[Factor_1]]*Table1[[#This Row],[2024 Factor]]</f>
        <v>0.77721139583220644</v>
      </c>
      <c r="AK770">
        <f>VLOOKUP(Table1[[#This Row],[Q18: Gender]],Factor!$A$33:$E$35,5,0)</f>
        <v>0.85034013605442171</v>
      </c>
      <c r="AL770">
        <f>VLOOKUP(Table1[[#This Row],[Taluka]],Factor!$A$42:$G$46,7,0)</f>
        <v>1.1213131007097483</v>
      </c>
      <c r="AM770">
        <f>VLOOKUP(Table1[[#This Row],[Caste]]&amp;Table1[[#This Row],[Q18: Gender]],Factor!$W$1:$X$23,2,0)</f>
        <v>0.71995135120329123</v>
      </c>
      <c r="AN770">
        <f>VLOOKUP(Table1[[#This Row],[Taluka]]&amp;Table1[[#This Row],[Caste]]&amp;Table1[[#This Row],[Q18: Gender]],Factor!$AK$4:$AL$93,2,0)</f>
        <v>1.3370299504035861</v>
      </c>
      <c r="AO770">
        <f t="shared" ref="AO770:AO833" si="132">IF(T770="బాగుంది",-1,1)</f>
        <v>-1</v>
      </c>
      <c r="AP770">
        <f t="shared" ref="AP770:AP833" si="133">IF(U770="అమలవడం లేదు",1,-1)</f>
        <v>-1</v>
      </c>
      <c r="AQ770">
        <f t="shared" ref="AQ770:AQ833" si="134">IF(V770="జగన్ మోహన్ రెడ్డి గారు",1,-1)</f>
        <v>-1</v>
      </c>
      <c r="AR770">
        <f t="shared" ref="AR770:AR833" si="135">IF(X770="జగన్ మోహన్ రెడ్డి గారు",1,-1)</f>
        <v>-1</v>
      </c>
      <c r="AS770">
        <f t="shared" ref="AS770:AS833" si="136">IF(AA770="YSRCP (వైఎస్‌ఆర్‌సీపీ)",1,-1)</f>
        <v>-1</v>
      </c>
      <c r="AT770">
        <f t="shared" ref="AT770:AT833" si="137">IF(Z770="YSRCP (వైఎస్‌ఆర్‌సీపీ)",1,-1)</f>
        <v>-1</v>
      </c>
      <c r="AU770">
        <f t="shared" ref="AU770:AU833" si="138">AO770+AP770+AQ770+AR770+(0.5*AS770)+AT770</f>
        <v>-5.5</v>
      </c>
      <c r="AV770">
        <f>SUM(Table1[[#This Row],[Satis]:[29]])</f>
        <v>-6</v>
      </c>
      <c r="AW770">
        <f t="shared" ref="AW770:AW833" si="139">AO770+AQ770+AR770+AS770+AT770</f>
        <v>-5</v>
      </c>
      <c r="AX770">
        <f t="shared" ref="AX770:AX833" si="140">AQ770+AR770+AS770+AT770</f>
        <v>-4</v>
      </c>
      <c r="AY770">
        <f t="shared" ref="AY770:AY833" si="141">IF(AND(AO770=1,AS770=1,AT770=1),3,IF(AND(AO770=-1,AS770=-1,AT770=-1),-3,IF(AND(AO770=1,AS770=-1,AT770=1),2,IF(AND(AO770=-1,AS770=1,AT770=-1),-2,IF(AND(AS770=1,AT770=1),2,IF(AND(AS770=-1,AT770=-1),-2,"ND"))))))</f>
        <v>-3</v>
      </c>
      <c r="AZ770" t="str">
        <f t="shared" ref="AZ770:AZ833" si="142">IFERROR(IF(AV770=6,"YSRCP HardCore",IF(AV770=-6,"TDP HardCore",IF(AW770&gt;=4,"YSRCP Sympathiser",IF(AW770&lt;=-4,"TDP Sympathiser",IF(AX770&gt;=3,"YSRCP Sympathiser",IF(AX770&lt;=-3,"TDP Sympathiser",IF(AY770="ND","ND",IF(AY770&gt;=2,"Neutral YSRCP",IF(AY770&lt;=-2,"Neutral TDP",0))))))))),"ND")</f>
        <v>TDP HardCore</v>
      </c>
    </row>
    <row r="771" spans="1:52" x14ac:dyDescent="0.3">
      <c r="A771" s="94" t="s">
        <v>4346</v>
      </c>
      <c r="B771" s="94">
        <v>46047</v>
      </c>
      <c r="C771" t="s">
        <v>4347</v>
      </c>
      <c r="D771" t="s">
        <v>4348</v>
      </c>
      <c r="E771" t="s">
        <v>4299</v>
      </c>
      <c r="F771" t="s">
        <v>35</v>
      </c>
      <c r="G771" t="s">
        <v>39</v>
      </c>
      <c r="H771" t="s">
        <v>4349</v>
      </c>
      <c r="I771" t="s">
        <v>59</v>
      </c>
      <c r="J771" t="s">
        <v>71</v>
      </c>
      <c r="K771" t="s">
        <v>213</v>
      </c>
      <c r="L771" t="s">
        <v>925</v>
      </c>
      <c r="M771" t="s">
        <v>51</v>
      </c>
      <c r="N771" t="s">
        <v>107</v>
      </c>
      <c r="O771" t="s">
        <v>4350</v>
      </c>
      <c r="P771">
        <v>9912241438</v>
      </c>
      <c r="Q771" t="s">
        <v>54</v>
      </c>
      <c r="R771" t="s">
        <v>61</v>
      </c>
      <c r="S771" t="s">
        <v>43</v>
      </c>
      <c r="T771" t="s">
        <v>43</v>
      </c>
      <c r="U771" t="s">
        <v>90</v>
      </c>
      <c r="V771" t="s">
        <v>91</v>
      </c>
      <c r="W771" t="s">
        <v>5059</v>
      </c>
      <c r="X771" t="s">
        <v>91</v>
      </c>
      <c r="Y771" t="s">
        <v>46</v>
      </c>
      <c r="Z771" t="s">
        <v>47</v>
      </c>
      <c r="AA771" t="s">
        <v>48</v>
      </c>
      <c r="AB771" t="s">
        <v>49</v>
      </c>
      <c r="AC771" t="s">
        <v>49</v>
      </c>
      <c r="AD771" t="s">
        <v>184</v>
      </c>
      <c r="AE771" t="s">
        <v>185</v>
      </c>
      <c r="AF771">
        <v>0</v>
      </c>
      <c r="AG771" t="s">
        <v>196</v>
      </c>
      <c r="AH771" s="93">
        <f>VLOOKUP(Table1[[#This Row],[Caste]],Factor!$H$1:$K$13,4,0)</f>
        <v>1.1461625511156397</v>
      </c>
      <c r="AI77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71">
        <f>Table1[[#This Row],[Factor_1]]*Table1[[#This Row],[2024 Factor]]</f>
        <v>0.77721139583220644</v>
      </c>
      <c r="AK771">
        <f>VLOOKUP(Table1[[#This Row],[Q18: Gender]],Factor!$A$33:$E$35,5,0)</f>
        <v>0.85034013605442171</v>
      </c>
      <c r="AL771">
        <f>VLOOKUP(Table1[[#This Row],[Taluka]],Factor!$A$42:$G$46,7,0)</f>
        <v>1.1213131007097483</v>
      </c>
      <c r="AM771">
        <f>VLOOKUP(Table1[[#This Row],[Caste]]&amp;Table1[[#This Row],[Q18: Gender]],Factor!$W$1:$X$23,2,0)</f>
        <v>0.71995135120329123</v>
      </c>
      <c r="AN771">
        <f>VLOOKUP(Table1[[#This Row],[Taluka]]&amp;Table1[[#This Row],[Caste]]&amp;Table1[[#This Row],[Q18: Gender]],Factor!$AK$4:$AL$93,2,0)</f>
        <v>1.3370299504035861</v>
      </c>
      <c r="AO771">
        <f t="shared" si="132"/>
        <v>-1</v>
      </c>
      <c r="AP771">
        <f t="shared" si="133"/>
        <v>1</v>
      </c>
      <c r="AQ771">
        <f t="shared" si="134"/>
        <v>1</v>
      </c>
      <c r="AR771">
        <f t="shared" si="135"/>
        <v>1</v>
      </c>
      <c r="AS771">
        <f t="shared" si="136"/>
        <v>-1</v>
      </c>
      <c r="AT771">
        <f t="shared" si="137"/>
        <v>-1</v>
      </c>
      <c r="AU771">
        <f t="shared" si="138"/>
        <v>0.5</v>
      </c>
      <c r="AV771">
        <f>SUM(Table1[[#This Row],[Satis]:[29]])</f>
        <v>0</v>
      </c>
      <c r="AW771">
        <f t="shared" si="139"/>
        <v>-1</v>
      </c>
      <c r="AX771">
        <f t="shared" si="140"/>
        <v>0</v>
      </c>
      <c r="AY771">
        <f t="shared" si="141"/>
        <v>-3</v>
      </c>
      <c r="AZ771" t="str">
        <f t="shared" si="142"/>
        <v>Neutral TDP</v>
      </c>
    </row>
    <row r="772" spans="1:52" x14ac:dyDescent="0.3">
      <c r="A772" s="94" t="s">
        <v>4408</v>
      </c>
      <c r="B772" s="94">
        <v>46047</v>
      </c>
      <c r="C772" t="s">
        <v>4409</v>
      </c>
      <c r="D772" t="s">
        <v>4410</v>
      </c>
      <c r="E772" t="s">
        <v>4411</v>
      </c>
      <c r="F772" t="s">
        <v>35</v>
      </c>
      <c r="G772" t="s">
        <v>39</v>
      </c>
      <c r="H772" t="s">
        <v>4412</v>
      </c>
      <c r="I772" t="s">
        <v>36</v>
      </c>
      <c r="J772" t="s">
        <v>71</v>
      </c>
      <c r="K772" t="s">
        <v>213</v>
      </c>
      <c r="L772" t="s">
        <v>925</v>
      </c>
      <c r="M772" t="s">
        <v>51</v>
      </c>
      <c r="N772" t="s">
        <v>107</v>
      </c>
      <c r="O772" t="s">
        <v>4413</v>
      </c>
      <c r="P772">
        <v>0</v>
      </c>
      <c r="Q772" t="s">
        <v>54</v>
      </c>
      <c r="R772" t="s">
        <v>2116</v>
      </c>
      <c r="S772" t="s">
        <v>43</v>
      </c>
      <c r="T772" t="s">
        <v>43</v>
      </c>
      <c r="U772" t="s">
        <v>44</v>
      </c>
      <c r="V772" t="s">
        <v>45</v>
      </c>
      <c r="W772" t="s">
        <v>5062</v>
      </c>
      <c r="X772" t="s">
        <v>45</v>
      </c>
      <c r="Y772" t="s">
        <v>46</v>
      </c>
      <c r="Z772" t="s">
        <v>47</v>
      </c>
      <c r="AA772" t="s">
        <v>48</v>
      </c>
      <c r="AB772" t="s">
        <v>49</v>
      </c>
      <c r="AC772" t="s">
        <v>49</v>
      </c>
      <c r="AD772" t="s">
        <v>184</v>
      </c>
      <c r="AE772" t="s">
        <v>1250</v>
      </c>
      <c r="AF772">
        <v>0</v>
      </c>
      <c r="AG772" t="s">
        <v>498</v>
      </c>
      <c r="AH772" s="93">
        <f>VLOOKUP(Table1[[#This Row],[Caste]],Factor!$H$1:$K$13,4,0)</f>
        <v>1.1705128247062893</v>
      </c>
      <c r="AI77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72">
        <f>Table1[[#This Row],[Factor_1]]*Table1[[#This Row],[2024 Factor]]</f>
        <v>0.86308903171383233</v>
      </c>
      <c r="AK772">
        <f>VLOOKUP(Table1[[#This Row],[Q18: Gender]],Factor!$A$33:$E$35,5,0)</f>
        <v>0.85034013605442171</v>
      </c>
      <c r="AL772">
        <f>VLOOKUP(Table1[[#This Row],[Taluka]],Factor!$A$42:$G$46,7,0)</f>
        <v>1.1213131007097483</v>
      </c>
      <c r="AM772">
        <f>VLOOKUP(Table1[[#This Row],[Caste]]&amp;Table1[[#This Row],[Q18: Gender]],Factor!$W$1:$X$23,2,0)</f>
        <v>0.79950206330384943</v>
      </c>
      <c r="AN772">
        <f>VLOOKUP(Table1[[#This Row],[Taluka]]&amp;Table1[[#This Row],[Caste]]&amp;Table1[[#This Row],[Q18: Gender]],Factor!$AK$4:$AL$93,2,0)</f>
        <v>0.7401439088249181</v>
      </c>
      <c r="AO772">
        <f t="shared" si="132"/>
        <v>-1</v>
      </c>
      <c r="AP772">
        <f t="shared" si="133"/>
        <v>-1</v>
      </c>
      <c r="AQ772">
        <f t="shared" si="134"/>
        <v>-1</v>
      </c>
      <c r="AR772">
        <f t="shared" si="135"/>
        <v>-1</v>
      </c>
      <c r="AS772">
        <f t="shared" si="136"/>
        <v>-1</v>
      </c>
      <c r="AT772">
        <f t="shared" si="137"/>
        <v>-1</v>
      </c>
      <c r="AU772">
        <f t="shared" si="138"/>
        <v>-5.5</v>
      </c>
      <c r="AV772">
        <f>SUM(Table1[[#This Row],[Satis]:[29]])</f>
        <v>-6</v>
      </c>
      <c r="AW772">
        <f t="shared" si="139"/>
        <v>-5</v>
      </c>
      <c r="AX772">
        <f t="shared" si="140"/>
        <v>-4</v>
      </c>
      <c r="AY772">
        <f t="shared" si="141"/>
        <v>-3</v>
      </c>
      <c r="AZ772" t="str">
        <f t="shared" si="142"/>
        <v>TDP HardCore</v>
      </c>
    </row>
    <row r="773" spans="1:52" x14ac:dyDescent="0.3">
      <c r="A773" s="94" t="s">
        <v>4380</v>
      </c>
      <c r="B773" s="94">
        <v>46047</v>
      </c>
      <c r="C773" t="s">
        <v>4381</v>
      </c>
      <c r="D773" t="s">
        <v>4382</v>
      </c>
      <c r="E773" t="s">
        <v>4383</v>
      </c>
      <c r="F773" t="s">
        <v>35</v>
      </c>
      <c r="G773" t="s">
        <v>39</v>
      </c>
      <c r="H773" t="s">
        <v>4384</v>
      </c>
      <c r="I773" t="s">
        <v>36</v>
      </c>
      <c r="J773" t="s">
        <v>71</v>
      </c>
      <c r="K773" t="s">
        <v>213</v>
      </c>
      <c r="L773" t="s">
        <v>75</v>
      </c>
      <c r="M773" t="s">
        <v>51</v>
      </c>
      <c r="N773" t="s">
        <v>63</v>
      </c>
      <c r="O773" t="s">
        <v>4385</v>
      </c>
      <c r="P773">
        <v>0</v>
      </c>
      <c r="Q773" t="s">
        <v>54</v>
      </c>
      <c r="R773" t="s">
        <v>2116</v>
      </c>
      <c r="S773" t="s">
        <v>43</v>
      </c>
      <c r="T773" t="s">
        <v>89</v>
      </c>
      <c r="U773" t="s">
        <v>44</v>
      </c>
      <c r="V773" t="s">
        <v>45</v>
      </c>
      <c r="W773" t="s">
        <v>5086</v>
      </c>
      <c r="X773" t="s">
        <v>45</v>
      </c>
      <c r="Y773" t="s">
        <v>716</v>
      </c>
      <c r="Z773" t="s">
        <v>47</v>
      </c>
      <c r="AA773" t="s">
        <v>48</v>
      </c>
      <c r="AB773" t="s">
        <v>49</v>
      </c>
      <c r="AC773" t="s">
        <v>49</v>
      </c>
      <c r="AD773" t="s">
        <v>481</v>
      </c>
      <c r="AE773" t="s">
        <v>1250</v>
      </c>
      <c r="AF773">
        <v>0</v>
      </c>
      <c r="AG773" t="s">
        <v>498</v>
      </c>
      <c r="AH773" s="93">
        <f>VLOOKUP(Table1[[#This Row],[Caste]],Factor!$H$1:$K$13,4,0)</f>
        <v>1.1705128247062893</v>
      </c>
      <c r="AI77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73">
        <f>Table1[[#This Row],[Factor_1]]*Table1[[#This Row],[2024 Factor]]</f>
        <v>0.86308903171383233</v>
      </c>
      <c r="AK773">
        <f>VLOOKUP(Table1[[#This Row],[Q18: Gender]],Factor!$A$33:$E$35,5,0)</f>
        <v>0.85034013605442171</v>
      </c>
      <c r="AL773">
        <f>VLOOKUP(Table1[[#This Row],[Taluka]],Factor!$A$42:$G$46,7,0)</f>
        <v>1.1213131007097483</v>
      </c>
      <c r="AM773">
        <f>VLOOKUP(Table1[[#This Row],[Caste]]&amp;Table1[[#This Row],[Q18: Gender]],Factor!$W$1:$X$23,2,0)</f>
        <v>0.79950206330384943</v>
      </c>
      <c r="AN773">
        <f>VLOOKUP(Table1[[#This Row],[Taluka]]&amp;Table1[[#This Row],[Caste]]&amp;Table1[[#This Row],[Q18: Gender]],Factor!$AK$4:$AL$93,2,0)</f>
        <v>0.7401439088249181</v>
      </c>
      <c r="AO773">
        <f t="shared" si="132"/>
        <v>1</v>
      </c>
      <c r="AP773">
        <f t="shared" si="133"/>
        <v>-1</v>
      </c>
      <c r="AQ773">
        <f t="shared" si="134"/>
        <v>-1</v>
      </c>
      <c r="AR773">
        <f t="shared" si="135"/>
        <v>-1</v>
      </c>
      <c r="AS773">
        <f t="shared" si="136"/>
        <v>-1</v>
      </c>
      <c r="AT773">
        <f t="shared" si="137"/>
        <v>-1</v>
      </c>
      <c r="AU773">
        <f t="shared" si="138"/>
        <v>-3.5</v>
      </c>
      <c r="AV773">
        <f>SUM(Table1[[#This Row],[Satis]:[29]])</f>
        <v>-4</v>
      </c>
      <c r="AW773">
        <f t="shared" si="139"/>
        <v>-3</v>
      </c>
      <c r="AX773">
        <f t="shared" si="140"/>
        <v>-4</v>
      </c>
      <c r="AY773">
        <f t="shared" si="141"/>
        <v>-2</v>
      </c>
      <c r="AZ773" t="str">
        <f t="shared" si="142"/>
        <v>TDP Sympathiser</v>
      </c>
    </row>
    <row r="774" spans="1:52" x14ac:dyDescent="0.3">
      <c r="A774" s="94" t="s">
        <v>4322</v>
      </c>
      <c r="B774" s="94">
        <v>46047</v>
      </c>
      <c r="C774" t="s">
        <v>4323</v>
      </c>
      <c r="D774" t="s">
        <v>4324</v>
      </c>
      <c r="E774" t="s">
        <v>4325</v>
      </c>
      <c r="F774" t="s">
        <v>35</v>
      </c>
      <c r="G774" t="s">
        <v>39</v>
      </c>
      <c r="H774" t="s">
        <v>4326</v>
      </c>
      <c r="I774" t="s">
        <v>36</v>
      </c>
      <c r="J774" t="s">
        <v>71</v>
      </c>
      <c r="K774" t="s">
        <v>213</v>
      </c>
      <c r="L774" t="s">
        <v>170</v>
      </c>
      <c r="M774" t="s">
        <v>51</v>
      </c>
      <c r="N774" t="s">
        <v>162</v>
      </c>
      <c r="O774" t="s">
        <v>4327</v>
      </c>
      <c r="P774">
        <v>9391544362</v>
      </c>
      <c r="Q774" t="s">
        <v>54</v>
      </c>
      <c r="R774" t="s">
        <v>132</v>
      </c>
      <c r="S774" t="s">
        <v>43</v>
      </c>
      <c r="T774" t="s">
        <v>43</v>
      </c>
      <c r="U774" t="s">
        <v>44</v>
      </c>
      <c r="V774" t="s">
        <v>45</v>
      </c>
      <c r="W774" t="s">
        <v>5054</v>
      </c>
      <c r="X774" t="s">
        <v>45</v>
      </c>
      <c r="Y774" t="s">
        <v>716</v>
      </c>
      <c r="Z774" t="s">
        <v>47</v>
      </c>
      <c r="AA774" t="s">
        <v>48</v>
      </c>
      <c r="AB774" t="s">
        <v>49</v>
      </c>
      <c r="AC774" t="s">
        <v>49</v>
      </c>
      <c r="AD774" t="s">
        <v>184</v>
      </c>
      <c r="AE774" t="s">
        <v>185</v>
      </c>
      <c r="AF774">
        <v>0</v>
      </c>
      <c r="AG774" t="s">
        <v>196</v>
      </c>
      <c r="AH774" s="93">
        <f>VLOOKUP(Table1[[#This Row],[Caste]],Factor!$H$1:$K$13,4,0)</f>
        <v>1.1705128247062893</v>
      </c>
      <c r="AI77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74">
        <f>Table1[[#This Row],[Factor_1]]*Table1[[#This Row],[2024 Factor]]</f>
        <v>0.86308903171383233</v>
      </c>
      <c r="AK774">
        <f>VLOOKUP(Table1[[#This Row],[Q18: Gender]],Factor!$A$33:$E$35,5,0)</f>
        <v>0.85034013605442171</v>
      </c>
      <c r="AL774">
        <f>VLOOKUP(Table1[[#This Row],[Taluka]],Factor!$A$42:$G$46,7,0)</f>
        <v>1.1213131007097483</v>
      </c>
      <c r="AM774">
        <f>VLOOKUP(Table1[[#This Row],[Caste]]&amp;Table1[[#This Row],[Q18: Gender]],Factor!$W$1:$X$23,2,0)</f>
        <v>0.79950206330384943</v>
      </c>
      <c r="AN774">
        <f>VLOOKUP(Table1[[#This Row],[Taluka]]&amp;Table1[[#This Row],[Caste]]&amp;Table1[[#This Row],[Q18: Gender]],Factor!$AK$4:$AL$93,2,0)</f>
        <v>0.7401439088249181</v>
      </c>
      <c r="AO774">
        <f t="shared" si="132"/>
        <v>-1</v>
      </c>
      <c r="AP774">
        <f t="shared" si="133"/>
        <v>-1</v>
      </c>
      <c r="AQ774">
        <f t="shared" si="134"/>
        <v>-1</v>
      </c>
      <c r="AR774">
        <f t="shared" si="135"/>
        <v>-1</v>
      </c>
      <c r="AS774">
        <f t="shared" si="136"/>
        <v>-1</v>
      </c>
      <c r="AT774">
        <f t="shared" si="137"/>
        <v>-1</v>
      </c>
      <c r="AU774">
        <f t="shared" si="138"/>
        <v>-5.5</v>
      </c>
      <c r="AV774">
        <f>SUM(Table1[[#This Row],[Satis]:[29]])</f>
        <v>-6</v>
      </c>
      <c r="AW774">
        <f t="shared" si="139"/>
        <v>-5</v>
      </c>
      <c r="AX774">
        <f t="shared" si="140"/>
        <v>-4</v>
      </c>
      <c r="AY774">
        <f t="shared" si="141"/>
        <v>-3</v>
      </c>
      <c r="AZ774" t="str">
        <f t="shared" si="142"/>
        <v>TDP HardCore</v>
      </c>
    </row>
    <row r="775" spans="1:52" x14ac:dyDescent="0.3">
      <c r="A775" s="94" t="s">
        <v>4302</v>
      </c>
      <c r="B775" s="94">
        <v>46047</v>
      </c>
      <c r="C775" t="s">
        <v>4303</v>
      </c>
      <c r="D775" t="s">
        <v>4304</v>
      </c>
      <c r="E775" t="s">
        <v>4299</v>
      </c>
      <c r="F775" t="s">
        <v>35</v>
      </c>
      <c r="G775" t="s">
        <v>39</v>
      </c>
      <c r="H775" t="s">
        <v>4305</v>
      </c>
      <c r="I775" t="s">
        <v>59</v>
      </c>
      <c r="J775" t="s">
        <v>71</v>
      </c>
      <c r="K775" t="s">
        <v>213</v>
      </c>
      <c r="L775" t="s">
        <v>75</v>
      </c>
      <c r="M775" t="s">
        <v>51</v>
      </c>
      <c r="N775" t="s">
        <v>63</v>
      </c>
      <c r="O775" t="s">
        <v>4306</v>
      </c>
      <c r="P775">
        <v>9160965696</v>
      </c>
      <c r="Q775" t="s">
        <v>54</v>
      </c>
      <c r="R775" t="s">
        <v>61</v>
      </c>
      <c r="S775" t="s">
        <v>43</v>
      </c>
      <c r="T775" t="s">
        <v>43</v>
      </c>
      <c r="U775" t="s">
        <v>44</v>
      </c>
      <c r="V775" t="s">
        <v>45</v>
      </c>
      <c r="W775" t="s">
        <v>5058</v>
      </c>
      <c r="X775" t="s">
        <v>45</v>
      </c>
      <c r="Y775" t="s">
        <v>46</v>
      </c>
      <c r="Z775" t="s">
        <v>47</v>
      </c>
      <c r="AA775" t="s">
        <v>48</v>
      </c>
      <c r="AB775" t="s">
        <v>49</v>
      </c>
      <c r="AC775" t="s">
        <v>49</v>
      </c>
      <c r="AD775" t="s">
        <v>481</v>
      </c>
      <c r="AE775" t="s">
        <v>185</v>
      </c>
      <c r="AF775">
        <v>0</v>
      </c>
      <c r="AG775" t="s">
        <v>196</v>
      </c>
      <c r="AH775" s="93">
        <f>VLOOKUP(Table1[[#This Row],[Caste]],Factor!$H$1:$K$13,4,0)</f>
        <v>1.1461625511156397</v>
      </c>
      <c r="AI77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75">
        <f>Table1[[#This Row],[Factor_1]]*Table1[[#This Row],[2024 Factor]]</f>
        <v>0.77721139583220644</v>
      </c>
      <c r="AK775">
        <f>VLOOKUP(Table1[[#This Row],[Q18: Gender]],Factor!$A$33:$E$35,5,0)</f>
        <v>0.85034013605442171</v>
      </c>
      <c r="AL775">
        <f>VLOOKUP(Table1[[#This Row],[Taluka]],Factor!$A$42:$G$46,7,0)</f>
        <v>1.1213131007097483</v>
      </c>
      <c r="AM775">
        <f>VLOOKUP(Table1[[#This Row],[Caste]]&amp;Table1[[#This Row],[Q18: Gender]],Factor!$W$1:$X$23,2,0)</f>
        <v>0.71995135120329123</v>
      </c>
      <c r="AN775">
        <f>VLOOKUP(Table1[[#This Row],[Taluka]]&amp;Table1[[#This Row],[Caste]]&amp;Table1[[#This Row],[Q18: Gender]],Factor!$AK$4:$AL$93,2,0)</f>
        <v>1.3370299504035861</v>
      </c>
      <c r="AO775">
        <f t="shared" si="132"/>
        <v>-1</v>
      </c>
      <c r="AP775">
        <f t="shared" si="133"/>
        <v>-1</v>
      </c>
      <c r="AQ775">
        <f t="shared" si="134"/>
        <v>-1</v>
      </c>
      <c r="AR775">
        <f t="shared" si="135"/>
        <v>-1</v>
      </c>
      <c r="AS775">
        <f t="shared" si="136"/>
        <v>-1</v>
      </c>
      <c r="AT775">
        <f t="shared" si="137"/>
        <v>-1</v>
      </c>
      <c r="AU775">
        <f t="shared" si="138"/>
        <v>-5.5</v>
      </c>
      <c r="AV775">
        <f>SUM(Table1[[#This Row],[Satis]:[29]])</f>
        <v>-6</v>
      </c>
      <c r="AW775">
        <f t="shared" si="139"/>
        <v>-5</v>
      </c>
      <c r="AX775">
        <f t="shared" si="140"/>
        <v>-4</v>
      </c>
      <c r="AY775">
        <f t="shared" si="141"/>
        <v>-3</v>
      </c>
      <c r="AZ775" t="str">
        <f t="shared" si="142"/>
        <v>TDP HardCore</v>
      </c>
    </row>
    <row r="776" spans="1:52" x14ac:dyDescent="0.3">
      <c r="A776" s="94" t="s">
        <v>4374</v>
      </c>
      <c r="B776" s="94">
        <v>46047</v>
      </c>
      <c r="C776" t="s">
        <v>4375</v>
      </c>
      <c r="D776" t="s">
        <v>4376</v>
      </c>
      <c r="E776" t="s">
        <v>4377</v>
      </c>
      <c r="F776" t="s">
        <v>35</v>
      </c>
      <c r="G776" t="s">
        <v>39</v>
      </c>
      <c r="H776" t="s">
        <v>4378</v>
      </c>
      <c r="I776" t="s">
        <v>59</v>
      </c>
      <c r="J776" t="s">
        <v>71</v>
      </c>
      <c r="K776" t="s">
        <v>213</v>
      </c>
      <c r="L776" t="s">
        <v>451</v>
      </c>
      <c r="M776" t="s">
        <v>51</v>
      </c>
      <c r="N776" t="s">
        <v>52</v>
      </c>
      <c r="O776" t="s">
        <v>4379</v>
      </c>
      <c r="P776">
        <v>8008977629</v>
      </c>
      <c r="Q776" t="s">
        <v>445</v>
      </c>
      <c r="R776" t="s">
        <v>61</v>
      </c>
      <c r="S776" t="s">
        <v>89</v>
      </c>
      <c r="T776" t="s">
        <v>89</v>
      </c>
      <c r="U776" t="s">
        <v>90</v>
      </c>
      <c r="V776" t="s">
        <v>91</v>
      </c>
      <c r="W776" t="s">
        <v>5101</v>
      </c>
      <c r="X776" t="s">
        <v>91</v>
      </c>
      <c r="Y776" t="s">
        <v>46</v>
      </c>
      <c r="Z776" t="s">
        <v>92</v>
      </c>
      <c r="AA776" t="s">
        <v>48</v>
      </c>
      <c r="AB776" t="s">
        <v>49</v>
      </c>
      <c r="AC776" t="s">
        <v>49</v>
      </c>
      <c r="AD776" t="s">
        <v>481</v>
      </c>
      <c r="AE776" t="s">
        <v>189</v>
      </c>
      <c r="AF776" t="s">
        <v>4085</v>
      </c>
      <c r="AG776" t="s">
        <v>196</v>
      </c>
      <c r="AH776" s="93">
        <f>VLOOKUP(Table1[[#This Row],[Caste]],Factor!$H$1:$K$13,4,0)</f>
        <v>1.1461625511156397</v>
      </c>
      <c r="AI77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76">
        <f>Table1[[#This Row],[Factor_1]]*Table1[[#This Row],[2024 Factor]]</f>
        <v>3.0326483876590018</v>
      </c>
      <c r="AK776">
        <f>VLOOKUP(Table1[[#This Row],[Q18: Gender]],Factor!$A$33:$E$35,5,0)</f>
        <v>2.1645021645021645</v>
      </c>
      <c r="AL776">
        <f>VLOOKUP(Table1[[#This Row],[Taluka]],Factor!$A$42:$G$46,7,0)</f>
        <v>1.1213131007097483</v>
      </c>
      <c r="AM776">
        <f>VLOOKUP(Table1[[#This Row],[Caste]]&amp;Table1[[#This Row],[Q18: Gender]],Factor!$W$1:$X$23,2,0)</f>
        <v>2.8092219390089208</v>
      </c>
      <c r="AN776">
        <f>VLOOKUP(Table1[[#This Row],[Taluka]]&amp;Table1[[#This Row],[Caste]]&amp;Table1[[#This Row],[Q18: Gender]],Factor!$AK$4:$AL$93,2,0)</f>
        <v>1.8020838461961379</v>
      </c>
      <c r="AO776">
        <f t="shared" si="132"/>
        <v>1</v>
      </c>
      <c r="AP776">
        <f t="shared" si="133"/>
        <v>1</v>
      </c>
      <c r="AQ776">
        <f t="shared" si="134"/>
        <v>1</v>
      </c>
      <c r="AR776">
        <f t="shared" si="135"/>
        <v>1</v>
      </c>
      <c r="AS776">
        <f t="shared" si="136"/>
        <v>-1</v>
      </c>
      <c r="AT776">
        <f t="shared" si="137"/>
        <v>1</v>
      </c>
      <c r="AU776">
        <f t="shared" si="138"/>
        <v>4.5</v>
      </c>
      <c r="AV776">
        <f>SUM(Table1[[#This Row],[Satis]:[29]])</f>
        <v>4</v>
      </c>
      <c r="AW776">
        <f t="shared" si="139"/>
        <v>3</v>
      </c>
      <c r="AX776">
        <f t="shared" si="140"/>
        <v>2</v>
      </c>
      <c r="AY776">
        <f t="shared" si="141"/>
        <v>2</v>
      </c>
      <c r="AZ776" t="str">
        <f t="shared" si="142"/>
        <v>Neutral YSRCP</v>
      </c>
    </row>
    <row r="777" spans="1:52" x14ac:dyDescent="0.3">
      <c r="A777" s="94" t="s">
        <v>4340</v>
      </c>
      <c r="B777" s="94">
        <v>46047</v>
      </c>
      <c r="C777" t="s">
        <v>4341</v>
      </c>
      <c r="D777" t="s">
        <v>4342</v>
      </c>
      <c r="E777" t="s">
        <v>4343</v>
      </c>
      <c r="F777" t="s">
        <v>35</v>
      </c>
      <c r="G777" t="s">
        <v>39</v>
      </c>
      <c r="H777" t="s">
        <v>4344</v>
      </c>
      <c r="I777" t="s">
        <v>228</v>
      </c>
      <c r="J777" t="s">
        <v>71</v>
      </c>
      <c r="K777" t="s">
        <v>213</v>
      </c>
      <c r="L777" t="s">
        <v>161</v>
      </c>
      <c r="M777" t="s">
        <v>51</v>
      </c>
      <c r="N777" t="s">
        <v>52</v>
      </c>
      <c r="O777" t="s">
        <v>4345</v>
      </c>
      <c r="P777">
        <v>0</v>
      </c>
      <c r="Q777" t="s">
        <v>54</v>
      </c>
      <c r="R777" t="s">
        <v>61</v>
      </c>
      <c r="S777" t="s">
        <v>43</v>
      </c>
      <c r="T777" t="s">
        <v>43</v>
      </c>
      <c r="U777" t="s">
        <v>44</v>
      </c>
      <c r="V777" t="s">
        <v>45</v>
      </c>
      <c r="W777" t="s">
        <v>5100</v>
      </c>
      <c r="X777" t="s">
        <v>45</v>
      </c>
      <c r="Y777" t="s">
        <v>638</v>
      </c>
      <c r="Z777" t="s">
        <v>47</v>
      </c>
      <c r="AA777" t="s">
        <v>92</v>
      </c>
      <c r="AB777" t="s">
        <v>147</v>
      </c>
      <c r="AC777" t="s">
        <v>2590</v>
      </c>
      <c r="AD777" t="s">
        <v>184</v>
      </c>
      <c r="AE777" t="s">
        <v>189</v>
      </c>
      <c r="AF777">
        <v>0</v>
      </c>
      <c r="AG777" t="s">
        <v>196</v>
      </c>
      <c r="AH777" s="93">
        <f>VLOOKUP(Table1[[#This Row],[Caste]],Factor!$H$1:$K$13,4,0)</f>
        <v>0.80207032429970992</v>
      </c>
      <c r="AI777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777">
        <f>Table1[[#This Row],[Factor_1]]*Table1[[#This Row],[2024 Factor]]</f>
        <v>1.0971251128803523</v>
      </c>
      <c r="AK777">
        <f>VLOOKUP(Table1[[#This Row],[Q18: Gender]],Factor!$A$33:$E$35,5,0)</f>
        <v>0.85034013605442171</v>
      </c>
      <c r="AL777">
        <f>VLOOKUP(Table1[[#This Row],[Taluka]],Factor!$A$42:$G$46,7,0)</f>
        <v>1.1213131007097483</v>
      </c>
      <c r="AM777">
        <f>VLOOKUP(Table1[[#This Row],[Caste]]&amp;Table1[[#This Row],[Q18: Gender]],Factor!$W$1:$X$23,2,0)</f>
        <v>0.60762903356038633</v>
      </c>
      <c r="AN777">
        <f>VLOOKUP(Table1[[#This Row],[Taluka]]&amp;Table1[[#This Row],[Caste]]&amp;Table1[[#This Row],[Q18: Gender]],Factor!$AK$4:$AL$93,2,0)</f>
        <v>0.38672994380094594</v>
      </c>
      <c r="AO777">
        <f t="shared" si="132"/>
        <v>-1</v>
      </c>
      <c r="AP777">
        <f t="shared" si="133"/>
        <v>-1</v>
      </c>
      <c r="AQ777">
        <f t="shared" si="134"/>
        <v>-1</v>
      </c>
      <c r="AR777">
        <f t="shared" si="135"/>
        <v>-1</v>
      </c>
      <c r="AS777">
        <f t="shared" si="136"/>
        <v>1</v>
      </c>
      <c r="AT777">
        <f t="shared" si="137"/>
        <v>-1</v>
      </c>
      <c r="AU777">
        <f t="shared" si="138"/>
        <v>-4.5</v>
      </c>
      <c r="AV777">
        <f>SUM(Table1[[#This Row],[Satis]:[29]])</f>
        <v>-4</v>
      </c>
      <c r="AW777">
        <f t="shared" si="139"/>
        <v>-3</v>
      </c>
      <c r="AX777">
        <f t="shared" si="140"/>
        <v>-2</v>
      </c>
      <c r="AY777">
        <f t="shared" si="141"/>
        <v>-2</v>
      </c>
      <c r="AZ777" t="str">
        <f t="shared" si="142"/>
        <v>Neutral TDP</v>
      </c>
    </row>
    <row r="778" spans="1:52" x14ac:dyDescent="0.3">
      <c r="A778" s="94" t="s">
        <v>4328</v>
      </c>
      <c r="B778" s="94">
        <v>46047</v>
      </c>
      <c r="C778" t="s">
        <v>4329</v>
      </c>
      <c r="D778" t="s">
        <v>4330</v>
      </c>
      <c r="E778" t="s">
        <v>4331</v>
      </c>
      <c r="F778" t="s">
        <v>35</v>
      </c>
      <c r="G778" t="s">
        <v>39</v>
      </c>
      <c r="H778" t="s">
        <v>4332</v>
      </c>
      <c r="I778" t="s">
        <v>59</v>
      </c>
      <c r="J778" t="s">
        <v>71</v>
      </c>
      <c r="K778" t="s">
        <v>213</v>
      </c>
      <c r="L778" t="s">
        <v>451</v>
      </c>
      <c r="M778" t="s">
        <v>51</v>
      </c>
      <c r="N778" t="s">
        <v>52</v>
      </c>
      <c r="O778" t="s">
        <v>4333</v>
      </c>
      <c r="P778">
        <v>9705656888</v>
      </c>
      <c r="Q778" t="s">
        <v>445</v>
      </c>
      <c r="R778" t="s">
        <v>61</v>
      </c>
      <c r="S778" t="s">
        <v>88</v>
      </c>
      <c r="T778" t="s">
        <v>43</v>
      </c>
      <c r="U778" t="s">
        <v>44</v>
      </c>
      <c r="V778" t="s">
        <v>45</v>
      </c>
      <c r="W778" t="s">
        <v>5054</v>
      </c>
      <c r="X778" t="s">
        <v>45</v>
      </c>
      <c r="Y778" t="s">
        <v>716</v>
      </c>
      <c r="Z778" t="s">
        <v>47</v>
      </c>
      <c r="AA778" t="s">
        <v>48</v>
      </c>
      <c r="AB778" t="s">
        <v>49</v>
      </c>
      <c r="AC778" t="s">
        <v>49</v>
      </c>
      <c r="AD778" t="s">
        <v>184</v>
      </c>
      <c r="AE778" t="s">
        <v>185</v>
      </c>
      <c r="AF778">
        <v>0</v>
      </c>
      <c r="AG778" t="s">
        <v>196</v>
      </c>
      <c r="AH778" s="93">
        <f>VLOOKUP(Table1[[#This Row],[Caste]],Factor!$H$1:$K$13,4,0)</f>
        <v>1.1461625511156397</v>
      </c>
      <c r="AI77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78">
        <f>Table1[[#This Row],[Factor_1]]*Table1[[#This Row],[2024 Factor]]</f>
        <v>3.0326483876590018</v>
      </c>
      <c r="AK778">
        <f>VLOOKUP(Table1[[#This Row],[Q18: Gender]],Factor!$A$33:$E$35,5,0)</f>
        <v>2.1645021645021645</v>
      </c>
      <c r="AL778">
        <f>VLOOKUP(Table1[[#This Row],[Taluka]],Factor!$A$42:$G$46,7,0)</f>
        <v>1.1213131007097483</v>
      </c>
      <c r="AM778">
        <f>VLOOKUP(Table1[[#This Row],[Caste]]&amp;Table1[[#This Row],[Q18: Gender]],Factor!$W$1:$X$23,2,0)</f>
        <v>2.8092219390089208</v>
      </c>
      <c r="AN778">
        <f>VLOOKUP(Table1[[#This Row],[Taluka]]&amp;Table1[[#This Row],[Caste]]&amp;Table1[[#This Row],[Q18: Gender]],Factor!$AK$4:$AL$93,2,0)</f>
        <v>1.8020838461961379</v>
      </c>
      <c r="AO778">
        <f t="shared" si="132"/>
        <v>-1</v>
      </c>
      <c r="AP778">
        <f t="shared" si="133"/>
        <v>-1</v>
      </c>
      <c r="AQ778">
        <f t="shared" si="134"/>
        <v>-1</v>
      </c>
      <c r="AR778">
        <f t="shared" si="135"/>
        <v>-1</v>
      </c>
      <c r="AS778">
        <f t="shared" si="136"/>
        <v>-1</v>
      </c>
      <c r="AT778">
        <f t="shared" si="137"/>
        <v>-1</v>
      </c>
      <c r="AU778">
        <f t="shared" si="138"/>
        <v>-5.5</v>
      </c>
      <c r="AV778">
        <f>SUM(Table1[[#This Row],[Satis]:[29]])</f>
        <v>-6</v>
      </c>
      <c r="AW778">
        <f t="shared" si="139"/>
        <v>-5</v>
      </c>
      <c r="AX778">
        <f t="shared" si="140"/>
        <v>-4</v>
      </c>
      <c r="AY778">
        <f t="shared" si="141"/>
        <v>-3</v>
      </c>
      <c r="AZ778" t="str">
        <f t="shared" si="142"/>
        <v>TDP HardCore</v>
      </c>
    </row>
    <row r="779" spans="1:52" x14ac:dyDescent="0.3">
      <c r="A779" s="94" t="s">
        <v>4290</v>
      </c>
      <c r="B779" s="94">
        <v>46047</v>
      </c>
      <c r="C779" t="s">
        <v>4291</v>
      </c>
      <c r="D779" t="s">
        <v>4292</v>
      </c>
      <c r="E779" t="s">
        <v>4293</v>
      </c>
      <c r="F779" t="s">
        <v>35</v>
      </c>
      <c r="G779" t="s">
        <v>39</v>
      </c>
      <c r="H779" t="s">
        <v>4294</v>
      </c>
      <c r="I779" t="s">
        <v>36</v>
      </c>
      <c r="J779" t="s">
        <v>71</v>
      </c>
      <c r="K779" t="s">
        <v>213</v>
      </c>
      <c r="L779" t="s">
        <v>82</v>
      </c>
      <c r="M779" t="s">
        <v>51</v>
      </c>
      <c r="N779" t="s">
        <v>107</v>
      </c>
      <c r="O779" t="s">
        <v>4295</v>
      </c>
      <c r="P779">
        <v>9000693050</v>
      </c>
      <c r="Q779" t="s">
        <v>54</v>
      </c>
      <c r="R779" t="s">
        <v>2116</v>
      </c>
      <c r="S779" t="s">
        <v>88</v>
      </c>
      <c r="T779" t="s">
        <v>43</v>
      </c>
      <c r="U779" t="s">
        <v>44</v>
      </c>
      <c r="V779" t="s">
        <v>45</v>
      </c>
      <c r="W779" t="s">
        <v>5115</v>
      </c>
      <c r="X779" t="s">
        <v>45</v>
      </c>
      <c r="Y779" t="s">
        <v>46</v>
      </c>
      <c r="Z779" t="s">
        <v>47</v>
      </c>
      <c r="AA779" t="s">
        <v>48</v>
      </c>
      <c r="AB779" t="s">
        <v>49</v>
      </c>
      <c r="AC779" t="s">
        <v>49</v>
      </c>
      <c r="AD779" t="s">
        <v>481</v>
      </c>
      <c r="AE779" t="s">
        <v>1250</v>
      </c>
      <c r="AF779">
        <v>0</v>
      </c>
      <c r="AG779" t="s">
        <v>498</v>
      </c>
      <c r="AH779" s="93">
        <f>VLOOKUP(Table1[[#This Row],[Caste]],Factor!$H$1:$K$13,4,0)</f>
        <v>1.1705128247062893</v>
      </c>
      <c r="AI77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79">
        <f>Table1[[#This Row],[Factor_1]]*Table1[[#This Row],[2024 Factor]]</f>
        <v>0.86308903171383233</v>
      </c>
      <c r="AK779">
        <f>VLOOKUP(Table1[[#This Row],[Q18: Gender]],Factor!$A$33:$E$35,5,0)</f>
        <v>0.85034013605442171</v>
      </c>
      <c r="AL779">
        <f>VLOOKUP(Table1[[#This Row],[Taluka]],Factor!$A$42:$G$46,7,0)</f>
        <v>1.1213131007097483</v>
      </c>
      <c r="AM779">
        <f>VLOOKUP(Table1[[#This Row],[Caste]]&amp;Table1[[#This Row],[Q18: Gender]],Factor!$W$1:$X$23,2,0)</f>
        <v>0.79950206330384943</v>
      </c>
      <c r="AN779">
        <f>VLOOKUP(Table1[[#This Row],[Taluka]]&amp;Table1[[#This Row],[Caste]]&amp;Table1[[#This Row],[Q18: Gender]],Factor!$AK$4:$AL$93,2,0)</f>
        <v>0.7401439088249181</v>
      </c>
      <c r="AO779">
        <f t="shared" si="132"/>
        <v>-1</v>
      </c>
      <c r="AP779">
        <f t="shared" si="133"/>
        <v>-1</v>
      </c>
      <c r="AQ779">
        <f t="shared" si="134"/>
        <v>-1</v>
      </c>
      <c r="AR779">
        <f t="shared" si="135"/>
        <v>-1</v>
      </c>
      <c r="AS779">
        <f t="shared" si="136"/>
        <v>-1</v>
      </c>
      <c r="AT779">
        <f t="shared" si="137"/>
        <v>-1</v>
      </c>
      <c r="AU779">
        <f t="shared" si="138"/>
        <v>-5.5</v>
      </c>
      <c r="AV779">
        <f>SUM(Table1[[#This Row],[Satis]:[29]])</f>
        <v>-6</v>
      </c>
      <c r="AW779">
        <f t="shared" si="139"/>
        <v>-5</v>
      </c>
      <c r="AX779">
        <f t="shared" si="140"/>
        <v>-4</v>
      </c>
      <c r="AY779">
        <f t="shared" si="141"/>
        <v>-3</v>
      </c>
      <c r="AZ779" t="str">
        <f t="shared" si="142"/>
        <v>TDP HardCore</v>
      </c>
    </row>
    <row r="780" spans="1:52" x14ac:dyDescent="0.3">
      <c r="A780" s="94" t="s">
        <v>4307</v>
      </c>
      <c r="B780" s="94">
        <v>46047</v>
      </c>
      <c r="C780" t="s">
        <v>4308</v>
      </c>
      <c r="D780" t="s">
        <v>4309</v>
      </c>
      <c r="E780" t="s">
        <v>4299</v>
      </c>
      <c r="F780" t="s">
        <v>35</v>
      </c>
      <c r="G780" t="s">
        <v>39</v>
      </c>
      <c r="H780" t="s">
        <v>4310</v>
      </c>
      <c r="I780" t="s">
        <v>59</v>
      </c>
      <c r="J780" t="s">
        <v>71</v>
      </c>
      <c r="K780" t="s">
        <v>213</v>
      </c>
      <c r="L780" t="s">
        <v>62</v>
      </c>
      <c r="M780" t="s">
        <v>51</v>
      </c>
      <c r="N780" t="s">
        <v>162</v>
      </c>
      <c r="O780" t="s">
        <v>4311</v>
      </c>
      <c r="P780">
        <v>9381185494</v>
      </c>
      <c r="Q780" t="s">
        <v>54</v>
      </c>
      <c r="R780" t="s">
        <v>61</v>
      </c>
      <c r="S780" t="s">
        <v>88</v>
      </c>
      <c r="T780" t="s">
        <v>43</v>
      </c>
      <c r="U780" t="s">
        <v>44</v>
      </c>
      <c r="V780" t="s">
        <v>45</v>
      </c>
      <c r="W780" t="s">
        <v>5054</v>
      </c>
      <c r="X780" t="s">
        <v>45</v>
      </c>
      <c r="Y780" t="s">
        <v>638</v>
      </c>
      <c r="Z780" t="s">
        <v>47</v>
      </c>
      <c r="AA780" t="s">
        <v>48</v>
      </c>
      <c r="AB780" t="s">
        <v>49</v>
      </c>
      <c r="AC780" t="s">
        <v>49</v>
      </c>
      <c r="AD780" t="s">
        <v>481</v>
      </c>
      <c r="AE780" t="s">
        <v>185</v>
      </c>
      <c r="AF780">
        <v>0</v>
      </c>
      <c r="AG780" t="s">
        <v>196</v>
      </c>
      <c r="AH780" s="93">
        <f>VLOOKUP(Table1[[#This Row],[Caste]],Factor!$H$1:$K$13,4,0)</f>
        <v>1.1461625511156397</v>
      </c>
      <c r="AI78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80">
        <f>Table1[[#This Row],[Factor_1]]*Table1[[#This Row],[2024 Factor]]</f>
        <v>0.77721139583220644</v>
      </c>
      <c r="AK780">
        <f>VLOOKUP(Table1[[#This Row],[Q18: Gender]],Factor!$A$33:$E$35,5,0)</f>
        <v>0.85034013605442171</v>
      </c>
      <c r="AL780">
        <f>VLOOKUP(Table1[[#This Row],[Taluka]],Factor!$A$42:$G$46,7,0)</f>
        <v>1.1213131007097483</v>
      </c>
      <c r="AM780">
        <f>VLOOKUP(Table1[[#This Row],[Caste]]&amp;Table1[[#This Row],[Q18: Gender]],Factor!$W$1:$X$23,2,0)</f>
        <v>0.71995135120329123</v>
      </c>
      <c r="AN780">
        <f>VLOOKUP(Table1[[#This Row],[Taluka]]&amp;Table1[[#This Row],[Caste]]&amp;Table1[[#This Row],[Q18: Gender]],Factor!$AK$4:$AL$93,2,0)</f>
        <v>1.3370299504035861</v>
      </c>
      <c r="AO780">
        <f t="shared" si="132"/>
        <v>-1</v>
      </c>
      <c r="AP780">
        <f t="shared" si="133"/>
        <v>-1</v>
      </c>
      <c r="AQ780">
        <f t="shared" si="134"/>
        <v>-1</v>
      </c>
      <c r="AR780">
        <f t="shared" si="135"/>
        <v>-1</v>
      </c>
      <c r="AS780">
        <f t="shared" si="136"/>
        <v>-1</v>
      </c>
      <c r="AT780">
        <f t="shared" si="137"/>
        <v>-1</v>
      </c>
      <c r="AU780">
        <f t="shared" si="138"/>
        <v>-5.5</v>
      </c>
      <c r="AV780">
        <f>SUM(Table1[[#This Row],[Satis]:[29]])</f>
        <v>-6</v>
      </c>
      <c r="AW780">
        <f t="shared" si="139"/>
        <v>-5</v>
      </c>
      <c r="AX780">
        <f t="shared" si="140"/>
        <v>-4</v>
      </c>
      <c r="AY780">
        <f t="shared" si="141"/>
        <v>-3</v>
      </c>
      <c r="AZ780" t="str">
        <f t="shared" si="142"/>
        <v>TDP HardCore</v>
      </c>
    </row>
    <row r="781" spans="1:52" x14ac:dyDescent="0.3">
      <c r="A781" s="94" t="s">
        <v>4334</v>
      </c>
      <c r="B781" s="94">
        <v>46047</v>
      </c>
      <c r="C781" t="s">
        <v>4335</v>
      </c>
      <c r="D781" t="s">
        <v>4336</v>
      </c>
      <c r="E781" t="s">
        <v>4337</v>
      </c>
      <c r="F781" t="s">
        <v>35</v>
      </c>
      <c r="G781" t="s">
        <v>39</v>
      </c>
      <c r="H781" t="s">
        <v>4338</v>
      </c>
      <c r="I781" t="s">
        <v>59</v>
      </c>
      <c r="J781" t="s">
        <v>71</v>
      </c>
      <c r="K781" t="s">
        <v>213</v>
      </c>
      <c r="L781" t="s">
        <v>50</v>
      </c>
      <c r="M781" t="s">
        <v>51</v>
      </c>
      <c r="N781" t="s">
        <v>63</v>
      </c>
      <c r="O781" t="s">
        <v>4339</v>
      </c>
      <c r="P781">
        <v>7702524077</v>
      </c>
      <c r="Q781" t="s">
        <v>54</v>
      </c>
      <c r="R781" t="s">
        <v>61</v>
      </c>
      <c r="S781" t="s">
        <v>43</v>
      </c>
      <c r="T781" t="s">
        <v>43</v>
      </c>
      <c r="U781" t="s">
        <v>44</v>
      </c>
      <c r="V781" t="s">
        <v>45</v>
      </c>
      <c r="W781" t="s">
        <v>5077</v>
      </c>
      <c r="X781" t="s">
        <v>45</v>
      </c>
      <c r="Y781" t="s">
        <v>716</v>
      </c>
      <c r="Z781" t="s">
        <v>47</v>
      </c>
      <c r="AA781" t="s">
        <v>48</v>
      </c>
      <c r="AB781" t="s">
        <v>49</v>
      </c>
      <c r="AC781" t="s">
        <v>49</v>
      </c>
      <c r="AD781" t="s">
        <v>184</v>
      </c>
      <c r="AE781" t="s">
        <v>185</v>
      </c>
      <c r="AF781">
        <v>0</v>
      </c>
      <c r="AG781" t="s">
        <v>196</v>
      </c>
      <c r="AH781" s="93">
        <f>VLOOKUP(Table1[[#This Row],[Caste]],Factor!$H$1:$K$13,4,0)</f>
        <v>1.1461625511156397</v>
      </c>
      <c r="AI78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81">
        <f>Table1[[#This Row],[Factor_1]]*Table1[[#This Row],[2024 Factor]]</f>
        <v>0.77721139583220644</v>
      </c>
      <c r="AK781">
        <f>VLOOKUP(Table1[[#This Row],[Q18: Gender]],Factor!$A$33:$E$35,5,0)</f>
        <v>0.85034013605442171</v>
      </c>
      <c r="AL781">
        <f>VLOOKUP(Table1[[#This Row],[Taluka]],Factor!$A$42:$G$46,7,0)</f>
        <v>1.1213131007097483</v>
      </c>
      <c r="AM781">
        <f>VLOOKUP(Table1[[#This Row],[Caste]]&amp;Table1[[#This Row],[Q18: Gender]],Factor!$W$1:$X$23,2,0)</f>
        <v>0.71995135120329123</v>
      </c>
      <c r="AN781">
        <f>VLOOKUP(Table1[[#This Row],[Taluka]]&amp;Table1[[#This Row],[Caste]]&amp;Table1[[#This Row],[Q18: Gender]],Factor!$AK$4:$AL$93,2,0)</f>
        <v>1.3370299504035861</v>
      </c>
      <c r="AO781">
        <f t="shared" si="132"/>
        <v>-1</v>
      </c>
      <c r="AP781">
        <f t="shared" si="133"/>
        <v>-1</v>
      </c>
      <c r="AQ781">
        <f t="shared" si="134"/>
        <v>-1</v>
      </c>
      <c r="AR781">
        <f t="shared" si="135"/>
        <v>-1</v>
      </c>
      <c r="AS781">
        <f t="shared" si="136"/>
        <v>-1</v>
      </c>
      <c r="AT781">
        <f t="shared" si="137"/>
        <v>-1</v>
      </c>
      <c r="AU781">
        <f t="shared" si="138"/>
        <v>-5.5</v>
      </c>
      <c r="AV781">
        <f>SUM(Table1[[#This Row],[Satis]:[29]])</f>
        <v>-6</v>
      </c>
      <c r="AW781">
        <f t="shared" si="139"/>
        <v>-5</v>
      </c>
      <c r="AX781">
        <f t="shared" si="140"/>
        <v>-4</v>
      </c>
      <c r="AY781">
        <f t="shared" si="141"/>
        <v>-3</v>
      </c>
      <c r="AZ781" t="str">
        <f t="shared" si="142"/>
        <v>TDP HardCore</v>
      </c>
    </row>
    <row r="782" spans="1:52" x14ac:dyDescent="0.3">
      <c r="A782" s="94" t="s">
        <v>4356</v>
      </c>
      <c r="B782" s="94">
        <v>46047</v>
      </c>
      <c r="C782" t="s">
        <v>4357</v>
      </c>
      <c r="D782" t="s">
        <v>4358</v>
      </c>
      <c r="E782" t="s">
        <v>4359</v>
      </c>
      <c r="F782" t="s">
        <v>35</v>
      </c>
      <c r="G782" t="s">
        <v>39</v>
      </c>
      <c r="H782" t="s">
        <v>4360</v>
      </c>
      <c r="I782" t="s">
        <v>70</v>
      </c>
      <c r="J782" t="s">
        <v>71</v>
      </c>
      <c r="K782" t="s">
        <v>213</v>
      </c>
      <c r="L782" t="s">
        <v>62</v>
      </c>
      <c r="M782" t="s">
        <v>51</v>
      </c>
      <c r="N782" t="s">
        <v>63</v>
      </c>
      <c r="O782" t="s">
        <v>4361</v>
      </c>
      <c r="P782">
        <v>0</v>
      </c>
      <c r="Q782" t="s">
        <v>54</v>
      </c>
      <c r="R782" t="s">
        <v>2116</v>
      </c>
      <c r="S782" t="s">
        <v>89</v>
      </c>
      <c r="T782" t="s">
        <v>89</v>
      </c>
      <c r="U782" t="s">
        <v>90</v>
      </c>
      <c r="V782" t="s">
        <v>91</v>
      </c>
      <c r="W782" t="s">
        <v>5057</v>
      </c>
      <c r="X782" t="s">
        <v>91</v>
      </c>
      <c r="Y782" t="s">
        <v>46</v>
      </c>
      <c r="Z782" t="s">
        <v>92</v>
      </c>
      <c r="AA782" t="s">
        <v>92</v>
      </c>
      <c r="AB782" t="s">
        <v>351</v>
      </c>
      <c r="AC782" t="s">
        <v>94</v>
      </c>
      <c r="AD782" t="s">
        <v>481</v>
      </c>
      <c r="AE782" t="s">
        <v>185</v>
      </c>
      <c r="AF782">
        <v>0</v>
      </c>
      <c r="AG782" t="s">
        <v>196</v>
      </c>
      <c r="AH782" s="93">
        <f>VLOOKUP(Table1[[#This Row],[Caste]],Factor!$H$1:$K$13,4,0)</f>
        <v>1.3836274505214585</v>
      </c>
      <c r="AI782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782">
        <f>Table1[[#This Row],[Factor_1]]*Table1[[#This Row],[2024 Factor]]</f>
        <v>1.9482662206881376</v>
      </c>
      <c r="AK782">
        <f>VLOOKUP(Table1[[#This Row],[Q18: Gender]],Factor!$A$33:$E$35,5,0)</f>
        <v>0.85034013605442171</v>
      </c>
      <c r="AL782">
        <f>VLOOKUP(Table1[[#This Row],[Taluka]],Factor!$A$42:$G$46,7,0)</f>
        <v>1.1213131007097483</v>
      </c>
      <c r="AM782">
        <f>VLOOKUP(Table1[[#This Row],[Caste]]&amp;Table1[[#This Row],[Q18: Gender]],Factor!$W$1:$X$23,2,0)</f>
        <v>1.0790228998469584</v>
      </c>
      <c r="AN782">
        <f>VLOOKUP(Table1[[#This Row],[Taluka]]&amp;Table1[[#This Row],[Caste]]&amp;Table1[[#This Row],[Q18: Gender]],Factor!$AK$4:$AL$93,2,0)</f>
        <v>0.90933567693352424</v>
      </c>
      <c r="AO782">
        <f t="shared" si="132"/>
        <v>1</v>
      </c>
      <c r="AP782">
        <f t="shared" si="133"/>
        <v>1</v>
      </c>
      <c r="AQ782">
        <f t="shared" si="134"/>
        <v>1</v>
      </c>
      <c r="AR782">
        <f t="shared" si="135"/>
        <v>1</v>
      </c>
      <c r="AS782">
        <f t="shared" si="136"/>
        <v>1</v>
      </c>
      <c r="AT782">
        <f t="shared" si="137"/>
        <v>1</v>
      </c>
      <c r="AU782">
        <f t="shared" si="138"/>
        <v>5.5</v>
      </c>
      <c r="AV782">
        <f>SUM(Table1[[#This Row],[Satis]:[29]])</f>
        <v>6</v>
      </c>
      <c r="AW782">
        <f t="shared" si="139"/>
        <v>5</v>
      </c>
      <c r="AX782">
        <f t="shared" si="140"/>
        <v>4</v>
      </c>
      <c r="AY782">
        <f t="shared" si="141"/>
        <v>3</v>
      </c>
      <c r="AZ782" t="str">
        <f t="shared" si="142"/>
        <v>YSRCP HardCore</v>
      </c>
    </row>
    <row r="783" spans="1:52" x14ac:dyDescent="0.3">
      <c r="A783" s="94" t="s">
        <v>4402</v>
      </c>
      <c r="B783" s="94">
        <v>46047</v>
      </c>
      <c r="C783" t="s">
        <v>4403</v>
      </c>
      <c r="D783" t="s">
        <v>4404</v>
      </c>
      <c r="E783" t="s">
        <v>4299</v>
      </c>
      <c r="F783" t="s">
        <v>35</v>
      </c>
      <c r="G783" t="s">
        <v>39</v>
      </c>
      <c r="H783" t="s">
        <v>4405</v>
      </c>
      <c r="I783" t="s">
        <v>70</v>
      </c>
      <c r="J783" t="s">
        <v>71</v>
      </c>
      <c r="K783" t="s">
        <v>213</v>
      </c>
      <c r="L783" t="s">
        <v>451</v>
      </c>
      <c r="M783" t="s">
        <v>51</v>
      </c>
      <c r="N783" t="s">
        <v>52</v>
      </c>
      <c r="O783" t="s">
        <v>4406</v>
      </c>
      <c r="P783">
        <v>0</v>
      </c>
      <c r="Q783" t="s">
        <v>445</v>
      </c>
      <c r="R783" t="s">
        <v>61</v>
      </c>
      <c r="S783" t="s">
        <v>43</v>
      </c>
      <c r="T783" t="s">
        <v>43</v>
      </c>
      <c r="U783" t="s">
        <v>90</v>
      </c>
      <c r="V783" t="s">
        <v>91</v>
      </c>
      <c r="W783" t="s">
        <v>5043</v>
      </c>
      <c r="X783" t="s">
        <v>91</v>
      </c>
      <c r="Y783" t="s">
        <v>46</v>
      </c>
      <c r="Z783" t="s">
        <v>47</v>
      </c>
      <c r="AA783" t="s">
        <v>48</v>
      </c>
      <c r="AB783" t="s">
        <v>49</v>
      </c>
      <c r="AC783" t="s">
        <v>49</v>
      </c>
      <c r="AD783" t="s">
        <v>184</v>
      </c>
      <c r="AE783" t="s">
        <v>189</v>
      </c>
      <c r="AF783" t="s">
        <v>4407</v>
      </c>
      <c r="AG783" t="s">
        <v>196</v>
      </c>
      <c r="AH783" s="93">
        <f>VLOOKUP(Table1[[#This Row],[Caste]],Factor!$H$1:$K$13,4,0)</f>
        <v>1.3836274505214585</v>
      </c>
      <c r="AI78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83">
        <f>Table1[[#This Row],[Factor_1]]*Table1[[#This Row],[2024 Factor]]</f>
        <v>2.0811826914865059</v>
      </c>
      <c r="AK783">
        <f>VLOOKUP(Table1[[#This Row],[Q18: Gender]],Factor!$A$33:$E$35,5,0)</f>
        <v>2.1645021645021645</v>
      </c>
      <c r="AL783">
        <f>VLOOKUP(Table1[[#This Row],[Taluka]],Factor!$A$42:$G$46,7,0)</f>
        <v>1.1213131007097483</v>
      </c>
      <c r="AM783">
        <f>VLOOKUP(Table1[[#This Row],[Caste]]&amp;Table1[[#This Row],[Q18: Gender]],Factor!$W$1:$X$23,2,0)</f>
        <v>1.9278542477265657</v>
      </c>
      <c r="AN783">
        <f>VLOOKUP(Table1[[#This Row],[Taluka]]&amp;Table1[[#This Row],[Caste]]&amp;Table1[[#This Row],[Q18: Gender]],Factor!$AK$4:$AL$93,2,0)</f>
        <v>1.2302776805571209</v>
      </c>
      <c r="AO783">
        <f t="shared" si="132"/>
        <v>-1</v>
      </c>
      <c r="AP783">
        <f t="shared" si="133"/>
        <v>1</v>
      </c>
      <c r="AQ783">
        <f t="shared" si="134"/>
        <v>1</v>
      </c>
      <c r="AR783">
        <f t="shared" si="135"/>
        <v>1</v>
      </c>
      <c r="AS783">
        <f t="shared" si="136"/>
        <v>-1</v>
      </c>
      <c r="AT783">
        <f t="shared" si="137"/>
        <v>-1</v>
      </c>
      <c r="AU783">
        <f t="shared" si="138"/>
        <v>0.5</v>
      </c>
      <c r="AV783">
        <f>SUM(Table1[[#This Row],[Satis]:[29]])</f>
        <v>0</v>
      </c>
      <c r="AW783">
        <f t="shared" si="139"/>
        <v>-1</v>
      </c>
      <c r="AX783">
        <f t="shared" si="140"/>
        <v>0</v>
      </c>
      <c r="AY783">
        <f t="shared" si="141"/>
        <v>-3</v>
      </c>
      <c r="AZ783" t="str">
        <f t="shared" si="142"/>
        <v>Neutral TDP</v>
      </c>
    </row>
    <row r="784" spans="1:52" x14ac:dyDescent="0.3">
      <c r="A784" s="94" t="s">
        <v>4362</v>
      </c>
      <c r="B784" s="94">
        <v>46047</v>
      </c>
      <c r="C784" t="s">
        <v>4363</v>
      </c>
      <c r="D784" t="s">
        <v>4364</v>
      </c>
      <c r="E784" t="s">
        <v>4365</v>
      </c>
      <c r="F784" t="s">
        <v>35</v>
      </c>
      <c r="G784" t="s">
        <v>39</v>
      </c>
      <c r="H784" t="s">
        <v>4366</v>
      </c>
      <c r="I784" t="s">
        <v>59</v>
      </c>
      <c r="J784" t="s">
        <v>71</v>
      </c>
      <c r="K784" t="s">
        <v>213</v>
      </c>
      <c r="L784" t="s">
        <v>75</v>
      </c>
      <c r="M784" t="s">
        <v>51</v>
      </c>
      <c r="N784" t="s">
        <v>162</v>
      </c>
      <c r="O784" t="s">
        <v>4367</v>
      </c>
      <c r="P784">
        <v>0</v>
      </c>
      <c r="Q784" t="s">
        <v>54</v>
      </c>
      <c r="R784" t="s">
        <v>61</v>
      </c>
      <c r="S784" t="s">
        <v>43</v>
      </c>
      <c r="T784" t="s">
        <v>43</v>
      </c>
      <c r="U784" t="s">
        <v>44</v>
      </c>
      <c r="V784" t="s">
        <v>45</v>
      </c>
      <c r="W784" t="s">
        <v>5062</v>
      </c>
      <c r="X784" t="s">
        <v>45</v>
      </c>
      <c r="Y784" t="s">
        <v>46</v>
      </c>
      <c r="Z784" t="s">
        <v>47</v>
      </c>
      <c r="AA784" t="s">
        <v>48</v>
      </c>
      <c r="AB784" t="s">
        <v>49</v>
      </c>
      <c r="AC784" t="s">
        <v>49</v>
      </c>
      <c r="AD784" t="s">
        <v>481</v>
      </c>
      <c r="AE784" t="s">
        <v>185</v>
      </c>
      <c r="AF784">
        <v>0</v>
      </c>
      <c r="AG784" t="s">
        <v>196</v>
      </c>
      <c r="AH784" s="93">
        <f>VLOOKUP(Table1[[#This Row],[Caste]],Factor!$H$1:$K$13,4,0)</f>
        <v>1.1461625511156397</v>
      </c>
      <c r="AI78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84">
        <f>Table1[[#This Row],[Factor_1]]*Table1[[#This Row],[2024 Factor]]</f>
        <v>0.77721139583220644</v>
      </c>
      <c r="AK784">
        <f>VLOOKUP(Table1[[#This Row],[Q18: Gender]],Factor!$A$33:$E$35,5,0)</f>
        <v>0.85034013605442171</v>
      </c>
      <c r="AL784">
        <f>VLOOKUP(Table1[[#This Row],[Taluka]],Factor!$A$42:$G$46,7,0)</f>
        <v>1.1213131007097483</v>
      </c>
      <c r="AM784">
        <f>VLOOKUP(Table1[[#This Row],[Caste]]&amp;Table1[[#This Row],[Q18: Gender]],Factor!$W$1:$X$23,2,0)</f>
        <v>0.71995135120329123</v>
      </c>
      <c r="AN784">
        <f>VLOOKUP(Table1[[#This Row],[Taluka]]&amp;Table1[[#This Row],[Caste]]&amp;Table1[[#This Row],[Q18: Gender]],Factor!$AK$4:$AL$93,2,0)</f>
        <v>1.3370299504035861</v>
      </c>
      <c r="AO784">
        <f t="shared" si="132"/>
        <v>-1</v>
      </c>
      <c r="AP784">
        <f t="shared" si="133"/>
        <v>-1</v>
      </c>
      <c r="AQ784">
        <f t="shared" si="134"/>
        <v>-1</v>
      </c>
      <c r="AR784">
        <f t="shared" si="135"/>
        <v>-1</v>
      </c>
      <c r="AS784">
        <f t="shared" si="136"/>
        <v>-1</v>
      </c>
      <c r="AT784">
        <f t="shared" si="137"/>
        <v>-1</v>
      </c>
      <c r="AU784">
        <f t="shared" si="138"/>
        <v>-5.5</v>
      </c>
      <c r="AV784">
        <f>SUM(Table1[[#This Row],[Satis]:[29]])</f>
        <v>-6</v>
      </c>
      <c r="AW784">
        <f t="shared" si="139"/>
        <v>-5</v>
      </c>
      <c r="AX784">
        <f t="shared" si="140"/>
        <v>-4</v>
      </c>
      <c r="AY784">
        <f t="shared" si="141"/>
        <v>-3</v>
      </c>
      <c r="AZ784" t="str">
        <f t="shared" si="142"/>
        <v>TDP HardCore</v>
      </c>
    </row>
    <row r="785" spans="1:52" x14ac:dyDescent="0.3">
      <c r="A785" s="94" t="s">
        <v>4386</v>
      </c>
      <c r="B785" s="94">
        <v>46047</v>
      </c>
      <c r="C785" t="s">
        <v>4387</v>
      </c>
      <c r="D785" t="s">
        <v>4388</v>
      </c>
      <c r="E785" t="s">
        <v>4365</v>
      </c>
      <c r="F785" t="s">
        <v>35</v>
      </c>
      <c r="G785" t="s">
        <v>39</v>
      </c>
      <c r="H785" t="s">
        <v>4389</v>
      </c>
      <c r="I785" t="s">
        <v>59</v>
      </c>
      <c r="J785" t="s">
        <v>71</v>
      </c>
      <c r="K785" t="s">
        <v>213</v>
      </c>
      <c r="L785" t="s">
        <v>75</v>
      </c>
      <c r="M785" t="s">
        <v>51</v>
      </c>
      <c r="N785" t="s">
        <v>162</v>
      </c>
      <c r="O785" t="s">
        <v>4390</v>
      </c>
      <c r="P785">
        <v>6305548122</v>
      </c>
      <c r="Q785" t="s">
        <v>54</v>
      </c>
      <c r="R785" t="s">
        <v>2116</v>
      </c>
      <c r="S785" t="s">
        <v>43</v>
      </c>
      <c r="T785" t="s">
        <v>43</v>
      </c>
      <c r="U785" t="s">
        <v>44</v>
      </c>
      <c r="V785" t="s">
        <v>45</v>
      </c>
      <c r="W785" t="s">
        <v>5116</v>
      </c>
      <c r="X785" t="s">
        <v>91</v>
      </c>
      <c r="Y785" t="s">
        <v>638</v>
      </c>
      <c r="Z785" t="s">
        <v>47</v>
      </c>
      <c r="AA785" t="s">
        <v>48</v>
      </c>
      <c r="AB785" t="s">
        <v>49</v>
      </c>
      <c r="AC785" t="s">
        <v>49</v>
      </c>
      <c r="AD785" t="s">
        <v>481</v>
      </c>
      <c r="AE785" t="s">
        <v>185</v>
      </c>
      <c r="AF785">
        <v>0</v>
      </c>
      <c r="AG785" t="s">
        <v>196</v>
      </c>
      <c r="AH785" s="93">
        <f>VLOOKUP(Table1[[#This Row],[Caste]],Factor!$H$1:$K$13,4,0)</f>
        <v>1.1461625511156397</v>
      </c>
      <c r="AI78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85">
        <f>Table1[[#This Row],[Factor_1]]*Table1[[#This Row],[2024 Factor]]</f>
        <v>0.77721139583220644</v>
      </c>
      <c r="AK785">
        <f>VLOOKUP(Table1[[#This Row],[Q18: Gender]],Factor!$A$33:$E$35,5,0)</f>
        <v>0.85034013605442171</v>
      </c>
      <c r="AL785">
        <f>VLOOKUP(Table1[[#This Row],[Taluka]],Factor!$A$42:$G$46,7,0)</f>
        <v>1.1213131007097483</v>
      </c>
      <c r="AM785">
        <f>VLOOKUP(Table1[[#This Row],[Caste]]&amp;Table1[[#This Row],[Q18: Gender]],Factor!$W$1:$X$23,2,0)</f>
        <v>0.71995135120329123</v>
      </c>
      <c r="AN785">
        <f>VLOOKUP(Table1[[#This Row],[Taluka]]&amp;Table1[[#This Row],[Caste]]&amp;Table1[[#This Row],[Q18: Gender]],Factor!$AK$4:$AL$93,2,0)</f>
        <v>1.3370299504035861</v>
      </c>
      <c r="AO785">
        <f t="shared" si="132"/>
        <v>-1</v>
      </c>
      <c r="AP785">
        <f t="shared" si="133"/>
        <v>-1</v>
      </c>
      <c r="AQ785">
        <f t="shared" si="134"/>
        <v>-1</v>
      </c>
      <c r="AR785">
        <f t="shared" si="135"/>
        <v>1</v>
      </c>
      <c r="AS785">
        <f t="shared" si="136"/>
        <v>-1</v>
      </c>
      <c r="AT785">
        <f t="shared" si="137"/>
        <v>-1</v>
      </c>
      <c r="AU785">
        <f t="shared" si="138"/>
        <v>-3.5</v>
      </c>
      <c r="AV785">
        <f>SUM(Table1[[#This Row],[Satis]:[29]])</f>
        <v>-4</v>
      </c>
      <c r="AW785">
        <f t="shared" si="139"/>
        <v>-3</v>
      </c>
      <c r="AX785">
        <f t="shared" si="140"/>
        <v>-2</v>
      </c>
      <c r="AY785">
        <f t="shared" si="141"/>
        <v>-3</v>
      </c>
      <c r="AZ785" t="str">
        <f t="shared" si="142"/>
        <v>Neutral TDP</v>
      </c>
    </row>
    <row r="786" spans="1:52" x14ac:dyDescent="0.3">
      <c r="A786" s="94" t="s">
        <v>4351</v>
      </c>
      <c r="B786" s="94">
        <v>46047</v>
      </c>
      <c r="C786" t="s">
        <v>4352</v>
      </c>
      <c r="D786" t="s">
        <v>4353</v>
      </c>
      <c r="E786" t="s">
        <v>4299</v>
      </c>
      <c r="F786" t="s">
        <v>35</v>
      </c>
      <c r="G786" t="s">
        <v>39</v>
      </c>
      <c r="H786" t="s">
        <v>4354</v>
      </c>
      <c r="I786" t="s">
        <v>70</v>
      </c>
      <c r="J786" t="s">
        <v>71</v>
      </c>
      <c r="K786" t="s">
        <v>213</v>
      </c>
      <c r="L786" t="s">
        <v>451</v>
      </c>
      <c r="M786" t="s">
        <v>443</v>
      </c>
      <c r="N786" t="s">
        <v>63</v>
      </c>
      <c r="O786" t="s">
        <v>4355</v>
      </c>
      <c r="P786">
        <v>0</v>
      </c>
      <c r="Q786" t="s">
        <v>445</v>
      </c>
      <c r="R786" t="s">
        <v>139</v>
      </c>
      <c r="S786" t="s">
        <v>89</v>
      </c>
      <c r="T786" t="s">
        <v>43</v>
      </c>
      <c r="U786" t="s">
        <v>44</v>
      </c>
      <c r="V786" t="s">
        <v>91</v>
      </c>
      <c r="W786" t="s">
        <v>5043</v>
      </c>
      <c r="X786" t="s">
        <v>45</v>
      </c>
      <c r="Y786" t="s">
        <v>716</v>
      </c>
      <c r="Z786" t="s">
        <v>92</v>
      </c>
      <c r="AA786" t="s">
        <v>92</v>
      </c>
      <c r="AB786" t="s">
        <v>351</v>
      </c>
      <c r="AC786" t="s">
        <v>94</v>
      </c>
      <c r="AD786" t="s">
        <v>184</v>
      </c>
      <c r="AE786" t="s">
        <v>189</v>
      </c>
      <c r="AF786">
        <v>0</v>
      </c>
      <c r="AG786" t="s">
        <v>196</v>
      </c>
      <c r="AH786" s="93">
        <f>VLOOKUP(Table1[[#This Row],[Caste]],Factor!$H$1:$K$13,4,0)</f>
        <v>1.3836274505214585</v>
      </c>
      <c r="AI786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786">
        <f>Table1[[#This Row],[Factor_1]]*Table1[[#This Row],[2024 Factor]]</f>
        <v>3.4809023142961388</v>
      </c>
      <c r="AK786">
        <f>VLOOKUP(Table1[[#This Row],[Q18: Gender]],Factor!$A$33:$E$35,5,0)</f>
        <v>2.1645021645021645</v>
      </c>
      <c r="AL786">
        <f>VLOOKUP(Table1[[#This Row],[Taluka]],Factor!$A$42:$G$46,7,0)</f>
        <v>1.1213131007097483</v>
      </c>
      <c r="AM786">
        <f>VLOOKUP(Table1[[#This Row],[Caste]]&amp;Table1[[#This Row],[Q18: Gender]],Factor!$W$1:$X$23,2,0)</f>
        <v>1.9278542477265657</v>
      </c>
      <c r="AN786">
        <f>VLOOKUP(Table1[[#This Row],[Taluka]]&amp;Table1[[#This Row],[Caste]]&amp;Table1[[#This Row],[Q18: Gender]],Factor!$AK$4:$AL$93,2,0)</f>
        <v>1.2302776805571209</v>
      </c>
      <c r="AO786">
        <f t="shared" si="132"/>
        <v>-1</v>
      </c>
      <c r="AP786">
        <f t="shared" si="133"/>
        <v>-1</v>
      </c>
      <c r="AQ786">
        <f t="shared" si="134"/>
        <v>1</v>
      </c>
      <c r="AR786">
        <f t="shared" si="135"/>
        <v>-1</v>
      </c>
      <c r="AS786">
        <f t="shared" si="136"/>
        <v>1</v>
      </c>
      <c r="AT786">
        <f t="shared" si="137"/>
        <v>1</v>
      </c>
      <c r="AU786">
        <f t="shared" si="138"/>
        <v>-0.5</v>
      </c>
      <c r="AV786">
        <f>SUM(Table1[[#This Row],[Satis]:[29]])</f>
        <v>0</v>
      </c>
      <c r="AW786">
        <f t="shared" si="139"/>
        <v>1</v>
      </c>
      <c r="AX786">
        <f t="shared" si="140"/>
        <v>2</v>
      </c>
      <c r="AY786">
        <f t="shared" si="141"/>
        <v>2</v>
      </c>
      <c r="AZ786" t="str">
        <f t="shared" si="142"/>
        <v>Neutral YSRCP</v>
      </c>
    </row>
    <row r="787" spans="1:52" x14ac:dyDescent="0.3">
      <c r="A787" s="94" t="s">
        <v>4396</v>
      </c>
      <c r="B787" s="94">
        <v>46047</v>
      </c>
      <c r="C787" t="s">
        <v>4397</v>
      </c>
      <c r="D787" t="s">
        <v>4398</v>
      </c>
      <c r="E787" t="s">
        <v>4399</v>
      </c>
      <c r="F787" t="s">
        <v>35</v>
      </c>
      <c r="G787" t="s">
        <v>39</v>
      </c>
      <c r="H787" t="s">
        <v>4400</v>
      </c>
      <c r="I787" t="s">
        <v>36</v>
      </c>
      <c r="J787" t="s">
        <v>71</v>
      </c>
      <c r="K787" t="s">
        <v>213</v>
      </c>
      <c r="L787" t="s">
        <v>82</v>
      </c>
      <c r="M787" t="s">
        <v>51</v>
      </c>
      <c r="N787" t="s">
        <v>107</v>
      </c>
      <c r="O787" t="s">
        <v>4401</v>
      </c>
      <c r="P787">
        <v>0</v>
      </c>
      <c r="Q787" t="s">
        <v>54</v>
      </c>
      <c r="R787" t="s">
        <v>2116</v>
      </c>
      <c r="S787" t="s">
        <v>43</v>
      </c>
      <c r="T787" t="s">
        <v>43</v>
      </c>
      <c r="U787" t="s">
        <v>44</v>
      </c>
      <c r="V787" t="s">
        <v>45</v>
      </c>
      <c r="W787" t="s">
        <v>5054</v>
      </c>
      <c r="X787" t="s">
        <v>45</v>
      </c>
      <c r="Y787" t="s">
        <v>46</v>
      </c>
      <c r="Z787" t="s">
        <v>47</v>
      </c>
      <c r="AA787" t="s">
        <v>48</v>
      </c>
      <c r="AB787" t="s">
        <v>49</v>
      </c>
      <c r="AC787" t="s">
        <v>49</v>
      </c>
      <c r="AD787" t="s">
        <v>481</v>
      </c>
      <c r="AE787" t="s">
        <v>185</v>
      </c>
      <c r="AF787">
        <v>0</v>
      </c>
      <c r="AG787" t="s">
        <v>196</v>
      </c>
      <c r="AH787" s="93">
        <f>VLOOKUP(Table1[[#This Row],[Caste]],Factor!$H$1:$K$13,4,0)</f>
        <v>1.1705128247062893</v>
      </c>
      <c r="AI78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87">
        <f>Table1[[#This Row],[Factor_1]]*Table1[[#This Row],[2024 Factor]]</f>
        <v>0.86308903171383233</v>
      </c>
      <c r="AK787">
        <f>VLOOKUP(Table1[[#This Row],[Q18: Gender]],Factor!$A$33:$E$35,5,0)</f>
        <v>0.85034013605442171</v>
      </c>
      <c r="AL787">
        <f>VLOOKUP(Table1[[#This Row],[Taluka]],Factor!$A$42:$G$46,7,0)</f>
        <v>1.1213131007097483</v>
      </c>
      <c r="AM787">
        <f>VLOOKUP(Table1[[#This Row],[Caste]]&amp;Table1[[#This Row],[Q18: Gender]],Factor!$W$1:$X$23,2,0)</f>
        <v>0.79950206330384943</v>
      </c>
      <c r="AN787">
        <f>VLOOKUP(Table1[[#This Row],[Taluka]]&amp;Table1[[#This Row],[Caste]]&amp;Table1[[#This Row],[Q18: Gender]],Factor!$AK$4:$AL$93,2,0)</f>
        <v>0.7401439088249181</v>
      </c>
      <c r="AO787">
        <f t="shared" si="132"/>
        <v>-1</v>
      </c>
      <c r="AP787">
        <f t="shared" si="133"/>
        <v>-1</v>
      </c>
      <c r="AQ787">
        <f t="shared" si="134"/>
        <v>-1</v>
      </c>
      <c r="AR787">
        <f t="shared" si="135"/>
        <v>-1</v>
      </c>
      <c r="AS787">
        <f t="shared" si="136"/>
        <v>-1</v>
      </c>
      <c r="AT787">
        <f t="shared" si="137"/>
        <v>-1</v>
      </c>
      <c r="AU787">
        <f t="shared" si="138"/>
        <v>-5.5</v>
      </c>
      <c r="AV787">
        <f>SUM(Table1[[#This Row],[Satis]:[29]])</f>
        <v>-6</v>
      </c>
      <c r="AW787">
        <f t="shared" si="139"/>
        <v>-5</v>
      </c>
      <c r="AX787">
        <f t="shared" si="140"/>
        <v>-4</v>
      </c>
      <c r="AY787">
        <f t="shared" si="141"/>
        <v>-3</v>
      </c>
      <c r="AZ787" t="str">
        <f t="shared" si="142"/>
        <v>TDP HardCore</v>
      </c>
    </row>
    <row r="788" spans="1:52" x14ac:dyDescent="0.3">
      <c r="A788" t="s">
        <v>4423</v>
      </c>
      <c r="B788" s="94">
        <v>46048</v>
      </c>
      <c r="C788" t="s">
        <v>4424</v>
      </c>
      <c r="D788" t="s">
        <v>4425</v>
      </c>
      <c r="E788" t="s">
        <v>4426</v>
      </c>
      <c r="F788" t="s">
        <v>240</v>
      </c>
      <c r="G788" t="s">
        <v>39</v>
      </c>
      <c r="H788" t="s">
        <v>4427</v>
      </c>
      <c r="I788" t="s">
        <v>145</v>
      </c>
      <c r="J788" t="s">
        <v>71</v>
      </c>
      <c r="K788" t="s">
        <v>215</v>
      </c>
      <c r="L788" t="s">
        <v>925</v>
      </c>
      <c r="M788" t="s">
        <v>51</v>
      </c>
      <c r="N788" t="s">
        <v>107</v>
      </c>
      <c r="O788" t="s">
        <v>4428</v>
      </c>
      <c r="P788">
        <v>9652147809</v>
      </c>
      <c r="Q788" t="s">
        <v>54</v>
      </c>
      <c r="R788" t="s">
        <v>2116</v>
      </c>
      <c r="S788" t="s">
        <v>89</v>
      </c>
      <c r="T788" t="s">
        <v>43</v>
      </c>
      <c r="U788" t="s">
        <v>90</v>
      </c>
      <c r="V788" t="s">
        <v>91</v>
      </c>
      <c r="W788" t="s">
        <v>5042</v>
      </c>
      <c r="X788" t="s">
        <v>45</v>
      </c>
      <c r="Y788" t="s">
        <v>46</v>
      </c>
      <c r="Z788" t="s">
        <v>92</v>
      </c>
      <c r="AA788" t="s">
        <v>92</v>
      </c>
      <c r="AB788" t="s">
        <v>351</v>
      </c>
      <c r="AC788" t="s">
        <v>2590</v>
      </c>
      <c r="AD788" t="s">
        <v>184</v>
      </c>
      <c r="AE788" t="s">
        <v>185</v>
      </c>
      <c r="AF788">
        <v>0</v>
      </c>
      <c r="AG788" t="s">
        <v>196</v>
      </c>
      <c r="AH788" s="93">
        <f>VLOOKUP(Table1[[#This Row],[Caste]],Factor!$H$1:$K$13,4,0)</f>
        <v>1.8452248965186235</v>
      </c>
      <c r="AI788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788">
        <f>Table1[[#This Row],[Factor_1]]*Table1[[#This Row],[2024 Factor]]</f>
        <v>2.6177706499667939</v>
      </c>
      <c r="AK788">
        <f>VLOOKUP(Table1[[#This Row],[Q18: Gender]],Factor!$A$33:$E$35,5,0)</f>
        <v>0.85034013605442171</v>
      </c>
      <c r="AL788">
        <f>VLOOKUP(Table1[[#This Row],[Taluka]],Factor!$A$42:$G$46,7,0)</f>
        <v>1.1213131007097483</v>
      </c>
      <c r="AM788">
        <f>VLOOKUP(Table1[[#This Row],[Caste]]&amp;Table1[[#This Row],[Q18: Gender]],Factor!$W$1:$X$23,2,0)</f>
        <v>1.4498195615503471</v>
      </c>
      <c r="AN788">
        <f>VLOOKUP(Table1[[#This Row],[Taluka]]&amp;Table1[[#This Row],[Caste]]&amp;Table1[[#This Row],[Q18: Gender]],Factor!$AK$4:$AL$93,2,0)</f>
        <v>0.97867240415506407</v>
      </c>
      <c r="AO788">
        <f t="shared" si="132"/>
        <v>-1</v>
      </c>
      <c r="AP788">
        <f t="shared" si="133"/>
        <v>1</v>
      </c>
      <c r="AQ788">
        <f t="shared" si="134"/>
        <v>1</v>
      </c>
      <c r="AR788">
        <f t="shared" si="135"/>
        <v>-1</v>
      </c>
      <c r="AS788">
        <f t="shared" si="136"/>
        <v>1</v>
      </c>
      <c r="AT788">
        <f t="shared" si="137"/>
        <v>1</v>
      </c>
      <c r="AU788">
        <f t="shared" si="138"/>
        <v>1.5</v>
      </c>
      <c r="AV788">
        <f>SUM(Table1[[#This Row],[Satis]:[29]])</f>
        <v>2</v>
      </c>
      <c r="AW788">
        <f t="shared" si="139"/>
        <v>1</v>
      </c>
      <c r="AX788">
        <f t="shared" si="140"/>
        <v>2</v>
      </c>
      <c r="AY788">
        <f t="shared" si="141"/>
        <v>2</v>
      </c>
      <c r="AZ788" t="str">
        <f t="shared" si="142"/>
        <v>Neutral YSRCP</v>
      </c>
    </row>
    <row r="789" spans="1:52" x14ac:dyDescent="0.3">
      <c r="A789" t="s">
        <v>4429</v>
      </c>
      <c r="B789" s="94">
        <v>46048</v>
      </c>
      <c r="C789" t="s">
        <v>4430</v>
      </c>
      <c r="D789" t="s">
        <v>4431</v>
      </c>
      <c r="E789" t="s">
        <v>4432</v>
      </c>
      <c r="F789" t="s">
        <v>240</v>
      </c>
      <c r="G789" t="s">
        <v>39</v>
      </c>
      <c r="H789" t="s">
        <v>4433</v>
      </c>
      <c r="I789" t="s">
        <v>36</v>
      </c>
      <c r="J789" t="s">
        <v>71</v>
      </c>
      <c r="K789" t="s">
        <v>215</v>
      </c>
      <c r="L789" t="s">
        <v>50</v>
      </c>
      <c r="M789" t="s">
        <v>51</v>
      </c>
      <c r="N789" t="s">
        <v>107</v>
      </c>
      <c r="O789" t="s">
        <v>4434</v>
      </c>
      <c r="P789">
        <v>7730038083</v>
      </c>
      <c r="Q789" t="s">
        <v>54</v>
      </c>
      <c r="R789" t="s">
        <v>61</v>
      </c>
      <c r="S789" t="s">
        <v>43</v>
      </c>
      <c r="T789" t="s">
        <v>43</v>
      </c>
      <c r="U789" t="s">
        <v>90</v>
      </c>
      <c r="V789" t="s">
        <v>45</v>
      </c>
      <c r="W789" t="s">
        <v>5058</v>
      </c>
      <c r="X789" t="s">
        <v>45</v>
      </c>
      <c r="Y789" t="s">
        <v>46</v>
      </c>
      <c r="Z789" t="s">
        <v>47</v>
      </c>
      <c r="AA789" t="s">
        <v>48</v>
      </c>
      <c r="AB789" t="s">
        <v>49</v>
      </c>
      <c r="AC789" t="s">
        <v>49</v>
      </c>
      <c r="AD789" t="s">
        <v>184</v>
      </c>
      <c r="AE789" t="s">
        <v>185</v>
      </c>
      <c r="AF789">
        <v>0</v>
      </c>
      <c r="AG789" t="s">
        <v>196</v>
      </c>
      <c r="AH789" s="93">
        <f>VLOOKUP(Table1[[#This Row],[Caste]],Factor!$H$1:$K$13,4,0)</f>
        <v>1.1705128247062893</v>
      </c>
      <c r="AI78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89">
        <f>Table1[[#This Row],[Factor_1]]*Table1[[#This Row],[2024 Factor]]</f>
        <v>0.86308903171383233</v>
      </c>
      <c r="AK789">
        <f>VLOOKUP(Table1[[#This Row],[Q18: Gender]],Factor!$A$33:$E$35,5,0)</f>
        <v>0.85034013605442171</v>
      </c>
      <c r="AL789">
        <f>VLOOKUP(Table1[[#This Row],[Taluka]],Factor!$A$42:$G$46,7,0)</f>
        <v>1.1213131007097483</v>
      </c>
      <c r="AM789">
        <f>VLOOKUP(Table1[[#This Row],[Caste]]&amp;Table1[[#This Row],[Q18: Gender]],Factor!$W$1:$X$23,2,0)</f>
        <v>0.79950206330384943</v>
      </c>
      <c r="AN789">
        <f>VLOOKUP(Table1[[#This Row],[Taluka]]&amp;Table1[[#This Row],[Caste]]&amp;Table1[[#This Row],[Q18: Gender]],Factor!$AK$4:$AL$93,2,0)</f>
        <v>0.7401439088249181</v>
      </c>
      <c r="AO789">
        <f t="shared" si="132"/>
        <v>-1</v>
      </c>
      <c r="AP789">
        <f t="shared" si="133"/>
        <v>1</v>
      </c>
      <c r="AQ789">
        <f t="shared" si="134"/>
        <v>-1</v>
      </c>
      <c r="AR789">
        <f t="shared" si="135"/>
        <v>-1</v>
      </c>
      <c r="AS789">
        <f t="shared" si="136"/>
        <v>-1</v>
      </c>
      <c r="AT789">
        <f t="shared" si="137"/>
        <v>-1</v>
      </c>
      <c r="AU789">
        <f t="shared" si="138"/>
        <v>-3.5</v>
      </c>
      <c r="AV789">
        <f>SUM(Table1[[#This Row],[Satis]:[29]])</f>
        <v>-4</v>
      </c>
      <c r="AW789">
        <f t="shared" si="139"/>
        <v>-5</v>
      </c>
      <c r="AX789">
        <f t="shared" si="140"/>
        <v>-4</v>
      </c>
      <c r="AY789">
        <f t="shared" si="141"/>
        <v>-3</v>
      </c>
      <c r="AZ789" t="str">
        <f t="shared" si="142"/>
        <v>TDP Sympathiser</v>
      </c>
    </row>
    <row r="790" spans="1:52" x14ac:dyDescent="0.3">
      <c r="A790" t="s">
        <v>4435</v>
      </c>
      <c r="B790" s="94">
        <v>46048</v>
      </c>
      <c r="C790" t="s">
        <v>4436</v>
      </c>
      <c r="D790" t="s">
        <v>4437</v>
      </c>
      <c r="E790" t="s">
        <v>4438</v>
      </c>
      <c r="F790" t="s">
        <v>240</v>
      </c>
      <c r="G790" t="s">
        <v>39</v>
      </c>
      <c r="H790" t="s">
        <v>4439</v>
      </c>
      <c r="I790" s="112" t="s">
        <v>229</v>
      </c>
      <c r="J790" t="s">
        <v>71</v>
      </c>
      <c r="K790" t="s">
        <v>215</v>
      </c>
      <c r="L790" t="s">
        <v>451</v>
      </c>
      <c r="M790" t="s">
        <v>51</v>
      </c>
      <c r="N790" t="s">
        <v>63</v>
      </c>
      <c r="O790" t="s">
        <v>4440</v>
      </c>
      <c r="P790">
        <v>7993085575</v>
      </c>
      <c r="Q790" t="s">
        <v>445</v>
      </c>
      <c r="R790" t="s">
        <v>139</v>
      </c>
      <c r="S790" t="s">
        <v>43</v>
      </c>
      <c r="T790" t="s">
        <v>43</v>
      </c>
      <c r="U790" t="s">
        <v>90</v>
      </c>
      <c r="V790" t="s">
        <v>45</v>
      </c>
      <c r="W790" t="s">
        <v>5062</v>
      </c>
      <c r="X790" t="s">
        <v>45</v>
      </c>
      <c r="Y790" t="s">
        <v>46</v>
      </c>
      <c r="Z790" t="s">
        <v>47</v>
      </c>
      <c r="AA790" t="s">
        <v>48</v>
      </c>
      <c r="AB790" t="s">
        <v>49</v>
      </c>
      <c r="AC790" t="s">
        <v>49</v>
      </c>
      <c r="AD790" t="s">
        <v>184</v>
      </c>
      <c r="AE790" t="s">
        <v>189</v>
      </c>
      <c r="AF790" t="s">
        <v>4735</v>
      </c>
      <c r="AG790" t="s">
        <v>196</v>
      </c>
      <c r="AH790" s="93">
        <f>VLOOKUP(Table1[[#This Row],[Caste]],Factor!$H$1:$K$13,4,0)</f>
        <v>1.1209668980183516</v>
      </c>
      <c r="AI79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90">
        <f>Table1[[#This Row],[Factor_1]]*Table1[[#This Row],[2024 Factor]]</f>
        <v>1.4370186848956754</v>
      </c>
      <c r="AK790">
        <f>VLOOKUP(Table1[[#This Row],[Q18: Gender]],Factor!$A$33:$E$35,5,0)</f>
        <v>2.1645021645021645</v>
      </c>
      <c r="AL790">
        <f>VLOOKUP(Table1[[#This Row],[Taluka]],Factor!$A$42:$G$46,7,0)</f>
        <v>1.1213131007097483</v>
      </c>
      <c r="AM790">
        <f>VLOOKUP(Table1[[#This Row],[Caste]]&amp;Table1[[#This Row],[Q18: Gender]],Factor!$W$1:$X$23,2,0)</f>
        <v>1.3311481913967924</v>
      </c>
      <c r="AN790">
        <f>VLOOKUP(Table1[[#This Row],[Taluka]]&amp;Table1[[#This Row],[Caste]]&amp;Table1[[#This Row],[Q18: Gender]],Factor!$AK$4:$AL$93,2,0)</f>
        <v>1.5403981909912889</v>
      </c>
      <c r="AO790">
        <f t="shared" si="132"/>
        <v>-1</v>
      </c>
      <c r="AP790">
        <f t="shared" si="133"/>
        <v>1</v>
      </c>
      <c r="AQ790">
        <f t="shared" si="134"/>
        <v>-1</v>
      </c>
      <c r="AR790">
        <f t="shared" si="135"/>
        <v>-1</v>
      </c>
      <c r="AS790">
        <f t="shared" si="136"/>
        <v>-1</v>
      </c>
      <c r="AT790">
        <f t="shared" si="137"/>
        <v>-1</v>
      </c>
      <c r="AU790">
        <f t="shared" si="138"/>
        <v>-3.5</v>
      </c>
      <c r="AV790">
        <f>SUM(Table1[[#This Row],[Satis]:[29]])</f>
        <v>-4</v>
      </c>
      <c r="AW790">
        <f t="shared" si="139"/>
        <v>-5</v>
      </c>
      <c r="AX790">
        <f t="shared" si="140"/>
        <v>-4</v>
      </c>
      <c r="AY790">
        <f t="shared" si="141"/>
        <v>-3</v>
      </c>
      <c r="AZ790" t="str">
        <f t="shared" si="142"/>
        <v>TDP Sympathiser</v>
      </c>
    </row>
    <row r="791" spans="1:52" x14ac:dyDescent="0.3">
      <c r="A791" t="s">
        <v>4441</v>
      </c>
      <c r="B791" s="94">
        <v>46048</v>
      </c>
      <c r="C791" t="s">
        <v>4442</v>
      </c>
      <c r="D791" t="s">
        <v>4443</v>
      </c>
      <c r="E791" t="s">
        <v>4444</v>
      </c>
      <c r="F791" t="s">
        <v>240</v>
      </c>
      <c r="G791" t="s">
        <v>39</v>
      </c>
      <c r="H791" t="s">
        <v>4445</v>
      </c>
      <c r="I791" t="s">
        <v>36</v>
      </c>
      <c r="J791" t="s">
        <v>71</v>
      </c>
      <c r="K791" t="s">
        <v>215</v>
      </c>
      <c r="L791" t="s">
        <v>62</v>
      </c>
      <c r="M791" t="s">
        <v>51</v>
      </c>
      <c r="N791" t="s">
        <v>52</v>
      </c>
      <c r="O791" t="s">
        <v>788</v>
      </c>
      <c r="P791">
        <v>9247799545</v>
      </c>
      <c r="Q791" t="s">
        <v>54</v>
      </c>
      <c r="R791" t="s">
        <v>2116</v>
      </c>
      <c r="S791" t="s">
        <v>43</v>
      </c>
      <c r="T791" t="s">
        <v>43</v>
      </c>
      <c r="U791" t="s">
        <v>44</v>
      </c>
      <c r="V791" t="s">
        <v>45</v>
      </c>
      <c r="W791" t="s">
        <v>5114</v>
      </c>
      <c r="X791" t="s">
        <v>45</v>
      </c>
      <c r="Y791" t="s">
        <v>46</v>
      </c>
      <c r="Z791" t="s">
        <v>47</v>
      </c>
      <c r="AA791" t="s">
        <v>48</v>
      </c>
      <c r="AB791" t="s">
        <v>49</v>
      </c>
      <c r="AC791" t="s">
        <v>49</v>
      </c>
      <c r="AD791" t="s">
        <v>184</v>
      </c>
      <c r="AE791" t="s">
        <v>189</v>
      </c>
      <c r="AF791" t="s">
        <v>3008</v>
      </c>
      <c r="AG791" t="s">
        <v>196</v>
      </c>
      <c r="AH791" s="93">
        <f>VLOOKUP(Table1[[#This Row],[Caste]],Factor!$H$1:$K$13,4,0)</f>
        <v>1.1705128247062893</v>
      </c>
      <c r="AI79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91">
        <f>Table1[[#This Row],[Factor_1]]*Table1[[#This Row],[2024 Factor]]</f>
        <v>0.86308903171383233</v>
      </c>
      <c r="AK791">
        <f>VLOOKUP(Table1[[#This Row],[Q18: Gender]],Factor!$A$33:$E$35,5,0)</f>
        <v>0.85034013605442171</v>
      </c>
      <c r="AL791">
        <f>VLOOKUP(Table1[[#This Row],[Taluka]],Factor!$A$42:$G$46,7,0)</f>
        <v>1.1213131007097483</v>
      </c>
      <c r="AM791">
        <f>VLOOKUP(Table1[[#This Row],[Caste]]&amp;Table1[[#This Row],[Q18: Gender]],Factor!$W$1:$X$23,2,0)</f>
        <v>0.79950206330384943</v>
      </c>
      <c r="AN791">
        <f>VLOOKUP(Table1[[#This Row],[Taluka]]&amp;Table1[[#This Row],[Caste]]&amp;Table1[[#This Row],[Q18: Gender]],Factor!$AK$4:$AL$93,2,0)</f>
        <v>0.7401439088249181</v>
      </c>
      <c r="AO791">
        <f t="shared" si="132"/>
        <v>-1</v>
      </c>
      <c r="AP791">
        <f t="shared" si="133"/>
        <v>-1</v>
      </c>
      <c r="AQ791">
        <f t="shared" si="134"/>
        <v>-1</v>
      </c>
      <c r="AR791">
        <f t="shared" si="135"/>
        <v>-1</v>
      </c>
      <c r="AS791">
        <f t="shared" si="136"/>
        <v>-1</v>
      </c>
      <c r="AT791">
        <f t="shared" si="137"/>
        <v>-1</v>
      </c>
      <c r="AU791">
        <f t="shared" si="138"/>
        <v>-5.5</v>
      </c>
      <c r="AV791">
        <f>SUM(Table1[[#This Row],[Satis]:[29]])</f>
        <v>-6</v>
      </c>
      <c r="AW791">
        <f t="shared" si="139"/>
        <v>-5</v>
      </c>
      <c r="AX791">
        <f t="shared" si="140"/>
        <v>-4</v>
      </c>
      <c r="AY791">
        <f t="shared" si="141"/>
        <v>-3</v>
      </c>
      <c r="AZ791" t="str">
        <f t="shared" si="142"/>
        <v>TDP HardCore</v>
      </c>
    </row>
    <row r="792" spans="1:52" x14ac:dyDescent="0.3">
      <c r="A792" t="s">
        <v>4446</v>
      </c>
      <c r="B792" s="94">
        <v>46048</v>
      </c>
      <c r="C792" t="s">
        <v>4447</v>
      </c>
      <c r="D792" t="s">
        <v>4448</v>
      </c>
      <c r="E792" t="s">
        <v>4449</v>
      </c>
      <c r="F792" t="s">
        <v>240</v>
      </c>
      <c r="G792" t="s">
        <v>39</v>
      </c>
      <c r="H792" t="s">
        <v>4450</v>
      </c>
      <c r="I792" t="s">
        <v>70</v>
      </c>
      <c r="J792" t="s">
        <v>71</v>
      </c>
      <c r="K792" t="s">
        <v>215</v>
      </c>
      <c r="L792" t="s">
        <v>451</v>
      </c>
      <c r="M792" t="s">
        <v>443</v>
      </c>
      <c r="N792" t="s">
        <v>52</v>
      </c>
      <c r="O792" t="s">
        <v>4451</v>
      </c>
      <c r="P792">
        <v>9515761899</v>
      </c>
      <c r="Q792" t="s">
        <v>445</v>
      </c>
      <c r="R792" t="s">
        <v>132</v>
      </c>
      <c r="S792" t="s">
        <v>88</v>
      </c>
      <c r="T792" t="s">
        <v>89</v>
      </c>
      <c r="U792" t="s">
        <v>90</v>
      </c>
      <c r="V792" t="s">
        <v>91</v>
      </c>
      <c r="W792" t="s">
        <v>5054</v>
      </c>
      <c r="X792" t="s">
        <v>91</v>
      </c>
      <c r="Y792" t="s">
        <v>46</v>
      </c>
      <c r="Z792" t="s">
        <v>92</v>
      </c>
      <c r="AA792" t="s">
        <v>242</v>
      </c>
      <c r="AB792" t="s">
        <v>49</v>
      </c>
      <c r="AC792" t="s">
        <v>49</v>
      </c>
      <c r="AD792" t="s">
        <v>184</v>
      </c>
      <c r="AE792" t="s">
        <v>185</v>
      </c>
      <c r="AF792">
        <v>0</v>
      </c>
      <c r="AG792" t="s">
        <v>196</v>
      </c>
      <c r="AH792" s="93">
        <f>VLOOKUP(Table1[[#This Row],[Caste]],Factor!$H$1:$K$13,4,0)</f>
        <v>1.3836274505214585</v>
      </c>
      <c r="AI792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792">
        <f>Table1[[#This Row],[Factor_1]]*Table1[[#This Row],[2024 Factor]]</f>
        <v>1.2753497331114214</v>
      </c>
      <c r="AK792">
        <f>VLOOKUP(Table1[[#This Row],[Q18: Gender]],Factor!$A$33:$E$35,5,0)</f>
        <v>2.1645021645021645</v>
      </c>
      <c r="AL792">
        <f>VLOOKUP(Table1[[#This Row],[Taluka]],Factor!$A$42:$G$46,7,0)</f>
        <v>1.1213131007097483</v>
      </c>
      <c r="AM792">
        <f>VLOOKUP(Table1[[#This Row],[Caste]]&amp;Table1[[#This Row],[Q18: Gender]],Factor!$W$1:$X$23,2,0)</f>
        <v>1.9278542477265657</v>
      </c>
      <c r="AN792">
        <f>VLOOKUP(Table1[[#This Row],[Taluka]]&amp;Table1[[#This Row],[Caste]]&amp;Table1[[#This Row],[Q18: Gender]],Factor!$AK$4:$AL$93,2,0)</f>
        <v>1.2302776805571209</v>
      </c>
      <c r="AO792">
        <f t="shared" si="132"/>
        <v>1</v>
      </c>
      <c r="AP792">
        <f t="shared" si="133"/>
        <v>1</v>
      </c>
      <c r="AQ792">
        <f t="shared" si="134"/>
        <v>1</v>
      </c>
      <c r="AR792">
        <f t="shared" si="135"/>
        <v>1</v>
      </c>
      <c r="AS792">
        <f t="shared" si="136"/>
        <v>-1</v>
      </c>
      <c r="AT792">
        <f t="shared" si="137"/>
        <v>1</v>
      </c>
      <c r="AU792">
        <f t="shared" si="138"/>
        <v>4.5</v>
      </c>
      <c r="AV792">
        <f>SUM(Table1[[#This Row],[Satis]:[29]])</f>
        <v>4</v>
      </c>
      <c r="AW792">
        <f t="shared" si="139"/>
        <v>3</v>
      </c>
      <c r="AX792">
        <f t="shared" si="140"/>
        <v>2</v>
      </c>
      <c r="AY792">
        <f t="shared" si="141"/>
        <v>2</v>
      </c>
      <c r="AZ792" t="str">
        <f t="shared" si="142"/>
        <v>Neutral YSRCP</v>
      </c>
    </row>
    <row r="793" spans="1:52" x14ac:dyDescent="0.3">
      <c r="A793" t="s">
        <v>4452</v>
      </c>
      <c r="B793" s="94">
        <v>46048</v>
      </c>
      <c r="C793" t="s">
        <v>4453</v>
      </c>
      <c r="D793" t="s">
        <v>4454</v>
      </c>
      <c r="E793" t="s">
        <v>4444</v>
      </c>
      <c r="F793" t="s">
        <v>240</v>
      </c>
      <c r="G793" t="s">
        <v>39</v>
      </c>
      <c r="H793" t="s">
        <v>4455</v>
      </c>
      <c r="I793" t="s">
        <v>70</v>
      </c>
      <c r="J793" t="s">
        <v>71</v>
      </c>
      <c r="K793" t="s">
        <v>215</v>
      </c>
      <c r="L793" t="s">
        <v>62</v>
      </c>
      <c r="M793" t="s">
        <v>51</v>
      </c>
      <c r="N793" t="s">
        <v>52</v>
      </c>
      <c r="O793" t="s">
        <v>542</v>
      </c>
      <c r="P793">
        <v>9989215520</v>
      </c>
      <c r="Q793" t="s">
        <v>54</v>
      </c>
      <c r="R793" t="s">
        <v>61</v>
      </c>
      <c r="S793" t="s">
        <v>89</v>
      </c>
      <c r="T793" t="s">
        <v>89</v>
      </c>
      <c r="U793" t="s">
        <v>90</v>
      </c>
      <c r="V793" t="s">
        <v>91</v>
      </c>
      <c r="W793" t="s">
        <v>5058</v>
      </c>
      <c r="X793" t="s">
        <v>91</v>
      </c>
      <c r="Y793" t="s">
        <v>46</v>
      </c>
      <c r="Z793" t="s">
        <v>92</v>
      </c>
      <c r="AA793" t="s">
        <v>48</v>
      </c>
      <c r="AB793" t="s">
        <v>49</v>
      </c>
      <c r="AC793" t="s">
        <v>49</v>
      </c>
      <c r="AD793" t="s">
        <v>184</v>
      </c>
      <c r="AE793" t="s">
        <v>185</v>
      </c>
      <c r="AF793">
        <v>0</v>
      </c>
      <c r="AG793" t="s">
        <v>196</v>
      </c>
      <c r="AH793" s="93">
        <f>VLOOKUP(Table1[[#This Row],[Caste]],Factor!$H$1:$K$13,4,0)</f>
        <v>1.3836274505214585</v>
      </c>
      <c r="AI79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93">
        <f>Table1[[#This Row],[Factor_1]]*Table1[[#This Row],[2024 Factor]]</f>
        <v>1.1648410586678206</v>
      </c>
      <c r="AK793">
        <f>VLOOKUP(Table1[[#This Row],[Q18: Gender]],Factor!$A$33:$E$35,5,0)</f>
        <v>0.85034013605442171</v>
      </c>
      <c r="AL793">
        <f>VLOOKUP(Table1[[#This Row],[Taluka]],Factor!$A$42:$G$46,7,0)</f>
        <v>1.1213131007097483</v>
      </c>
      <c r="AM793">
        <f>VLOOKUP(Table1[[#This Row],[Caste]]&amp;Table1[[#This Row],[Q18: Gender]],Factor!$W$1:$X$23,2,0)</f>
        <v>1.0790228998469584</v>
      </c>
      <c r="AN793">
        <f>VLOOKUP(Table1[[#This Row],[Taluka]]&amp;Table1[[#This Row],[Caste]]&amp;Table1[[#This Row],[Q18: Gender]],Factor!$AK$4:$AL$93,2,0)</f>
        <v>0.90933567693352424</v>
      </c>
      <c r="AO793">
        <f t="shared" si="132"/>
        <v>1</v>
      </c>
      <c r="AP793">
        <f t="shared" si="133"/>
        <v>1</v>
      </c>
      <c r="AQ793">
        <f t="shared" si="134"/>
        <v>1</v>
      </c>
      <c r="AR793">
        <f t="shared" si="135"/>
        <v>1</v>
      </c>
      <c r="AS793">
        <f t="shared" si="136"/>
        <v>-1</v>
      </c>
      <c r="AT793">
        <f t="shared" si="137"/>
        <v>1</v>
      </c>
      <c r="AU793">
        <f t="shared" si="138"/>
        <v>4.5</v>
      </c>
      <c r="AV793">
        <f>SUM(Table1[[#This Row],[Satis]:[29]])</f>
        <v>4</v>
      </c>
      <c r="AW793">
        <f t="shared" si="139"/>
        <v>3</v>
      </c>
      <c r="AX793">
        <f t="shared" si="140"/>
        <v>2</v>
      </c>
      <c r="AY793">
        <f t="shared" si="141"/>
        <v>2</v>
      </c>
      <c r="AZ793" t="str">
        <f t="shared" si="142"/>
        <v>Neutral YSRCP</v>
      </c>
    </row>
    <row r="794" spans="1:52" x14ac:dyDescent="0.3">
      <c r="A794" t="s">
        <v>4456</v>
      </c>
      <c r="B794" s="94">
        <v>46048</v>
      </c>
      <c r="C794" t="s">
        <v>4457</v>
      </c>
      <c r="D794" t="s">
        <v>4458</v>
      </c>
      <c r="E794" t="s">
        <v>4444</v>
      </c>
      <c r="F794" t="s">
        <v>240</v>
      </c>
      <c r="G794" t="s">
        <v>39</v>
      </c>
      <c r="H794" t="s">
        <v>4459</v>
      </c>
      <c r="I794" t="s">
        <v>70</v>
      </c>
      <c r="J794" t="s">
        <v>71</v>
      </c>
      <c r="K794" t="s">
        <v>215</v>
      </c>
      <c r="L794" t="s">
        <v>62</v>
      </c>
      <c r="M794" t="s">
        <v>51</v>
      </c>
      <c r="N794" t="s">
        <v>107</v>
      </c>
      <c r="O794" t="s">
        <v>4460</v>
      </c>
      <c r="P794">
        <v>8978075082</v>
      </c>
      <c r="Q794" t="s">
        <v>54</v>
      </c>
      <c r="R794" t="s">
        <v>61</v>
      </c>
      <c r="S794" t="s">
        <v>43</v>
      </c>
      <c r="T794" t="s">
        <v>43</v>
      </c>
      <c r="U794" t="s">
        <v>44</v>
      </c>
      <c r="V794" t="s">
        <v>45</v>
      </c>
      <c r="W794" t="s">
        <v>5104</v>
      </c>
      <c r="X794" t="s">
        <v>45</v>
      </c>
      <c r="Y794" t="s">
        <v>46</v>
      </c>
      <c r="Z794" t="s">
        <v>47</v>
      </c>
      <c r="AA794" t="s">
        <v>48</v>
      </c>
      <c r="AB794" t="s">
        <v>49</v>
      </c>
      <c r="AC794" t="s">
        <v>49</v>
      </c>
      <c r="AD794" t="s">
        <v>184</v>
      </c>
      <c r="AE794" t="s">
        <v>185</v>
      </c>
      <c r="AF794">
        <v>0</v>
      </c>
      <c r="AG794" t="s">
        <v>196</v>
      </c>
      <c r="AH794" s="93">
        <f>VLOOKUP(Table1[[#This Row],[Caste]],Factor!$H$1:$K$13,4,0)</f>
        <v>1.3836274505214585</v>
      </c>
      <c r="AI79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94">
        <f>Table1[[#This Row],[Factor_1]]*Table1[[#This Row],[2024 Factor]]</f>
        <v>1.1648410586678206</v>
      </c>
      <c r="AK794">
        <f>VLOOKUP(Table1[[#This Row],[Q18: Gender]],Factor!$A$33:$E$35,5,0)</f>
        <v>0.85034013605442171</v>
      </c>
      <c r="AL794">
        <f>VLOOKUP(Table1[[#This Row],[Taluka]],Factor!$A$42:$G$46,7,0)</f>
        <v>1.1213131007097483</v>
      </c>
      <c r="AM794">
        <f>VLOOKUP(Table1[[#This Row],[Caste]]&amp;Table1[[#This Row],[Q18: Gender]],Factor!$W$1:$X$23,2,0)</f>
        <v>1.0790228998469584</v>
      </c>
      <c r="AN794">
        <f>VLOOKUP(Table1[[#This Row],[Taluka]]&amp;Table1[[#This Row],[Caste]]&amp;Table1[[#This Row],[Q18: Gender]],Factor!$AK$4:$AL$93,2,0)</f>
        <v>0.90933567693352424</v>
      </c>
      <c r="AO794">
        <f t="shared" si="132"/>
        <v>-1</v>
      </c>
      <c r="AP794">
        <f t="shared" si="133"/>
        <v>-1</v>
      </c>
      <c r="AQ794">
        <f t="shared" si="134"/>
        <v>-1</v>
      </c>
      <c r="AR794">
        <f t="shared" si="135"/>
        <v>-1</v>
      </c>
      <c r="AS794">
        <f t="shared" si="136"/>
        <v>-1</v>
      </c>
      <c r="AT794">
        <f t="shared" si="137"/>
        <v>-1</v>
      </c>
      <c r="AU794">
        <f t="shared" si="138"/>
        <v>-5.5</v>
      </c>
      <c r="AV794">
        <f>SUM(Table1[[#This Row],[Satis]:[29]])</f>
        <v>-6</v>
      </c>
      <c r="AW794">
        <f t="shared" si="139"/>
        <v>-5</v>
      </c>
      <c r="AX794">
        <f t="shared" si="140"/>
        <v>-4</v>
      </c>
      <c r="AY794">
        <f t="shared" si="141"/>
        <v>-3</v>
      </c>
      <c r="AZ794" t="str">
        <f t="shared" si="142"/>
        <v>TDP HardCore</v>
      </c>
    </row>
    <row r="795" spans="1:52" x14ac:dyDescent="0.3">
      <c r="A795" t="s">
        <v>4461</v>
      </c>
      <c r="B795" s="94">
        <v>46048</v>
      </c>
      <c r="C795" t="s">
        <v>4462</v>
      </c>
      <c r="D795" t="s">
        <v>4463</v>
      </c>
      <c r="E795" t="s">
        <v>4464</v>
      </c>
      <c r="F795" t="s">
        <v>240</v>
      </c>
      <c r="G795" t="s">
        <v>39</v>
      </c>
      <c r="H795" t="s">
        <v>4465</v>
      </c>
      <c r="I795" t="s">
        <v>70</v>
      </c>
      <c r="J795" t="s">
        <v>71</v>
      </c>
      <c r="K795" t="s">
        <v>215</v>
      </c>
      <c r="L795" t="s">
        <v>451</v>
      </c>
      <c r="M795" t="s">
        <v>443</v>
      </c>
      <c r="N795" t="s">
        <v>63</v>
      </c>
      <c r="O795" t="s">
        <v>4466</v>
      </c>
      <c r="P795">
        <v>7207714092</v>
      </c>
      <c r="Q795" t="s">
        <v>445</v>
      </c>
      <c r="R795" t="s">
        <v>2116</v>
      </c>
      <c r="S795" t="s">
        <v>43</v>
      </c>
      <c r="T795" t="s">
        <v>43</v>
      </c>
      <c r="U795" t="s">
        <v>44</v>
      </c>
      <c r="V795" t="s">
        <v>45</v>
      </c>
      <c r="W795" t="s">
        <v>5054</v>
      </c>
      <c r="X795" t="s">
        <v>45</v>
      </c>
      <c r="Y795" t="s">
        <v>46</v>
      </c>
      <c r="Z795" t="s">
        <v>242</v>
      </c>
      <c r="AA795" t="s">
        <v>242</v>
      </c>
      <c r="AB795" t="s">
        <v>49</v>
      </c>
      <c r="AC795" t="s">
        <v>49</v>
      </c>
      <c r="AD795" t="s">
        <v>184</v>
      </c>
      <c r="AE795" t="s">
        <v>189</v>
      </c>
      <c r="AF795">
        <v>0</v>
      </c>
      <c r="AG795" t="s">
        <v>196</v>
      </c>
      <c r="AH795" s="93">
        <f>VLOOKUP(Table1[[#This Row],[Caste]],Factor!$H$1:$K$13,4,0)</f>
        <v>1.3836274505214585</v>
      </c>
      <c r="AI795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795">
        <f>Table1[[#This Row],[Factor_1]]*Table1[[#This Row],[2024 Factor]]</f>
        <v>1.2753497331114214</v>
      </c>
      <c r="AK795">
        <f>VLOOKUP(Table1[[#This Row],[Q18: Gender]],Factor!$A$33:$E$35,5,0)</f>
        <v>2.1645021645021645</v>
      </c>
      <c r="AL795">
        <f>VLOOKUP(Table1[[#This Row],[Taluka]],Factor!$A$42:$G$46,7,0)</f>
        <v>1.1213131007097483</v>
      </c>
      <c r="AM795">
        <f>VLOOKUP(Table1[[#This Row],[Caste]]&amp;Table1[[#This Row],[Q18: Gender]],Factor!$W$1:$X$23,2,0)</f>
        <v>1.9278542477265657</v>
      </c>
      <c r="AN795">
        <f>VLOOKUP(Table1[[#This Row],[Taluka]]&amp;Table1[[#This Row],[Caste]]&amp;Table1[[#This Row],[Q18: Gender]],Factor!$AK$4:$AL$93,2,0)</f>
        <v>1.2302776805571209</v>
      </c>
      <c r="AO795">
        <f t="shared" si="132"/>
        <v>-1</v>
      </c>
      <c r="AP795">
        <f t="shared" si="133"/>
        <v>-1</v>
      </c>
      <c r="AQ795">
        <f t="shared" si="134"/>
        <v>-1</v>
      </c>
      <c r="AR795">
        <f t="shared" si="135"/>
        <v>-1</v>
      </c>
      <c r="AS795">
        <f t="shared" si="136"/>
        <v>-1</v>
      </c>
      <c r="AT795">
        <f t="shared" si="137"/>
        <v>-1</v>
      </c>
      <c r="AU795">
        <f t="shared" si="138"/>
        <v>-5.5</v>
      </c>
      <c r="AV795">
        <f>SUM(Table1[[#This Row],[Satis]:[29]])</f>
        <v>-6</v>
      </c>
      <c r="AW795">
        <f t="shared" si="139"/>
        <v>-5</v>
      </c>
      <c r="AX795">
        <f t="shared" si="140"/>
        <v>-4</v>
      </c>
      <c r="AY795">
        <f t="shared" si="141"/>
        <v>-3</v>
      </c>
      <c r="AZ795" t="str">
        <f t="shared" si="142"/>
        <v>TDP HardCore</v>
      </c>
    </row>
    <row r="796" spans="1:52" x14ac:dyDescent="0.3">
      <c r="A796" t="s">
        <v>4467</v>
      </c>
      <c r="B796" s="94">
        <v>46048</v>
      </c>
      <c r="C796" t="s">
        <v>4468</v>
      </c>
      <c r="D796" t="s">
        <v>4469</v>
      </c>
      <c r="E796" t="s">
        <v>4470</v>
      </c>
      <c r="F796" t="s">
        <v>240</v>
      </c>
      <c r="G796" t="s">
        <v>39</v>
      </c>
      <c r="H796" t="s">
        <v>4471</v>
      </c>
      <c r="I796" t="s">
        <v>228</v>
      </c>
      <c r="J796" t="s">
        <v>71</v>
      </c>
      <c r="K796" t="s">
        <v>215</v>
      </c>
      <c r="L796" t="s">
        <v>451</v>
      </c>
      <c r="M796" t="s">
        <v>443</v>
      </c>
      <c r="N796" t="s">
        <v>162</v>
      </c>
      <c r="O796" t="s">
        <v>4472</v>
      </c>
      <c r="P796">
        <v>7661832390</v>
      </c>
      <c r="Q796" t="s">
        <v>445</v>
      </c>
      <c r="R796" t="s">
        <v>139</v>
      </c>
      <c r="S796" t="s">
        <v>43</v>
      </c>
      <c r="T796" t="s">
        <v>43</v>
      </c>
      <c r="U796" t="s">
        <v>44</v>
      </c>
      <c r="V796" t="s">
        <v>45</v>
      </c>
      <c r="W796" t="s">
        <v>5089</v>
      </c>
      <c r="X796" t="s">
        <v>91</v>
      </c>
      <c r="Y796" t="s">
        <v>638</v>
      </c>
      <c r="Z796" t="s">
        <v>92</v>
      </c>
      <c r="AA796" t="s">
        <v>92</v>
      </c>
      <c r="AB796" t="s">
        <v>93</v>
      </c>
      <c r="AC796" t="s">
        <v>94</v>
      </c>
      <c r="AD796">
        <v>0</v>
      </c>
      <c r="AE796" t="s">
        <v>185</v>
      </c>
      <c r="AF796">
        <v>0</v>
      </c>
      <c r="AG796" t="s">
        <v>196</v>
      </c>
      <c r="AH796" s="93">
        <f>VLOOKUP(Table1[[#This Row],[Caste]],Factor!$H$1:$K$13,4,0)</f>
        <v>0.80207032429970992</v>
      </c>
      <c r="AI796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796">
        <f>Table1[[#This Row],[Factor_1]]*Table1[[#This Row],[2024 Factor]]</f>
        <v>2.1297134544148015</v>
      </c>
      <c r="AK796">
        <f>VLOOKUP(Table1[[#This Row],[Q18: Gender]],Factor!$A$33:$E$35,5,0)</f>
        <v>2.1645021645021645</v>
      </c>
      <c r="AL796">
        <f>VLOOKUP(Table1[[#This Row],[Taluka]],Factor!$A$42:$G$46,7,0)</f>
        <v>1.1213131007097483</v>
      </c>
      <c r="AM796">
        <f>VLOOKUP(Table1[[#This Row],[Caste]]&amp;Table1[[#This Row],[Q18: Gender]],Factor!$W$1:$X$23,2,0)</f>
        <v>1.1795151827936912</v>
      </c>
      <c r="AN796">
        <f>VLOOKUP(Table1[[#This Row],[Taluka]]&amp;Table1[[#This Row],[Caste]]&amp;Table1[[#This Row],[Q18: Gender]],Factor!$AK$4:$AL$93,2,0)</f>
        <v>1.1601898314028378</v>
      </c>
      <c r="AO796">
        <f t="shared" si="132"/>
        <v>-1</v>
      </c>
      <c r="AP796">
        <f t="shared" si="133"/>
        <v>-1</v>
      </c>
      <c r="AQ796">
        <f t="shared" si="134"/>
        <v>-1</v>
      </c>
      <c r="AR796">
        <f t="shared" si="135"/>
        <v>1</v>
      </c>
      <c r="AS796">
        <f t="shared" si="136"/>
        <v>1</v>
      </c>
      <c r="AT796">
        <f t="shared" si="137"/>
        <v>1</v>
      </c>
      <c r="AU796">
        <f t="shared" si="138"/>
        <v>-0.5</v>
      </c>
      <c r="AV796">
        <f>SUM(Table1[[#This Row],[Satis]:[29]])</f>
        <v>0</v>
      </c>
      <c r="AW796">
        <f t="shared" si="139"/>
        <v>1</v>
      </c>
      <c r="AX796">
        <f t="shared" si="140"/>
        <v>2</v>
      </c>
      <c r="AY796">
        <f t="shared" si="141"/>
        <v>2</v>
      </c>
      <c r="AZ796" t="str">
        <f t="shared" si="142"/>
        <v>Neutral YSRCP</v>
      </c>
    </row>
    <row r="797" spans="1:52" x14ac:dyDescent="0.3">
      <c r="A797" t="s">
        <v>4473</v>
      </c>
      <c r="B797" s="94">
        <v>46048</v>
      </c>
      <c r="C797" t="s">
        <v>4468</v>
      </c>
      <c r="D797" t="s">
        <v>4469</v>
      </c>
      <c r="E797" t="s">
        <v>4470</v>
      </c>
      <c r="F797" t="s">
        <v>240</v>
      </c>
      <c r="G797" t="s">
        <v>39</v>
      </c>
      <c r="H797" t="s">
        <v>4474</v>
      </c>
      <c r="I797" t="s">
        <v>228</v>
      </c>
      <c r="J797" t="s">
        <v>71</v>
      </c>
      <c r="K797" t="s">
        <v>215</v>
      </c>
      <c r="L797" t="s">
        <v>451</v>
      </c>
      <c r="M797" t="s">
        <v>443</v>
      </c>
      <c r="N797" t="s">
        <v>162</v>
      </c>
      <c r="O797" t="s">
        <v>4472</v>
      </c>
      <c r="P797">
        <v>7661832390</v>
      </c>
      <c r="Q797" t="s">
        <v>445</v>
      </c>
      <c r="R797" t="s">
        <v>139</v>
      </c>
      <c r="S797" t="s">
        <v>43</v>
      </c>
      <c r="T797" t="s">
        <v>43</v>
      </c>
      <c r="U797" t="s">
        <v>44</v>
      </c>
      <c r="V797" t="s">
        <v>45</v>
      </c>
      <c r="W797" t="s">
        <v>5089</v>
      </c>
      <c r="X797" t="s">
        <v>91</v>
      </c>
      <c r="Y797" t="s">
        <v>638</v>
      </c>
      <c r="Z797" t="s">
        <v>92</v>
      </c>
      <c r="AA797" t="s">
        <v>92</v>
      </c>
      <c r="AB797" t="s">
        <v>93</v>
      </c>
      <c r="AC797" t="s">
        <v>94</v>
      </c>
      <c r="AD797" t="s">
        <v>184</v>
      </c>
      <c r="AE797" t="s">
        <v>185</v>
      </c>
      <c r="AF797">
        <v>0</v>
      </c>
      <c r="AG797" t="s">
        <v>196</v>
      </c>
      <c r="AH797" s="93">
        <f>VLOOKUP(Table1[[#This Row],[Caste]],Factor!$H$1:$K$13,4,0)</f>
        <v>0.80207032429970992</v>
      </c>
      <c r="AI797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797">
        <f>Table1[[#This Row],[Factor_1]]*Table1[[#This Row],[2024 Factor]]</f>
        <v>2.1297134544148015</v>
      </c>
      <c r="AK797">
        <f>VLOOKUP(Table1[[#This Row],[Q18: Gender]],Factor!$A$33:$E$35,5,0)</f>
        <v>2.1645021645021645</v>
      </c>
      <c r="AL797">
        <f>VLOOKUP(Table1[[#This Row],[Taluka]],Factor!$A$42:$G$46,7,0)</f>
        <v>1.1213131007097483</v>
      </c>
      <c r="AM797">
        <f>VLOOKUP(Table1[[#This Row],[Caste]]&amp;Table1[[#This Row],[Q18: Gender]],Factor!$W$1:$X$23,2,0)</f>
        <v>1.1795151827936912</v>
      </c>
      <c r="AN797">
        <f>VLOOKUP(Table1[[#This Row],[Taluka]]&amp;Table1[[#This Row],[Caste]]&amp;Table1[[#This Row],[Q18: Gender]],Factor!$AK$4:$AL$93,2,0)</f>
        <v>1.1601898314028378</v>
      </c>
      <c r="AO797">
        <f t="shared" si="132"/>
        <v>-1</v>
      </c>
      <c r="AP797">
        <f t="shared" si="133"/>
        <v>-1</v>
      </c>
      <c r="AQ797">
        <f t="shared" si="134"/>
        <v>-1</v>
      </c>
      <c r="AR797">
        <f t="shared" si="135"/>
        <v>1</v>
      </c>
      <c r="AS797">
        <f t="shared" si="136"/>
        <v>1</v>
      </c>
      <c r="AT797">
        <f t="shared" si="137"/>
        <v>1</v>
      </c>
      <c r="AU797">
        <f t="shared" si="138"/>
        <v>-0.5</v>
      </c>
      <c r="AV797">
        <f>SUM(Table1[[#This Row],[Satis]:[29]])</f>
        <v>0</v>
      </c>
      <c r="AW797">
        <f t="shared" si="139"/>
        <v>1</v>
      </c>
      <c r="AX797">
        <f t="shared" si="140"/>
        <v>2</v>
      </c>
      <c r="AY797">
        <f t="shared" si="141"/>
        <v>2</v>
      </c>
      <c r="AZ797" t="str">
        <f t="shared" si="142"/>
        <v>Neutral YSRCP</v>
      </c>
    </row>
    <row r="798" spans="1:52" x14ac:dyDescent="0.3">
      <c r="A798" t="s">
        <v>4475</v>
      </c>
      <c r="B798" s="94">
        <v>46048</v>
      </c>
      <c r="C798" t="s">
        <v>4476</v>
      </c>
      <c r="D798" t="s">
        <v>4477</v>
      </c>
      <c r="E798" t="s">
        <v>4478</v>
      </c>
      <c r="F798" t="s">
        <v>240</v>
      </c>
      <c r="G798" t="s">
        <v>39</v>
      </c>
      <c r="H798" t="s">
        <v>4479</v>
      </c>
      <c r="I798" t="s">
        <v>228</v>
      </c>
      <c r="J798" t="s">
        <v>71</v>
      </c>
      <c r="K798" t="s">
        <v>215</v>
      </c>
      <c r="L798" t="s">
        <v>451</v>
      </c>
      <c r="M798" t="s">
        <v>443</v>
      </c>
      <c r="N798" t="s">
        <v>63</v>
      </c>
      <c r="O798" t="s">
        <v>4480</v>
      </c>
      <c r="P798">
        <v>9908832420</v>
      </c>
      <c r="Q798" t="s">
        <v>445</v>
      </c>
      <c r="R798" t="s">
        <v>139</v>
      </c>
      <c r="S798" t="s">
        <v>43</v>
      </c>
      <c r="T798" t="s">
        <v>43</v>
      </c>
      <c r="U798" t="s">
        <v>44</v>
      </c>
      <c r="V798" t="s">
        <v>45</v>
      </c>
      <c r="W798" t="s">
        <v>5056</v>
      </c>
      <c r="X798" t="s">
        <v>45</v>
      </c>
      <c r="Y798" t="s">
        <v>638</v>
      </c>
      <c r="Z798" t="s">
        <v>47</v>
      </c>
      <c r="AA798" t="s">
        <v>48</v>
      </c>
      <c r="AB798" t="s">
        <v>49</v>
      </c>
      <c r="AC798" t="s">
        <v>49</v>
      </c>
      <c r="AD798" t="s">
        <v>184</v>
      </c>
      <c r="AE798" t="s">
        <v>189</v>
      </c>
      <c r="AF798">
        <v>0</v>
      </c>
      <c r="AG798" t="s">
        <v>196</v>
      </c>
      <c r="AH798" s="93">
        <f>VLOOKUP(Table1[[#This Row],[Caste]],Factor!$H$1:$K$13,4,0)</f>
        <v>0.80207032429970992</v>
      </c>
      <c r="AI79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798">
        <f>Table1[[#This Row],[Factor_1]]*Table1[[#This Row],[2024 Factor]]</f>
        <v>1.2733258158237817</v>
      </c>
      <c r="AK798">
        <f>VLOOKUP(Table1[[#This Row],[Q18: Gender]],Factor!$A$33:$E$35,5,0)</f>
        <v>2.1645021645021645</v>
      </c>
      <c r="AL798">
        <f>VLOOKUP(Table1[[#This Row],[Taluka]],Factor!$A$42:$G$46,7,0)</f>
        <v>1.1213131007097483</v>
      </c>
      <c r="AM798">
        <f>VLOOKUP(Table1[[#This Row],[Caste]]&amp;Table1[[#This Row],[Q18: Gender]],Factor!$W$1:$X$23,2,0)</f>
        <v>1.1795151827936912</v>
      </c>
      <c r="AN798">
        <f>VLOOKUP(Table1[[#This Row],[Taluka]]&amp;Table1[[#This Row],[Caste]]&amp;Table1[[#This Row],[Q18: Gender]],Factor!$AK$4:$AL$93,2,0)</f>
        <v>1.1601898314028378</v>
      </c>
      <c r="AO798">
        <f t="shared" si="132"/>
        <v>-1</v>
      </c>
      <c r="AP798">
        <f t="shared" si="133"/>
        <v>-1</v>
      </c>
      <c r="AQ798">
        <f t="shared" si="134"/>
        <v>-1</v>
      </c>
      <c r="AR798">
        <f t="shared" si="135"/>
        <v>-1</v>
      </c>
      <c r="AS798">
        <f t="shared" si="136"/>
        <v>-1</v>
      </c>
      <c r="AT798">
        <f t="shared" si="137"/>
        <v>-1</v>
      </c>
      <c r="AU798">
        <f t="shared" si="138"/>
        <v>-5.5</v>
      </c>
      <c r="AV798">
        <f>SUM(Table1[[#This Row],[Satis]:[29]])</f>
        <v>-6</v>
      </c>
      <c r="AW798">
        <f t="shared" si="139"/>
        <v>-5</v>
      </c>
      <c r="AX798">
        <f t="shared" si="140"/>
        <v>-4</v>
      </c>
      <c r="AY798">
        <f t="shared" si="141"/>
        <v>-3</v>
      </c>
      <c r="AZ798" t="str">
        <f t="shared" si="142"/>
        <v>TDP HardCore</v>
      </c>
    </row>
    <row r="799" spans="1:52" x14ac:dyDescent="0.3">
      <c r="A799" t="s">
        <v>4481</v>
      </c>
      <c r="B799" s="94">
        <v>46048</v>
      </c>
      <c r="C799" t="s">
        <v>4482</v>
      </c>
      <c r="D799" t="s">
        <v>4483</v>
      </c>
      <c r="E799" t="s">
        <v>4470</v>
      </c>
      <c r="F799" t="s">
        <v>240</v>
      </c>
      <c r="G799" t="s">
        <v>39</v>
      </c>
      <c r="H799" t="s">
        <v>4484</v>
      </c>
      <c r="I799" t="s">
        <v>228</v>
      </c>
      <c r="J799" t="s">
        <v>71</v>
      </c>
      <c r="K799" t="s">
        <v>215</v>
      </c>
      <c r="L799" t="s">
        <v>62</v>
      </c>
      <c r="M799" t="s">
        <v>443</v>
      </c>
      <c r="N799" t="s">
        <v>63</v>
      </c>
      <c r="O799" t="s">
        <v>1606</v>
      </c>
      <c r="P799">
        <v>7075515503</v>
      </c>
      <c r="Q799" t="s">
        <v>54</v>
      </c>
      <c r="R799" t="s">
        <v>139</v>
      </c>
      <c r="S799" t="s">
        <v>43</v>
      </c>
      <c r="T799" t="s">
        <v>43</v>
      </c>
      <c r="U799" t="s">
        <v>44</v>
      </c>
      <c r="V799" t="s">
        <v>45</v>
      </c>
      <c r="W799" t="s">
        <v>5058</v>
      </c>
      <c r="X799" t="s">
        <v>45</v>
      </c>
      <c r="Y799" t="s">
        <v>46</v>
      </c>
      <c r="Z799" t="s">
        <v>242</v>
      </c>
      <c r="AA799" t="s">
        <v>242</v>
      </c>
      <c r="AB799" t="s">
        <v>49</v>
      </c>
      <c r="AC799" t="s">
        <v>49</v>
      </c>
      <c r="AD799" t="s">
        <v>184</v>
      </c>
      <c r="AE799" t="s">
        <v>189</v>
      </c>
      <c r="AF799">
        <v>0</v>
      </c>
      <c r="AG799" t="s">
        <v>196</v>
      </c>
      <c r="AH799" s="93">
        <f>VLOOKUP(Table1[[#This Row],[Caste]],Factor!$H$1:$K$13,4,0)</f>
        <v>0.80207032429970992</v>
      </c>
      <c r="AI799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799">
        <f>Table1[[#This Row],[Factor_1]]*Table1[[#This Row],[2024 Factor]]</f>
        <v>0.40196997604764051</v>
      </c>
      <c r="AK799">
        <f>VLOOKUP(Table1[[#This Row],[Q18: Gender]],Factor!$A$33:$E$35,5,0)</f>
        <v>0.85034013605442171</v>
      </c>
      <c r="AL799">
        <f>VLOOKUP(Table1[[#This Row],[Taluka]],Factor!$A$42:$G$46,7,0)</f>
        <v>1.1213131007097483</v>
      </c>
      <c r="AM799">
        <f>VLOOKUP(Table1[[#This Row],[Caste]]&amp;Table1[[#This Row],[Q18: Gender]],Factor!$W$1:$X$23,2,0)</f>
        <v>0.60762903356038633</v>
      </c>
      <c r="AN799">
        <f>VLOOKUP(Table1[[#This Row],[Taluka]]&amp;Table1[[#This Row],[Caste]]&amp;Table1[[#This Row],[Q18: Gender]],Factor!$AK$4:$AL$93,2,0)</f>
        <v>0.38672994380094594</v>
      </c>
      <c r="AO799">
        <f t="shared" si="132"/>
        <v>-1</v>
      </c>
      <c r="AP799">
        <f t="shared" si="133"/>
        <v>-1</v>
      </c>
      <c r="AQ799">
        <f t="shared" si="134"/>
        <v>-1</v>
      </c>
      <c r="AR799">
        <f t="shared" si="135"/>
        <v>-1</v>
      </c>
      <c r="AS799">
        <f t="shared" si="136"/>
        <v>-1</v>
      </c>
      <c r="AT799">
        <f t="shared" si="137"/>
        <v>-1</v>
      </c>
      <c r="AU799">
        <f t="shared" si="138"/>
        <v>-5.5</v>
      </c>
      <c r="AV799">
        <f>SUM(Table1[[#This Row],[Satis]:[29]])</f>
        <v>-6</v>
      </c>
      <c r="AW799">
        <f t="shared" si="139"/>
        <v>-5</v>
      </c>
      <c r="AX799">
        <f t="shared" si="140"/>
        <v>-4</v>
      </c>
      <c r="AY799">
        <f t="shared" si="141"/>
        <v>-3</v>
      </c>
      <c r="AZ799" t="str">
        <f t="shared" si="142"/>
        <v>TDP HardCore</v>
      </c>
    </row>
    <row r="800" spans="1:52" x14ac:dyDescent="0.3">
      <c r="A800" t="s">
        <v>4485</v>
      </c>
      <c r="B800" s="94">
        <v>46048</v>
      </c>
      <c r="C800" t="s">
        <v>4486</v>
      </c>
      <c r="D800" t="s">
        <v>4487</v>
      </c>
      <c r="E800" t="s">
        <v>1197</v>
      </c>
      <c r="F800" t="s">
        <v>240</v>
      </c>
      <c r="G800" t="s">
        <v>39</v>
      </c>
      <c r="H800" t="s">
        <v>4488</v>
      </c>
      <c r="I800" t="s">
        <v>227</v>
      </c>
      <c r="J800" t="s">
        <v>71</v>
      </c>
      <c r="K800" t="s">
        <v>215</v>
      </c>
      <c r="L800" t="s">
        <v>451</v>
      </c>
      <c r="M800" t="s">
        <v>51</v>
      </c>
      <c r="N800" t="s">
        <v>63</v>
      </c>
      <c r="O800" t="s">
        <v>4489</v>
      </c>
      <c r="P800">
        <v>9908556028</v>
      </c>
      <c r="Q800" t="s">
        <v>445</v>
      </c>
      <c r="R800" t="s">
        <v>61</v>
      </c>
      <c r="S800" t="s">
        <v>43</v>
      </c>
      <c r="T800" t="s">
        <v>43</v>
      </c>
      <c r="U800" t="s">
        <v>44</v>
      </c>
      <c r="V800" t="s">
        <v>45</v>
      </c>
      <c r="W800" t="s">
        <v>5081</v>
      </c>
      <c r="X800" t="s">
        <v>45</v>
      </c>
      <c r="Y800" t="s">
        <v>46</v>
      </c>
      <c r="Z800" t="s">
        <v>242</v>
      </c>
      <c r="AA800" t="s">
        <v>242</v>
      </c>
      <c r="AB800" t="s">
        <v>49</v>
      </c>
      <c r="AC800" t="s">
        <v>49</v>
      </c>
      <c r="AD800" t="s">
        <v>184</v>
      </c>
      <c r="AE800" t="s">
        <v>185</v>
      </c>
      <c r="AF800" t="s">
        <v>4736</v>
      </c>
      <c r="AG800" t="s">
        <v>196</v>
      </c>
      <c r="AH800" s="93">
        <f>VLOOKUP(Table1[[#This Row],[Caste]],Factor!$H$1:$K$13,4,0)</f>
        <v>1.2612194085121222</v>
      </c>
      <c r="AI800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800">
        <f>Table1[[#This Row],[Factor_1]]*Table1[[#This Row],[2024 Factor]]</f>
        <v>1.6028209406152043</v>
      </c>
      <c r="AK800">
        <f>VLOOKUP(Table1[[#This Row],[Q18: Gender]],Factor!$A$33:$E$35,5,0)</f>
        <v>2.1645021645021645</v>
      </c>
      <c r="AL800">
        <f>VLOOKUP(Table1[[#This Row],[Taluka]],Factor!$A$42:$G$46,7,0)</f>
        <v>1.1213131007097483</v>
      </c>
      <c r="AM800">
        <f>VLOOKUP(Table1[[#This Row],[Caste]]&amp;Table1[[#This Row],[Q18: Gender]],Factor!$W$1:$X$23,2,0)</f>
        <v>2.4228688637206557</v>
      </c>
      <c r="AN800">
        <f>VLOOKUP(Table1[[#This Row],[Taluka]]&amp;Table1[[#This Row],[Caste]]&amp;Table1[[#This Row],[Q18: Gender]],Factor!$AK$4:$AL$93,2,0)</f>
        <v>1.6647158900419725</v>
      </c>
      <c r="AO800">
        <f t="shared" si="132"/>
        <v>-1</v>
      </c>
      <c r="AP800">
        <f t="shared" si="133"/>
        <v>-1</v>
      </c>
      <c r="AQ800">
        <f t="shared" si="134"/>
        <v>-1</v>
      </c>
      <c r="AR800">
        <f t="shared" si="135"/>
        <v>-1</v>
      </c>
      <c r="AS800">
        <f t="shared" si="136"/>
        <v>-1</v>
      </c>
      <c r="AT800">
        <f t="shared" si="137"/>
        <v>-1</v>
      </c>
      <c r="AU800">
        <f t="shared" si="138"/>
        <v>-5.5</v>
      </c>
      <c r="AV800">
        <f>SUM(Table1[[#This Row],[Satis]:[29]])</f>
        <v>-6</v>
      </c>
      <c r="AW800">
        <f t="shared" si="139"/>
        <v>-5</v>
      </c>
      <c r="AX800">
        <f t="shared" si="140"/>
        <v>-4</v>
      </c>
      <c r="AY800">
        <f t="shared" si="141"/>
        <v>-3</v>
      </c>
      <c r="AZ800" t="str">
        <f t="shared" si="142"/>
        <v>TDP HardCore</v>
      </c>
    </row>
    <row r="801" spans="1:52" x14ac:dyDescent="0.3">
      <c r="A801" t="s">
        <v>4490</v>
      </c>
      <c r="B801" s="94">
        <v>46048</v>
      </c>
      <c r="C801" t="s">
        <v>4491</v>
      </c>
      <c r="D801" t="s">
        <v>4492</v>
      </c>
      <c r="E801" t="s">
        <v>4493</v>
      </c>
      <c r="F801" t="s">
        <v>240</v>
      </c>
      <c r="G801" t="s">
        <v>39</v>
      </c>
      <c r="H801" t="s">
        <v>4494</v>
      </c>
      <c r="I801" t="s">
        <v>70</v>
      </c>
      <c r="J801" t="s">
        <v>71</v>
      </c>
      <c r="K801" t="s">
        <v>215</v>
      </c>
      <c r="L801" t="s">
        <v>451</v>
      </c>
      <c r="M801" t="s">
        <v>443</v>
      </c>
      <c r="N801" t="s">
        <v>52</v>
      </c>
      <c r="O801" t="s">
        <v>4495</v>
      </c>
      <c r="P801">
        <v>9949861640</v>
      </c>
      <c r="Q801" t="s">
        <v>445</v>
      </c>
      <c r="R801" t="s">
        <v>61</v>
      </c>
      <c r="S801" t="s">
        <v>43</v>
      </c>
      <c r="T801" t="s">
        <v>43</v>
      </c>
      <c r="U801" t="s">
        <v>90</v>
      </c>
      <c r="V801" t="s">
        <v>45</v>
      </c>
      <c r="W801" t="s">
        <v>5054</v>
      </c>
      <c r="X801" t="s">
        <v>45</v>
      </c>
      <c r="Y801" t="s">
        <v>46</v>
      </c>
      <c r="Z801" t="s">
        <v>47</v>
      </c>
      <c r="AA801" t="s">
        <v>48</v>
      </c>
      <c r="AB801" t="s">
        <v>49</v>
      </c>
      <c r="AC801" t="s">
        <v>49</v>
      </c>
      <c r="AD801" t="s">
        <v>184</v>
      </c>
      <c r="AE801" t="s">
        <v>185</v>
      </c>
      <c r="AF801">
        <v>0</v>
      </c>
      <c r="AG801" t="s">
        <v>196</v>
      </c>
      <c r="AH801" s="93">
        <f>VLOOKUP(Table1[[#This Row],[Caste]],Factor!$H$1:$K$13,4,0)</f>
        <v>1.3836274505214585</v>
      </c>
      <c r="AI80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01">
        <f>Table1[[#This Row],[Factor_1]]*Table1[[#This Row],[2024 Factor]]</f>
        <v>2.0811826914865059</v>
      </c>
      <c r="AK801">
        <f>VLOOKUP(Table1[[#This Row],[Q18: Gender]],Factor!$A$33:$E$35,5,0)</f>
        <v>2.1645021645021645</v>
      </c>
      <c r="AL801">
        <f>VLOOKUP(Table1[[#This Row],[Taluka]],Factor!$A$42:$G$46,7,0)</f>
        <v>1.1213131007097483</v>
      </c>
      <c r="AM801">
        <f>VLOOKUP(Table1[[#This Row],[Caste]]&amp;Table1[[#This Row],[Q18: Gender]],Factor!$W$1:$X$23,2,0)</f>
        <v>1.9278542477265657</v>
      </c>
      <c r="AN801">
        <f>VLOOKUP(Table1[[#This Row],[Taluka]]&amp;Table1[[#This Row],[Caste]]&amp;Table1[[#This Row],[Q18: Gender]],Factor!$AK$4:$AL$93,2,0)</f>
        <v>1.2302776805571209</v>
      </c>
      <c r="AO801">
        <f t="shared" si="132"/>
        <v>-1</v>
      </c>
      <c r="AP801">
        <f t="shared" si="133"/>
        <v>1</v>
      </c>
      <c r="AQ801">
        <f t="shared" si="134"/>
        <v>-1</v>
      </c>
      <c r="AR801">
        <f t="shared" si="135"/>
        <v>-1</v>
      </c>
      <c r="AS801">
        <f t="shared" si="136"/>
        <v>-1</v>
      </c>
      <c r="AT801">
        <f t="shared" si="137"/>
        <v>-1</v>
      </c>
      <c r="AU801">
        <f t="shared" si="138"/>
        <v>-3.5</v>
      </c>
      <c r="AV801">
        <f>SUM(Table1[[#This Row],[Satis]:[29]])</f>
        <v>-4</v>
      </c>
      <c r="AW801">
        <f t="shared" si="139"/>
        <v>-5</v>
      </c>
      <c r="AX801">
        <f t="shared" si="140"/>
        <v>-4</v>
      </c>
      <c r="AY801">
        <f t="shared" si="141"/>
        <v>-3</v>
      </c>
      <c r="AZ801" t="str">
        <f t="shared" si="142"/>
        <v>TDP Sympathiser</v>
      </c>
    </row>
    <row r="802" spans="1:52" x14ac:dyDescent="0.3">
      <c r="A802" t="s">
        <v>4496</v>
      </c>
      <c r="B802" s="94">
        <v>46048</v>
      </c>
      <c r="C802" t="s">
        <v>4497</v>
      </c>
      <c r="D802" t="s">
        <v>4498</v>
      </c>
      <c r="E802" t="s">
        <v>4493</v>
      </c>
      <c r="F802" t="s">
        <v>240</v>
      </c>
      <c r="G802" t="s">
        <v>39</v>
      </c>
      <c r="H802" t="s">
        <v>4499</v>
      </c>
      <c r="I802" t="s">
        <v>227</v>
      </c>
      <c r="J802" t="s">
        <v>71</v>
      </c>
      <c r="K802" t="s">
        <v>215</v>
      </c>
      <c r="L802" t="s">
        <v>62</v>
      </c>
      <c r="M802" t="s">
        <v>51</v>
      </c>
      <c r="N802" t="s">
        <v>52</v>
      </c>
      <c r="O802" t="s">
        <v>4500</v>
      </c>
      <c r="P802">
        <v>9999999999</v>
      </c>
      <c r="Q802" t="s">
        <v>54</v>
      </c>
      <c r="R802" t="s">
        <v>61</v>
      </c>
      <c r="S802" t="s">
        <v>43</v>
      </c>
      <c r="T802" t="s">
        <v>43</v>
      </c>
      <c r="U802" t="s">
        <v>44</v>
      </c>
      <c r="V802" t="s">
        <v>45</v>
      </c>
      <c r="W802" t="s">
        <v>5054</v>
      </c>
      <c r="X802" t="s">
        <v>45</v>
      </c>
      <c r="Y802" t="s">
        <v>46</v>
      </c>
      <c r="Z802" t="s">
        <v>47</v>
      </c>
      <c r="AA802" t="s">
        <v>48</v>
      </c>
      <c r="AB802" t="s">
        <v>49</v>
      </c>
      <c r="AC802" t="s">
        <v>49</v>
      </c>
      <c r="AD802" t="s">
        <v>184</v>
      </c>
      <c r="AE802" t="s">
        <v>185</v>
      </c>
      <c r="AF802">
        <v>0</v>
      </c>
      <c r="AG802" t="s">
        <v>196</v>
      </c>
      <c r="AH802" s="93">
        <f>VLOOKUP(Table1[[#This Row],[Caste]],Factor!$H$1:$K$13,4,0)</f>
        <v>1.2612194085121222</v>
      </c>
      <c r="AI80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02">
        <f>Table1[[#This Row],[Factor_1]]*Table1[[#This Row],[2024 Factor]]</f>
        <v>0.92029223709519836</v>
      </c>
      <c r="AK802">
        <f>VLOOKUP(Table1[[#This Row],[Q18: Gender]],Factor!$A$33:$E$35,5,0)</f>
        <v>0.85034013605442171</v>
      </c>
      <c r="AL802">
        <f>VLOOKUP(Table1[[#This Row],[Taluka]],Factor!$A$42:$G$46,7,0)</f>
        <v>1.1213131007097483</v>
      </c>
      <c r="AM802">
        <f>VLOOKUP(Table1[[#This Row],[Caste]]&amp;Table1[[#This Row],[Q18: Gender]],Factor!$W$1:$X$23,2,0)</f>
        <v>0.85249089649430487</v>
      </c>
      <c r="AN802">
        <f>VLOOKUP(Table1[[#This Row],[Taluka]]&amp;Table1[[#This Row],[Caste]]&amp;Table1[[#This Row],[Q18: Gender]],Factor!$AK$4:$AL$93,2,0)</f>
        <v>1.3317727120335781</v>
      </c>
      <c r="AO802">
        <f t="shared" si="132"/>
        <v>-1</v>
      </c>
      <c r="AP802">
        <f t="shared" si="133"/>
        <v>-1</v>
      </c>
      <c r="AQ802">
        <f t="shared" si="134"/>
        <v>-1</v>
      </c>
      <c r="AR802">
        <f t="shared" si="135"/>
        <v>-1</v>
      </c>
      <c r="AS802">
        <f t="shared" si="136"/>
        <v>-1</v>
      </c>
      <c r="AT802">
        <f t="shared" si="137"/>
        <v>-1</v>
      </c>
      <c r="AU802">
        <f t="shared" si="138"/>
        <v>-5.5</v>
      </c>
      <c r="AV802">
        <f>SUM(Table1[[#This Row],[Satis]:[29]])</f>
        <v>-6</v>
      </c>
      <c r="AW802">
        <f t="shared" si="139"/>
        <v>-5</v>
      </c>
      <c r="AX802">
        <f t="shared" si="140"/>
        <v>-4</v>
      </c>
      <c r="AY802">
        <f t="shared" si="141"/>
        <v>-3</v>
      </c>
      <c r="AZ802" t="str">
        <f t="shared" si="142"/>
        <v>TDP HardCore</v>
      </c>
    </row>
    <row r="803" spans="1:52" x14ac:dyDescent="0.3">
      <c r="A803" t="s">
        <v>4501</v>
      </c>
      <c r="B803" s="94">
        <v>46048</v>
      </c>
      <c r="C803" t="s">
        <v>4502</v>
      </c>
      <c r="D803" t="s">
        <v>4498</v>
      </c>
      <c r="E803" t="s">
        <v>4493</v>
      </c>
      <c r="F803" t="s">
        <v>240</v>
      </c>
      <c r="G803" t="s">
        <v>39</v>
      </c>
      <c r="H803" t="s">
        <v>4503</v>
      </c>
      <c r="I803" t="s">
        <v>227</v>
      </c>
      <c r="J803" t="s">
        <v>71</v>
      </c>
      <c r="K803" t="s">
        <v>215</v>
      </c>
      <c r="L803" t="s">
        <v>62</v>
      </c>
      <c r="M803" t="s">
        <v>51</v>
      </c>
      <c r="N803" t="s">
        <v>52</v>
      </c>
      <c r="O803" t="s">
        <v>4500</v>
      </c>
      <c r="P803">
        <v>9999999999</v>
      </c>
      <c r="Q803" t="s">
        <v>54</v>
      </c>
      <c r="R803" t="s">
        <v>61</v>
      </c>
      <c r="S803" t="s">
        <v>43</v>
      </c>
      <c r="T803" t="s">
        <v>43</v>
      </c>
      <c r="U803" t="s">
        <v>44</v>
      </c>
      <c r="V803" t="s">
        <v>45</v>
      </c>
      <c r="W803" t="s">
        <v>5054</v>
      </c>
      <c r="X803" t="s">
        <v>45</v>
      </c>
      <c r="Y803" t="s">
        <v>46</v>
      </c>
      <c r="Z803" t="s">
        <v>47</v>
      </c>
      <c r="AA803" t="s">
        <v>48</v>
      </c>
      <c r="AB803" t="s">
        <v>49</v>
      </c>
      <c r="AC803" t="s">
        <v>49</v>
      </c>
      <c r="AD803">
        <v>0</v>
      </c>
      <c r="AE803" t="s">
        <v>185</v>
      </c>
      <c r="AF803">
        <v>0</v>
      </c>
      <c r="AG803" t="s">
        <v>196</v>
      </c>
      <c r="AH803" s="93">
        <f>VLOOKUP(Table1[[#This Row],[Caste]],Factor!$H$1:$K$13,4,0)</f>
        <v>1.2612194085121222</v>
      </c>
      <c r="AI80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03">
        <f>Table1[[#This Row],[Factor_1]]*Table1[[#This Row],[2024 Factor]]</f>
        <v>0.92029223709519836</v>
      </c>
      <c r="AK803">
        <f>VLOOKUP(Table1[[#This Row],[Q18: Gender]],Factor!$A$33:$E$35,5,0)</f>
        <v>0.85034013605442171</v>
      </c>
      <c r="AL803">
        <f>VLOOKUP(Table1[[#This Row],[Taluka]],Factor!$A$42:$G$46,7,0)</f>
        <v>1.1213131007097483</v>
      </c>
      <c r="AM803">
        <f>VLOOKUP(Table1[[#This Row],[Caste]]&amp;Table1[[#This Row],[Q18: Gender]],Factor!$W$1:$X$23,2,0)</f>
        <v>0.85249089649430487</v>
      </c>
      <c r="AN803">
        <f>VLOOKUP(Table1[[#This Row],[Taluka]]&amp;Table1[[#This Row],[Caste]]&amp;Table1[[#This Row],[Q18: Gender]],Factor!$AK$4:$AL$93,2,0)</f>
        <v>1.3317727120335781</v>
      </c>
      <c r="AO803">
        <f t="shared" si="132"/>
        <v>-1</v>
      </c>
      <c r="AP803">
        <f t="shared" si="133"/>
        <v>-1</v>
      </c>
      <c r="AQ803">
        <f t="shared" si="134"/>
        <v>-1</v>
      </c>
      <c r="AR803">
        <f t="shared" si="135"/>
        <v>-1</v>
      </c>
      <c r="AS803">
        <f t="shared" si="136"/>
        <v>-1</v>
      </c>
      <c r="AT803">
        <f t="shared" si="137"/>
        <v>-1</v>
      </c>
      <c r="AU803">
        <f t="shared" si="138"/>
        <v>-5.5</v>
      </c>
      <c r="AV803">
        <f>SUM(Table1[[#This Row],[Satis]:[29]])</f>
        <v>-6</v>
      </c>
      <c r="AW803">
        <f t="shared" si="139"/>
        <v>-5</v>
      </c>
      <c r="AX803">
        <f t="shared" si="140"/>
        <v>-4</v>
      </c>
      <c r="AY803">
        <f t="shared" si="141"/>
        <v>-3</v>
      </c>
      <c r="AZ803" t="str">
        <f t="shared" si="142"/>
        <v>TDP HardCore</v>
      </c>
    </row>
    <row r="804" spans="1:52" x14ac:dyDescent="0.3">
      <c r="A804" t="s">
        <v>4504</v>
      </c>
      <c r="B804" s="94">
        <v>46048</v>
      </c>
      <c r="C804" t="s">
        <v>4505</v>
      </c>
      <c r="D804" t="s">
        <v>4506</v>
      </c>
      <c r="E804" t="s">
        <v>4493</v>
      </c>
      <c r="F804" t="s">
        <v>240</v>
      </c>
      <c r="G804" t="s">
        <v>39</v>
      </c>
      <c r="H804" t="s">
        <v>4507</v>
      </c>
      <c r="I804" t="s">
        <v>70</v>
      </c>
      <c r="J804" t="s">
        <v>71</v>
      </c>
      <c r="K804" t="s">
        <v>215</v>
      </c>
      <c r="L804" t="s">
        <v>75</v>
      </c>
      <c r="M804" t="s">
        <v>51</v>
      </c>
      <c r="N804" t="s">
        <v>63</v>
      </c>
      <c r="O804" t="s">
        <v>4508</v>
      </c>
      <c r="P804">
        <v>9855334473</v>
      </c>
      <c r="Q804" t="s">
        <v>445</v>
      </c>
      <c r="R804" t="s">
        <v>2116</v>
      </c>
      <c r="S804" t="s">
        <v>43</v>
      </c>
      <c r="T804" t="s">
        <v>43</v>
      </c>
      <c r="U804" t="s">
        <v>44</v>
      </c>
      <c r="V804" t="s">
        <v>45</v>
      </c>
      <c r="W804" t="s">
        <v>5054</v>
      </c>
      <c r="X804" t="s">
        <v>45</v>
      </c>
      <c r="Y804" t="s">
        <v>46</v>
      </c>
      <c r="Z804" t="s">
        <v>47</v>
      </c>
      <c r="AA804" t="s">
        <v>48</v>
      </c>
      <c r="AB804" t="s">
        <v>49</v>
      </c>
      <c r="AC804" t="s">
        <v>49</v>
      </c>
      <c r="AD804" t="s">
        <v>184</v>
      </c>
      <c r="AE804" t="s">
        <v>185</v>
      </c>
      <c r="AF804">
        <v>0</v>
      </c>
      <c r="AG804" t="s">
        <v>196</v>
      </c>
      <c r="AH804" s="93">
        <f>VLOOKUP(Table1[[#This Row],[Caste]],Factor!$H$1:$K$13,4,0)</f>
        <v>1.3836274505214585</v>
      </c>
      <c r="AI80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04">
        <f>Table1[[#This Row],[Factor_1]]*Table1[[#This Row],[2024 Factor]]</f>
        <v>2.0811826914865059</v>
      </c>
      <c r="AK804">
        <f>VLOOKUP(Table1[[#This Row],[Q18: Gender]],Factor!$A$33:$E$35,5,0)</f>
        <v>2.1645021645021645</v>
      </c>
      <c r="AL804">
        <f>VLOOKUP(Table1[[#This Row],[Taluka]],Factor!$A$42:$G$46,7,0)</f>
        <v>1.1213131007097483</v>
      </c>
      <c r="AM804">
        <f>VLOOKUP(Table1[[#This Row],[Caste]]&amp;Table1[[#This Row],[Q18: Gender]],Factor!$W$1:$X$23,2,0)</f>
        <v>1.9278542477265657</v>
      </c>
      <c r="AN804">
        <f>VLOOKUP(Table1[[#This Row],[Taluka]]&amp;Table1[[#This Row],[Caste]]&amp;Table1[[#This Row],[Q18: Gender]],Factor!$AK$4:$AL$93,2,0)</f>
        <v>1.2302776805571209</v>
      </c>
      <c r="AO804">
        <f t="shared" si="132"/>
        <v>-1</v>
      </c>
      <c r="AP804">
        <f t="shared" si="133"/>
        <v>-1</v>
      </c>
      <c r="AQ804">
        <f t="shared" si="134"/>
        <v>-1</v>
      </c>
      <c r="AR804">
        <f t="shared" si="135"/>
        <v>-1</v>
      </c>
      <c r="AS804">
        <f t="shared" si="136"/>
        <v>-1</v>
      </c>
      <c r="AT804">
        <f t="shared" si="137"/>
        <v>-1</v>
      </c>
      <c r="AU804">
        <f t="shared" si="138"/>
        <v>-5.5</v>
      </c>
      <c r="AV804">
        <f>SUM(Table1[[#This Row],[Satis]:[29]])</f>
        <v>-6</v>
      </c>
      <c r="AW804">
        <f t="shared" si="139"/>
        <v>-5</v>
      </c>
      <c r="AX804">
        <f t="shared" si="140"/>
        <v>-4</v>
      </c>
      <c r="AY804">
        <f t="shared" si="141"/>
        <v>-3</v>
      </c>
      <c r="AZ804" t="str">
        <f t="shared" si="142"/>
        <v>TDP HardCore</v>
      </c>
    </row>
    <row r="805" spans="1:52" x14ac:dyDescent="0.3">
      <c r="A805" t="s">
        <v>4509</v>
      </c>
      <c r="B805" s="94">
        <v>46048</v>
      </c>
      <c r="C805" t="s">
        <v>4510</v>
      </c>
      <c r="D805" t="s">
        <v>4511</v>
      </c>
      <c r="E805" t="s">
        <v>4493</v>
      </c>
      <c r="F805" t="s">
        <v>240</v>
      </c>
      <c r="G805" t="s">
        <v>39</v>
      </c>
      <c r="H805" t="s">
        <v>4512</v>
      </c>
      <c r="I805" t="s">
        <v>36</v>
      </c>
      <c r="J805" t="s">
        <v>71</v>
      </c>
      <c r="K805" t="s">
        <v>215</v>
      </c>
      <c r="L805" t="s">
        <v>62</v>
      </c>
      <c r="M805" t="s">
        <v>51</v>
      </c>
      <c r="N805" t="s">
        <v>107</v>
      </c>
      <c r="O805" t="s">
        <v>4513</v>
      </c>
      <c r="P805">
        <v>9908323949</v>
      </c>
      <c r="Q805" t="s">
        <v>54</v>
      </c>
      <c r="R805" t="s">
        <v>61</v>
      </c>
      <c r="S805" t="s">
        <v>43</v>
      </c>
      <c r="T805" t="s">
        <v>43</v>
      </c>
      <c r="U805" t="s">
        <v>44</v>
      </c>
      <c r="V805" t="s">
        <v>45</v>
      </c>
      <c r="W805" t="s">
        <v>5054</v>
      </c>
      <c r="X805" t="s">
        <v>45</v>
      </c>
      <c r="Y805" t="s">
        <v>46</v>
      </c>
      <c r="Z805" t="s">
        <v>92</v>
      </c>
      <c r="AA805" t="s">
        <v>48</v>
      </c>
      <c r="AB805" t="s">
        <v>49</v>
      </c>
      <c r="AC805" t="s">
        <v>49</v>
      </c>
      <c r="AD805" t="s">
        <v>184</v>
      </c>
      <c r="AE805" t="s">
        <v>189</v>
      </c>
      <c r="AF805" t="s">
        <v>3008</v>
      </c>
      <c r="AG805" t="s">
        <v>196</v>
      </c>
      <c r="AH805" s="93">
        <f>VLOOKUP(Table1[[#This Row],[Caste]],Factor!$H$1:$K$13,4,0)</f>
        <v>1.1705128247062893</v>
      </c>
      <c r="AI80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05">
        <f>Table1[[#This Row],[Factor_1]]*Table1[[#This Row],[2024 Factor]]</f>
        <v>0.86308903171383233</v>
      </c>
      <c r="AK805">
        <f>VLOOKUP(Table1[[#This Row],[Q18: Gender]],Factor!$A$33:$E$35,5,0)</f>
        <v>0.85034013605442171</v>
      </c>
      <c r="AL805">
        <f>VLOOKUP(Table1[[#This Row],[Taluka]],Factor!$A$42:$G$46,7,0)</f>
        <v>1.1213131007097483</v>
      </c>
      <c r="AM805">
        <f>VLOOKUP(Table1[[#This Row],[Caste]]&amp;Table1[[#This Row],[Q18: Gender]],Factor!$W$1:$X$23,2,0)</f>
        <v>0.79950206330384943</v>
      </c>
      <c r="AN805">
        <f>VLOOKUP(Table1[[#This Row],[Taluka]]&amp;Table1[[#This Row],[Caste]]&amp;Table1[[#This Row],[Q18: Gender]],Factor!$AK$4:$AL$93,2,0)</f>
        <v>0.7401439088249181</v>
      </c>
      <c r="AO805">
        <f t="shared" si="132"/>
        <v>-1</v>
      </c>
      <c r="AP805">
        <f t="shared" si="133"/>
        <v>-1</v>
      </c>
      <c r="AQ805">
        <f t="shared" si="134"/>
        <v>-1</v>
      </c>
      <c r="AR805">
        <f t="shared" si="135"/>
        <v>-1</v>
      </c>
      <c r="AS805">
        <f t="shared" si="136"/>
        <v>-1</v>
      </c>
      <c r="AT805">
        <f t="shared" si="137"/>
        <v>1</v>
      </c>
      <c r="AU805">
        <f t="shared" si="138"/>
        <v>-3.5</v>
      </c>
      <c r="AV805">
        <f>SUM(Table1[[#This Row],[Satis]:[29]])</f>
        <v>-4</v>
      </c>
      <c r="AW805">
        <f t="shared" si="139"/>
        <v>-3</v>
      </c>
      <c r="AX805">
        <f t="shared" si="140"/>
        <v>-2</v>
      </c>
      <c r="AY805" t="str">
        <f t="shared" si="141"/>
        <v>ND</v>
      </c>
      <c r="AZ805" t="str">
        <f t="shared" si="142"/>
        <v>ND</v>
      </c>
    </row>
    <row r="806" spans="1:52" x14ac:dyDescent="0.3">
      <c r="A806" t="s">
        <v>4514</v>
      </c>
      <c r="B806" s="94">
        <v>46048</v>
      </c>
      <c r="C806" t="s">
        <v>4515</v>
      </c>
      <c r="D806" t="s">
        <v>4516</v>
      </c>
      <c r="E806" t="s">
        <v>4517</v>
      </c>
      <c r="F806" t="s">
        <v>240</v>
      </c>
      <c r="G806" t="s">
        <v>39</v>
      </c>
      <c r="H806" t="s">
        <v>4518</v>
      </c>
      <c r="I806" t="s">
        <v>36</v>
      </c>
      <c r="J806" t="s">
        <v>71</v>
      </c>
      <c r="K806" t="s">
        <v>215</v>
      </c>
      <c r="L806" t="s">
        <v>451</v>
      </c>
      <c r="M806" t="s">
        <v>51</v>
      </c>
      <c r="N806" t="s">
        <v>52</v>
      </c>
      <c r="O806" t="s">
        <v>452</v>
      </c>
      <c r="P806">
        <v>9849627592</v>
      </c>
      <c r="Q806" t="s">
        <v>445</v>
      </c>
      <c r="R806" t="s">
        <v>61</v>
      </c>
      <c r="S806" t="s">
        <v>43</v>
      </c>
      <c r="T806" t="s">
        <v>43</v>
      </c>
      <c r="U806" t="s">
        <v>90</v>
      </c>
      <c r="V806" t="s">
        <v>45</v>
      </c>
      <c r="W806" t="s">
        <v>5054</v>
      </c>
      <c r="X806" t="s">
        <v>45</v>
      </c>
      <c r="Y806" t="s">
        <v>46</v>
      </c>
      <c r="Z806" t="s">
        <v>242</v>
      </c>
      <c r="AA806" t="s">
        <v>48</v>
      </c>
      <c r="AB806" t="s">
        <v>49</v>
      </c>
      <c r="AC806" t="s">
        <v>49</v>
      </c>
      <c r="AD806">
        <v>0</v>
      </c>
      <c r="AE806" t="s">
        <v>185</v>
      </c>
      <c r="AF806">
        <v>0</v>
      </c>
      <c r="AG806" t="s">
        <v>196</v>
      </c>
      <c r="AH806" s="93">
        <f>VLOOKUP(Table1[[#This Row],[Caste]],Factor!$H$1:$K$13,4,0)</f>
        <v>1.1705128247062893</v>
      </c>
      <c r="AI80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06">
        <f>Table1[[#This Row],[Factor_1]]*Table1[[#This Row],[2024 Factor]]</f>
        <v>2.3577066232182737</v>
      </c>
      <c r="AK806">
        <f>VLOOKUP(Table1[[#This Row],[Q18: Gender]],Factor!$A$33:$E$35,5,0)</f>
        <v>2.1645021645021645</v>
      </c>
      <c r="AL806">
        <f>VLOOKUP(Table1[[#This Row],[Taluka]],Factor!$A$42:$G$46,7,0)</f>
        <v>1.1213131007097483</v>
      </c>
      <c r="AM806">
        <f>VLOOKUP(Table1[[#This Row],[Caste]]&amp;Table1[[#This Row],[Q18: Gender]],Factor!$W$1:$X$23,2,0)</f>
        <v>2.1840056363422229</v>
      </c>
      <c r="AN806">
        <f>VLOOKUP(Table1[[#This Row],[Taluka]]&amp;Table1[[#This Row],[Caste]]&amp;Table1[[#This Row],[Q18: Gender]],Factor!$AK$4:$AL$93,2,0)</f>
        <v>0.95944580773600496</v>
      </c>
      <c r="AO806">
        <f t="shared" si="132"/>
        <v>-1</v>
      </c>
      <c r="AP806">
        <f t="shared" si="133"/>
        <v>1</v>
      </c>
      <c r="AQ806">
        <f t="shared" si="134"/>
        <v>-1</v>
      </c>
      <c r="AR806">
        <f t="shared" si="135"/>
        <v>-1</v>
      </c>
      <c r="AS806">
        <f t="shared" si="136"/>
        <v>-1</v>
      </c>
      <c r="AT806">
        <f t="shared" si="137"/>
        <v>-1</v>
      </c>
      <c r="AU806">
        <f t="shared" si="138"/>
        <v>-3.5</v>
      </c>
      <c r="AV806">
        <f>SUM(Table1[[#This Row],[Satis]:[29]])</f>
        <v>-4</v>
      </c>
      <c r="AW806">
        <f t="shared" si="139"/>
        <v>-5</v>
      </c>
      <c r="AX806">
        <f t="shared" si="140"/>
        <v>-4</v>
      </c>
      <c r="AY806">
        <f t="shared" si="141"/>
        <v>-3</v>
      </c>
      <c r="AZ806" t="str">
        <f t="shared" si="142"/>
        <v>TDP Sympathiser</v>
      </c>
    </row>
    <row r="807" spans="1:52" x14ac:dyDescent="0.3">
      <c r="A807" t="s">
        <v>4519</v>
      </c>
      <c r="B807" s="94">
        <v>46048</v>
      </c>
      <c r="C807" t="s">
        <v>4515</v>
      </c>
      <c r="D807" t="s">
        <v>4516</v>
      </c>
      <c r="E807" t="s">
        <v>4517</v>
      </c>
      <c r="F807" t="s">
        <v>240</v>
      </c>
      <c r="G807" t="s">
        <v>39</v>
      </c>
      <c r="H807" t="s">
        <v>4520</v>
      </c>
      <c r="I807" t="s">
        <v>36</v>
      </c>
      <c r="J807" t="s">
        <v>71</v>
      </c>
      <c r="K807" t="s">
        <v>215</v>
      </c>
      <c r="L807" t="s">
        <v>451</v>
      </c>
      <c r="M807" t="s">
        <v>51</v>
      </c>
      <c r="N807" t="s">
        <v>52</v>
      </c>
      <c r="O807" t="s">
        <v>452</v>
      </c>
      <c r="P807">
        <v>9849627592</v>
      </c>
      <c r="Q807" t="s">
        <v>445</v>
      </c>
      <c r="R807" t="s">
        <v>61</v>
      </c>
      <c r="S807" t="s">
        <v>43</v>
      </c>
      <c r="T807" t="s">
        <v>43</v>
      </c>
      <c r="U807" t="s">
        <v>90</v>
      </c>
      <c r="V807" t="s">
        <v>45</v>
      </c>
      <c r="W807" t="s">
        <v>5054</v>
      </c>
      <c r="X807" t="s">
        <v>45</v>
      </c>
      <c r="Y807" t="s">
        <v>46</v>
      </c>
      <c r="Z807" t="s">
        <v>242</v>
      </c>
      <c r="AA807" t="s">
        <v>48</v>
      </c>
      <c r="AB807" t="s">
        <v>49</v>
      </c>
      <c r="AC807" t="s">
        <v>49</v>
      </c>
      <c r="AD807">
        <v>0</v>
      </c>
      <c r="AE807" t="s">
        <v>185</v>
      </c>
      <c r="AF807">
        <v>0</v>
      </c>
      <c r="AG807" t="s">
        <v>196</v>
      </c>
      <c r="AH807" s="93">
        <f>VLOOKUP(Table1[[#This Row],[Caste]],Factor!$H$1:$K$13,4,0)</f>
        <v>1.1705128247062893</v>
      </c>
      <c r="AI80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07">
        <f>Table1[[#This Row],[Factor_1]]*Table1[[#This Row],[2024 Factor]]</f>
        <v>2.3577066232182737</v>
      </c>
      <c r="AK807">
        <f>VLOOKUP(Table1[[#This Row],[Q18: Gender]],Factor!$A$33:$E$35,5,0)</f>
        <v>2.1645021645021645</v>
      </c>
      <c r="AL807">
        <f>VLOOKUP(Table1[[#This Row],[Taluka]],Factor!$A$42:$G$46,7,0)</f>
        <v>1.1213131007097483</v>
      </c>
      <c r="AM807">
        <f>VLOOKUP(Table1[[#This Row],[Caste]]&amp;Table1[[#This Row],[Q18: Gender]],Factor!$W$1:$X$23,2,0)</f>
        <v>2.1840056363422229</v>
      </c>
      <c r="AN807">
        <f>VLOOKUP(Table1[[#This Row],[Taluka]]&amp;Table1[[#This Row],[Caste]]&amp;Table1[[#This Row],[Q18: Gender]],Factor!$AK$4:$AL$93,2,0)</f>
        <v>0.95944580773600496</v>
      </c>
      <c r="AO807">
        <f t="shared" si="132"/>
        <v>-1</v>
      </c>
      <c r="AP807">
        <f t="shared" si="133"/>
        <v>1</v>
      </c>
      <c r="AQ807">
        <f t="shared" si="134"/>
        <v>-1</v>
      </c>
      <c r="AR807">
        <f t="shared" si="135"/>
        <v>-1</v>
      </c>
      <c r="AS807">
        <f t="shared" si="136"/>
        <v>-1</v>
      </c>
      <c r="AT807">
        <f t="shared" si="137"/>
        <v>-1</v>
      </c>
      <c r="AU807">
        <f t="shared" si="138"/>
        <v>-3.5</v>
      </c>
      <c r="AV807">
        <f>SUM(Table1[[#This Row],[Satis]:[29]])</f>
        <v>-4</v>
      </c>
      <c r="AW807">
        <f t="shared" si="139"/>
        <v>-5</v>
      </c>
      <c r="AX807">
        <f t="shared" si="140"/>
        <v>-4</v>
      </c>
      <c r="AY807">
        <f t="shared" si="141"/>
        <v>-3</v>
      </c>
      <c r="AZ807" t="str">
        <f t="shared" si="142"/>
        <v>TDP Sympathiser</v>
      </c>
    </row>
    <row r="808" spans="1:52" x14ac:dyDescent="0.3">
      <c r="A808" t="s">
        <v>4521</v>
      </c>
      <c r="B808" s="94">
        <v>46048</v>
      </c>
      <c r="C808" t="s">
        <v>4515</v>
      </c>
      <c r="D808" t="s">
        <v>4516</v>
      </c>
      <c r="E808" t="s">
        <v>4517</v>
      </c>
      <c r="F808" t="s">
        <v>240</v>
      </c>
      <c r="G808" t="s">
        <v>39</v>
      </c>
      <c r="H808" t="s">
        <v>4522</v>
      </c>
      <c r="I808" t="s">
        <v>36</v>
      </c>
      <c r="J808" t="s">
        <v>71</v>
      </c>
      <c r="K808" t="s">
        <v>215</v>
      </c>
      <c r="L808" t="s">
        <v>451</v>
      </c>
      <c r="M808" t="s">
        <v>51</v>
      </c>
      <c r="N808" t="s">
        <v>52</v>
      </c>
      <c r="O808" t="s">
        <v>452</v>
      </c>
      <c r="P808">
        <v>9849627592</v>
      </c>
      <c r="Q808" t="s">
        <v>445</v>
      </c>
      <c r="R808" t="s">
        <v>61</v>
      </c>
      <c r="S808" t="s">
        <v>43</v>
      </c>
      <c r="T808" t="s">
        <v>43</v>
      </c>
      <c r="U808" t="s">
        <v>90</v>
      </c>
      <c r="V808" t="s">
        <v>45</v>
      </c>
      <c r="W808" t="s">
        <v>5054</v>
      </c>
      <c r="X808" t="s">
        <v>45</v>
      </c>
      <c r="Y808" t="s">
        <v>46</v>
      </c>
      <c r="Z808" t="s">
        <v>242</v>
      </c>
      <c r="AA808" t="s">
        <v>48</v>
      </c>
      <c r="AB808" t="s">
        <v>49</v>
      </c>
      <c r="AC808" t="s">
        <v>49</v>
      </c>
      <c r="AD808" t="s">
        <v>184</v>
      </c>
      <c r="AE808" t="s">
        <v>185</v>
      </c>
      <c r="AF808">
        <v>0</v>
      </c>
      <c r="AG808" t="s">
        <v>196</v>
      </c>
      <c r="AH808" s="93">
        <f>VLOOKUP(Table1[[#This Row],[Caste]],Factor!$H$1:$K$13,4,0)</f>
        <v>1.1705128247062893</v>
      </c>
      <c r="AI80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08">
        <f>Table1[[#This Row],[Factor_1]]*Table1[[#This Row],[2024 Factor]]</f>
        <v>2.3577066232182737</v>
      </c>
      <c r="AK808">
        <f>VLOOKUP(Table1[[#This Row],[Q18: Gender]],Factor!$A$33:$E$35,5,0)</f>
        <v>2.1645021645021645</v>
      </c>
      <c r="AL808">
        <f>VLOOKUP(Table1[[#This Row],[Taluka]],Factor!$A$42:$G$46,7,0)</f>
        <v>1.1213131007097483</v>
      </c>
      <c r="AM808">
        <f>VLOOKUP(Table1[[#This Row],[Caste]]&amp;Table1[[#This Row],[Q18: Gender]],Factor!$W$1:$X$23,2,0)</f>
        <v>2.1840056363422229</v>
      </c>
      <c r="AN808">
        <f>VLOOKUP(Table1[[#This Row],[Taluka]]&amp;Table1[[#This Row],[Caste]]&amp;Table1[[#This Row],[Q18: Gender]],Factor!$AK$4:$AL$93,2,0)</f>
        <v>0.95944580773600496</v>
      </c>
      <c r="AO808">
        <f t="shared" si="132"/>
        <v>-1</v>
      </c>
      <c r="AP808">
        <f t="shared" si="133"/>
        <v>1</v>
      </c>
      <c r="AQ808">
        <f t="shared" si="134"/>
        <v>-1</v>
      </c>
      <c r="AR808">
        <f t="shared" si="135"/>
        <v>-1</v>
      </c>
      <c r="AS808">
        <f t="shared" si="136"/>
        <v>-1</v>
      </c>
      <c r="AT808">
        <f t="shared" si="137"/>
        <v>-1</v>
      </c>
      <c r="AU808">
        <f t="shared" si="138"/>
        <v>-3.5</v>
      </c>
      <c r="AV808">
        <f>SUM(Table1[[#This Row],[Satis]:[29]])</f>
        <v>-4</v>
      </c>
      <c r="AW808">
        <f t="shared" si="139"/>
        <v>-5</v>
      </c>
      <c r="AX808">
        <f t="shared" si="140"/>
        <v>-4</v>
      </c>
      <c r="AY808">
        <f t="shared" si="141"/>
        <v>-3</v>
      </c>
      <c r="AZ808" t="str">
        <f t="shared" si="142"/>
        <v>TDP Sympathiser</v>
      </c>
    </row>
    <row r="809" spans="1:52" x14ac:dyDescent="0.3">
      <c r="A809" t="s">
        <v>4523</v>
      </c>
      <c r="B809" s="94">
        <v>46048</v>
      </c>
      <c r="C809" t="s">
        <v>4524</v>
      </c>
      <c r="D809" t="s">
        <v>4525</v>
      </c>
      <c r="E809" t="s">
        <v>4493</v>
      </c>
      <c r="F809" t="s">
        <v>240</v>
      </c>
      <c r="G809" t="s">
        <v>39</v>
      </c>
      <c r="H809" t="s">
        <v>4526</v>
      </c>
      <c r="I809" t="s">
        <v>36</v>
      </c>
      <c r="J809" t="s">
        <v>71</v>
      </c>
      <c r="K809" t="s">
        <v>215</v>
      </c>
      <c r="L809" t="s">
        <v>62</v>
      </c>
      <c r="M809" t="s">
        <v>51</v>
      </c>
      <c r="N809" t="s">
        <v>107</v>
      </c>
      <c r="O809" t="s">
        <v>4527</v>
      </c>
      <c r="P809">
        <v>8179755345</v>
      </c>
      <c r="Q809" t="s">
        <v>54</v>
      </c>
      <c r="R809" t="s">
        <v>61</v>
      </c>
      <c r="S809" t="s">
        <v>43</v>
      </c>
      <c r="T809" t="s">
        <v>43</v>
      </c>
      <c r="U809" t="s">
        <v>44</v>
      </c>
      <c r="V809" t="s">
        <v>45</v>
      </c>
      <c r="W809" t="s">
        <v>5054</v>
      </c>
      <c r="X809" t="s">
        <v>45</v>
      </c>
      <c r="Y809" t="s">
        <v>46</v>
      </c>
      <c r="Z809" t="s">
        <v>47</v>
      </c>
      <c r="AA809" t="s">
        <v>48</v>
      </c>
      <c r="AB809" t="s">
        <v>49</v>
      </c>
      <c r="AC809" t="s">
        <v>49</v>
      </c>
      <c r="AD809" t="s">
        <v>184</v>
      </c>
      <c r="AE809" t="s">
        <v>189</v>
      </c>
      <c r="AF809" t="s">
        <v>3008</v>
      </c>
      <c r="AG809" t="s">
        <v>196</v>
      </c>
      <c r="AH809" s="93">
        <f>VLOOKUP(Table1[[#This Row],[Caste]],Factor!$H$1:$K$13,4,0)</f>
        <v>1.1705128247062893</v>
      </c>
      <c r="AI80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09">
        <f>Table1[[#This Row],[Factor_1]]*Table1[[#This Row],[2024 Factor]]</f>
        <v>0.86308903171383233</v>
      </c>
      <c r="AK809">
        <f>VLOOKUP(Table1[[#This Row],[Q18: Gender]],Factor!$A$33:$E$35,5,0)</f>
        <v>0.85034013605442171</v>
      </c>
      <c r="AL809">
        <f>VLOOKUP(Table1[[#This Row],[Taluka]],Factor!$A$42:$G$46,7,0)</f>
        <v>1.1213131007097483</v>
      </c>
      <c r="AM809">
        <f>VLOOKUP(Table1[[#This Row],[Caste]]&amp;Table1[[#This Row],[Q18: Gender]],Factor!$W$1:$X$23,2,0)</f>
        <v>0.79950206330384943</v>
      </c>
      <c r="AN809">
        <f>VLOOKUP(Table1[[#This Row],[Taluka]]&amp;Table1[[#This Row],[Caste]]&amp;Table1[[#This Row],[Q18: Gender]],Factor!$AK$4:$AL$93,2,0)</f>
        <v>0.7401439088249181</v>
      </c>
      <c r="AO809">
        <f t="shared" si="132"/>
        <v>-1</v>
      </c>
      <c r="AP809">
        <f t="shared" si="133"/>
        <v>-1</v>
      </c>
      <c r="AQ809">
        <f t="shared" si="134"/>
        <v>-1</v>
      </c>
      <c r="AR809">
        <f t="shared" si="135"/>
        <v>-1</v>
      </c>
      <c r="AS809">
        <f t="shared" si="136"/>
        <v>-1</v>
      </c>
      <c r="AT809">
        <f t="shared" si="137"/>
        <v>-1</v>
      </c>
      <c r="AU809">
        <f t="shared" si="138"/>
        <v>-5.5</v>
      </c>
      <c r="AV809">
        <f>SUM(Table1[[#This Row],[Satis]:[29]])</f>
        <v>-6</v>
      </c>
      <c r="AW809">
        <f t="shared" si="139"/>
        <v>-5</v>
      </c>
      <c r="AX809">
        <f t="shared" si="140"/>
        <v>-4</v>
      </c>
      <c r="AY809">
        <f t="shared" si="141"/>
        <v>-3</v>
      </c>
      <c r="AZ809" t="str">
        <f t="shared" si="142"/>
        <v>TDP HardCore</v>
      </c>
    </row>
    <row r="810" spans="1:52" x14ac:dyDescent="0.3">
      <c r="A810" t="s">
        <v>4528</v>
      </c>
      <c r="B810" s="94">
        <v>46048</v>
      </c>
      <c r="C810" t="s">
        <v>4529</v>
      </c>
      <c r="D810" t="s">
        <v>4530</v>
      </c>
      <c r="E810" t="s">
        <v>4531</v>
      </c>
      <c r="F810" t="s">
        <v>240</v>
      </c>
      <c r="G810" t="s">
        <v>39</v>
      </c>
      <c r="H810" t="s">
        <v>4532</v>
      </c>
      <c r="I810" t="s">
        <v>59</v>
      </c>
      <c r="J810" t="s">
        <v>71</v>
      </c>
      <c r="K810" t="s">
        <v>215</v>
      </c>
      <c r="L810" t="s">
        <v>62</v>
      </c>
      <c r="M810" t="s">
        <v>51</v>
      </c>
      <c r="N810" t="s">
        <v>63</v>
      </c>
      <c r="O810" t="s">
        <v>1933</v>
      </c>
      <c r="P810">
        <v>8121047796</v>
      </c>
      <c r="Q810" t="s">
        <v>445</v>
      </c>
      <c r="R810" t="s">
        <v>73</v>
      </c>
      <c r="S810" t="s">
        <v>43</v>
      </c>
      <c r="T810" t="s">
        <v>43</v>
      </c>
      <c r="U810" t="s">
        <v>44</v>
      </c>
      <c r="V810" t="s">
        <v>45</v>
      </c>
      <c r="W810" t="s">
        <v>5102</v>
      </c>
      <c r="X810" t="s">
        <v>45</v>
      </c>
      <c r="Y810" t="s">
        <v>46</v>
      </c>
      <c r="Z810" t="s">
        <v>47</v>
      </c>
      <c r="AA810" t="s">
        <v>48</v>
      </c>
      <c r="AB810" t="s">
        <v>49</v>
      </c>
      <c r="AC810" t="s">
        <v>49</v>
      </c>
      <c r="AD810" t="s">
        <v>481</v>
      </c>
      <c r="AE810" t="s">
        <v>185</v>
      </c>
      <c r="AF810">
        <v>0</v>
      </c>
      <c r="AG810" t="s">
        <v>196</v>
      </c>
      <c r="AH810" s="93">
        <f>VLOOKUP(Table1[[#This Row],[Caste]],Factor!$H$1:$K$13,4,0)</f>
        <v>1.1461625511156397</v>
      </c>
      <c r="AI81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10">
        <f>Table1[[#This Row],[Factor_1]]*Table1[[#This Row],[2024 Factor]]</f>
        <v>3.0326483876590018</v>
      </c>
      <c r="AK810">
        <f>VLOOKUP(Table1[[#This Row],[Q18: Gender]],Factor!$A$33:$E$35,5,0)</f>
        <v>2.1645021645021645</v>
      </c>
      <c r="AL810">
        <f>VLOOKUP(Table1[[#This Row],[Taluka]],Factor!$A$42:$G$46,7,0)</f>
        <v>1.1213131007097483</v>
      </c>
      <c r="AM810">
        <f>VLOOKUP(Table1[[#This Row],[Caste]]&amp;Table1[[#This Row],[Q18: Gender]],Factor!$W$1:$X$23,2,0)</f>
        <v>2.8092219390089208</v>
      </c>
      <c r="AN810">
        <f>VLOOKUP(Table1[[#This Row],[Taluka]]&amp;Table1[[#This Row],[Caste]]&amp;Table1[[#This Row],[Q18: Gender]],Factor!$AK$4:$AL$93,2,0)</f>
        <v>1.8020838461961379</v>
      </c>
      <c r="AO810">
        <f t="shared" si="132"/>
        <v>-1</v>
      </c>
      <c r="AP810">
        <f t="shared" si="133"/>
        <v>-1</v>
      </c>
      <c r="AQ810">
        <f t="shared" si="134"/>
        <v>-1</v>
      </c>
      <c r="AR810">
        <f t="shared" si="135"/>
        <v>-1</v>
      </c>
      <c r="AS810">
        <f t="shared" si="136"/>
        <v>-1</v>
      </c>
      <c r="AT810">
        <f t="shared" si="137"/>
        <v>-1</v>
      </c>
      <c r="AU810">
        <f t="shared" si="138"/>
        <v>-5.5</v>
      </c>
      <c r="AV810">
        <f>SUM(Table1[[#This Row],[Satis]:[29]])</f>
        <v>-6</v>
      </c>
      <c r="AW810">
        <f t="shared" si="139"/>
        <v>-5</v>
      </c>
      <c r="AX810">
        <f t="shared" si="140"/>
        <v>-4</v>
      </c>
      <c r="AY810">
        <f t="shared" si="141"/>
        <v>-3</v>
      </c>
      <c r="AZ810" t="str">
        <f t="shared" si="142"/>
        <v>TDP HardCore</v>
      </c>
    </row>
    <row r="811" spans="1:52" x14ac:dyDescent="0.3">
      <c r="A811" t="s">
        <v>4533</v>
      </c>
      <c r="B811" s="94">
        <v>46048</v>
      </c>
      <c r="C811" t="s">
        <v>4534</v>
      </c>
      <c r="D811" t="s">
        <v>4535</v>
      </c>
      <c r="E811" t="s">
        <v>4536</v>
      </c>
      <c r="F811" t="s">
        <v>240</v>
      </c>
      <c r="G811" t="s">
        <v>39</v>
      </c>
      <c r="H811" t="s">
        <v>4537</v>
      </c>
      <c r="I811" t="s">
        <v>59</v>
      </c>
      <c r="J811" t="s">
        <v>71</v>
      </c>
      <c r="K811" t="s">
        <v>215</v>
      </c>
      <c r="L811" t="s">
        <v>62</v>
      </c>
      <c r="M811" t="s">
        <v>51</v>
      </c>
      <c r="N811" t="s">
        <v>63</v>
      </c>
      <c r="O811" t="s">
        <v>4538</v>
      </c>
      <c r="P811">
        <v>9121679612</v>
      </c>
      <c r="Q811" t="s">
        <v>445</v>
      </c>
      <c r="R811" t="s">
        <v>2116</v>
      </c>
      <c r="S811" t="s">
        <v>43</v>
      </c>
      <c r="T811" t="s">
        <v>43</v>
      </c>
      <c r="U811" t="s">
        <v>44</v>
      </c>
      <c r="V811" t="s">
        <v>45</v>
      </c>
      <c r="W811" t="s">
        <v>5055</v>
      </c>
      <c r="X811" t="s">
        <v>45</v>
      </c>
      <c r="Y811" t="s">
        <v>46</v>
      </c>
      <c r="Z811" t="s">
        <v>242</v>
      </c>
      <c r="AA811" t="s">
        <v>242</v>
      </c>
      <c r="AB811" t="s">
        <v>49</v>
      </c>
      <c r="AC811" t="s">
        <v>49</v>
      </c>
      <c r="AD811" t="s">
        <v>481</v>
      </c>
      <c r="AE811" t="s">
        <v>189</v>
      </c>
      <c r="AF811" t="s">
        <v>4737</v>
      </c>
      <c r="AG811" t="s">
        <v>196</v>
      </c>
      <c r="AH811" s="93">
        <f>VLOOKUP(Table1[[#This Row],[Caste]],Factor!$H$1:$K$13,4,0)</f>
        <v>1.1461625511156397</v>
      </c>
      <c r="AI811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811">
        <f>Table1[[#This Row],[Factor_1]]*Table1[[#This Row],[2024 Factor]]</f>
        <v>1.8584083596520569</v>
      </c>
      <c r="AK811">
        <f>VLOOKUP(Table1[[#This Row],[Q18: Gender]],Factor!$A$33:$E$35,5,0)</f>
        <v>2.1645021645021645</v>
      </c>
      <c r="AL811">
        <f>VLOOKUP(Table1[[#This Row],[Taluka]],Factor!$A$42:$G$46,7,0)</f>
        <v>1.1213131007097483</v>
      </c>
      <c r="AM811">
        <f>VLOOKUP(Table1[[#This Row],[Caste]]&amp;Table1[[#This Row],[Q18: Gender]],Factor!$W$1:$X$23,2,0)</f>
        <v>2.8092219390089208</v>
      </c>
      <c r="AN811">
        <f>VLOOKUP(Table1[[#This Row],[Taluka]]&amp;Table1[[#This Row],[Caste]]&amp;Table1[[#This Row],[Q18: Gender]],Factor!$AK$4:$AL$93,2,0)</f>
        <v>1.8020838461961379</v>
      </c>
      <c r="AO811">
        <f t="shared" si="132"/>
        <v>-1</v>
      </c>
      <c r="AP811">
        <f t="shared" si="133"/>
        <v>-1</v>
      </c>
      <c r="AQ811">
        <f t="shared" si="134"/>
        <v>-1</v>
      </c>
      <c r="AR811">
        <f t="shared" si="135"/>
        <v>-1</v>
      </c>
      <c r="AS811">
        <f t="shared" si="136"/>
        <v>-1</v>
      </c>
      <c r="AT811">
        <f t="shared" si="137"/>
        <v>-1</v>
      </c>
      <c r="AU811">
        <f t="shared" si="138"/>
        <v>-5.5</v>
      </c>
      <c r="AV811">
        <f>SUM(Table1[[#This Row],[Satis]:[29]])</f>
        <v>-6</v>
      </c>
      <c r="AW811">
        <f t="shared" si="139"/>
        <v>-5</v>
      </c>
      <c r="AX811">
        <f t="shared" si="140"/>
        <v>-4</v>
      </c>
      <c r="AY811">
        <f t="shared" si="141"/>
        <v>-3</v>
      </c>
      <c r="AZ811" t="str">
        <f t="shared" si="142"/>
        <v>TDP HardCore</v>
      </c>
    </row>
    <row r="812" spans="1:52" x14ac:dyDescent="0.3">
      <c r="A812" t="s">
        <v>4539</v>
      </c>
      <c r="B812" s="94">
        <v>46048</v>
      </c>
      <c r="C812" t="s">
        <v>4540</v>
      </c>
      <c r="D812" t="s">
        <v>4448</v>
      </c>
      <c r="E812" t="s">
        <v>4449</v>
      </c>
      <c r="F812" t="s">
        <v>240</v>
      </c>
      <c r="G812" t="s">
        <v>39</v>
      </c>
      <c r="H812" t="s">
        <v>4541</v>
      </c>
      <c r="I812" t="s">
        <v>59</v>
      </c>
      <c r="J812" t="s">
        <v>71</v>
      </c>
      <c r="K812" t="s">
        <v>215</v>
      </c>
      <c r="L812" t="s">
        <v>170</v>
      </c>
      <c r="M812" t="s">
        <v>51</v>
      </c>
      <c r="N812" t="s">
        <v>162</v>
      </c>
      <c r="O812" t="s">
        <v>4227</v>
      </c>
      <c r="P812">
        <v>9999999999</v>
      </c>
      <c r="Q812" t="s">
        <v>445</v>
      </c>
      <c r="R812" t="s">
        <v>2116</v>
      </c>
      <c r="S812" t="s">
        <v>43</v>
      </c>
      <c r="T812" t="s">
        <v>43</v>
      </c>
      <c r="U812" t="s">
        <v>44</v>
      </c>
      <c r="V812" t="s">
        <v>45</v>
      </c>
      <c r="W812" t="s">
        <v>5062</v>
      </c>
      <c r="X812" t="s">
        <v>45</v>
      </c>
      <c r="Y812" t="s">
        <v>46</v>
      </c>
      <c r="Z812" t="s">
        <v>47</v>
      </c>
      <c r="AA812" t="s">
        <v>242</v>
      </c>
      <c r="AB812" t="s">
        <v>49</v>
      </c>
      <c r="AC812" t="s">
        <v>49</v>
      </c>
      <c r="AD812" t="s">
        <v>481</v>
      </c>
      <c r="AE812" t="s">
        <v>189</v>
      </c>
      <c r="AF812" t="s">
        <v>4738</v>
      </c>
      <c r="AG812" t="s">
        <v>196</v>
      </c>
      <c r="AH812" s="93">
        <f>VLOOKUP(Table1[[#This Row],[Caste]],Factor!$H$1:$K$13,4,0)</f>
        <v>1.1461625511156397</v>
      </c>
      <c r="AI812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812">
        <f>Table1[[#This Row],[Factor_1]]*Table1[[#This Row],[2024 Factor]]</f>
        <v>1.8584083596520569</v>
      </c>
      <c r="AK812">
        <f>VLOOKUP(Table1[[#This Row],[Q18: Gender]],Factor!$A$33:$E$35,5,0)</f>
        <v>2.1645021645021645</v>
      </c>
      <c r="AL812">
        <f>VLOOKUP(Table1[[#This Row],[Taluka]],Factor!$A$42:$G$46,7,0)</f>
        <v>1.1213131007097483</v>
      </c>
      <c r="AM812">
        <f>VLOOKUP(Table1[[#This Row],[Caste]]&amp;Table1[[#This Row],[Q18: Gender]],Factor!$W$1:$X$23,2,0)</f>
        <v>2.8092219390089208</v>
      </c>
      <c r="AN812">
        <f>VLOOKUP(Table1[[#This Row],[Taluka]]&amp;Table1[[#This Row],[Caste]]&amp;Table1[[#This Row],[Q18: Gender]],Factor!$AK$4:$AL$93,2,0)</f>
        <v>1.8020838461961379</v>
      </c>
      <c r="AO812">
        <f t="shared" si="132"/>
        <v>-1</v>
      </c>
      <c r="AP812">
        <f t="shared" si="133"/>
        <v>-1</v>
      </c>
      <c r="AQ812">
        <f t="shared" si="134"/>
        <v>-1</v>
      </c>
      <c r="AR812">
        <f t="shared" si="135"/>
        <v>-1</v>
      </c>
      <c r="AS812">
        <f t="shared" si="136"/>
        <v>-1</v>
      </c>
      <c r="AT812">
        <f t="shared" si="137"/>
        <v>-1</v>
      </c>
      <c r="AU812">
        <f t="shared" si="138"/>
        <v>-5.5</v>
      </c>
      <c r="AV812">
        <f>SUM(Table1[[#This Row],[Satis]:[29]])</f>
        <v>-6</v>
      </c>
      <c r="AW812">
        <f t="shared" si="139"/>
        <v>-5</v>
      </c>
      <c r="AX812">
        <f t="shared" si="140"/>
        <v>-4</v>
      </c>
      <c r="AY812">
        <f t="shared" si="141"/>
        <v>-3</v>
      </c>
      <c r="AZ812" t="str">
        <f t="shared" si="142"/>
        <v>TDP HardCore</v>
      </c>
    </row>
    <row r="813" spans="1:52" x14ac:dyDescent="0.3">
      <c r="A813" t="s">
        <v>4542</v>
      </c>
      <c r="B813" s="94">
        <v>46048</v>
      </c>
      <c r="C813" t="s">
        <v>4543</v>
      </c>
      <c r="D813" t="s">
        <v>4544</v>
      </c>
      <c r="E813" t="s">
        <v>4545</v>
      </c>
      <c r="F813" t="s">
        <v>240</v>
      </c>
      <c r="G813" t="s">
        <v>39</v>
      </c>
      <c r="H813" t="s">
        <v>4546</v>
      </c>
      <c r="I813" t="s">
        <v>59</v>
      </c>
      <c r="J813" t="s">
        <v>71</v>
      </c>
      <c r="K813" t="s">
        <v>215</v>
      </c>
      <c r="L813" t="s">
        <v>50</v>
      </c>
      <c r="M813" t="s">
        <v>51</v>
      </c>
      <c r="N813" t="s">
        <v>107</v>
      </c>
      <c r="O813" t="s">
        <v>788</v>
      </c>
      <c r="P813">
        <v>9999999999</v>
      </c>
      <c r="Q813" t="s">
        <v>54</v>
      </c>
      <c r="R813" t="s">
        <v>2116</v>
      </c>
      <c r="S813" t="s">
        <v>43</v>
      </c>
      <c r="T813" t="s">
        <v>43</v>
      </c>
      <c r="U813" t="s">
        <v>44</v>
      </c>
      <c r="V813" t="s">
        <v>45</v>
      </c>
      <c r="W813" t="s">
        <v>5081</v>
      </c>
      <c r="X813" t="s">
        <v>45</v>
      </c>
      <c r="Y813" t="s">
        <v>46</v>
      </c>
      <c r="Z813" t="s">
        <v>242</v>
      </c>
      <c r="AA813" t="s">
        <v>242</v>
      </c>
      <c r="AB813" t="s">
        <v>49</v>
      </c>
      <c r="AC813" t="s">
        <v>49</v>
      </c>
      <c r="AD813" t="s">
        <v>481</v>
      </c>
      <c r="AE813" t="s">
        <v>185</v>
      </c>
      <c r="AF813">
        <v>0</v>
      </c>
      <c r="AG813" t="s">
        <v>196</v>
      </c>
      <c r="AH813" s="93">
        <f>VLOOKUP(Table1[[#This Row],[Caste]],Factor!$H$1:$K$13,4,0)</f>
        <v>1.1461625511156397</v>
      </c>
      <c r="AI813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813">
        <f>Table1[[#This Row],[Factor_1]]*Table1[[#This Row],[2024 Factor]]</f>
        <v>0.47627550925756229</v>
      </c>
      <c r="AK813">
        <f>VLOOKUP(Table1[[#This Row],[Q18: Gender]],Factor!$A$33:$E$35,5,0)</f>
        <v>0.85034013605442171</v>
      </c>
      <c r="AL813">
        <f>VLOOKUP(Table1[[#This Row],[Taluka]],Factor!$A$42:$G$46,7,0)</f>
        <v>1.1213131007097483</v>
      </c>
      <c r="AM813">
        <f>VLOOKUP(Table1[[#This Row],[Caste]]&amp;Table1[[#This Row],[Q18: Gender]],Factor!$W$1:$X$23,2,0)</f>
        <v>0.71995135120329123</v>
      </c>
      <c r="AN813">
        <f>VLOOKUP(Table1[[#This Row],[Taluka]]&amp;Table1[[#This Row],[Caste]]&amp;Table1[[#This Row],[Q18: Gender]],Factor!$AK$4:$AL$93,2,0)</f>
        <v>1.3370299504035861</v>
      </c>
      <c r="AO813">
        <f t="shared" si="132"/>
        <v>-1</v>
      </c>
      <c r="AP813">
        <f t="shared" si="133"/>
        <v>-1</v>
      </c>
      <c r="AQ813">
        <f t="shared" si="134"/>
        <v>-1</v>
      </c>
      <c r="AR813">
        <f t="shared" si="135"/>
        <v>-1</v>
      </c>
      <c r="AS813">
        <f t="shared" si="136"/>
        <v>-1</v>
      </c>
      <c r="AT813">
        <f t="shared" si="137"/>
        <v>-1</v>
      </c>
      <c r="AU813">
        <f t="shared" si="138"/>
        <v>-5.5</v>
      </c>
      <c r="AV813">
        <f>SUM(Table1[[#This Row],[Satis]:[29]])</f>
        <v>-6</v>
      </c>
      <c r="AW813">
        <f t="shared" si="139"/>
        <v>-5</v>
      </c>
      <c r="AX813">
        <f t="shared" si="140"/>
        <v>-4</v>
      </c>
      <c r="AY813">
        <f t="shared" si="141"/>
        <v>-3</v>
      </c>
      <c r="AZ813" t="str">
        <f t="shared" si="142"/>
        <v>TDP HardCore</v>
      </c>
    </row>
    <row r="814" spans="1:52" x14ac:dyDescent="0.3">
      <c r="A814" t="s">
        <v>4547</v>
      </c>
      <c r="B814" s="94">
        <v>46048</v>
      </c>
      <c r="C814" t="s">
        <v>4548</v>
      </c>
      <c r="D814" t="s">
        <v>4544</v>
      </c>
      <c r="E814" t="s">
        <v>4545</v>
      </c>
      <c r="F814" t="s">
        <v>240</v>
      </c>
      <c r="G814" t="s">
        <v>39</v>
      </c>
      <c r="H814" t="s">
        <v>4549</v>
      </c>
      <c r="I814" t="s">
        <v>59</v>
      </c>
      <c r="J814" t="s">
        <v>71</v>
      </c>
      <c r="K814" t="s">
        <v>215</v>
      </c>
      <c r="L814" t="s">
        <v>50</v>
      </c>
      <c r="M814" t="s">
        <v>51</v>
      </c>
      <c r="N814" t="s">
        <v>107</v>
      </c>
      <c r="O814" t="s">
        <v>788</v>
      </c>
      <c r="P814">
        <v>9999999999</v>
      </c>
      <c r="Q814" t="s">
        <v>54</v>
      </c>
      <c r="R814" t="s">
        <v>2116</v>
      </c>
      <c r="S814" t="s">
        <v>43</v>
      </c>
      <c r="T814" t="s">
        <v>43</v>
      </c>
      <c r="U814" t="s">
        <v>44</v>
      </c>
      <c r="V814" t="s">
        <v>45</v>
      </c>
      <c r="W814" t="s">
        <v>5081</v>
      </c>
      <c r="X814" t="s">
        <v>45</v>
      </c>
      <c r="Y814" t="s">
        <v>46</v>
      </c>
      <c r="Z814" t="s">
        <v>242</v>
      </c>
      <c r="AA814" t="s">
        <v>242</v>
      </c>
      <c r="AB814" t="s">
        <v>49</v>
      </c>
      <c r="AC814" t="s">
        <v>49</v>
      </c>
      <c r="AD814">
        <v>0</v>
      </c>
      <c r="AE814" t="s">
        <v>185</v>
      </c>
      <c r="AF814">
        <v>0</v>
      </c>
      <c r="AG814" t="s">
        <v>196</v>
      </c>
      <c r="AH814" s="93">
        <f>VLOOKUP(Table1[[#This Row],[Caste]],Factor!$H$1:$K$13,4,0)</f>
        <v>1.1461625511156397</v>
      </c>
      <c r="AI814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814">
        <f>Table1[[#This Row],[Factor_1]]*Table1[[#This Row],[2024 Factor]]</f>
        <v>0.47627550925756229</v>
      </c>
      <c r="AK814">
        <f>VLOOKUP(Table1[[#This Row],[Q18: Gender]],Factor!$A$33:$E$35,5,0)</f>
        <v>0.85034013605442171</v>
      </c>
      <c r="AL814">
        <f>VLOOKUP(Table1[[#This Row],[Taluka]],Factor!$A$42:$G$46,7,0)</f>
        <v>1.1213131007097483</v>
      </c>
      <c r="AM814">
        <f>VLOOKUP(Table1[[#This Row],[Caste]]&amp;Table1[[#This Row],[Q18: Gender]],Factor!$W$1:$X$23,2,0)</f>
        <v>0.71995135120329123</v>
      </c>
      <c r="AN814">
        <f>VLOOKUP(Table1[[#This Row],[Taluka]]&amp;Table1[[#This Row],[Caste]]&amp;Table1[[#This Row],[Q18: Gender]],Factor!$AK$4:$AL$93,2,0)</f>
        <v>1.3370299504035861</v>
      </c>
      <c r="AO814">
        <f t="shared" si="132"/>
        <v>-1</v>
      </c>
      <c r="AP814">
        <f t="shared" si="133"/>
        <v>-1</v>
      </c>
      <c r="AQ814">
        <f t="shared" si="134"/>
        <v>-1</v>
      </c>
      <c r="AR814">
        <f t="shared" si="135"/>
        <v>-1</v>
      </c>
      <c r="AS814">
        <f t="shared" si="136"/>
        <v>-1</v>
      </c>
      <c r="AT814">
        <f t="shared" si="137"/>
        <v>-1</v>
      </c>
      <c r="AU814">
        <f t="shared" si="138"/>
        <v>-5.5</v>
      </c>
      <c r="AV814">
        <f>SUM(Table1[[#This Row],[Satis]:[29]])</f>
        <v>-6</v>
      </c>
      <c r="AW814">
        <f t="shared" si="139"/>
        <v>-5</v>
      </c>
      <c r="AX814">
        <f t="shared" si="140"/>
        <v>-4</v>
      </c>
      <c r="AY814">
        <f t="shared" si="141"/>
        <v>-3</v>
      </c>
      <c r="AZ814" t="str">
        <f t="shared" si="142"/>
        <v>TDP HardCore</v>
      </c>
    </row>
    <row r="815" spans="1:52" x14ac:dyDescent="0.3">
      <c r="A815" t="s">
        <v>4550</v>
      </c>
      <c r="B815" s="94">
        <v>46048</v>
      </c>
      <c r="C815" t="s">
        <v>4551</v>
      </c>
      <c r="D815" t="s">
        <v>4552</v>
      </c>
      <c r="E815" t="s">
        <v>1197</v>
      </c>
      <c r="F815" t="s">
        <v>240</v>
      </c>
      <c r="G815" t="s">
        <v>39</v>
      </c>
      <c r="H815" t="s">
        <v>4553</v>
      </c>
      <c r="I815" t="s">
        <v>59</v>
      </c>
      <c r="J815" t="s">
        <v>71</v>
      </c>
      <c r="K815" t="s">
        <v>215</v>
      </c>
      <c r="L815" t="s">
        <v>75</v>
      </c>
      <c r="M815" t="s">
        <v>51</v>
      </c>
      <c r="N815" t="s">
        <v>63</v>
      </c>
      <c r="O815" t="s">
        <v>4554</v>
      </c>
      <c r="P815">
        <v>9959760651</v>
      </c>
      <c r="Q815" t="s">
        <v>445</v>
      </c>
      <c r="R815" t="s">
        <v>2116</v>
      </c>
      <c r="S815" t="s">
        <v>89</v>
      </c>
      <c r="T815" t="s">
        <v>43</v>
      </c>
      <c r="U815" t="s">
        <v>44</v>
      </c>
      <c r="V815" t="s">
        <v>91</v>
      </c>
      <c r="W815" t="s">
        <v>5073</v>
      </c>
      <c r="X815" t="s">
        <v>45</v>
      </c>
      <c r="Y815" t="s">
        <v>46</v>
      </c>
      <c r="Z815" t="s">
        <v>47</v>
      </c>
      <c r="AA815" t="s">
        <v>48</v>
      </c>
      <c r="AB815" t="s">
        <v>49</v>
      </c>
      <c r="AC815" t="s">
        <v>49</v>
      </c>
      <c r="AD815" t="s">
        <v>481</v>
      </c>
      <c r="AE815" t="s">
        <v>189</v>
      </c>
      <c r="AF815" t="s">
        <v>1212</v>
      </c>
      <c r="AG815" t="s">
        <v>196</v>
      </c>
      <c r="AH815" s="93">
        <f>VLOOKUP(Table1[[#This Row],[Caste]],Factor!$H$1:$K$13,4,0)</f>
        <v>1.1461625511156397</v>
      </c>
      <c r="AI81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15">
        <f>Table1[[#This Row],[Factor_1]]*Table1[[#This Row],[2024 Factor]]</f>
        <v>3.0326483876590018</v>
      </c>
      <c r="AK815">
        <f>VLOOKUP(Table1[[#This Row],[Q18: Gender]],Factor!$A$33:$E$35,5,0)</f>
        <v>2.1645021645021645</v>
      </c>
      <c r="AL815">
        <f>VLOOKUP(Table1[[#This Row],[Taluka]],Factor!$A$42:$G$46,7,0)</f>
        <v>1.1213131007097483</v>
      </c>
      <c r="AM815">
        <f>VLOOKUP(Table1[[#This Row],[Caste]]&amp;Table1[[#This Row],[Q18: Gender]],Factor!$W$1:$X$23,2,0)</f>
        <v>2.8092219390089208</v>
      </c>
      <c r="AN815">
        <f>VLOOKUP(Table1[[#This Row],[Taluka]]&amp;Table1[[#This Row],[Caste]]&amp;Table1[[#This Row],[Q18: Gender]],Factor!$AK$4:$AL$93,2,0)</f>
        <v>1.8020838461961379</v>
      </c>
      <c r="AO815">
        <f t="shared" si="132"/>
        <v>-1</v>
      </c>
      <c r="AP815">
        <f t="shared" si="133"/>
        <v>-1</v>
      </c>
      <c r="AQ815">
        <f t="shared" si="134"/>
        <v>1</v>
      </c>
      <c r="AR815">
        <f t="shared" si="135"/>
        <v>-1</v>
      </c>
      <c r="AS815">
        <f t="shared" si="136"/>
        <v>-1</v>
      </c>
      <c r="AT815">
        <f t="shared" si="137"/>
        <v>-1</v>
      </c>
      <c r="AU815">
        <f t="shared" si="138"/>
        <v>-3.5</v>
      </c>
      <c r="AV815">
        <f>SUM(Table1[[#This Row],[Satis]:[29]])</f>
        <v>-4</v>
      </c>
      <c r="AW815">
        <f t="shared" si="139"/>
        <v>-3</v>
      </c>
      <c r="AX815">
        <f t="shared" si="140"/>
        <v>-2</v>
      </c>
      <c r="AY815">
        <f t="shared" si="141"/>
        <v>-3</v>
      </c>
      <c r="AZ815" t="str">
        <f t="shared" si="142"/>
        <v>Neutral TDP</v>
      </c>
    </row>
    <row r="816" spans="1:52" x14ac:dyDescent="0.3">
      <c r="A816" t="s">
        <v>4555</v>
      </c>
      <c r="B816" s="94">
        <v>46048</v>
      </c>
      <c r="C816" t="s">
        <v>4556</v>
      </c>
      <c r="D816" t="s">
        <v>4557</v>
      </c>
      <c r="E816" t="s">
        <v>4558</v>
      </c>
      <c r="F816" t="s">
        <v>240</v>
      </c>
      <c r="G816" t="s">
        <v>39</v>
      </c>
      <c r="H816" t="s">
        <v>4559</v>
      </c>
      <c r="I816" t="s">
        <v>36</v>
      </c>
      <c r="J816" t="s">
        <v>71</v>
      </c>
      <c r="K816" t="s">
        <v>215</v>
      </c>
      <c r="L816" t="s">
        <v>451</v>
      </c>
      <c r="M816" t="s">
        <v>51</v>
      </c>
      <c r="N816" t="s">
        <v>63</v>
      </c>
      <c r="O816" t="s">
        <v>880</v>
      </c>
      <c r="P816">
        <v>9908879345</v>
      </c>
      <c r="Q816" t="s">
        <v>445</v>
      </c>
      <c r="R816" t="s">
        <v>61</v>
      </c>
      <c r="S816" t="s">
        <v>43</v>
      </c>
      <c r="T816" t="s">
        <v>43</v>
      </c>
      <c r="U816" t="s">
        <v>44</v>
      </c>
      <c r="V816" t="s">
        <v>45</v>
      </c>
      <c r="W816" t="s">
        <v>5054</v>
      </c>
      <c r="X816" t="s">
        <v>45</v>
      </c>
      <c r="Y816" t="s">
        <v>46</v>
      </c>
      <c r="Z816" t="s">
        <v>47</v>
      </c>
      <c r="AA816" t="s">
        <v>48</v>
      </c>
      <c r="AB816" t="s">
        <v>49</v>
      </c>
      <c r="AC816" t="s">
        <v>49</v>
      </c>
      <c r="AD816" t="s">
        <v>481</v>
      </c>
      <c r="AE816" t="s">
        <v>185</v>
      </c>
      <c r="AF816">
        <v>0</v>
      </c>
      <c r="AG816" t="s">
        <v>196</v>
      </c>
      <c r="AH816" s="93">
        <f>VLOOKUP(Table1[[#This Row],[Caste]],Factor!$H$1:$K$13,4,0)</f>
        <v>1.1705128247062893</v>
      </c>
      <c r="AI81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16">
        <f>Table1[[#This Row],[Factor_1]]*Table1[[#This Row],[2024 Factor]]</f>
        <v>2.3577066232182737</v>
      </c>
      <c r="AK816">
        <f>VLOOKUP(Table1[[#This Row],[Q18: Gender]],Factor!$A$33:$E$35,5,0)</f>
        <v>2.1645021645021645</v>
      </c>
      <c r="AL816">
        <f>VLOOKUP(Table1[[#This Row],[Taluka]],Factor!$A$42:$G$46,7,0)</f>
        <v>1.1213131007097483</v>
      </c>
      <c r="AM816">
        <f>VLOOKUP(Table1[[#This Row],[Caste]]&amp;Table1[[#This Row],[Q18: Gender]],Factor!$W$1:$X$23,2,0)</f>
        <v>2.1840056363422229</v>
      </c>
      <c r="AN816">
        <f>VLOOKUP(Table1[[#This Row],[Taluka]]&amp;Table1[[#This Row],[Caste]]&amp;Table1[[#This Row],[Q18: Gender]],Factor!$AK$4:$AL$93,2,0)</f>
        <v>0.95944580773600496</v>
      </c>
      <c r="AO816">
        <f t="shared" si="132"/>
        <v>-1</v>
      </c>
      <c r="AP816">
        <f t="shared" si="133"/>
        <v>-1</v>
      </c>
      <c r="AQ816">
        <f t="shared" si="134"/>
        <v>-1</v>
      </c>
      <c r="AR816">
        <f t="shared" si="135"/>
        <v>-1</v>
      </c>
      <c r="AS816">
        <f t="shared" si="136"/>
        <v>-1</v>
      </c>
      <c r="AT816">
        <f t="shared" si="137"/>
        <v>-1</v>
      </c>
      <c r="AU816">
        <f t="shared" si="138"/>
        <v>-5.5</v>
      </c>
      <c r="AV816">
        <f>SUM(Table1[[#This Row],[Satis]:[29]])</f>
        <v>-6</v>
      </c>
      <c r="AW816">
        <f t="shared" si="139"/>
        <v>-5</v>
      </c>
      <c r="AX816">
        <f t="shared" si="140"/>
        <v>-4</v>
      </c>
      <c r="AY816">
        <f t="shared" si="141"/>
        <v>-3</v>
      </c>
      <c r="AZ816" t="str">
        <f t="shared" si="142"/>
        <v>TDP HardCore</v>
      </c>
    </row>
    <row r="817" spans="1:52" x14ac:dyDescent="0.3">
      <c r="A817" t="s">
        <v>4560</v>
      </c>
      <c r="B817" s="94">
        <v>46048</v>
      </c>
      <c r="C817" t="s">
        <v>4561</v>
      </c>
      <c r="D817" t="s">
        <v>4562</v>
      </c>
      <c r="E817" t="s">
        <v>4563</v>
      </c>
      <c r="F817" t="s">
        <v>240</v>
      </c>
      <c r="G817" t="s">
        <v>39</v>
      </c>
      <c r="H817" t="s">
        <v>4564</v>
      </c>
      <c r="I817" t="s">
        <v>227</v>
      </c>
      <c r="J817" t="s">
        <v>71</v>
      </c>
      <c r="K817" t="s">
        <v>215</v>
      </c>
      <c r="L817" t="s">
        <v>62</v>
      </c>
      <c r="M817" t="s">
        <v>51</v>
      </c>
      <c r="N817" t="s">
        <v>63</v>
      </c>
      <c r="O817" t="s">
        <v>4565</v>
      </c>
      <c r="P817">
        <v>7893513605</v>
      </c>
      <c r="Q817" t="s">
        <v>54</v>
      </c>
      <c r="R817" t="s">
        <v>2116</v>
      </c>
      <c r="S817" t="s">
        <v>43</v>
      </c>
      <c r="T817" t="s">
        <v>43</v>
      </c>
      <c r="U817" t="s">
        <v>44</v>
      </c>
      <c r="V817" t="s">
        <v>45</v>
      </c>
      <c r="W817" t="s">
        <v>5069</v>
      </c>
      <c r="X817" t="s">
        <v>45</v>
      </c>
      <c r="Y817" t="s">
        <v>46</v>
      </c>
      <c r="Z817" t="s">
        <v>92</v>
      </c>
      <c r="AA817" t="s">
        <v>48</v>
      </c>
      <c r="AB817" t="s">
        <v>49</v>
      </c>
      <c r="AC817" t="s">
        <v>49</v>
      </c>
      <c r="AD817" t="s">
        <v>481</v>
      </c>
      <c r="AE817" t="s">
        <v>185</v>
      </c>
      <c r="AF817">
        <v>0</v>
      </c>
      <c r="AG817" t="s">
        <v>196</v>
      </c>
      <c r="AH817" s="93">
        <f>VLOOKUP(Table1[[#This Row],[Caste]],Factor!$H$1:$K$13,4,0)</f>
        <v>1.2612194085121222</v>
      </c>
      <c r="AI81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17">
        <f>Table1[[#This Row],[Factor_1]]*Table1[[#This Row],[2024 Factor]]</f>
        <v>0.92029223709519836</v>
      </c>
      <c r="AK817">
        <f>VLOOKUP(Table1[[#This Row],[Q18: Gender]],Factor!$A$33:$E$35,5,0)</f>
        <v>0.85034013605442171</v>
      </c>
      <c r="AL817">
        <f>VLOOKUP(Table1[[#This Row],[Taluka]],Factor!$A$42:$G$46,7,0)</f>
        <v>1.1213131007097483</v>
      </c>
      <c r="AM817">
        <f>VLOOKUP(Table1[[#This Row],[Caste]]&amp;Table1[[#This Row],[Q18: Gender]],Factor!$W$1:$X$23,2,0)</f>
        <v>0.85249089649430487</v>
      </c>
      <c r="AN817">
        <f>VLOOKUP(Table1[[#This Row],[Taluka]]&amp;Table1[[#This Row],[Caste]]&amp;Table1[[#This Row],[Q18: Gender]],Factor!$AK$4:$AL$93,2,0)</f>
        <v>1.3317727120335781</v>
      </c>
      <c r="AO817">
        <f t="shared" si="132"/>
        <v>-1</v>
      </c>
      <c r="AP817">
        <f t="shared" si="133"/>
        <v>-1</v>
      </c>
      <c r="AQ817">
        <f t="shared" si="134"/>
        <v>-1</v>
      </c>
      <c r="AR817">
        <f t="shared" si="135"/>
        <v>-1</v>
      </c>
      <c r="AS817">
        <f t="shared" si="136"/>
        <v>-1</v>
      </c>
      <c r="AT817">
        <f t="shared" si="137"/>
        <v>1</v>
      </c>
      <c r="AU817">
        <f t="shared" si="138"/>
        <v>-3.5</v>
      </c>
      <c r="AV817">
        <f>SUM(Table1[[#This Row],[Satis]:[29]])</f>
        <v>-4</v>
      </c>
      <c r="AW817">
        <f t="shared" si="139"/>
        <v>-3</v>
      </c>
      <c r="AX817">
        <f t="shared" si="140"/>
        <v>-2</v>
      </c>
      <c r="AY817" t="str">
        <f t="shared" si="141"/>
        <v>ND</v>
      </c>
      <c r="AZ817" t="str">
        <f t="shared" si="142"/>
        <v>ND</v>
      </c>
    </row>
    <row r="818" spans="1:52" x14ac:dyDescent="0.3">
      <c r="A818" t="s">
        <v>4566</v>
      </c>
      <c r="B818" s="94">
        <v>46048</v>
      </c>
      <c r="C818" t="s">
        <v>4567</v>
      </c>
      <c r="D818" t="s">
        <v>4568</v>
      </c>
      <c r="E818" t="s">
        <v>4563</v>
      </c>
      <c r="F818" t="s">
        <v>240</v>
      </c>
      <c r="G818" t="s">
        <v>39</v>
      </c>
      <c r="H818" t="s">
        <v>4569</v>
      </c>
      <c r="I818" t="s">
        <v>36</v>
      </c>
      <c r="J818" t="s">
        <v>71</v>
      </c>
      <c r="K818" t="s">
        <v>215</v>
      </c>
      <c r="L818" t="s">
        <v>62</v>
      </c>
      <c r="M818" t="s">
        <v>51</v>
      </c>
      <c r="N818" t="s">
        <v>107</v>
      </c>
      <c r="O818" t="s">
        <v>4570</v>
      </c>
      <c r="P818">
        <v>9949136581</v>
      </c>
      <c r="Q818" t="s">
        <v>54</v>
      </c>
      <c r="R818" t="s">
        <v>2116</v>
      </c>
      <c r="S818" t="s">
        <v>43</v>
      </c>
      <c r="T818" t="s">
        <v>43</v>
      </c>
      <c r="U818" t="s">
        <v>44</v>
      </c>
      <c r="V818" t="s">
        <v>45</v>
      </c>
      <c r="W818" t="s">
        <v>5058</v>
      </c>
      <c r="X818" t="s">
        <v>45</v>
      </c>
      <c r="Y818" t="s">
        <v>46</v>
      </c>
      <c r="Z818" t="s">
        <v>47</v>
      </c>
      <c r="AA818" t="s">
        <v>48</v>
      </c>
      <c r="AB818" t="s">
        <v>49</v>
      </c>
      <c r="AC818" t="s">
        <v>49</v>
      </c>
      <c r="AD818" t="s">
        <v>481</v>
      </c>
      <c r="AE818" t="s">
        <v>185</v>
      </c>
      <c r="AF818">
        <v>0</v>
      </c>
      <c r="AG818" t="s">
        <v>196</v>
      </c>
      <c r="AH818" s="93">
        <f>VLOOKUP(Table1[[#This Row],[Caste]],Factor!$H$1:$K$13,4,0)</f>
        <v>1.1705128247062893</v>
      </c>
      <c r="AI81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18">
        <f>Table1[[#This Row],[Factor_1]]*Table1[[#This Row],[2024 Factor]]</f>
        <v>0.86308903171383233</v>
      </c>
      <c r="AK818">
        <f>VLOOKUP(Table1[[#This Row],[Q18: Gender]],Factor!$A$33:$E$35,5,0)</f>
        <v>0.85034013605442171</v>
      </c>
      <c r="AL818">
        <f>VLOOKUP(Table1[[#This Row],[Taluka]],Factor!$A$42:$G$46,7,0)</f>
        <v>1.1213131007097483</v>
      </c>
      <c r="AM818">
        <f>VLOOKUP(Table1[[#This Row],[Caste]]&amp;Table1[[#This Row],[Q18: Gender]],Factor!$W$1:$X$23,2,0)</f>
        <v>0.79950206330384943</v>
      </c>
      <c r="AN818">
        <f>VLOOKUP(Table1[[#This Row],[Taluka]]&amp;Table1[[#This Row],[Caste]]&amp;Table1[[#This Row],[Q18: Gender]],Factor!$AK$4:$AL$93,2,0)</f>
        <v>0.7401439088249181</v>
      </c>
      <c r="AO818">
        <f t="shared" si="132"/>
        <v>-1</v>
      </c>
      <c r="AP818">
        <f t="shared" si="133"/>
        <v>-1</v>
      </c>
      <c r="AQ818">
        <f t="shared" si="134"/>
        <v>-1</v>
      </c>
      <c r="AR818">
        <f t="shared" si="135"/>
        <v>-1</v>
      </c>
      <c r="AS818">
        <f t="shared" si="136"/>
        <v>-1</v>
      </c>
      <c r="AT818">
        <f t="shared" si="137"/>
        <v>-1</v>
      </c>
      <c r="AU818">
        <f t="shared" si="138"/>
        <v>-5.5</v>
      </c>
      <c r="AV818">
        <f>SUM(Table1[[#This Row],[Satis]:[29]])</f>
        <v>-6</v>
      </c>
      <c r="AW818">
        <f t="shared" si="139"/>
        <v>-5</v>
      </c>
      <c r="AX818">
        <f t="shared" si="140"/>
        <v>-4</v>
      </c>
      <c r="AY818">
        <f t="shared" si="141"/>
        <v>-3</v>
      </c>
      <c r="AZ818" t="str">
        <f t="shared" si="142"/>
        <v>TDP HardCore</v>
      </c>
    </row>
    <row r="819" spans="1:52" x14ac:dyDescent="0.3">
      <c r="A819" t="s">
        <v>4571</v>
      </c>
      <c r="B819" s="94">
        <v>46048</v>
      </c>
      <c r="C819" t="s">
        <v>4572</v>
      </c>
      <c r="D819" t="s">
        <v>4573</v>
      </c>
      <c r="E819" t="s">
        <v>4563</v>
      </c>
      <c r="F819" t="s">
        <v>240</v>
      </c>
      <c r="G819" t="s">
        <v>39</v>
      </c>
      <c r="H819" t="s">
        <v>4574</v>
      </c>
      <c r="I819" t="s">
        <v>36</v>
      </c>
      <c r="J819" t="s">
        <v>71</v>
      </c>
      <c r="K819" t="s">
        <v>215</v>
      </c>
      <c r="L819" t="s">
        <v>161</v>
      </c>
      <c r="M819" t="s">
        <v>443</v>
      </c>
      <c r="N819" t="s">
        <v>162</v>
      </c>
      <c r="O819" t="s">
        <v>4575</v>
      </c>
      <c r="P819">
        <v>9553463807</v>
      </c>
      <c r="Q819" t="s">
        <v>54</v>
      </c>
      <c r="R819" t="s">
        <v>2116</v>
      </c>
      <c r="S819" t="s">
        <v>43</v>
      </c>
      <c r="T819" t="s">
        <v>43</v>
      </c>
      <c r="U819" t="s">
        <v>44</v>
      </c>
      <c r="V819" t="s">
        <v>45</v>
      </c>
      <c r="W819" t="s">
        <v>5050</v>
      </c>
      <c r="X819" t="s">
        <v>91</v>
      </c>
      <c r="Y819" t="s">
        <v>46</v>
      </c>
      <c r="Z819" t="s">
        <v>242</v>
      </c>
      <c r="AA819" t="s">
        <v>242</v>
      </c>
      <c r="AB819" t="s">
        <v>49</v>
      </c>
      <c r="AC819" t="s">
        <v>49</v>
      </c>
      <c r="AD819" t="s">
        <v>481</v>
      </c>
      <c r="AE819" t="s">
        <v>185</v>
      </c>
      <c r="AF819">
        <v>0</v>
      </c>
      <c r="AG819" t="s">
        <v>196</v>
      </c>
      <c r="AH819" s="93">
        <f>VLOOKUP(Table1[[#This Row],[Caste]],Factor!$H$1:$K$13,4,0)</f>
        <v>1.1705128247062893</v>
      </c>
      <c r="AI819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819">
        <f>Table1[[#This Row],[Factor_1]]*Table1[[#This Row],[2024 Factor]]</f>
        <v>0.52890136495485462</v>
      </c>
      <c r="AK819">
        <f>VLOOKUP(Table1[[#This Row],[Q18: Gender]],Factor!$A$33:$E$35,5,0)</f>
        <v>0.85034013605442171</v>
      </c>
      <c r="AL819">
        <f>VLOOKUP(Table1[[#This Row],[Taluka]],Factor!$A$42:$G$46,7,0)</f>
        <v>1.1213131007097483</v>
      </c>
      <c r="AM819">
        <f>VLOOKUP(Table1[[#This Row],[Caste]]&amp;Table1[[#This Row],[Q18: Gender]],Factor!$W$1:$X$23,2,0)</f>
        <v>0.79950206330384943</v>
      </c>
      <c r="AN819">
        <f>VLOOKUP(Table1[[#This Row],[Taluka]]&amp;Table1[[#This Row],[Caste]]&amp;Table1[[#This Row],[Q18: Gender]],Factor!$AK$4:$AL$93,2,0)</f>
        <v>0.7401439088249181</v>
      </c>
      <c r="AO819">
        <f t="shared" si="132"/>
        <v>-1</v>
      </c>
      <c r="AP819">
        <f t="shared" si="133"/>
        <v>-1</v>
      </c>
      <c r="AQ819">
        <f t="shared" si="134"/>
        <v>-1</v>
      </c>
      <c r="AR819">
        <f t="shared" si="135"/>
        <v>1</v>
      </c>
      <c r="AS819">
        <f t="shared" si="136"/>
        <v>-1</v>
      </c>
      <c r="AT819">
        <f t="shared" si="137"/>
        <v>-1</v>
      </c>
      <c r="AU819">
        <f t="shared" si="138"/>
        <v>-3.5</v>
      </c>
      <c r="AV819">
        <f>SUM(Table1[[#This Row],[Satis]:[29]])</f>
        <v>-4</v>
      </c>
      <c r="AW819">
        <f t="shared" si="139"/>
        <v>-3</v>
      </c>
      <c r="AX819">
        <f t="shared" si="140"/>
        <v>-2</v>
      </c>
      <c r="AY819">
        <f t="shared" si="141"/>
        <v>-3</v>
      </c>
      <c r="AZ819" t="str">
        <f t="shared" si="142"/>
        <v>Neutral TDP</v>
      </c>
    </row>
    <row r="820" spans="1:52" x14ac:dyDescent="0.3">
      <c r="A820" t="s">
        <v>4576</v>
      </c>
      <c r="B820" s="94">
        <v>46048</v>
      </c>
      <c r="C820" t="s">
        <v>4577</v>
      </c>
      <c r="D820" t="s">
        <v>4578</v>
      </c>
      <c r="E820" t="s">
        <v>4579</v>
      </c>
      <c r="F820" t="s">
        <v>240</v>
      </c>
      <c r="G820" t="s">
        <v>39</v>
      </c>
      <c r="H820" t="s">
        <v>4580</v>
      </c>
      <c r="I820" t="s">
        <v>70</v>
      </c>
      <c r="J820" t="s">
        <v>71</v>
      </c>
      <c r="K820" t="s">
        <v>215</v>
      </c>
      <c r="L820" t="s">
        <v>75</v>
      </c>
      <c r="M820" t="s">
        <v>443</v>
      </c>
      <c r="N820" t="s">
        <v>63</v>
      </c>
      <c r="O820" t="s">
        <v>4581</v>
      </c>
      <c r="P820">
        <v>8919638247</v>
      </c>
      <c r="Q820" t="s">
        <v>54</v>
      </c>
      <c r="R820" t="s">
        <v>132</v>
      </c>
      <c r="S820" t="s">
        <v>89</v>
      </c>
      <c r="T820" t="s">
        <v>89</v>
      </c>
      <c r="U820" t="s">
        <v>90</v>
      </c>
      <c r="V820" t="s">
        <v>91</v>
      </c>
      <c r="W820" t="s">
        <v>5081</v>
      </c>
      <c r="X820" t="s">
        <v>91</v>
      </c>
      <c r="Y820" t="s">
        <v>638</v>
      </c>
      <c r="Z820" t="s">
        <v>92</v>
      </c>
      <c r="AA820" t="s">
        <v>92</v>
      </c>
      <c r="AB820" t="s">
        <v>93</v>
      </c>
      <c r="AC820" t="s">
        <v>94</v>
      </c>
      <c r="AD820" t="s">
        <v>481</v>
      </c>
      <c r="AE820" t="s">
        <v>185</v>
      </c>
      <c r="AF820">
        <v>0</v>
      </c>
      <c r="AG820" t="s">
        <v>196</v>
      </c>
      <c r="AH820" s="93">
        <f>VLOOKUP(Table1[[#This Row],[Caste]],Factor!$H$1:$K$13,4,0)</f>
        <v>1.3836274505214585</v>
      </c>
      <c r="AI820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820">
        <f>Table1[[#This Row],[Factor_1]]*Table1[[#This Row],[2024 Factor]]</f>
        <v>1.9482662206881376</v>
      </c>
      <c r="AK820">
        <f>VLOOKUP(Table1[[#This Row],[Q18: Gender]],Factor!$A$33:$E$35,5,0)</f>
        <v>0.85034013605442171</v>
      </c>
      <c r="AL820">
        <f>VLOOKUP(Table1[[#This Row],[Taluka]],Factor!$A$42:$G$46,7,0)</f>
        <v>1.1213131007097483</v>
      </c>
      <c r="AM820">
        <f>VLOOKUP(Table1[[#This Row],[Caste]]&amp;Table1[[#This Row],[Q18: Gender]],Factor!$W$1:$X$23,2,0)</f>
        <v>1.0790228998469584</v>
      </c>
      <c r="AN820">
        <f>VLOOKUP(Table1[[#This Row],[Taluka]]&amp;Table1[[#This Row],[Caste]]&amp;Table1[[#This Row],[Q18: Gender]],Factor!$AK$4:$AL$93,2,0)</f>
        <v>0.90933567693352424</v>
      </c>
      <c r="AO820">
        <f t="shared" si="132"/>
        <v>1</v>
      </c>
      <c r="AP820">
        <f t="shared" si="133"/>
        <v>1</v>
      </c>
      <c r="AQ820">
        <f t="shared" si="134"/>
        <v>1</v>
      </c>
      <c r="AR820">
        <f t="shared" si="135"/>
        <v>1</v>
      </c>
      <c r="AS820">
        <f t="shared" si="136"/>
        <v>1</v>
      </c>
      <c r="AT820">
        <f t="shared" si="137"/>
        <v>1</v>
      </c>
      <c r="AU820">
        <f t="shared" si="138"/>
        <v>5.5</v>
      </c>
      <c r="AV820">
        <f>SUM(Table1[[#This Row],[Satis]:[29]])</f>
        <v>6</v>
      </c>
      <c r="AW820">
        <f t="shared" si="139"/>
        <v>5</v>
      </c>
      <c r="AX820">
        <f t="shared" si="140"/>
        <v>4</v>
      </c>
      <c r="AY820">
        <f t="shared" si="141"/>
        <v>3</v>
      </c>
      <c r="AZ820" t="str">
        <f t="shared" si="142"/>
        <v>YSRCP HardCore</v>
      </c>
    </row>
    <row r="821" spans="1:52" x14ac:dyDescent="0.3">
      <c r="A821" t="s">
        <v>4582</v>
      </c>
      <c r="B821" s="94">
        <v>46048</v>
      </c>
      <c r="C821" t="s">
        <v>4583</v>
      </c>
      <c r="D821" t="s">
        <v>4584</v>
      </c>
      <c r="E821" t="s">
        <v>4579</v>
      </c>
      <c r="F821" t="s">
        <v>240</v>
      </c>
      <c r="G821" t="s">
        <v>39</v>
      </c>
      <c r="H821" t="s">
        <v>4585</v>
      </c>
      <c r="I821" t="s">
        <v>70</v>
      </c>
      <c r="J821" t="s">
        <v>71</v>
      </c>
      <c r="K821" t="s">
        <v>215</v>
      </c>
      <c r="L821" t="s">
        <v>82</v>
      </c>
      <c r="M821" t="s">
        <v>51</v>
      </c>
      <c r="N821" t="s">
        <v>107</v>
      </c>
      <c r="O821" t="s">
        <v>4586</v>
      </c>
      <c r="P821">
        <v>8179385569</v>
      </c>
      <c r="Q821" t="s">
        <v>54</v>
      </c>
      <c r="R821" t="s">
        <v>2116</v>
      </c>
      <c r="S821" t="s">
        <v>43</v>
      </c>
      <c r="T821" t="s">
        <v>43</v>
      </c>
      <c r="U821" t="s">
        <v>90</v>
      </c>
      <c r="V821" t="s">
        <v>45</v>
      </c>
      <c r="W821" t="s">
        <v>5068</v>
      </c>
      <c r="X821" t="s">
        <v>45</v>
      </c>
      <c r="Y821" t="s">
        <v>46</v>
      </c>
      <c r="Z821" t="s">
        <v>242</v>
      </c>
      <c r="AA821" t="s">
        <v>48</v>
      </c>
      <c r="AB821" t="s">
        <v>49</v>
      </c>
      <c r="AC821" t="s">
        <v>49</v>
      </c>
      <c r="AD821" t="s">
        <v>481</v>
      </c>
      <c r="AE821" t="s">
        <v>185</v>
      </c>
      <c r="AF821">
        <v>0</v>
      </c>
      <c r="AG821" t="s">
        <v>196</v>
      </c>
      <c r="AH821" s="93">
        <f>VLOOKUP(Table1[[#This Row],[Caste]],Factor!$H$1:$K$13,4,0)</f>
        <v>1.3836274505214585</v>
      </c>
      <c r="AI82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21">
        <f>Table1[[#This Row],[Factor_1]]*Table1[[#This Row],[2024 Factor]]</f>
        <v>1.1648410586678206</v>
      </c>
      <c r="AK821">
        <f>VLOOKUP(Table1[[#This Row],[Q18: Gender]],Factor!$A$33:$E$35,5,0)</f>
        <v>0.85034013605442171</v>
      </c>
      <c r="AL821">
        <f>VLOOKUP(Table1[[#This Row],[Taluka]],Factor!$A$42:$G$46,7,0)</f>
        <v>1.1213131007097483</v>
      </c>
      <c r="AM821">
        <f>VLOOKUP(Table1[[#This Row],[Caste]]&amp;Table1[[#This Row],[Q18: Gender]],Factor!$W$1:$X$23,2,0)</f>
        <v>1.0790228998469584</v>
      </c>
      <c r="AN821">
        <f>VLOOKUP(Table1[[#This Row],[Taluka]]&amp;Table1[[#This Row],[Caste]]&amp;Table1[[#This Row],[Q18: Gender]],Factor!$AK$4:$AL$93,2,0)</f>
        <v>0.90933567693352424</v>
      </c>
      <c r="AO821">
        <f t="shared" si="132"/>
        <v>-1</v>
      </c>
      <c r="AP821">
        <f t="shared" si="133"/>
        <v>1</v>
      </c>
      <c r="AQ821">
        <f t="shared" si="134"/>
        <v>-1</v>
      </c>
      <c r="AR821">
        <f t="shared" si="135"/>
        <v>-1</v>
      </c>
      <c r="AS821">
        <f t="shared" si="136"/>
        <v>-1</v>
      </c>
      <c r="AT821">
        <f t="shared" si="137"/>
        <v>-1</v>
      </c>
      <c r="AU821">
        <f t="shared" si="138"/>
        <v>-3.5</v>
      </c>
      <c r="AV821">
        <f>SUM(Table1[[#This Row],[Satis]:[29]])</f>
        <v>-4</v>
      </c>
      <c r="AW821">
        <f t="shared" si="139"/>
        <v>-5</v>
      </c>
      <c r="AX821">
        <f t="shared" si="140"/>
        <v>-4</v>
      </c>
      <c r="AY821">
        <f t="shared" si="141"/>
        <v>-3</v>
      </c>
      <c r="AZ821" t="str">
        <f t="shared" si="142"/>
        <v>TDP Sympathiser</v>
      </c>
    </row>
    <row r="822" spans="1:52" x14ac:dyDescent="0.3">
      <c r="A822" t="s">
        <v>4587</v>
      </c>
      <c r="B822" s="94">
        <v>46048</v>
      </c>
      <c r="C822" t="s">
        <v>4588</v>
      </c>
      <c r="D822" t="s">
        <v>4584</v>
      </c>
      <c r="E822" t="s">
        <v>4579</v>
      </c>
      <c r="F822" t="s">
        <v>240</v>
      </c>
      <c r="G822" t="s">
        <v>39</v>
      </c>
      <c r="H822" t="s">
        <v>4589</v>
      </c>
      <c r="I822" t="s">
        <v>70</v>
      </c>
      <c r="J822" t="s">
        <v>71</v>
      </c>
      <c r="K822" t="s">
        <v>215</v>
      </c>
      <c r="L822" t="s">
        <v>82</v>
      </c>
      <c r="M822" t="s">
        <v>51</v>
      </c>
      <c r="N822" t="s">
        <v>107</v>
      </c>
      <c r="O822" t="s">
        <v>4586</v>
      </c>
      <c r="P822">
        <v>8179385569</v>
      </c>
      <c r="Q822" t="s">
        <v>54</v>
      </c>
      <c r="R822" t="s">
        <v>2116</v>
      </c>
      <c r="S822" t="s">
        <v>43</v>
      </c>
      <c r="T822" t="s">
        <v>43</v>
      </c>
      <c r="U822" t="s">
        <v>90</v>
      </c>
      <c r="V822" t="s">
        <v>45</v>
      </c>
      <c r="W822" t="s">
        <v>5068</v>
      </c>
      <c r="X822" t="s">
        <v>45</v>
      </c>
      <c r="Y822" t="s">
        <v>46</v>
      </c>
      <c r="Z822" t="s">
        <v>242</v>
      </c>
      <c r="AA822" t="s">
        <v>48</v>
      </c>
      <c r="AB822" t="s">
        <v>49</v>
      </c>
      <c r="AC822" t="s">
        <v>49</v>
      </c>
      <c r="AD822">
        <v>0</v>
      </c>
      <c r="AE822" t="s">
        <v>185</v>
      </c>
      <c r="AF822">
        <v>0</v>
      </c>
      <c r="AG822" t="s">
        <v>196</v>
      </c>
      <c r="AH822" s="93">
        <f>VLOOKUP(Table1[[#This Row],[Caste]],Factor!$H$1:$K$13,4,0)</f>
        <v>1.3836274505214585</v>
      </c>
      <c r="AI82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22">
        <f>Table1[[#This Row],[Factor_1]]*Table1[[#This Row],[2024 Factor]]</f>
        <v>1.1648410586678206</v>
      </c>
      <c r="AK822">
        <f>VLOOKUP(Table1[[#This Row],[Q18: Gender]],Factor!$A$33:$E$35,5,0)</f>
        <v>0.85034013605442171</v>
      </c>
      <c r="AL822">
        <f>VLOOKUP(Table1[[#This Row],[Taluka]],Factor!$A$42:$G$46,7,0)</f>
        <v>1.1213131007097483</v>
      </c>
      <c r="AM822">
        <f>VLOOKUP(Table1[[#This Row],[Caste]]&amp;Table1[[#This Row],[Q18: Gender]],Factor!$W$1:$X$23,2,0)</f>
        <v>1.0790228998469584</v>
      </c>
      <c r="AN822">
        <f>VLOOKUP(Table1[[#This Row],[Taluka]]&amp;Table1[[#This Row],[Caste]]&amp;Table1[[#This Row],[Q18: Gender]],Factor!$AK$4:$AL$93,2,0)</f>
        <v>0.90933567693352424</v>
      </c>
      <c r="AO822">
        <f t="shared" si="132"/>
        <v>-1</v>
      </c>
      <c r="AP822">
        <f t="shared" si="133"/>
        <v>1</v>
      </c>
      <c r="AQ822">
        <f t="shared" si="134"/>
        <v>-1</v>
      </c>
      <c r="AR822">
        <f t="shared" si="135"/>
        <v>-1</v>
      </c>
      <c r="AS822">
        <f t="shared" si="136"/>
        <v>-1</v>
      </c>
      <c r="AT822">
        <f t="shared" si="137"/>
        <v>-1</v>
      </c>
      <c r="AU822">
        <f t="shared" si="138"/>
        <v>-3.5</v>
      </c>
      <c r="AV822">
        <f>SUM(Table1[[#This Row],[Satis]:[29]])</f>
        <v>-4</v>
      </c>
      <c r="AW822">
        <f t="shared" si="139"/>
        <v>-5</v>
      </c>
      <c r="AX822">
        <f t="shared" si="140"/>
        <v>-4</v>
      </c>
      <c r="AY822">
        <f t="shared" si="141"/>
        <v>-3</v>
      </c>
      <c r="AZ822" t="str">
        <f t="shared" si="142"/>
        <v>TDP Sympathiser</v>
      </c>
    </row>
    <row r="823" spans="1:52" x14ac:dyDescent="0.3">
      <c r="A823" t="s">
        <v>4590</v>
      </c>
      <c r="B823" s="94">
        <v>46048</v>
      </c>
      <c r="C823" t="s">
        <v>4591</v>
      </c>
      <c r="D823" t="s">
        <v>4584</v>
      </c>
      <c r="E823" t="s">
        <v>4579</v>
      </c>
      <c r="F823" t="s">
        <v>240</v>
      </c>
      <c r="G823" t="s">
        <v>39</v>
      </c>
      <c r="H823" t="s">
        <v>4592</v>
      </c>
      <c r="I823" t="s">
        <v>70</v>
      </c>
      <c r="J823" t="s">
        <v>71</v>
      </c>
      <c r="K823" t="s">
        <v>215</v>
      </c>
      <c r="L823" t="s">
        <v>82</v>
      </c>
      <c r="M823" t="s">
        <v>51</v>
      </c>
      <c r="N823" t="s">
        <v>107</v>
      </c>
      <c r="O823" t="s">
        <v>4586</v>
      </c>
      <c r="P823">
        <v>8179385569</v>
      </c>
      <c r="Q823" t="s">
        <v>54</v>
      </c>
      <c r="R823" t="s">
        <v>2116</v>
      </c>
      <c r="S823" t="s">
        <v>43</v>
      </c>
      <c r="T823" t="s">
        <v>43</v>
      </c>
      <c r="U823" t="s">
        <v>90</v>
      </c>
      <c r="V823" t="s">
        <v>45</v>
      </c>
      <c r="W823" t="s">
        <v>5068</v>
      </c>
      <c r="X823" t="s">
        <v>45</v>
      </c>
      <c r="Y823" t="s">
        <v>46</v>
      </c>
      <c r="Z823" t="s">
        <v>242</v>
      </c>
      <c r="AA823" t="s">
        <v>48</v>
      </c>
      <c r="AB823" t="s">
        <v>49</v>
      </c>
      <c r="AC823" t="s">
        <v>49</v>
      </c>
      <c r="AD823">
        <v>0</v>
      </c>
      <c r="AE823" t="s">
        <v>185</v>
      </c>
      <c r="AF823">
        <v>0</v>
      </c>
      <c r="AG823" t="s">
        <v>196</v>
      </c>
      <c r="AH823" s="93">
        <f>VLOOKUP(Table1[[#This Row],[Caste]],Factor!$H$1:$K$13,4,0)</f>
        <v>1.3836274505214585</v>
      </c>
      <c r="AI82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23">
        <f>Table1[[#This Row],[Factor_1]]*Table1[[#This Row],[2024 Factor]]</f>
        <v>1.1648410586678206</v>
      </c>
      <c r="AK823">
        <f>VLOOKUP(Table1[[#This Row],[Q18: Gender]],Factor!$A$33:$E$35,5,0)</f>
        <v>0.85034013605442171</v>
      </c>
      <c r="AL823">
        <f>VLOOKUP(Table1[[#This Row],[Taluka]],Factor!$A$42:$G$46,7,0)</f>
        <v>1.1213131007097483</v>
      </c>
      <c r="AM823">
        <f>VLOOKUP(Table1[[#This Row],[Caste]]&amp;Table1[[#This Row],[Q18: Gender]],Factor!$W$1:$X$23,2,0)</f>
        <v>1.0790228998469584</v>
      </c>
      <c r="AN823">
        <f>VLOOKUP(Table1[[#This Row],[Taluka]]&amp;Table1[[#This Row],[Caste]]&amp;Table1[[#This Row],[Q18: Gender]],Factor!$AK$4:$AL$93,2,0)</f>
        <v>0.90933567693352424</v>
      </c>
      <c r="AO823">
        <f t="shared" si="132"/>
        <v>-1</v>
      </c>
      <c r="AP823">
        <f t="shared" si="133"/>
        <v>1</v>
      </c>
      <c r="AQ823">
        <f t="shared" si="134"/>
        <v>-1</v>
      </c>
      <c r="AR823">
        <f t="shared" si="135"/>
        <v>-1</v>
      </c>
      <c r="AS823">
        <f t="shared" si="136"/>
        <v>-1</v>
      </c>
      <c r="AT823">
        <f t="shared" si="137"/>
        <v>-1</v>
      </c>
      <c r="AU823">
        <f t="shared" si="138"/>
        <v>-3.5</v>
      </c>
      <c r="AV823">
        <f>SUM(Table1[[#This Row],[Satis]:[29]])</f>
        <v>-4</v>
      </c>
      <c r="AW823">
        <f t="shared" si="139"/>
        <v>-5</v>
      </c>
      <c r="AX823">
        <f t="shared" si="140"/>
        <v>-4</v>
      </c>
      <c r="AY823">
        <f t="shared" si="141"/>
        <v>-3</v>
      </c>
      <c r="AZ823" t="str">
        <f t="shared" si="142"/>
        <v>TDP Sympathiser</v>
      </c>
    </row>
    <row r="824" spans="1:52" x14ac:dyDescent="0.3">
      <c r="A824" t="s">
        <v>4593</v>
      </c>
      <c r="B824" s="94">
        <v>46048</v>
      </c>
      <c r="C824" t="s">
        <v>4594</v>
      </c>
      <c r="D824" t="s">
        <v>4595</v>
      </c>
      <c r="E824" t="s">
        <v>4596</v>
      </c>
      <c r="F824" t="s">
        <v>240</v>
      </c>
      <c r="G824" t="s">
        <v>39</v>
      </c>
      <c r="H824" t="s">
        <v>4597</v>
      </c>
      <c r="I824" t="s">
        <v>36</v>
      </c>
      <c r="J824" t="s">
        <v>71</v>
      </c>
      <c r="K824" t="s">
        <v>215</v>
      </c>
      <c r="L824" t="s">
        <v>451</v>
      </c>
      <c r="M824" t="s">
        <v>51</v>
      </c>
      <c r="N824" t="s">
        <v>63</v>
      </c>
      <c r="O824" t="s">
        <v>4598</v>
      </c>
      <c r="P824">
        <v>6304232338</v>
      </c>
      <c r="Q824" t="s">
        <v>445</v>
      </c>
      <c r="R824" t="s">
        <v>61</v>
      </c>
      <c r="S824" t="s">
        <v>43</v>
      </c>
      <c r="T824" t="s">
        <v>43</v>
      </c>
      <c r="U824" t="s">
        <v>90</v>
      </c>
      <c r="V824" t="s">
        <v>45</v>
      </c>
      <c r="W824" t="s">
        <v>5069</v>
      </c>
      <c r="X824" t="s">
        <v>45</v>
      </c>
      <c r="Y824" t="s">
        <v>46</v>
      </c>
      <c r="Z824" t="s">
        <v>242</v>
      </c>
      <c r="AA824" t="s">
        <v>48</v>
      </c>
      <c r="AB824" t="s">
        <v>49</v>
      </c>
      <c r="AC824" t="s">
        <v>49</v>
      </c>
      <c r="AD824" t="s">
        <v>481</v>
      </c>
      <c r="AE824" t="s">
        <v>185</v>
      </c>
      <c r="AF824">
        <v>0</v>
      </c>
      <c r="AG824" t="s">
        <v>196</v>
      </c>
      <c r="AH824" s="93">
        <f>VLOOKUP(Table1[[#This Row],[Caste]],Factor!$H$1:$K$13,4,0)</f>
        <v>1.1705128247062893</v>
      </c>
      <c r="AI82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24">
        <f>Table1[[#This Row],[Factor_1]]*Table1[[#This Row],[2024 Factor]]</f>
        <v>2.3577066232182737</v>
      </c>
      <c r="AK824">
        <f>VLOOKUP(Table1[[#This Row],[Q18: Gender]],Factor!$A$33:$E$35,5,0)</f>
        <v>2.1645021645021645</v>
      </c>
      <c r="AL824">
        <f>VLOOKUP(Table1[[#This Row],[Taluka]],Factor!$A$42:$G$46,7,0)</f>
        <v>1.1213131007097483</v>
      </c>
      <c r="AM824">
        <f>VLOOKUP(Table1[[#This Row],[Caste]]&amp;Table1[[#This Row],[Q18: Gender]],Factor!$W$1:$X$23,2,0)</f>
        <v>2.1840056363422229</v>
      </c>
      <c r="AN824">
        <f>VLOOKUP(Table1[[#This Row],[Taluka]]&amp;Table1[[#This Row],[Caste]]&amp;Table1[[#This Row],[Q18: Gender]],Factor!$AK$4:$AL$93,2,0)</f>
        <v>0.95944580773600496</v>
      </c>
      <c r="AO824">
        <f t="shared" si="132"/>
        <v>-1</v>
      </c>
      <c r="AP824">
        <f t="shared" si="133"/>
        <v>1</v>
      </c>
      <c r="AQ824">
        <f t="shared" si="134"/>
        <v>-1</v>
      </c>
      <c r="AR824">
        <f t="shared" si="135"/>
        <v>-1</v>
      </c>
      <c r="AS824">
        <f t="shared" si="136"/>
        <v>-1</v>
      </c>
      <c r="AT824">
        <f t="shared" si="137"/>
        <v>-1</v>
      </c>
      <c r="AU824">
        <f t="shared" si="138"/>
        <v>-3.5</v>
      </c>
      <c r="AV824">
        <f>SUM(Table1[[#This Row],[Satis]:[29]])</f>
        <v>-4</v>
      </c>
      <c r="AW824">
        <f t="shared" si="139"/>
        <v>-5</v>
      </c>
      <c r="AX824">
        <f t="shared" si="140"/>
        <v>-4</v>
      </c>
      <c r="AY824">
        <f t="shared" si="141"/>
        <v>-3</v>
      </c>
      <c r="AZ824" t="str">
        <f t="shared" si="142"/>
        <v>TDP Sympathiser</v>
      </c>
    </row>
    <row r="825" spans="1:52" x14ac:dyDescent="0.3">
      <c r="A825" t="s">
        <v>4599</v>
      </c>
      <c r="B825" s="94">
        <v>46048</v>
      </c>
      <c r="C825" t="s">
        <v>4600</v>
      </c>
      <c r="D825" t="s">
        <v>4595</v>
      </c>
      <c r="E825" t="s">
        <v>4596</v>
      </c>
      <c r="F825" t="s">
        <v>240</v>
      </c>
      <c r="G825" t="s">
        <v>39</v>
      </c>
      <c r="H825" t="s">
        <v>4601</v>
      </c>
      <c r="I825" t="s">
        <v>36</v>
      </c>
      <c r="J825" t="s">
        <v>71</v>
      </c>
      <c r="K825" t="s">
        <v>215</v>
      </c>
      <c r="L825" t="s">
        <v>451</v>
      </c>
      <c r="M825" t="s">
        <v>51</v>
      </c>
      <c r="N825" t="s">
        <v>63</v>
      </c>
      <c r="O825" t="s">
        <v>4598</v>
      </c>
      <c r="P825">
        <v>6304232338</v>
      </c>
      <c r="Q825" t="s">
        <v>445</v>
      </c>
      <c r="R825" t="s">
        <v>61</v>
      </c>
      <c r="S825" t="s">
        <v>43</v>
      </c>
      <c r="T825" t="s">
        <v>43</v>
      </c>
      <c r="U825" t="s">
        <v>90</v>
      </c>
      <c r="V825" t="s">
        <v>45</v>
      </c>
      <c r="W825" t="s">
        <v>5069</v>
      </c>
      <c r="X825" t="s">
        <v>45</v>
      </c>
      <c r="Y825" t="s">
        <v>46</v>
      </c>
      <c r="Z825" t="s">
        <v>242</v>
      </c>
      <c r="AA825" t="s">
        <v>48</v>
      </c>
      <c r="AB825" t="s">
        <v>49</v>
      </c>
      <c r="AC825" t="s">
        <v>49</v>
      </c>
      <c r="AD825">
        <v>0</v>
      </c>
      <c r="AE825" t="s">
        <v>185</v>
      </c>
      <c r="AF825">
        <v>0</v>
      </c>
      <c r="AG825" t="s">
        <v>196</v>
      </c>
      <c r="AH825" s="93">
        <f>VLOOKUP(Table1[[#This Row],[Caste]],Factor!$H$1:$K$13,4,0)</f>
        <v>1.1705128247062893</v>
      </c>
      <c r="AI82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25">
        <f>Table1[[#This Row],[Factor_1]]*Table1[[#This Row],[2024 Factor]]</f>
        <v>2.3577066232182737</v>
      </c>
      <c r="AK825">
        <f>VLOOKUP(Table1[[#This Row],[Q18: Gender]],Factor!$A$33:$E$35,5,0)</f>
        <v>2.1645021645021645</v>
      </c>
      <c r="AL825">
        <f>VLOOKUP(Table1[[#This Row],[Taluka]],Factor!$A$42:$G$46,7,0)</f>
        <v>1.1213131007097483</v>
      </c>
      <c r="AM825">
        <f>VLOOKUP(Table1[[#This Row],[Caste]]&amp;Table1[[#This Row],[Q18: Gender]],Factor!$W$1:$X$23,2,0)</f>
        <v>2.1840056363422229</v>
      </c>
      <c r="AN825">
        <f>VLOOKUP(Table1[[#This Row],[Taluka]]&amp;Table1[[#This Row],[Caste]]&amp;Table1[[#This Row],[Q18: Gender]],Factor!$AK$4:$AL$93,2,0)</f>
        <v>0.95944580773600496</v>
      </c>
      <c r="AO825">
        <f t="shared" si="132"/>
        <v>-1</v>
      </c>
      <c r="AP825">
        <f t="shared" si="133"/>
        <v>1</v>
      </c>
      <c r="AQ825">
        <f t="shared" si="134"/>
        <v>-1</v>
      </c>
      <c r="AR825">
        <f t="shared" si="135"/>
        <v>-1</v>
      </c>
      <c r="AS825">
        <f t="shared" si="136"/>
        <v>-1</v>
      </c>
      <c r="AT825">
        <f t="shared" si="137"/>
        <v>-1</v>
      </c>
      <c r="AU825">
        <f t="shared" si="138"/>
        <v>-3.5</v>
      </c>
      <c r="AV825">
        <f>SUM(Table1[[#This Row],[Satis]:[29]])</f>
        <v>-4</v>
      </c>
      <c r="AW825">
        <f t="shared" si="139"/>
        <v>-5</v>
      </c>
      <c r="AX825">
        <f t="shared" si="140"/>
        <v>-4</v>
      </c>
      <c r="AY825">
        <f t="shared" si="141"/>
        <v>-3</v>
      </c>
      <c r="AZ825" t="str">
        <f t="shared" si="142"/>
        <v>TDP Sympathiser</v>
      </c>
    </row>
    <row r="826" spans="1:52" x14ac:dyDescent="0.3">
      <c r="A826" t="s">
        <v>4602</v>
      </c>
      <c r="B826" s="94">
        <v>46048</v>
      </c>
      <c r="C826" t="s">
        <v>4603</v>
      </c>
      <c r="D826" t="s">
        <v>4595</v>
      </c>
      <c r="E826" t="s">
        <v>4596</v>
      </c>
      <c r="F826" t="s">
        <v>240</v>
      </c>
      <c r="G826" t="s">
        <v>39</v>
      </c>
      <c r="H826" t="s">
        <v>4604</v>
      </c>
      <c r="I826" t="s">
        <v>36</v>
      </c>
      <c r="J826" t="s">
        <v>71</v>
      </c>
      <c r="K826" t="s">
        <v>215</v>
      </c>
      <c r="L826" t="s">
        <v>451</v>
      </c>
      <c r="M826" t="s">
        <v>51</v>
      </c>
      <c r="N826" t="s">
        <v>63</v>
      </c>
      <c r="O826" t="s">
        <v>4598</v>
      </c>
      <c r="P826">
        <v>6304232338</v>
      </c>
      <c r="Q826" t="s">
        <v>445</v>
      </c>
      <c r="R826" t="s">
        <v>61</v>
      </c>
      <c r="S826" t="s">
        <v>43</v>
      </c>
      <c r="T826" t="s">
        <v>43</v>
      </c>
      <c r="U826" t="s">
        <v>90</v>
      </c>
      <c r="V826" t="s">
        <v>45</v>
      </c>
      <c r="W826" t="s">
        <v>5069</v>
      </c>
      <c r="X826" t="s">
        <v>45</v>
      </c>
      <c r="Y826" t="s">
        <v>46</v>
      </c>
      <c r="Z826" t="s">
        <v>242</v>
      </c>
      <c r="AA826" t="s">
        <v>48</v>
      </c>
      <c r="AB826" t="s">
        <v>49</v>
      </c>
      <c r="AC826" t="s">
        <v>49</v>
      </c>
      <c r="AD826">
        <v>0</v>
      </c>
      <c r="AE826" t="s">
        <v>185</v>
      </c>
      <c r="AF826">
        <v>0</v>
      </c>
      <c r="AG826" t="s">
        <v>196</v>
      </c>
      <c r="AH826" s="93">
        <f>VLOOKUP(Table1[[#This Row],[Caste]],Factor!$H$1:$K$13,4,0)</f>
        <v>1.1705128247062893</v>
      </c>
      <c r="AI82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26">
        <f>Table1[[#This Row],[Factor_1]]*Table1[[#This Row],[2024 Factor]]</f>
        <v>2.3577066232182737</v>
      </c>
      <c r="AK826">
        <f>VLOOKUP(Table1[[#This Row],[Q18: Gender]],Factor!$A$33:$E$35,5,0)</f>
        <v>2.1645021645021645</v>
      </c>
      <c r="AL826">
        <f>VLOOKUP(Table1[[#This Row],[Taluka]],Factor!$A$42:$G$46,7,0)</f>
        <v>1.1213131007097483</v>
      </c>
      <c r="AM826">
        <f>VLOOKUP(Table1[[#This Row],[Caste]]&amp;Table1[[#This Row],[Q18: Gender]],Factor!$W$1:$X$23,2,0)</f>
        <v>2.1840056363422229</v>
      </c>
      <c r="AN826">
        <f>VLOOKUP(Table1[[#This Row],[Taluka]]&amp;Table1[[#This Row],[Caste]]&amp;Table1[[#This Row],[Q18: Gender]],Factor!$AK$4:$AL$93,2,0)</f>
        <v>0.95944580773600496</v>
      </c>
      <c r="AO826">
        <f t="shared" si="132"/>
        <v>-1</v>
      </c>
      <c r="AP826">
        <f t="shared" si="133"/>
        <v>1</v>
      </c>
      <c r="AQ826">
        <f t="shared" si="134"/>
        <v>-1</v>
      </c>
      <c r="AR826">
        <f t="shared" si="135"/>
        <v>-1</v>
      </c>
      <c r="AS826">
        <f t="shared" si="136"/>
        <v>-1</v>
      </c>
      <c r="AT826">
        <f t="shared" si="137"/>
        <v>-1</v>
      </c>
      <c r="AU826">
        <f t="shared" si="138"/>
        <v>-3.5</v>
      </c>
      <c r="AV826">
        <f>SUM(Table1[[#This Row],[Satis]:[29]])</f>
        <v>-4</v>
      </c>
      <c r="AW826">
        <f t="shared" si="139"/>
        <v>-5</v>
      </c>
      <c r="AX826">
        <f t="shared" si="140"/>
        <v>-4</v>
      </c>
      <c r="AY826">
        <f t="shared" si="141"/>
        <v>-3</v>
      </c>
      <c r="AZ826" t="str">
        <f t="shared" si="142"/>
        <v>TDP Sympathiser</v>
      </c>
    </row>
    <row r="827" spans="1:52" x14ac:dyDescent="0.3">
      <c r="A827" t="s">
        <v>4605</v>
      </c>
      <c r="B827" s="94">
        <v>46048</v>
      </c>
      <c r="C827" t="s">
        <v>4606</v>
      </c>
      <c r="D827" t="s">
        <v>4607</v>
      </c>
      <c r="E827" t="s">
        <v>4596</v>
      </c>
      <c r="F827" t="s">
        <v>240</v>
      </c>
      <c r="G827" t="s">
        <v>39</v>
      </c>
      <c r="H827" t="s">
        <v>4608</v>
      </c>
      <c r="I827" t="s">
        <v>70</v>
      </c>
      <c r="J827" t="s">
        <v>71</v>
      </c>
      <c r="K827" t="s">
        <v>215</v>
      </c>
      <c r="L827" t="s">
        <v>62</v>
      </c>
      <c r="M827" t="s">
        <v>51</v>
      </c>
      <c r="N827" t="s">
        <v>63</v>
      </c>
      <c r="O827" t="s">
        <v>1933</v>
      </c>
      <c r="P827">
        <v>8501036617</v>
      </c>
      <c r="Q827" t="s">
        <v>445</v>
      </c>
      <c r="R827" t="s">
        <v>2116</v>
      </c>
      <c r="S827" t="s">
        <v>43</v>
      </c>
      <c r="T827" t="s">
        <v>43</v>
      </c>
      <c r="U827" t="s">
        <v>44</v>
      </c>
      <c r="V827" t="s">
        <v>91</v>
      </c>
      <c r="W827" t="s">
        <v>5054</v>
      </c>
      <c r="X827" t="s">
        <v>91</v>
      </c>
      <c r="Y827" t="s">
        <v>46</v>
      </c>
      <c r="Z827" t="s">
        <v>92</v>
      </c>
      <c r="AA827" t="s">
        <v>92</v>
      </c>
      <c r="AB827" t="s">
        <v>93</v>
      </c>
      <c r="AC827" t="s">
        <v>470</v>
      </c>
      <c r="AD827" t="s">
        <v>481</v>
      </c>
      <c r="AE827" t="s">
        <v>185</v>
      </c>
      <c r="AF827">
        <v>0</v>
      </c>
      <c r="AG827" t="s">
        <v>196</v>
      </c>
      <c r="AH827" s="93">
        <f>VLOOKUP(Table1[[#This Row],[Caste]],Factor!$H$1:$K$13,4,0)</f>
        <v>1.3836274505214585</v>
      </c>
      <c r="AI827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827">
        <f>Table1[[#This Row],[Factor_1]]*Table1[[#This Row],[2024 Factor]]</f>
        <v>3.4809023142961388</v>
      </c>
      <c r="AK827">
        <f>VLOOKUP(Table1[[#This Row],[Q18: Gender]],Factor!$A$33:$E$35,5,0)</f>
        <v>2.1645021645021645</v>
      </c>
      <c r="AL827">
        <f>VLOOKUP(Table1[[#This Row],[Taluka]],Factor!$A$42:$G$46,7,0)</f>
        <v>1.1213131007097483</v>
      </c>
      <c r="AM827">
        <f>VLOOKUP(Table1[[#This Row],[Caste]]&amp;Table1[[#This Row],[Q18: Gender]],Factor!$W$1:$X$23,2,0)</f>
        <v>1.9278542477265657</v>
      </c>
      <c r="AN827">
        <f>VLOOKUP(Table1[[#This Row],[Taluka]]&amp;Table1[[#This Row],[Caste]]&amp;Table1[[#This Row],[Q18: Gender]],Factor!$AK$4:$AL$93,2,0)</f>
        <v>1.2302776805571209</v>
      </c>
      <c r="AO827">
        <f t="shared" si="132"/>
        <v>-1</v>
      </c>
      <c r="AP827">
        <f t="shared" si="133"/>
        <v>-1</v>
      </c>
      <c r="AQ827">
        <f t="shared" si="134"/>
        <v>1</v>
      </c>
      <c r="AR827">
        <f t="shared" si="135"/>
        <v>1</v>
      </c>
      <c r="AS827">
        <f t="shared" si="136"/>
        <v>1</v>
      </c>
      <c r="AT827">
        <f t="shared" si="137"/>
        <v>1</v>
      </c>
      <c r="AU827">
        <f t="shared" si="138"/>
        <v>1.5</v>
      </c>
      <c r="AV827">
        <f>SUM(Table1[[#This Row],[Satis]:[29]])</f>
        <v>2</v>
      </c>
      <c r="AW827">
        <f t="shared" si="139"/>
        <v>3</v>
      </c>
      <c r="AX827">
        <f t="shared" si="140"/>
        <v>4</v>
      </c>
      <c r="AY827">
        <f t="shared" si="141"/>
        <v>2</v>
      </c>
      <c r="AZ827" t="str">
        <f t="shared" si="142"/>
        <v>YSRCP Sympathiser</v>
      </c>
    </row>
    <row r="828" spans="1:52" x14ac:dyDescent="0.3">
      <c r="A828" t="s">
        <v>4609</v>
      </c>
      <c r="B828" s="94">
        <v>46048</v>
      </c>
      <c r="C828" t="s">
        <v>4610</v>
      </c>
      <c r="D828" t="s">
        <v>4607</v>
      </c>
      <c r="E828" t="s">
        <v>4596</v>
      </c>
      <c r="F828" t="s">
        <v>240</v>
      </c>
      <c r="G828" t="s">
        <v>39</v>
      </c>
      <c r="H828" t="s">
        <v>4611</v>
      </c>
      <c r="I828" t="s">
        <v>70</v>
      </c>
      <c r="J828" t="s">
        <v>71</v>
      </c>
      <c r="K828" t="s">
        <v>215</v>
      </c>
      <c r="L828" t="s">
        <v>62</v>
      </c>
      <c r="M828" t="s">
        <v>51</v>
      </c>
      <c r="N828" t="s">
        <v>63</v>
      </c>
      <c r="O828" t="s">
        <v>1933</v>
      </c>
      <c r="P828">
        <v>8501036617</v>
      </c>
      <c r="Q828" t="s">
        <v>445</v>
      </c>
      <c r="R828" t="s">
        <v>2116</v>
      </c>
      <c r="S828" t="s">
        <v>43</v>
      </c>
      <c r="T828" t="s">
        <v>43</v>
      </c>
      <c r="U828" t="s">
        <v>44</v>
      </c>
      <c r="V828" t="s">
        <v>91</v>
      </c>
      <c r="W828" t="s">
        <v>5054</v>
      </c>
      <c r="X828" t="s">
        <v>91</v>
      </c>
      <c r="Y828" t="s">
        <v>46</v>
      </c>
      <c r="Z828" t="s">
        <v>92</v>
      </c>
      <c r="AA828" t="s">
        <v>92</v>
      </c>
      <c r="AB828" t="s">
        <v>93</v>
      </c>
      <c r="AC828" t="s">
        <v>470</v>
      </c>
      <c r="AD828">
        <v>0</v>
      </c>
      <c r="AE828" t="s">
        <v>185</v>
      </c>
      <c r="AF828">
        <v>0</v>
      </c>
      <c r="AG828" t="s">
        <v>196</v>
      </c>
      <c r="AH828" s="93">
        <f>VLOOKUP(Table1[[#This Row],[Caste]],Factor!$H$1:$K$13,4,0)</f>
        <v>1.3836274505214585</v>
      </c>
      <c r="AI828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828">
        <f>Table1[[#This Row],[Factor_1]]*Table1[[#This Row],[2024 Factor]]</f>
        <v>3.4809023142961388</v>
      </c>
      <c r="AK828">
        <f>VLOOKUP(Table1[[#This Row],[Q18: Gender]],Factor!$A$33:$E$35,5,0)</f>
        <v>2.1645021645021645</v>
      </c>
      <c r="AL828">
        <f>VLOOKUP(Table1[[#This Row],[Taluka]],Factor!$A$42:$G$46,7,0)</f>
        <v>1.1213131007097483</v>
      </c>
      <c r="AM828">
        <f>VLOOKUP(Table1[[#This Row],[Caste]]&amp;Table1[[#This Row],[Q18: Gender]],Factor!$W$1:$X$23,2,0)</f>
        <v>1.9278542477265657</v>
      </c>
      <c r="AN828">
        <f>VLOOKUP(Table1[[#This Row],[Taluka]]&amp;Table1[[#This Row],[Caste]]&amp;Table1[[#This Row],[Q18: Gender]],Factor!$AK$4:$AL$93,2,0)</f>
        <v>1.2302776805571209</v>
      </c>
      <c r="AO828">
        <f t="shared" si="132"/>
        <v>-1</v>
      </c>
      <c r="AP828">
        <f t="shared" si="133"/>
        <v>-1</v>
      </c>
      <c r="AQ828">
        <f t="shared" si="134"/>
        <v>1</v>
      </c>
      <c r="AR828">
        <f t="shared" si="135"/>
        <v>1</v>
      </c>
      <c r="AS828">
        <f t="shared" si="136"/>
        <v>1</v>
      </c>
      <c r="AT828">
        <f t="shared" si="137"/>
        <v>1</v>
      </c>
      <c r="AU828">
        <f t="shared" si="138"/>
        <v>1.5</v>
      </c>
      <c r="AV828">
        <f>SUM(Table1[[#This Row],[Satis]:[29]])</f>
        <v>2</v>
      </c>
      <c r="AW828">
        <f t="shared" si="139"/>
        <v>3</v>
      </c>
      <c r="AX828">
        <f t="shared" si="140"/>
        <v>4</v>
      </c>
      <c r="AY828">
        <f t="shared" si="141"/>
        <v>2</v>
      </c>
      <c r="AZ828" t="str">
        <f t="shared" si="142"/>
        <v>YSRCP Sympathiser</v>
      </c>
    </row>
    <row r="829" spans="1:52" x14ac:dyDescent="0.3">
      <c r="A829" t="s">
        <v>4612</v>
      </c>
      <c r="B829" s="94">
        <v>46048</v>
      </c>
      <c r="C829" t="s">
        <v>4613</v>
      </c>
      <c r="D829" t="s">
        <v>4614</v>
      </c>
      <c r="E829" t="s">
        <v>4596</v>
      </c>
      <c r="F829" t="s">
        <v>240</v>
      </c>
      <c r="G829" t="s">
        <v>39</v>
      </c>
      <c r="H829" t="s">
        <v>4615</v>
      </c>
      <c r="I829" t="s">
        <v>36</v>
      </c>
      <c r="J829" t="s">
        <v>71</v>
      </c>
      <c r="K829" t="s">
        <v>215</v>
      </c>
      <c r="L829" t="s">
        <v>62</v>
      </c>
      <c r="M829" t="s">
        <v>51</v>
      </c>
      <c r="N829" t="s">
        <v>52</v>
      </c>
      <c r="O829" t="s">
        <v>4616</v>
      </c>
      <c r="P829">
        <v>9618604376</v>
      </c>
      <c r="Q829" t="s">
        <v>445</v>
      </c>
      <c r="R829" t="s">
        <v>132</v>
      </c>
      <c r="S829" t="s">
        <v>43</v>
      </c>
      <c r="T829" t="s">
        <v>43</v>
      </c>
      <c r="U829" t="s">
        <v>44</v>
      </c>
      <c r="V829" t="s">
        <v>45</v>
      </c>
      <c r="W829" t="s">
        <v>5042</v>
      </c>
      <c r="X829" t="s">
        <v>45</v>
      </c>
      <c r="Y829" t="s">
        <v>46</v>
      </c>
      <c r="Z829" t="s">
        <v>47</v>
      </c>
      <c r="AA829" t="s">
        <v>48</v>
      </c>
      <c r="AB829" t="s">
        <v>49</v>
      </c>
      <c r="AC829" t="s">
        <v>49</v>
      </c>
      <c r="AD829" t="s">
        <v>481</v>
      </c>
      <c r="AE829" t="s">
        <v>185</v>
      </c>
      <c r="AF829">
        <v>0</v>
      </c>
      <c r="AG829" t="s">
        <v>196</v>
      </c>
      <c r="AH829" s="93">
        <f>VLOOKUP(Table1[[#This Row],[Caste]],Factor!$H$1:$K$13,4,0)</f>
        <v>1.1705128247062893</v>
      </c>
      <c r="AI82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29">
        <f>Table1[[#This Row],[Factor_1]]*Table1[[#This Row],[2024 Factor]]</f>
        <v>2.3577066232182737</v>
      </c>
      <c r="AK829">
        <f>VLOOKUP(Table1[[#This Row],[Q18: Gender]],Factor!$A$33:$E$35,5,0)</f>
        <v>2.1645021645021645</v>
      </c>
      <c r="AL829">
        <f>VLOOKUP(Table1[[#This Row],[Taluka]],Factor!$A$42:$G$46,7,0)</f>
        <v>1.1213131007097483</v>
      </c>
      <c r="AM829">
        <f>VLOOKUP(Table1[[#This Row],[Caste]]&amp;Table1[[#This Row],[Q18: Gender]],Factor!$W$1:$X$23,2,0)</f>
        <v>2.1840056363422229</v>
      </c>
      <c r="AN829">
        <f>VLOOKUP(Table1[[#This Row],[Taluka]]&amp;Table1[[#This Row],[Caste]]&amp;Table1[[#This Row],[Q18: Gender]],Factor!$AK$4:$AL$93,2,0)</f>
        <v>0.95944580773600496</v>
      </c>
      <c r="AO829">
        <f t="shared" si="132"/>
        <v>-1</v>
      </c>
      <c r="AP829">
        <f t="shared" si="133"/>
        <v>-1</v>
      </c>
      <c r="AQ829">
        <f t="shared" si="134"/>
        <v>-1</v>
      </c>
      <c r="AR829">
        <f t="shared" si="135"/>
        <v>-1</v>
      </c>
      <c r="AS829">
        <f t="shared" si="136"/>
        <v>-1</v>
      </c>
      <c r="AT829">
        <f t="shared" si="137"/>
        <v>-1</v>
      </c>
      <c r="AU829">
        <f t="shared" si="138"/>
        <v>-5.5</v>
      </c>
      <c r="AV829">
        <f>SUM(Table1[[#This Row],[Satis]:[29]])</f>
        <v>-6</v>
      </c>
      <c r="AW829">
        <f t="shared" si="139"/>
        <v>-5</v>
      </c>
      <c r="AX829">
        <f t="shared" si="140"/>
        <v>-4</v>
      </c>
      <c r="AY829">
        <f t="shared" si="141"/>
        <v>-3</v>
      </c>
      <c r="AZ829" t="str">
        <f t="shared" si="142"/>
        <v>TDP HardCore</v>
      </c>
    </row>
    <row r="830" spans="1:52" x14ac:dyDescent="0.3">
      <c r="A830" t="s">
        <v>4617</v>
      </c>
      <c r="B830" s="94">
        <v>46048</v>
      </c>
      <c r="C830" t="s">
        <v>4618</v>
      </c>
      <c r="D830" t="s">
        <v>4619</v>
      </c>
      <c r="E830" t="s">
        <v>1197</v>
      </c>
      <c r="F830" t="s">
        <v>240</v>
      </c>
      <c r="G830" t="s">
        <v>39</v>
      </c>
      <c r="H830" t="s">
        <v>4620</v>
      </c>
      <c r="I830" t="s">
        <v>70</v>
      </c>
      <c r="J830" t="s">
        <v>71</v>
      </c>
      <c r="K830" t="s">
        <v>215</v>
      </c>
      <c r="L830" t="s">
        <v>451</v>
      </c>
      <c r="M830" t="s">
        <v>51</v>
      </c>
      <c r="N830" t="s">
        <v>52</v>
      </c>
      <c r="O830" t="s">
        <v>4621</v>
      </c>
      <c r="P830">
        <v>9999999999</v>
      </c>
      <c r="Q830" t="s">
        <v>445</v>
      </c>
      <c r="R830" t="s">
        <v>2116</v>
      </c>
      <c r="S830" t="s">
        <v>43</v>
      </c>
      <c r="T830" t="s">
        <v>43</v>
      </c>
      <c r="U830" t="s">
        <v>44</v>
      </c>
      <c r="V830" t="s">
        <v>45</v>
      </c>
      <c r="W830" t="s">
        <v>5054</v>
      </c>
      <c r="X830" t="s">
        <v>45</v>
      </c>
      <c r="Y830" t="s">
        <v>46</v>
      </c>
      <c r="Z830" t="s">
        <v>47</v>
      </c>
      <c r="AA830" t="s">
        <v>48</v>
      </c>
      <c r="AB830" t="s">
        <v>49</v>
      </c>
      <c r="AC830" t="s">
        <v>49</v>
      </c>
      <c r="AD830" t="s">
        <v>481</v>
      </c>
      <c r="AE830" t="s">
        <v>189</v>
      </c>
      <c r="AF830" t="s">
        <v>4739</v>
      </c>
      <c r="AG830" t="s">
        <v>196</v>
      </c>
      <c r="AH830" s="93">
        <f>VLOOKUP(Table1[[#This Row],[Caste]],Factor!$H$1:$K$13,4,0)</f>
        <v>1.3836274505214585</v>
      </c>
      <c r="AI83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30">
        <f>Table1[[#This Row],[Factor_1]]*Table1[[#This Row],[2024 Factor]]</f>
        <v>2.0811826914865059</v>
      </c>
      <c r="AK830">
        <f>VLOOKUP(Table1[[#This Row],[Q18: Gender]],Factor!$A$33:$E$35,5,0)</f>
        <v>2.1645021645021645</v>
      </c>
      <c r="AL830">
        <f>VLOOKUP(Table1[[#This Row],[Taluka]],Factor!$A$42:$G$46,7,0)</f>
        <v>1.1213131007097483</v>
      </c>
      <c r="AM830">
        <f>VLOOKUP(Table1[[#This Row],[Caste]]&amp;Table1[[#This Row],[Q18: Gender]],Factor!$W$1:$X$23,2,0)</f>
        <v>1.9278542477265657</v>
      </c>
      <c r="AN830">
        <f>VLOOKUP(Table1[[#This Row],[Taluka]]&amp;Table1[[#This Row],[Caste]]&amp;Table1[[#This Row],[Q18: Gender]],Factor!$AK$4:$AL$93,2,0)</f>
        <v>1.2302776805571209</v>
      </c>
      <c r="AO830">
        <f t="shared" si="132"/>
        <v>-1</v>
      </c>
      <c r="AP830">
        <f t="shared" si="133"/>
        <v>-1</v>
      </c>
      <c r="AQ830">
        <f t="shared" si="134"/>
        <v>-1</v>
      </c>
      <c r="AR830">
        <f t="shared" si="135"/>
        <v>-1</v>
      </c>
      <c r="AS830">
        <f t="shared" si="136"/>
        <v>-1</v>
      </c>
      <c r="AT830">
        <f t="shared" si="137"/>
        <v>-1</v>
      </c>
      <c r="AU830">
        <f t="shared" si="138"/>
        <v>-5.5</v>
      </c>
      <c r="AV830">
        <f>SUM(Table1[[#This Row],[Satis]:[29]])</f>
        <v>-6</v>
      </c>
      <c r="AW830">
        <f t="shared" si="139"/>
        <v>-5</v>
      </c>
      <c r="AX830">
        <f t="shared" si="140"/>
        <v>-4</v>
      </c>
      <c r="AY830">
        <f t="shared" si="141"/>
        <v>-3</v>
      </c>
      <c r="AZ830" t="str">
        <f t="shared" si="142"/>
        <v>TDP HardCore</v>
      </c>
    </row>
    <row r="831" spans="1:52" x14ac:dyDescent="0.3">
      <c r="A831" t="s">
        <v>4622</v>
      </c>
      <c r="B831" s="94">
        <v>46048</v>
      </c>
      <c r="C831" t="s">
        <v>4623</v>
      </c>
      <c r="D831" t="s">
        <v>4624</v>
      </c>
      <c r="E831" t="s">
        <v>4625</v>
      </c>
      <c r="F831" t="s">
        <v>240</v>
      </c>
      <c r="G831" t="s">
        <v>39</v>
      </c>
      <c r="H831" t="s">
        <v>4626</v>
      </c>
      <c r="I831" t="s">
        <v>70</v>
      </c>
      <c r="J831" t="s">
        <v>71</v>
      </c>
      <c r="K831" t="s">
        <v>215</v>
      </c>
      <c r="L831" t="s">
        <v>925</v>
      </c>
      <c r="M831" t="s">
        <v>51</v>
      </c>
      <c r="N831" t="s">
        <v>107</v>
      </c>
      <c r="O831" t="s">
        <v>4627</v>
      </c>
      <c r="P831">
        <v>8096052256</v>
      </c>
      <c r="Q831" t="s">
        <v>54</v>
      </c>
      <c r="R831" t="s">
        <v>132</v>
      </c>
      <c r="S831" t="s">
        <v>43</v>
      </c>
      <c r="T831" t="s">
        <v>43</v>
      </c>
      <c r="U831" t="s">
        <v>44</v>
      </c>
      <c r="V831" t="s">
        <v>45</v>
      </c>
      <c r="W831" t="s">
        <v>5054</v>
      </c>
      <c r="X831" t="s">
        <v>91</v>
      </c>
      <c r="Y831" t="s">
        <v>46</v>
      </c>
      <c r="Z831" t="s">
        <v>47</v>
      </c>
      <c r="AA831" t="s">
        <v>48</v>
      </c>
      <c r="AB831" t="s">
        <v>49</v>
      </c>
      <c r="AC831" t="s">
        <v>49</v>
      </c>
      <c r="AD831" t="s">
        <v>481</v>
      </c>
      <c r="AE831" t="s">
        <v>185</v>
      </c>
      <c r="AF831">
        <v>0</v>
      </c>
      <c r="AG831" t="s">
        <v>196</v>
      </c>
      <c r="AH831" s="93">
        <f>VLOOKUP(Table1[[#This Row],[Caste]],Factor!$H$1:$K$13,4,0)</f>
        <v>1.3836274505214585</v>
      </c>
      <c r="AI83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31">
        <f>Table1[[#This Row],[Factor_1]]*Table1[[#This Row],[2024 Factor]]</f>
        <v>1.1648410586678206</v>
      </c>
      <c r="AK831">
        <f>VLOOKUP(Table1[[#This Row],[Q18: Gender]],Factor!$A$33:$E$35,5,0)</f>
        <v>0.85034013605442171</v>
      </c>
      <c r="AL831">
        <f>VLOOKUP(Table1[[#This Row],[Taluka]],Factor!$A$42:$G$46,7,0)</f>
        <v>1.1213131007097483</v>
      </c>
      <c r="AM831">
        <f>VLOOKUP(Table1[[#This Row],[Caste]]&amp;Table1[[#This Row],[Q18: Gender]],Factor!$W$1:$X$23,2,0)</f>
        <v>1.0790228998469584</v>
      </c>
      <c r="AN831">
        <f>VLOOKUP(Table1[[#This Row],[Taluka]]&amp;Table1[[#This Row],[Caste]]&amp;Table1[[#This Row],[Q18: Gender]],Factor!$AK$4:$AL$93,2,0)</f>
        <v>0.90933567693352424</v>
      </c>
      <c r="AO831">
        <f t="shared" si="132"/>
        <v>-1</v>
      </c>
      <c r="AP831">
        <f t="shared" si="133"/>
        <v>-1</v>
      </c>
      <c r="AQ831">
        <f t="shared" si="134"/>
        <v>-1</v>
      </c>
      <c r="AR831">
        <f t="shared" si="135"/>
        <v>1</v>
      </c>
      <c r="AS831">
        <f t="shared" si="136"/>
        <v>-1</v>
      </c>
      <c r="AT831">
        <f t="shared" si="137"/>
        <v>-1</v>
      </c>
      <c r="AU831">
        <f t="shared" si="138"/>
        <v>-3.5</v>
      </c>
      <c r="AV831">
        <f>SUM(Table1[[#This Row],[Satis]:[29]])</f>
        <v>-4</v>
      </c>
      <c r="AW831">
        <f t="shared" si="139"/>
        <v>-3</v>
      </c>
      <c r="AX831">
        <f t="shared" si="140"/>
        <v>-2</v>
      </c>
      <c r="AY831">
        <f t="shared" si="141"/>
        <v>-3</v>
      </c>
      <c r="AZ831" t="str">
        <f t="shared" si="142"/>
        <v>Neutral TDP</v>
      </c>
    </row>
    <row r="832" spans="1:52" x14ac:dyDescent="0.3">
      <c r="A832" t="s">
        <v>4628</v>
      </c>
      <c r="B832" s="94">
        <v>46048</v>
      </c>
      <c r="C832" t="s">
        <v>4629</v>
      </c>
      <c r="D832" t="s">
        <v>4630</v>
      </c>
      <c r="E832" t="s">
        <v>4631</v>
      </c>
      <c r="F832" t="s">
        <v>240</v>
      </c>
      <c r="G832" t="s">
        <v>39</v>
      </c>
      <c r="H832" t="s">
        <v>4632</v>
      </c>
      <c r="I832" t="s">
        <v>70</v>
      </c>
      <c r="J832" t="s">
        <v>71</v>
      </c>
      <c r="K832" t="s">
        <v>215</v>
      </c>
      <c r="L832" t="s">
        <v>626</v>
      </c>
      <c r="M832" t="s">
        <v>51</v>
      </c>
      <c r="N832" t="s">
        <v>63</v>
      </c>
      <c r="O832" t="s">
        <v>4633</v>
      </c>
      <c r="P832">
        <v>9704438771</v>
      </c>
      <c r="Q832" t="s">
        <v>445</v>
      </c>
      <c r="R832" t="s">
        <v>2116</v>
      </c>
      <c r="S832" t="s">
        <v>43</v>
      </c>
      <c r="T832" t="s">
        <v>43</v>
      </c>
      <c r="U832" t="s">
        <v>44</v>
      </c>
      <c r="V832" t="s">
        <v>45</v>
      </c>
      <c r="W832" t="s">
        <v>5055</v>
      </c>
      <c r="X832" t="s">
        <v>45</v>
      </c>
      <c r="Y832" t="s">
        <v>46</v>
      </c>
      <c r="Z832" t="s">
        <v>47</v>
      </c>
      <c r="AA832" t="s">
        <v>48</v>
      </c>
      <c r="AB832" t="s">
        <v>49</v>
      </c>
      <c r="AC832" t="s">
        <v>49</v>
      </c>
      <c r="AD832" t="s">
        <v>481</v>
      </c>
      <c r="AE832" t="s">
        <v>185</v>
      </c>
      <c r="AF832">
        <v>0</v>
      </c>
      <c r="AG832" t="s">
        <v>196</v>
      </c>
      <c r="AH832" s="93">
        <f>VLOOKUP(Table1[[#This Row],[Caste]],Factor!$H$1:$K$13,4,0)</f>
        <v>1.3836274505214585</v>
      </c>
      <c r="AI83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32">
        <f>Table1[[#This Row],[Factor_1]]*Table1[[#This Row],[2024 Factor]]</f>
        <v>2.0811826914865059</v>
      </c>
      <c r="AK832">
        <f>VLOOKUP(Table1[[#This Row],[Q18: Gender]],Factor!$A$33:$E$35,5,0)</f>
        <v>2.1645021645021645</v>
      </c>
      <c r="AL832">
        <f>VLOOKUP(Table1[[#This Row],[Taluka]],Factor!$A$42:$G$46,7,0)</f>
        <v>1.1213131007097483</v>
      </c>
      <c r="AM832">
        <f>VLOOKUP(Table1[[#This Row],[Caste]]&amp;Table1[[#This Row],[Q18: Gender]],Factor!$W$1:$X$23,2,0)</f>
        <v>1.9278542477265657</v>
      </c>
      <c r="AN832">
        <f>VLOOKUP(Table1[[#This Row],[Taluka]]&amp;Table1[[#This Row],[Caste]]&amp;Table1[[#This Row],[Q18: Gender]],Factor!$AK$4:$AL$93,2,0)</f>
        <v>1.2302776805571209</v>
      </c>
      <c r="AO832">
        <f t="shared" si="132"/>
        <v>-1</v>
      </c>
      <c r="AP832">
        <f t="shared" si="133"/>
        <v>-1</v>
      </c>
      <c r="AQ832">
        <f t="shared" si="134"/>
        <v>-1</v>
      </c>
      <c r="AR832">
        <f t="shared" si="135"/>
        <v>-1</v>
      </c>
      <c r="AS832">
        <f t="shared" si="136"/>
        <v>-1</v>
      </c>
      <c r="AT832">
        <f t="shared" si="137"/>
        <v>-1</v>
      </c>
      <c r="AU832">
        <f t="shared" si="138"/>
        <v>-5.5</v>
      </c>
      <c r="AV832">
        <f>SUM(Table1[[#This Row],[Satis]:[29]])</f>
        <v>-6</v>
      </c>
      <c r="AW832">
        <f t="shared" si="139"/>
        <v>-5</v>
      </c>
      <c r="AX832">
        <f t="shared" si="140"/>
        <v>-4</v>
      </c>
      <c r="AY832">
        <f t="shared" si="141"/>
        <v>-3</v>
      </c>
      <c r="AZ832" t="str">
        <f t="shared" si="142"/>
        <v>TDP HardCore</v>
      </c>
    </row>
    <row r="833" spans="1:52" x14ac:dyDescent="0.3">
      <c r="A833" t="s">
        <v>4634</v>
      </c>
      <c r="B833" s="94">
        <v>46048</v>
      </c>
      <c r="C833" t="s">
        <v>4635</v>
      </c>
      <c r="D833" t="s">
        <v>4636</v>
      </c>
      <c r="E833" t="s">
        <v>4637</v>
      </c>
      <c r="F833" t="s">
        <v>240</v>
      </c>
      <c r="G833" t="s">
        <v>39</v>
      </c>
      <c r="H833" t="s">
        <v>4638</v>
      </c>
      <c r="I833" t="s">
        <v>70</v>
      </c>
      <c r="J833" t="s">
        <v>71</v>
      </c>
      <c r="K833" t="s">
        <v>215</v>
      </c>
      <c r="L833" t="s">
        <v>451</v>
      </c>
      <c r="M833" t="s">
        <v>51</v>
      </c>
      <c r="N833" t="s">
        <v>52</v>
      </c>
      <c r="O833" t="s">
        <v>4639</v>
      </c>
      <c r="P833">
        <v>8186944572</v>
      </c>
      <c r="Q833" t="s">
        <v>445</v>
      </c>
      <c r="R833" t="s">
        <v>2116</v>
      </c>
      <c r="S833" t="s">
        <v>43</v>
      </c>
      <c r="T833" t="s">
        <v>89</v>
      </c>
      <c r="U833" t="s">
        <v>90</v>
      </c>
      <c r="V833" t="s">
        <v>91</v>
      </c>
      <c r="W833" t="s">
        <v>5058</v>
      </c>
      <c r="X833" t="s">
        <v>91</v>
      </c>
      <c r="Y833" t="s">
        <v>46</v>
      </c>
      <c r="Z833" t="s">
        <v>92</v>
      </c>
      <c r="AA833" t="s">
        <v>92</v>
      </c>
      <c r="AB833" t="s">
        <v>93</v>
      </c>
      <c r="AC833" t="s">
        <v>94</v>
      </c>
      <c r="AD833">
        <v>0</v>
      </c>
      <c r="AE833" t="s">
        <v>185</v>
      </c>
      <c r="AF833">
        <v>0</v>
      </c>
      <c r="AG833" t="s">
        <v>196</v>
      </c>
      <c r="AH833" s="93">
        <f>VLOOKUP(Table1[[#This Row],[Caste]],Factor!$H$1:$K$13,4,0)</f>
        <v>1.3836274505214585</v>
      </c>
      <c r="AI833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833">
        <f>Table1[[#This Row],[Factor_1]]*Table1[[#This Row],[2024 Factor]]</f>
        <v>3.4809023142961388</v>
      </c>
      <c r="AK833">
        <f>VLOOKUP(Table1[[#This Row],[Q18: Gender]],Factor!$A$33:$E$35,5,0)</f>
        <v>2.1645021645021645</v>
      </c>
      <c r="AL833">
        <f>VLOOKUP(Table1[[#This Row],[Taluka]],Factor!$A$42:$G$46,7,0)</f>
        <v>1.1213131007097483</v>
      </c>
      <c r="AM833">
        <f>VLOOKUP(Table1[[#This Row],[Caste]]&amp;Table1[[#This Row],[Q18: Gender]],Factor!$W$1:$X$23,2,0)</f>
        <v>1.9278542477265657</v>
      </c>
      <c r="AN833">
        <f>VLOOKUP(Table1[[#This Row],[Taluka]]&amp;Table1[[#This Row],[Caste]]&amp;Table1[[#This Row],[Q18: Gender]],Factor!$AK$4:$AL$93,2,0)</f>
        <v>1.2302776805571209</v>
      </c>
      <c r="AO833">
        <f t="shared" si="132"/>
        <v>1</v>
      </c>
      <c r="AP833">
        <f t="shared" si="133"/>
        <v>1</v>
      </c>
      <c r="AQ833">
        <f t="shared" si="134"/>
        <v>1</v>
      </c>
      <c r="AR833">
        <f t="shared" si="135"/>
        <v>1</v>
      </c>
      <c r="AS833">
        <f t="shared" si="136"/>
        <v>1</v>
      </c>
      <c r="AT833">
        <f t="shared" si="137"/>
        <v>1</v>
      </c>
      <c r="AU833">
        <f t="shared" si="138"/>
        <v>5.5</v>
      </c>
      <c r="AV833">
        <f>SUM(Table1[[#This Row],[Satis]:[29]])</f>
        <v>6</v>
      </c>
      <c r="AW833">
        <f t="shared" si="139"/>
        <v>5</v>
      </c>
      <c r="AX833">
        <f t="shared" si="140"/>
        <v>4</v>
      </c>
      <c r="AY833">
        <f t="shared" si="141"/>
        <v>3</v>
      </c>
      <c r="AZ833" t="str">
        <f t="shared" si="142"/>
        <v>YSRCP HardCore</v>
      </c>
    </row>
    <row r="834" spans="1:52" x14ac:dyDescent="0.3">
      <c r="A834" t="s">
        <v>4640</v>
      </c>
      <c r="B834" s="94">
        <v>46048</v>
      </c>
      <c r="C834" t="s">
        <v>4641</v>
      </c>
      <c r="D834" t="s">
        <v>4636</v>
      </c>
      <c r="E834" t="s">
        <v>4637</v>
      </c>
      <c r="F834" t="s">
        <v>240</v>
      </c>
      <c r="G834" t="s">
        <v>39</v>
      </c>
      <c r="H834" t="s">
        <v>4642</v>
      </c>
      <c r="I834" t="s">
        <v>70</v>
      </c>
      <c r="J834" t="s">
        <v>71</v>
      </c>
      <c r="K834" t="s">
        <v>215</v>
      </c>
      <c r="L834" t="s">
        <v>451</v>
      </c>
      <c r="M834" t="s">
        <v>51</v>
      </c>
      <c r="N834" t="s">
        <v>52</v>
      </c>
      <c r="O834" t="s">
        <v>4639</v>
      </c>
      <c r="P834">
        <v>8186944572</v>
      </c>
      <c r="Q834" t="s">
        <v>445</v>
      </c>
      <c r="R834" t="s">
        <v>2116</v>
      </c>
      <c r="S834" t="s">
        <v>43</v>
      </c>
      <c r="T834" t="s">
        <v>89</v>
      </c>
      <c r="U834" t="s">
        <v>90</v>
      </c>
      <c r="V834" t="s">
        <v>91</v>
      </c>
      <c r="W834" t="s">
        <v>5058</v>
      </c>
      <c r="X834" t="s">
        <v>91</v>
      </c>
      <c r="Y834" t="s">
        <v>46</v>
      </c>
      <c r="Z834" t="s">
        <v>92</v>
      </c>
      <c r="AA834" t="s">
        <v>92</v>
      </c>
      <c r="AB834" t="s">
        <v>93</v>
      </c>
      <c r="AC834" t="s">
        <v>94</v>
      </c>
      <c r="AD834" t="s">
        <v>494</v>
      </c>
      <c r="AE834" t="s">
        <v>185</v>
      </c>
      <c r="AF834">
        <v>0</v>
      </c>
      <c r="AG834" t="s">
        <v>196</v>
      </c>
      <c r="AH834" s="93">
        <f>VLOOKUP(Table1[[#This Row],[Caste]],Factor!$H$1:$K$13,4,0)</f>
        <v>1.3836274505214585</v>
      </c>
      <c r="AI834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834">
        <f>Table1[[#This Row],[Factor_1]]*Table1[[#This Row],[2024 Factor]]</f>
        <v>3.4809023142961388</v>
      </c>
      <c r="AK834">
        <f>VLOOKUP(Table1[[#This Row],[Q18: Gender]],Factor!$A$33:$E$35,5,0)</f>
        <v>2.1645021645021645</v>
      </c>
      <c r="AL834">
        <f>VLOOKUP(Table1[[#This Row],[Taluka]],Factor!$A$42:$G$46,7,0)</f>
        <v>1.1213131007097483</v>
      </c>
      <c r="AM834">
        <f>VLOOKUP(Table1[[#This Row],[Caste]]&amp;Table1[[#This Row],[Q18: Gender]],Factor!$W$1:$X$23,2,0)</f>
        <v>1.9278542477265657</v>
      </c>
      <c r="AN834">
        <f>VLOOKUP(Table1[[#This Row],[Taluka]]&amp;Table1[[#This Row],[Caste]]&amp;Table1[[#This Row],[Q18: Gender]],Factor!$AK$4:$AL$93,2,0)</f>
        <v>1.2302776805571209</v>
      </c>
      <c r="AO834">
        <f t="shared" ref="AO834:AO897" si="143">IF(T834="బాగుంది",-1,1)</f>
        <v>1</v>
      </c>
      <c r="AP834">
        <f t="shared" ref="AP834:AP897" si="144">IF(U834="అమలవడం లేదు",1,-1)</f>
        <v>1</v>
      </c>
      <c r="AQ834">
        <f t="shared" ref="AQ834:AQ897" si="145">IF(V834="జగన్ మోహన్ రెడ్డి గారు",1,-1)</f>
        <v>1</v>
      </c>
      <c r="AR834">
        <f t="shared" ref="AR834:AR897" si="146">IF(X834="జగన్ మోహన్ రెడ్డి గారు",1,-1)</f>
        <v>1</v>
      </c>
      <c r="AS834">
        <f t="shared" ref="AS834:AS897" si="147">IF(AA834="YSRCP (వైఎస్‌ఆర్‌సీపీ)",1,-1)</f>
        <v>1</v>
      </c>
      <c r="AT834">
        <f t="shared" ref="AT834:AT897" si="148">IF(Z834="YSRCP (వైఎస్‌ఆర్‌సీపీ)",1,-1)</f>
        <v>1</v>
      </c>
      <c r="AU834">
        <f t="shared" ref="AU834:AU897" si="149">AO834+AP834+AQ834+AR834+(0.5*AS834)+AT834</f>
        <v>5.5</v>
      </c>
      <c r="AV834">
        <f>SUM(Table1[[#This Row],[Satis]:[29]])</f>
        <v>6</v>
      </c>
      <c r="AW834">
        <f t="shared" ref="AW834:AW897" si="150">AO834+AQ834+AR834+AS834+AT834</f>
        <v>5</v>
      </c>
      <c r="AX834">
        <f t="shared" ref="AX834:AX897" si="151">AQ834+AR834+AS834+AT834</f>
        <v>4</v>
      </c>
      <c r="AY834">
        <f t="shared" ref="AY834:AY897" si="152">IF(AND(AO834=1,AS834=1,AT834=1),3,IF(AND(AO834=-1,AS834=-1,AT834=-1),-3,IF(AND(AO834=1,AS834=-1,AT834=1),2,IF(AND(AO834=-1,AS834=1,AT834=-1),-2,IF(AND(AS834=1,AT834=1),2,IF(AND(AS834=-1,AT834=-1),-2,"ND"))))))</f>
        <v>3</v>
      </c>
      <c r="AZ834" t="str">
        <f t="shared" ref="AZ834:AZ897" si="153">IFERROR(IF(AV834=6,"YSRCP HardCore",IF(AV834=-6,"TDP HardCore",IF(AW834&gt;=4,"YSRCP Sympathiser",IF(AW834&lt;=-4,"TDP Sympathiser",IF(AX834&gt;=3,"YSRCP Sympathiser",IF(AX834&lt;=-3,"TDP Sympathiser",IF(AY834="ND","ND",IF(AY834&gt;=2,"Neutral YSRCP",IF(AY834&lt;=-2,"Neutral TDP",0))))))))),"ND")</f>
        <v>YSRCP HardCore</v>
      </c>
    </row>
    <row r="835" spans="1:52" x14ac:dyDescent="0.3">
      <c r="A835" t="s">
        <v>4643</v>
      </c>
      <c r="B835" s="94">
        <v>46048</v>
      </c>
      <c r="C835" t="s">
        <v>4644</v>
      </c>
      <c r="D835" t="s">
        <v>4645</v>
      </c>
      <c r="E835" t="s">
        <v>4359</v>
      </c>
      <c r="F835" t="s">
        <v>240</v>
      </c>
      <c r="G835" t="s">
        <v>39</v>
      </c>
      <c r="H835" t="s">
        <v>4646</v>
      </c>
      <c r="I835" t="s">
        <v>70</v>
      </c>
      <c r="J835" t="s">
        <v>71</v>
      </c>
      <c r="K835" t="s">
        <v>213</v>
      </c>
      <c r="L835" t="s">
        <v>925</v>
      </c>
      <c r="M835" t="s">
        <v>443</v>
      </c>
      <c r="N835" t="s">
        <v>107</v>
      </c>
      <c r="O835" t="s">
        <v>4140</v>
      </c>
      <c r="P835">
        <v>7672086323</v>
      </c>
      <c r="Q835" t="s">
        <v>54</v>
      </c>
      <c r="R835" t="s">
        <v>2116</v>
      </c>
      <c r="S835" t="s">
        <v>43</v>
      </c>
      <c r="T835" t="s">
        <v>43</v>
      </c>
      <c r="U835" t="s">
        <v>90</v>
      </c>
      <c r="V835" t="s">
        <v>45</v>
      </c>
      <c r="W835" t="s">
        <v>5058</v>
      </c>
      <c r="X835" t="s">
        <v>45</v>
      </c>
      <c r="Y835" t="s">
        <v>46</v>
      </c>
      <c r="Z835" t="s">
        <v>47</v>
      </c>
      <c r="AA835" t="s">
        <v>48</v>
      </c>
      <c r="AB835" t="s">
        <v>49</v>
      </c>
      <c r="AC835" t="s">
        <v>49</v>
      </c>
      <c r="AD835" t="s">
        <v>494</v>
      </c>
      <c r="AE835" t="s">
        <v>185</v>
      </c>
      <c r="AF835">
        <v>0</v>
      </c>
      <c r="AG835" t="s">
        <v>196</v>
      </c>
      <c r="AH835" s="93">
        <f>VLOOKUP(Table1[[#This Row],[Caste]],Factor!$H$1:$K$13,4,0)</f>
        <v>1.3836274505214585</v>
      </c>
      <c r="AI83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35">
        <f>Table1[[#This Row],[Factor_1]]*Table1[[#This Row],[2024 Factor]]</f>
        <v>1.1648410586678206</v>
      </c>
      <c r="AK835">
        <f>VLOOKUP(Table1[[#This Row],[Q18: Gender]],Factor!$A$33:$E$35,5,0)</f>
        <v>0.85034013605442171</v>
      </c>
      <c r="AL835">
        <f>VLOOKUP(Table1[[#This Row],[Taluka]],Factor!$A$42:$G$46,7,0)</f>
        <v>1.1213131007097483</v>
      </c>
      <c r="AM835">
        <f>VLOOKUP(Table1[[#This Row],[Caste]]&amp;Table1[[#This Row],[Q18: Gender]],Factor!$W$1:$X$23,2,0)</f>
        <v>1.0790228998469584</v>
      </c>
      <c r="AN835">
        <f>VLOOKUP(Table1[[#This Row],[Taluka]]&amp;Table1[[#This Row],[Caste]]&amp;Table1[[#This Row],[Q18: Gender]],Factor!$AK$4:$AL$93,2,0)</f>
        <v>0.90933567693352424</v>
      </c>
      <c r="AO835">
        <f t="shared" si="143"/>
        <v>-1</v>
      </c>
      <c r="AP835">
        <f t="shared" si="144"/>
        <v>1</v>
      </c>
      <c r="AQ835">
        <f t="shared" si="145"/>
        <v>-1</v>
      </c>
      <c r="AR835">
        <f t="shared" si="146"/>
        <v>-1</v>
      </c>
      <c r="AS835">
        <f t="shared" si="147"/>
        <v>-1</v>
      </c>
      <c r="AT835">
        <f t="shared" si="148"/>
        <v>-1</v>
      </c>
      <c r="AU835">
        <f t="shared" si="149"/>
        <v>-3.5</v>
      </c>
      <c r="AV835">
        <f>SUM(Table1[[#This Row],[Satis]:[29]])</f>
        <v>-4</v>
      </c>
      <c r="AW835">
        <f t="shared" si="150"/>
        <v>-5</v>
      </c>
      <c r="AX835">
        <f t="shared" si="151"/>
        <v>-4</v>
      </c>
      <c r="AY835">
        <f t="shared" si="152"/>
        <v>-3</v>
      </c>
      <c r="AZ835" t="str">
        <f t="shared" si="153"/>
        <v>TDP Sympathiser</v>
      </c>
    </row>
    <row r="836" spans="1:52" x14ac:dyDescent="0.3">
      <c r="A836" t="s">
        <v>4647</v>
      </c>
      <c r="B836" s="94">
        <v>46048</v>
      </c>
      <c r="C836" t="s">
        <v>4648</v>
      </c>
      <c r="D836" t="s">
        <v>4649</v>
      </c>
      <c r="E836" t="s">
        <v>4650</v>
      </c>
      <c r="F836" t="s">
        <v>240</v>
      </c>
      <c r="G836" t="s">
        <v>39</v>
      </c>
      <c r="H836" t="s">
        <v>4651</v>
      </c>
      <c r="I836" t="s">
        <v>36</v>
      </c>
      <c r="J836" t="s">
        <v>71</v>
      </c>
      <c r="K836" t="s">
        <v>213</v>
      </c>
      <c r="L836" t="s">
        <v>62</v>
      </c>
      <c r="M836" t="s">
        <v>51</v>
      </c>
      <c r="N836" t="s">
        <v>52</v>
      </c>
      <c r="O836" t="s">
        <v>1785</v>
      </c>
      <c r="P836">
        <v>9949385964</v>
      </c>
      <c r="Q836" t="s">
        <v>54</v>
      </c>
      <c r="R836" t="s">
        <v>2116</v>
      </c>
      <c r="S836" t="s">
        <v>43</v>
      </c>
      <c r="T836" t="s">
        <v>43</v>
      </c>
      <c r="U836" t="s">
        <v>44</v>
      </c>
      <c r="V836" t="s">
        <v>45</v>
      </c>
      <c r="W836" t="s">
        <v>5046</v>
      </c>
      <c r="X836" t="s">
        <v>45</v>
      </c>
      <c r="Y836" t="s">
        <v>46</v>
      </c>
      <c r="Z836" t="s">
        <v>47</v>
      </c>
      <c r="AA836" t="s">
        <v>48</v>
      </c>
      <c r="AB836" t="s">
        <v>49</v>
      </c>
      <c r="AC836" t="s">
        <v>49</v>
      </c>
      <c r="AD836" t="s">
        <v>494</v>
      </c>
      <c r="AE836" t="s">
        <v>189</v>
      </c>
      <c r="AF836" t="s">
        <v>1229</v>
      </c>
      <c r="AG836" t="s">
        <v>196</v>
      </c>
      <c r="AH836" s="93">
        <f>VLOOKUP(Table1[[#This Row],[Caste]],Factor!$H$1:$K$13,4,0)</f>
        <v>1.1705128247062893</v>
      </c>
      <c r="AI83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36">
        <f>Table1[[#This Row],[Factor_1]]*Table1[[#This Row],[2024 Factor]]</f>
        <v>0.86308903171383233</v>
      </c>
      <c r="AK836">
        <f>VLOOKUP(Table1[[#This Row],[Q18: Gender]],Factor!$A$33:$E$35,5,0)</f>
        <v>0.85034013605442171</v>
      </c>
      <c r="AL836">
        <f>VLOOKUP(Table1[[#This Row],[Taluka]],Factor!$A$42:$G$46,7,0)</f>
        <v>1.1213131007097483</v>
      </c>
      <c r="AM836">
        <f>VLOOKUP(Table1[[#This Row],[Caste]]&amp;Table1[[#This Row],[Q18: Gender]],Factor!$W$1:$X$23,2,0)</f>
        <v>0.79950206330384943</v>
      </c>
      <c r="AN836">
        <f>VLOOKUP(Table1[[#This Row],[Taluka]]&amp;Table1[[#This Row],[Caste]]&amp;Table1[[#This Row],[Q18: Gender]],Factor!$AK$4:$AL$93,2,0)</f>
        <v>0.7401439088249181</v>
      </c>
      <c r="AO836">
        <f t="shared" si="143"/>
        <v>-1</v>
      </c>
      <c r="AP836">
        <f t="shared" si="144"/>
        <v>-1</v>
      </c>
      <c r="AQ836">
        <f t="shared" si="145"/>
        <v>-1</v>
      </c>
      <c r="AR836">
        <f t="shared" si="146"/>
        <v>-1</v>
      </c>
      <c r="AS836">
        <f t="shared" si="147"/>
        <v>-1</v>
      </c>
      <c r="AT836">
        <f t="shared" si="148"/>
        <v>-1</v>
      </c>
      <c r="AU836">
        <f t="shared" si="149"/>
        <v>-5.5</v>
      </c>
      <c r="AV836">
        <f>SUM(Table1[[#This Row],[Satis]:[29]])</f>
        <v>-6</v>
      </c>
      <c r="AW836">
        <f t="shared" si="150"/>
        <v>-5</v>
      </c>
      <c r="AX836">
        <f t="shared" si="151"/>
        <v>-4</v>
      </c>
      <c r="AY836">
        <f t="shared" si="152"/>
        <v>-3</v>
      </c>
      <c r="AZ836" t="str">
        <f t="shared" si="153"/>
        <v>TDP HardCore</v>
      </c>
    </row>
    <row r="837" spans="1:52" x14ac:dyDescent="0.3">
      <c r="A837" t="s">
        <v>4652</v>
      </c>
      <c r="B837" s="94">
        <v>46048</v>
      </c>
      <c r="C837" t="s">
        <v>4653</v>
      </c>
      <c r="D837" t="s">
        <v>4654</v>
      </c>
      <c r="E837" t="s">
        <v>4655</v>
      </c>
      <c r="F837" t="s">
        <v>240</v>
      </c>
      <c r="G837" t="s">
        <v>39</v>
      </c>
      <c r="H837" t="s">
        <v>4656</v>
      </c>
      <c r="I837" t="s">
        <v>70</v>
      </c>
      <c r="J837" t="s">
        <v>71</v>
      </c>
      <c r="K837" t="s">
        <v>213</v>
      </c>
      <c r="L837" t="s">
        <v>62</v>
      </c>
      <c r="M837" t="s">
        <v>51</v>
      </c>
      <c r="N837" t="s">
        <v>107</v>
      </c>
      <c r="O837" t="s">
        <v>2746</v>
      </c>
      <c r="P837">
        <v>9999999999</v>
      </c>
      <c r="Q837" t="s">
        <v>54</v>
      </c>
      <c r="R837" t="s">
        <v>2116</v>
      </c>
      <c r="S837" t="s">
        <v>88</v>
      </c>
      <c r="T837" t="s">
        <v>43</v>
      </c>
      <c r="U837" t="s">
        <v>90</v>
      </c>
      <c r="V837" t="s">
        <v>91</v>
      </c>
      <c r="W837" t="s">
        <v>5112</v>
      </c>
      <c r="X837" t="s">
        <v>91</v>
      </c>
      <c r="Y837" t="s">
        <v>46</v>
      </c>
      <c r="Z837" t="s">
        <v>92</v>
      </c>
      <c r="AA837" t="s">
        <v>92</v>
      </c>
      <c r="AB837" t="s">
        <v>93</v>
      </c>
      <c r="AC837" t="s">
        <v>94</v>
      </c>
      <c r="AD837" t="s">
        <v>494</v>
      </c>
      <c r="AE837" t="s">
        <v>185</v>
      </c>
      <c r="AF837">
        <v>0</v>
      </c>
      <c r="AG837" t="s">
        <v>196</v>
      </c>
      <c r="AH837" s="93">
        <f>VLOOKUP(Table1[[#This Row],[Caste]],Factor!$H$1:$K$13,4,0)</f>
        <v>1.3836274505214585</v>
      </c>
      <c r="AI837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837">
        <f>Table1[[#This Row],[Factor_1]]*Table1[[#This Row],[2024 Factor]]</f>
        <v>1.9482662206881376</v>
      </c>
      <c r="AK837">
        <f>VLOOKUP(Table1[[#This Row],[Q18: Gender]],Factor!$A$33:$E$35,5,0)</f>
        <v>0.85034013605442171</v>
      </c>
      <c r="AL837">
        <f>VLOOKUP(Table1[[#This Row],[Taluka]],Factor!$A$42:$G$46,7,0)</f>
        <v>1.1213131007097483</v>
      </c>
      <c r="AM837">
        <f>VLOOKUP(Table1[[#This Row],[Caste]]&amp;Table1[[#This Row],[Q18: Gender]],Factor!$W$1:$X$23,2,0)</f>
        <v>1.0790228998469584</v>
      </c>
      <c r="AN837">
        <f>VLOOKUP(Table1[[#This Row],[Taluka]]&amp;Table1[[#This Row],[Caste]]&amp;Table1[[#This Row],[Q18: Gender]],Factor!$AK$4:$AL$93,2,0)</f>
        <v>0.90933567693352424</v>
      </c>
      <c r="AO837">
        <f t="shared" si="143"/>
        <v>-1</v>
      </c>
      <c r="AP837">
        <f t="shared" si="144"/>
        <v>1</v>
      </c>
      <c r="AQ837">
        <f t="shared" si="145"/>
        <v>1</v>
      </c>
      <c r="AR837">
        <f t="shared" si="146"/>
        <v>1</v>
      </c>
      <c r="AS837">
        <f t="shared" si="147"/>
        <v>1</v>
      </c>
      <c r="AT837">
        <f t="shared" si="148"/>
        <v>1</v>
      </c>
      <c r="AU837">
        <f t="shared" si="149"/>
        <v>3.5</v>
      </c>
      <c r="AV837">
        <f>SUM(Table1[[#This Row],[Satis]:[29]])</f>
        <v>4</v>
      </c>
      <c r="AW837">
        <f t="shared" si="150"/>
        <v>3</v>
      </c>
      <c r="AX837">
        <f t="shared" si="151"/>
        <v>4</v>
      </c>
      <c r="AY837">
        <f t="shared" si="152"/>
        <v>2</v>
      </c>
      <c r="AZ837" t="str">
        <f t="shared" si="153"/>
        <v>YSRCP Sympathiser</v>
      </c>
    </row>
    <row r="838" spans="1:52" x14ac:dyDescent="0.3">
      <c r="A838" t="s">
        <v>4657</v>
      </c>
      <c r="B838" s="94">
        <v>46048</v>
      </c>
      <c r="C838" t="s">
        <v>4658</v>
      </c>
      <c r="D838" t="s">
        <v>4659</v>
      </c>
      <c r="E838" t="s">
        <v>4660</v>
      </c>
      <c r="F838" t="s">
        <v>240</v>
      </c>
      <c r="G838" t="s">
        <v>39</v>
      </c>
      <c r="H838" t="s">
        <v>4661</v>
      </c>
      <c r="I838" t="s">
        <v>227</v>
      </c>
      <c r="J838" t="s">
        <v>71</v>
      </c>
      <c r="K838" t="s">
        <v>213</v>
      </c>
      <c r="L838" t="s">
        <v>62</v>
      </c>
      <c r="M838" t="s">
        <v>51</v>
      </c>
      <c r="N838" t="s">
        <v>63</v>
      </c>
      <c r="O838" t="s">
        <v>4662</v>
      </c>
      <c r="P838">
        <v>7569850117</v>
      </c>
      <c r="Q838" t="s">
        <v>54</v>
      </c>
      <c r="R838" t="s">
        <v>61</v>
      </c>
      <c r="S838" t="s">
        <v>43</v>
      </c>
      <c r="T838" t="s">
        <v>43</v>
      </c>
      <c r="U838" t="s">
        <v>44</v>
      </c>
      <c r="V838" t="s">
        <v>45</v>
      </c>
      <c r="W838" t="s">
        <v>5099</v>
      </c>
      <c r="X838" t="s">
        <v>45</v>
      </c>
      <c r="Y838" t="s">
        <v>46</v>
      </c>
      <c r="Z838" t="s">
        <v>47</v>
      </c>
      <c r="AA838" t="s">
        <v>48</v>
      </c>
      <c r="AB838" t="s">
        <v>49</v>
      </c>
      <c r="AC838" t="s">
        <v>49</v>
      </c>
      <c r="AD838" t="s">
        <v>494</v>
      </c>
      <c r="AE838" t="s">
        <v>185</v>
      </c>
      <c r="AF838">
        <v>0</v>
      </c>
      <c r="AG838" t="s">
        <v>196</v>
      </c>
      <c r="AH838" s="93">
        <f>VLOOKUP(Table1[[#This Row],[Caste]],Factor!$H$1:$K$13,4,0)</f>
        <v>1.2612194085121222</v>
      </c>
      <c r="AI83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38">
        <f>Table1[[#This Row],[Factor_1]]*Table1[[#This Row],[2024 Factor]]</f>
        <v>0.92029223709519836</v>
      </c>
      <c r="AK838">
        <f>VLOOKUP(Table1[[#This Row],[Q18: Gender]],Factor!$A$33:$E$35,5,0)</f>
        <v>0.85034013605442171</v>
      </c>
      <c r="AL838">
        <f>VLOOKUP(Table1[[#This Row],[Taluka]],Factor!$A$42:$G$46,7,0)</f>
        <v>1.1213131007097483</v>
      </c>
      <c r="AM838">
        <f>VLOOKUP(Table1[[#This Row],[Caste]]&amp;Table1[[#This Row],[Q18: Gender]],Factor!$W$1:$X$23,2,0)</f>
        <v>0.85249089649430487</v>
      </c>
      <c r="AN838">
        <f>VLOOKUP(Table1[[#This Row],[Taluka]]&amp;Table1[[#This Row],[Caste]]&amp;Table1[[#This Row],[Q18: Gender]],Factor!$AK$4:$AL$93,2,0)</f>
        <v>1.3317727120335781</v>
      </c>
      <c r="AO838">
        <f t="shared" si="143"/>
        <v>-1</v>
      </c>
      <c r="AP838">
        <f t="shared" si="144"/>
        <v>-1</v>
      </c>
      <c r="AQ838">
        <f t="shared" si="145"/>
        <v>-1</v>
      </c>
      <c r="AR838">
        <f t="shared" si="146"/>
        <v>-1</v>
      </c>
      <c r="AS838">
        <f t="shared" si="147"/>
        <v>-1</v>
      </c>
      <c r="AT838">
        <f t="shared" si="148"/>
        <v>-1</v>
      </c>
      <c r="AU838">
        <f t="shared" si="149"/>
        <v>-5.5</v>
      </c>
      <c r="AV838">
        <f>SUM(Table1[[#This Row],[Satis]:[29]])</f>
        <v>-6</v>
      </c>
      <c r="AW838">
        <f t="shared" si="150"/>
        <v>-5</v>
      </c>
      <c r="AX838">
        <f t="shared" si="151"/>
        <v>-4</v>
      </c>
      <c r="AY838">
        <f t="shared" si="152"/>
        <v>-3</v>
      </c>
      <c r="AZ838" t="str">
        <f t="shared" si="153"/>
        <v>TDP HardCore</v>
      </c>
    </row>
    <row r="839" spans="1:52" x14ac:dyDescent="0.3">
      <c r="A839" t="s">
        <v>4663</v>
      </c>
      <c r="B839" s="94">
        <v>46048</v>
      </c>
      <c r="C839" t="s">
        <v>4664</v>
      </c>
      <c r="D839" t="s">
        <v>4665</v>
      </c>
      <c r="E839" t="s">
        <v>4660</v>
      </c>
      <c r="F839" t="s">
        <v>240</v>
      </c>
      <c r="G839" t="s">
        <v>39</v>
      </c>
      <c r="H839" t="s">
        <v>4666</v>
      </c>
      <c r="I839" t="s">
        <v>227</v>
      </c>
      <c r="J839" t="s">
        <v>71</v>
      </c>
      <c r="K839" t="s">
        <v>213</v>
      </c>
      <c r="L839" t="s">
        <v>451</v>
      </c>
      <c r="M839" t="s">
        <v>51</v>
      </c>
      <c r="N839" t="s">
        <v>63</v>
      </c>
      <c r="O839" t="s">
        <v>4667</v>
      </c>
      <c r="P839">
        <v>9652147986</v>
      </c>
      <c r="Q839" t="s">
        <v>445</v>
      </c>
      <c r="R839" t="s">
        <v>61</v>
      </c>
      <c r="S839" t="s">
        <v>43</v>
      </c>
      <c r="T839" t="s">
        <v>43</v>
      </c>
      <c r="U839" t="s">
        <v>44</v>
      </c>
      <c r="V839" t="s">
        <v>91</v>
      </c>
      <c r="W839" t="s">
        <v>5051</v>
      </c>
      <c r="X839" t="s">
        <v>91</v>
      </c>
      <c r="Y839" t="s">
        <v>46</v>
      </c>
      <c r="Z839" t="s">
        <v>47</v>
      </c>
      <c r="AA839" t="s">
        <v>48</v>
      </c>
      <c r="AB839" t="s">
        <v>49</v>
      </c>
      <c r="AC839" t="s">
        <v>49</v>
      </c>
      <c r="AD839" t="s">
        <v>494</v>
      </c>
      <c r="AE839" t="s">
        <v>185</v>
      </c>
      <c r="AF839">
        <v>0</v>
      </c>
      <c r="AG839" t="s">
        <v>196</v>
      </c>
      <c r="AH839" s="93">
        <f>VLOOKUP(Table1[[#This Row],[Caste]],Factor!$H$1:$K$13,4,0)</f>
        <v>1.2612194085121222</v>
      </c>
      <c r="AI83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39">
        <f>Table1[[#This Row],[Factor_1]]*Table1[[#This Row],[2024 Factor]]</f>
        <v>2.6155674106916162</v>
      </c>
      <c r="AK839">
        <f>VLOOKUP(Table1[[#This Row],[Q18: Gender]],Factor!$A$33:$E$35,5,0)</f>
        <v>2.1645021645021645</v>
      </c>
      <c r="AL839">
        <f>VLOOKUP(Table1[[#This Row],[Taluka]],Factor!$A$42:$G$46,7,0)</f>
        <v>1.1213131007097483</v>
      </c>
      <c r="AM839">
        <f>VLOOKUP(Table1[[#This Row],[Caste]]&amp;Table1[[#This Row],[Q18: Gender]],Factor!$W$1:$X$23,2,0)</f>
        <v>2.4228688637206557</v>
      </c>
      <c r="AN839">
        <f>VLOOKUP(Table1[[#This Row],[Taluka]]&amp;Table1[[#This Row],[Caste]]&amp;Table1[[#This Row],[Q18: Gender]],Factor!$AK$4:$AL$93,2,0)</f>
        <v>1.6647158900419725</v>
      </c>
      <c r="AO839">
        <f t="shared" si="143"/>
        <v>-1</v>
      </c>
      <c r="AP839">
        <f t="shared" si="144"/>
        <v>-1</v>
      </c>
      <c r="AQ839">
        <f t="shared" si="145"/>
        <v>1</v>
      </c>
      <c r="AR839">
        <f t="shared" si="146"/>
        <v>1</v>
      </c>
      <c r="AS839">
        <f t="shared" si="147"/>
        <v>-1</v>
      </c>
      <c r="AT839">
        <f t="shared" si="148"/>
        <v>-1</v>
      </c>
      <c r="AU839">
        <f t="shared" si="149"/>
        <v>-1.5</v>
      </c>
      <c r="AV839">
        <f>SUM(Table1[[#This Row],[Satis]:[29]])</f>
        <v>-2</v>
      </c>
      <c r="AW839">
        <f t="shared" si="150"/>
        <v>-1</v>
      </c>
      <c r="AX839">
        <f t="shared" si="151"/>
        <v>0</v>
      </c>
      <c r="AY839">
        <f t="shared" si="152"/>
        <v>-3</v>
      </c>
      <c r="AZ839" t="str">
        <f t="shared" si="153"/>
        <v>Neutral TDP</v>
      </c>
    </row>
    <row r="840" spans="1:52" x14ac:dyDescent="0.3">
      <c r="A840" t="s">
        <v>4668</v>
      </c>
      <c r="B840" s="94">
        <v>46048</v>
      </c>
      <c r="C840" t="s">
        <v>4669</v>
      </c>
      <c r="D840" t="s">
        <v>4670</v>
      </c>
      <c r="E840" t="s">
        <v>4660</v>
      </c>
      <c r="F840" t="s">
        <v>240</v>
      </c>
      <c r="G840" t="s">
        <v>39</v>
      </c>
      <c r="H840" t="s">
        <v>4671</v>
      </c>
      <c r="I840" t="s">
        <v>36</v>
      </c>
      <c r="J840" t="s">
        <v>71</v>
      </c>
      <c r="K840" t="s">
        <v>213</v>
      </c>
      <c r="L840" t="s">
        <v>62</v>
      </c>
      <c r="M840" t="s">
        <v>443</v>
      </c>
      <c r="N840" t="s">
        <v>52</v>
      </c>
      <c r="O840" t="s">
        <v>4672</v>
      </c>
      <c r="P840">
        <v>999999999</v>
      </c>
      <c r="Q840" t="s">
        <v>445</v>
      </c>
      <c r="R840" t="s">
        <v>61</v>
      </c>
      <c r="S840" t="s">
        <v>88</v>
      </c>
      <c r="T840" t="s">
        <v>43</v>
      </c>
      <c r="U840" t="s">
        <v>44</v>
      </c>
      <c r="V840" t="s">
        <v>45</v>
      </c>
      <c r="W840" t="s">
        <v>5081</v>
      </c>
      <c r="X840" t="s">
        <v>45</v>
      </c>
      <c r="Y840" t="s">
        <v>46</v>
      </c>
      <c r="Z840" t="s">
        <v>47</v>
      </c>
      <c r="AA840" t="s">
        <v>48</v>
      </c>
      <c r="AB840" t="s">
        <v>49</v>
      </c>
      <c r="AC840" t="s">
        <v>49</v>
      </c>
      <c r="AD840" t="s">
        <v>494</v>
      </c>
      <c r="AE840" t="s">
        <v>185</v>
      </c>
      <c r="AF840">
        <v>0</v>
      </c>
      <c r="AG840" t="s">
        <v>196</v>
      </c>
      <c r="AH840" s="93">
        <f>VLOOKUP(Table1[[#This Row],[Caste]],Factor!$H$1:$K$13,4,0)</f>
        <v>1.1705128247062893</v>
      </c>
      <c r="AI84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40">
        <f>Table1[[#This Row],[Factor_1]]*Table1[[#This Row],[2024 Factor]]</f>
        <v>2.3577066232182737</v>
      </c>
      <c r="AK840">
        <f>VLOOKUP(Table1[[#This Row],[Q18: Gender]],Factor!$A$33:$E$35,5,0)</f>
        <v>2.1645021645021645</v>
      </c>
      <c r="AL840">
        <f>VLOOKUP(Table1[[#This Row],[Taluka]],Factor!$A$42:$G$46,7,0)</f>
        <v>1.1213131007097483</v>
      </c>
      <c r="AM840">
        <f>VLOOKUP(Table1[[#This Row],[Caste]]&amp;Table1[[#This Row],[Q18: Gender]],Factor!$W$1:$X$23,2,0)</f>
        <v>2.1840056363422229</v>
      </c>
      <c r="AN840">
        <f>VLOOKUP(Table1[[#This Row],[Taluka]]&amp;Table1[[#This Row],[Caste]]&amp;Table1[[#This Row],[Q18: Gender]],Factor!$AK$4:$AL$93,2,0)</f>
        <v>0.95944580773600496</v>
      </c>
      <c r="AO840">
        <f t="shared" si="143"/>
        <v>-1</v>
      </c>
      <c r="AP840">
        <f t="shared" si="144"/>
        <v>-1</v>
      </c>
      <c r="AQ840">
        <f t="shared" si="145"/>
        <v>-1</v>
      </c>
      <c r="AR840">
        <f t="shared" si="146"/>
        <v>-1</v>
      </c>
      <c r="AS840">
        <f t="shared" si="147"/>
        <v>-1</v>
      </c>
      <c r="AT840">
        <f t="shared" si="148"/>
        <v>-1</v>
      </c>
      <c r="AU840">
        <f t="shared" si="149"/>
        <v>-5.5</v>
      </c>
      <c r="AV840">
        <f>SUM(Table1[[#This Row],[Satis]:[29]])</f>
        <v>-6</v>
      </c>
      <c r="AW840">
        <f t="shared" si="150"/>
        <v>-5</v>
      </c>
      <c r="AX840">
        <f t="shared" si="151"/>
        <v>-4</v>
      </c>
      <c r="AY840">
        <f t="shared" si="152"/>
        <v>-3</v>
      </c>
      <c r="AZ840" t="str">
        <f t="shared" si="153"/>
        <v>TDP HardCore</v>
      </c>
    </row>
    <row r="841" spans="1:52" x14ac:dyDescent="0.3">
      <c r="A841" t="s">
        <v>4673</v>
      </c>
      <c r="B841" s="94">
        <v>46048</v>
      </c>
      <c r="C841" t="s">
        <v>4674</v>
      </c>
      <c r="D841" t="s">
        <v>4675</v>
      </c>
      <c r="E841" t="s">
        <v>4660</v>
      </c>
      <c r="F841" t="s">
        <v>240</v>
      </c>
      <c r="G841" t="s">
        <v>39</v>
      </c>
      <c r="H841" t="s">
        <v>4676</v>
      </c>
      <c r="I841" t="s">
        <v>70</v>
      </c>
      <c r="J841" t="s">
        <v>71</v>
      </c>
      <c r="K841" t="s">
        <v>213</v>
      </c>
      <c r="L841" t="s">
        <v>62</v>
      </c>
      <c r="M841" t="s">
        <v>443</v>
      </c>
      <c r="N841" t="s">
        <v>52</v>
      </c>
      <c r="O841" t="s">
        <v>651</v>
      </c>
      <c r="P841">
        <v>89858727777</v>
      </c>
      <c r="Q841" t="s">
        <v>54</v>
      </c>
      <c r="R841" t="s">
        <v>61</v>
      </c>
      <c r="S841" t="s">
        <v>88</v>
      </c>
      <c r="T841" t="s">
        <v>89</v>
      </c>
      <c r="U841" t="s">
        <v>90</v>
      </c>
      <c r="V841" t="s">
        <v>91</v>
      </c>
      <c r="W841" t="s">
        <v>5049</v>
      </c>
      <c r="X841" t="s">
        <v>91</v>
      </c>
      <c r="Y841" t="s">
        <v>46</v>
      </c>
      <c r="Z841" t="s">
        <v>47</v>
      </c>
      <c r="AA841" t="s">
        <v>92</v>
      </c>
      <c r="AB841" t="s">
        <v>147</v>
      </c>
      <c r="AC841" t="s">
        <v>470</v>
      </c>
      <c r="AD841" t="s">
        <v>494</v>
      </c>
      <c r="AE841" t="s">
        <v>185</v>
      </c>
      <c r="AF841">
        <v>0</v>
      </c>
      <c r="AG841" t="s">
        <v>196</v>
      </c>
      <c r="AH841" s="93">
        <f>VLOOKUP(Table1[[#This Row],[Caste]],Factor!$H$1:$K$13,4,0)</f>
        <v>1.3836274505214585</v>
      </c>
      <c r="AI841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841">
        <f>Table1[[#This Row],[Factor_1]]*Table1[[#This Row],[2024 Factor]]</f>
        <v>1.9482662206881376</v>
      </c>
      <c r="AK841">
        <f>VLOOKUP(Table1[[#This Row],[Q18: Gender]],Factor!$A$33:$E$35,5,0)</f>
        <v>0.85034013605442171</v>
      </c>
      <c r="AL841">
        <f>VLOOKUP(Table1[[#This Row],[Taluka]],Factor!$A$42:$G$46,7,0)</f>
        <v>1.1213131007097483</v>
      </c>
      <c r="AM841">
        <f>VLOOKUP(Table1[[#This Row],[Caste]]&amp;Table1[[#This Row],[Q18: Gender]],Factor!$W$1:$X$23,2,0)</f>
        <v>1.0790228998469584</v>
      </c>
      <c r="AN841">
        <f>VLOOKUP(Table1[[#This Row],[Taluka]]&amp;Table1[[#This Row],[Caste]]&amp;Table1[[#This Row],[Q18: Gender]],Factor!$AK$4:$AL$93,2,0)</f>
        <v>0.90933567693352424</v>
      </c>
      <c r="AO841">
        <f t="shared" si="143"/>
        <v>1</v>
      </c>
      <c r="AP841">
        <f t="shared" si="144"/>
        <v>1</v>
      </c>
      <c r="AQ841">
        <f t="shared" si="145"/>
        <v>1</v>
      </c>
      <c r="AR841">
        <f t="shared" si="146"/>
        <v>1</v>
      </c>
      <c r="AS841">
        <f t="shared" si="147"/>
        <v>1</v>
      </c>
      <c r="AT841">
        <f t="shared" si="148"/>
        <v>-1</v>
      </c>
      <c r="AU841">
        <f t="shared" si="149"/>
        <v>3.5</v>
      </c>
      <c r="AV841">
        <f>SUM(Table1[[#This Row],[Satis]:[29]])</f>
        <v>4</v>
      </c>
      <c r="AW841">
        <f t="shared" si="150"/>
        <v>3</v>
      </c>
      <c r="AX841">
        <f t="shared" si="151"/>
        <v>2</v>
      </c>
      <c r="AY841" t="str">
        <f t="shared" si="152"/>
        <v>ND</v>
      </c>
      <c r="AZ841" t="str">
        <f t="shared" si="153"/>
        <v>ND</v>
      </c>
    </row>
    <row r="842" spans="1:52" x14ac:dyDescent="0.3">
      <c r="A842" t="s">
        <v>4677</v>
      </c>
      <c r="B842" s="94">
        <v>46048</v>
      </c>
      <c r="C842" t="s">
        <v>4678</v>
      </c>
      <c r="D842" t="s">
        <v>4675</v>
      </c>
      <c r="E842" t="s">
        <v>4660</v>
      </c>
      <c r="F842" t="s">
        <v>240</v>
      </c>
      <c r="G842" t="s">
        <v>39</v>
      </c>
      <c r="H842" t="s">
        <v>4679</v>
      </c>
      <c r="I842" t="s">
        <v>70</v>
      </c>
      <c r="J842" t="s">
        <v>71</v>
      </c>
      <c r="K842" t="s">
        <v>213</v>
      </c>
      <c r="L842" t="s">
        <v>62</v>
      </c>
      <c r="M842" t="s">
        <v>443</v>
      </c>
      <c r="N842" t="s">
        <v>52</v>
      </c>
      <c r="O842" t="s">
        <v>651</v>
      </c>
      <c r="P842">
        <v>89858727777</v>
      </c>
      <c r="Q842" t="s">
        <v>54</v>
      </c>
      <c r="R842" t="s">
        <v>61</v>
      </c>
      <c r="S842" t="s">
        <v>88</v>
      </c>
      <c r="T842" t="s">
        <v>89</v>
      </c>
      <c r="U842" t="s">
        <v>90</v>
      </c>
      <c r="V842" t="s">
        <v>91</v>
      </c>
      <c r="W842" t="s">
        <v>5049</v>
      </c>
      <c r="X842" t="s">
        <v>91</v>
      </c>
      <c r="Y842" t="s">
        <v>46</v>
      </c>
      <c r="Z842" t="s">
        <v>47</v>
      </c>
      <c r="AA842" t="s">
        <v>92</v>
      </c>
      <c r="AB842" t="s">
        <v>147</v>
      </c>
      <c r="AC842" t="s">
        <v>470</v>
      </c>
      <c r="AD842">
        <v>0</v>
      </c>
      <c r="AE842" t="s">
        <v>185</v>
      </c>
      <c r="AF842">
        <v>0</v>
      </c>
      <c r="AG842" t="s">
        <v>196</v>
      </c>
      <c r="AH842" s="93">
        <f>VLOOKUP(Table1[[#This Row],[Caste]],Factor!$H$1:$K$13,4,0)</f>
        <v>1.3836274505214585</v>
      </c>
      <c r="AI842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842">
        <f>Table1[[#This Row],[Factor_1]]*Table1[[#This Row],[2024 Factor]]</f>
        <v>1.9482662206881376</v>
      </c>
      <c r="AK842">
        <f>VLOOKUP(Table1[[#This Row],[Q18: Gender]],Factor!$A$33:$E$35,5,0)</f>
        <v>0.85034013605442171</v>
      </c>
      <c r="AL842">
        <f>VLOOKUP(Table1[[#This Row],[Taluka]],Factor!$A$42:$G$46,7,0)</f>
        <v>1.1213131007097483</v>
      </c>
      <c r="AM842">
        <f>VLOOKUP(Table1[[#This Row],[Caste]]&amp;Table1[[#This Row],[Q18: Gender]],Factor!$W$1:$X$23,2,0)</f>
        <v>1.0790228998469584</v>
      </c>
      <c r="AN842">
        <f>VLOOKUP(Table1[[#This Row],[Taluka]]&amp;Table1[[#This Row],[Caste]]&amp;Table1[[#This Row],[Q18: Gender]],Factor!$AK$4:$AL$93,2,0)</f>
        <v>0.90933567693352424</v>
      </c>
      <c r="AO842">
        <f t="shared" si="143"/>
        <v>1</v>
      </c>
      <c r="AP842">
        <f t="shared" si="144"/>
        <v>1</v>
      </c>
      <c r="AQ842">
        <f t="shared" si="145"/>
        <v>1</v>
      </c>
      <c r="AR842">
        <f t="shared" si="146"/>
        <v>1</v>
      </c>
      <c r="AS842">
        <f t="shared" si="147"/>
        <v>1</v>
      </c>
      <c r="AT842">
        <f t="shared" si="148"/>
        <v>-1</v>
      </c>
      <c r="AU842">
        <f t="shared" si="149"/>
        <v>3.5</v>
      </c>
      <c r="AV842">
        <f>SUM(Table1[[#This Row],[Satis]:[29]])</f>
        <v>4</v>
      </c>
      <c r="AW842">
        <f t="shared" si="150"/>
        <v>3</v>
      </c>
      <c r="AX842">
        <f t="shared" si="151"/>
        <v>2</v>
      </c>
      <c r="AY842" t="str">
        <f t="shared" si="152"/>
        <v>ND</v>
      </c>
      <c r="AZ842" t="str">
        <f t="shared" si="153"/>
        <v>ND</v>
      </c>
    </row>
    <row r="843" spans="1:52" x14ac:dyDescent="0.3">
      <c r="A843" t="s">
        <v>4680</v>
      </c>
      <c r="B843" s="94">
        <v>46048</v>
      </c>
      <c r="C843" t="s">
        <v>4681</v>
      </c>
      <c r="D843" t="s">
        <v>4682</v>
      </c>
      <c r="E843" t="s">
        <v>4660</v>
      </c>
      <c r="F843" t="s">
        <v>240</v>
      </c>
      <c r="G843" t="s">
        <v>39</v>
      </c>
      <c r="H843" t="s">
        <v>4683</v>
      </c>
      <c r="I843" s="112" t="s">
        <v>36</v>
      </c>
      <c r="J843" t="s">
        <v>71</v>
      </c>
      <c r="K843" t="s">
        <v>213</v>
      </c>
      <c r="L843" t="s">
        <v>451</v>
      </c>
      <c r="M843" t="s">
        <v>51</v>
      </c>
      <c r="N843" t="s">
        <v>63</v>
      </c>
      <c r="O843" t="s">
        <v>4684</v>
      </c>
      <c r="P843">
        <v>9515556783</v>
      </c>
      <c r="Q843" t="s">
        <v>445</v>
      </c>
      <c r="R843" t="s">
        <v>61</v>
      </c>
      <c r="S843" t="s">
        <v>43</v>
      </c>
      <c r="T843" t="s">
        <v>43</v>
      </c>
      <c r="U843" t="s">
        <v>44</v>
      </c>
      <c r="V843" t="s">
        <v>45</v>
      </c>
      <c r="W843" t="s">
        <v>5041</v>
      </c>
      <c r="X843" t="s">
        <v>45</v>
      </c>
      <c r="Y843" t="s">
        <v>46</v>
      </c>
      <c r="Z843" t="s">
        <v>47</v>
      </c>
      <c r="AA843" t="s">
        <v>48</v>
      </c>
      <c r="AB843" t="s">
        <v>49</v>
      </c>
      <c r="AC843" t="s">
        <v>49</v>
      </c>
      <c r="AD843" t="s">
        <v>494</v>
      </c>
      <c r="AE843" t="s">
        <v>189</v>
      </c>
      <c r="AF843" t="s">
        <v>4740</v>
      </c>
      <c r="AG843" t="s">
        <v>196</v>
      </c>
      <c r="AH843" s="93">
        <f>VLOOKUP(Table1[[#This Row],[Caste]],Factor!$H$1:$K$13,4,0)</f>
        <v>1.1705128247062893</v>
      </c>
      <c r="AI84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43">
        <f>Table1[[#This Row],[Factor_1]]*Table1[[#This Row],[2024 Factor]]</f>
        <v>2.3577066232182737</v>
      </c>
      <c r="AK843">
        <f>VLOOKUP(Table1[[#This Row],[Q18: Gender]],Factor!$A$33:$E$35,5,0)</f>
        <v>2.1645021645021645</v>
      </c>
      <c r="AL843">
        <f>VLOOKUP(Table1[[#This Row],[Taluka]],Factor!$A$42:$G$46,7,0)</f>
        <v>1.1213131007097483</v>
      </c>
      <c r="AM843">
        <f>VLOOKUP(Table1[[#This Row],[Caste]]&amp;Table1[[#This Row],[Q18: Gender]],Factor!$W$1:$X$23,2,0)</f>
        <v>2.1840056363422229</v>
      </c>
      <c r="AN843">
        <f>VLOOKUP(Table1[[#This Row],[Taluka]]&amp;Table1[[#This Row],[Caste]]&amp;Table1[[#This Row],[Q18: Gender]],Factor!$AK$4:$AL$93,2,0)</f>
        <v>0.95944580773600496</v>
      </c>
      <c r="AO843">
        <f t="shared" si="143"/>
        <v>-1</v>
      </c>
      <c r="AP843">
        <f t="shared" si="144"/>
        <v>-1</v>
      </c>
      <c r="AQ843">
        <f t="shared" si="145"/>
        <v>-1</v>
      </c>
      <c r="AR843">
        <f t="shared" si="146"/>
        <v>-1</v>
      </c>
      <c r="AS843">
        <f t="shared" si="147"/>
        <v>-1</v>
      </c>
      <c r="AT843">
        <f t="shared" si="148"/>
        <v>-1</v>
      </c>
      <c r="AU843">
        <f t="shared" si="149"/>
        <v>-5.5</v>
      </c>
      <c r="AV843">
        <f>SUM(Table1[[#This Row],[Satis]:[29]])</f>
        <v>-6</v>
      </c>
      <c r="AW843">
        <f t="shared" si="150"/>
        <v>-5</v>
      </c>
      <c r="AX843">
        <f t="shared" si="151"/>
        <v>-4</v>
      </c>
      <c r="AY843">
        <f t="shared" si="152"/>
        <v>-3</v>
      </c>
      <c r="AZ843" t="str">
        <f t="shared" si="153"/>
        <v>TDP HardCore</v>
      </c>
    </row>
    <row r="844" spans="1:52" x14ac:dyDescent="0.3">
      <c r="A844" t="s">
        <v>4685</v>
      </c>
      <c r="B844" s="94">
        <v>46048</v>
      </c>
      <c r="C844" t="s">
        <v>4686</v>
      </c>
      <c r="D844" t="s">
        <v>4687</v>
      </c>
      <c r="E844" t="s">
        <v>4688</v>
      </c>
      <c r="F844" t="s">
        <v>240</v>
      </c>
      <c r="G844" t="s">
        <v>39</v>
      </c>
      <c r="H844" t="s">
        <v>4689</v>
      </c>
      <c r="I844" t="s">
        <v>70</v>
      </c>
      <c r="J844" t="s">
        <v>71</v>
      </c>
      <c r="K844" t="s">
        <v>213</v>
      </c>
      <c r="L844" t="s">
        <v>451</v>
      </c>
      <c r="M844" t="s">
        <v>51</v>
      </c>
      <c r="N844" t="s">
        <v>63</v>
      </c>
      <c r="O844" t="s">
        <v>4690</v>
      </c>
      <c r="P844">
        <v>999999999</v>
      </c>
      <c r="Q844" t="s">
        <v>445</v>
      </c>
      <c r="R844" t="s">
        <v>61</v>
      </c>
      <c r="S844" t="s">
        <v>43</v>
      </c>
      <c r="T844" t="s">
        <v>43</v>
      </c>
      <c r="U844" t="s">
        <v>44</v>
      </c>
      <c r="V844" t="s">
        <v>45</v>
      </c>
      <c r="W844" t="s">
        <v>5055</v>
      </c>
      <c r="X844" t="s">
        <v>45</v>
      </c>
      <c r="Y844" t="s">
        <v>46</v>
      </c>
      <c r="Z844" t="s">
        <v>47</v>
      </c>
      <c r="AA844" t="s">
        <v>48</v>
      </c>
      <c r="AB844" t="s">
        <v>49</v>
      </c>
      <c r="AC844" t="s">
        <v>49</v>
      </c>
      <c r="AD844" t="s">
        <v>494</v>
      </c>
      <c r="AE844" t="s">
        <v>185</v>
      </c>
      <c r="AF844">
        <v>0</v>
      </c>
      <c r="AG844" t="s">
        <v>196</v>
      </c>
      <c r="AH844" s="93">
        <f>VLOOKUP(Table1[[#This Row],[Caste]],Factor!$H$1:$K$13,4,0)</f>
        <v>1.3836274505214585</v>
      </c>
      <c r="AI84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44">
        <f>Table1[[#This Row],[Factor_1]]*Table1[[#This Row],[2024 Factor]]</f>
        <v>2.0811826914865059</v>
      </c>
      <c r="AK844">
        <f>VLOOKUP(Table1[[#This Row],[Q18: Gender]],Factor!$A$33:$E$35,5,0)</f>
        <v>2.1645021645021645</v>
      </c>
      <c r="AL844">
        <f>VLOOKUP(Table1[[#This Row],[Taluka]],Factor!$A$42:$G$46,7,0)</f>
        <v>1.1213131007097483</v>
      </c>
      <c r="AM844">
        <f>VLOOKUP(Table1[[#This Row],[Caste]]&amp;Table1[[#This Row],[Q18: Gender]],Factor!$W$1:$X$23,2,0)</f>
        <v>1.9278542477265657</v>
      </c>
      <c r="AN844">
        <f>VLOOKUP(Table1[[#This Row],[Taluka]]&amp;Table1[[#This Row],[Caste]]&amp;Table1[[#This Row],[Q18: Gender]],Factor!$AK$4:$AL$93,2,0)</f>
        <v>1.2302776805571209</v>
      </c>
      <c r="AO844">
        <f t="shared" si="143"/>
        <v>-1</v>
      </c>
      <c r="AP844">
        <f t="shared" si="144"/>
        <v>-1</v>
      </c>
      <c r="AQ844">
        <f t="shared" si="145"/>
        <v>-1</v>
      </c>
      <c r="AR844">
        <f t="shared" si="146"/>
        <v>-1</v>
      </c>
      <c r="AS844">
        <f t="shared" si="147"/>
        <v>-1</v>
      </c>
      <c r="AT844">
        <f t="shared" si="148"/>
        <v>-1</v>
      </c>
      <c r="AU844">
        <f t="shared" si="149"/>
        <v>-5.5</v>
      </c>
      <c r="AV844">
        <f>SUM(Table1[[#This Row],[Satis]:[29]])</f>
        <v>-6</v>
      </c>
      <c r="AW844">
        <f t="shared" si="150"/>
        <v>-5</v>
      </c>
      <c r="AX844">
        <f t="shared" si="151"/>
        <v>-4</v>
      </c>
      <c r="AY844">
        <f t="shared" si="152"/>
        <v>-3</v>
      </c>
      <c r="AZ844" t="str">
        <f t="shared" si="153"/>
        <v>TDP HardCore</v>
      </c>
    </row>
    <row r="845" spans="1:52" x14ac:dyDescent="0.3">
      <c r="A845" t="s">
        <v>4691</v>
      </c>
      <c r="B845" s="94">
        <v>46048</v>
      </c>
      <c r="C845" t="s">
        <v>4692</v>
      </c>
      <c r="D845" t="s">
        <v>4687</v>
      </c>
      <c r="E845" t="s">
        <v>4688</v>
      </c>
      <c r="F845" t="s">
        <v>240</v>
      </c>
      <c r="G845" t="s">
        <v>39</v>
      </c>
      <c r="H845" t="s">
        <v>4693</v>
      </c>
      <c r="I845" t="s">
        <v>70</v>
      </c>
      <c r="J845" t="s">
        <v>71</v>
      </c>
      <c r="K845" t="s">
        <v>213</v>
      </c>
      <c r="L845" t="s">
        <v>451</v>
      </c>
      <c r="M845" t="s">
        <v>51</v>
      </c>
      <c r="N845" t="s">
        <v>63</v>
      </c>
      <c r="O845" t="s">
        <v>4690</v>
      </c>
      <c r="P845">
        <v>999999999</v>
      </c>
      <c r="Q845" t="s">
        <v>445</v>
      </c>
      <c r="R845" t="s">
        <v>61</v>
      </c>
      <c r="S845" t="s">
        <v>43</v>
      </c>
      <c r="T845" t="s">
        <v>43</v>
      </c>
      <c r="U845" t="s">
        <v>44</v>
      </c>
      <c r="V845" t="s">
        <v>45</v>
      </c>
      <c r="W845" t="s">
        <v>5055</v>
      </c>
      <c r="X845" t="s">
        <v>45</v>
      </c>
      <c r="Y845" t="s">
        <v>46</v>
      </c>
      <c r="Z845" t="s">
        <v>47</v>
      </c>
      <c r="AA845" t="s">
        <v>48</v>
      </c>
      <c r="AB845" t="s">
        <v>49</v>
      </c>
      <c r="AC845" t="s">
        <v>49</v>
      </c>
      <c r="AD845">
        <v>0</v>
      </c>
      <c r="AE845" t="s">
        <v>185</v>
      </c>
      <c r="AF845">
        <v>0</v>
      </c>
      <c r="AG845" t="s">
        <v>196</v>
      </c>
      <c r="AH845" s="93">
        <f>VLOOKUP(Table1[[#This Row],[Caste]],Factor!$H$1:$K$13,4,0)</f>
        <v>1.3836274505214585</v>
      </c>
      <c r="AI84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45">
        <f>Table1[[#This Row],[Factor_1]]*Table1[[#This Row],[2024 Factor]]</f>
        <v>2.0811826914865059</v>
      </c>
      <c r="AK845">
        <f>VLOOKUP(Table1[[#This Row],[Q18: Gender]],Factor!$A$33:$E$35,5,0)</f>
        <v>2.1645021645021645</v>
      </c>
      <c r="AL845">
        <f>VLOOKUP(Table1[[#This Row],[Taluka]],Factor!$A$42:$G$46,7,0)</f>
        <v>1.1213131007097483</v>
      </c>
      <c r="AM845">
        <f>VLOOKUP(Table1[[#This Row],[Caste]]&amp;Table1[[#This Row],[Q18: Gender]],Factor!$W$1:$X$23,2,0)</f>
        <v>1.9278542477265657</v>
      </c>
      <c r="AN845">
        <f>VLOOKUP(Table1[[#This Row],[Taluka]]&amp;Table1[[#This Row],[Caste]]&amp;Table1[[#This Row],[Q18: Gender]],Factor!$AK$4:$AL$93,2,0)</f>
        <v>1.2302776805571209</v>
      </c>
      <c r="AO845">
        <f t="shared" si="143"/>
        <v>-1</v>
      </c>
      <c r="AP845">
        <f t="shared" si="144"/>
        <v>-1</v>
      </c>
      <c r="AQ845">
        <f t="shared" si="145"/>
        <v>-1</v>
      </c>
      <c r="AR845">
        <f t="shared" si="146"/>
        <v>-1</v>
      </c>
      <c r="AS845">
        <f t="shared" si="147"/>
        <v>-1</v>
      </c>
      <c r="AT845">
        <f t="shared" si="148"/>
        <v>-1</v>
      </c>
      <c r="AU845">
        <f t="shared" si="149"/>
        <v>-5.5</v>
      </c>
      <c r="AV845">
        <f>SUM(Table1[[#This Row],[Satis]:[29]])</f>
        <v>-6</v>
      </c>
      <c r="AW845">
        <f t="shared" si="150"/>
        <v>-5</v>
      </c>
      <c r="AX845">
        <f t="shared" si="151"/>
        <v>-4</v>
      </c>
      <c r="AY845">
        <f t="shared" si="152"/>
        <v>-3</v>
      </c>
      <c r="AZ845" t="str">
        <f t="shared" si="153"/>
        <v>TDP HardCore</v>
      </c>
    </row>
    <row r="846" spans="1:52" x14ac:dyDescent="0.3">
      <c r="A846" t="s">
        <v>4694</v>
      </c>
      <c r="B846" s="94">
        <v>46048</v>
      </c>
      <c r="C846" t="s">
        <v>4695</v>
      </c>
      <c r="D846" t="s">
        <v>4687</v>
      </c>
      <c r="E846" t="s">
        <v>4688</v>
      </c>
      <c r="F846" t="s">
        <v>240</v>
      </c>
      <c r="G846" t="s">
        <v>39</v>
      </c>
      <c r="H846" t="s">
        <v>4696</v>
      </c>
      <c r="I846" t="s">
        <v>70</v>
      </c>
      <c r="J846" t="s">
        <v>71</v>
      </c>
      <c r="K846" t="s">
        <v>213</v>
      </c>
      <c r="L846" t="s">
        <v>451</v>
      </c>
      <c r="M846" t="s">
        <v>51</v>
      </c>
      <c r="N846" t="s">
        <v>63</v>
      </c>
      <c r="O846" t="s">
        <v>4690</v>
      </c>
      <c r="P846">
        <v>999999999</v>
      </c>
      <c r="Q846" t="s">
        <v>445</v>
      </c>
      <c r="R846" t="s">
        <v>61</v>
      </c>
      <c r="S846" t="s">
        <v>43</v>
      </c>
      <c r="T846" t="s">
        <v>43</v>
      </c>
      <c r="U846" t="s">
        <v>44</v>
      </c>
      <c r="V846" t="s">
        <v>45</v>
      </c>
      <c r="W846" t="s">
        <v>5055</v>
      </c>
      <c r="X846" t="s">
        <v>45</v>
      </c>
      <c r="Y846" t="s">
        <v>46</v>
      </c>
      <c r="Z846" t="s">
        <v>47</v>
      </c>
      <c r="AA846" t="s">
        <v>48</v>
      </c>
      <c r="AB846" t="s">
        <v>49</v>
      </c>
      <c r="AC846" t="s">
        <v>49</v>
      </c>
      <c r="AD846">
        <v>0</v>
      </c>
      <c r="AE846" t="s">
        <v>185</v>
      </c>
      <c r="AF846">
        <v>0</v>
      </c>
      <c r="AG846" t="s">
        <v>196</v>
      </c>
      <c r="AH846" s="93">
        <f>VLOOKUP(Table1[[#This Row],[Caste]],Factor!$H$1:$K$13,4,0)</f>
        <v>1.3836274505214585</v>
      </c>
      <c r="AI84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46">
        <f>Table1[[#This Row],[Factor_1]]*Table1[[#This Row],[2024 Factor]]</f>
        <v>2.0811826914865059</v>
      </c>
      <c r="AK846">
        <f>VLOOKUP(Table1[[#This Row],[Q18: Gender]],Factor!$A$33:$E$35,5,0)</f>
        <v>2.1645021645021645</v>
      </c>
      <c r="AL846">
        <f>VLOOKUP(Table1[[#This Row],[Taluka]],Factor!$A$42:$G$46,7,0)</f>
        <v>1.1213131007097483</v>
      </c>
      <c r="AM846">
        <f>VLOOKUP(Table1[[#This Row],[Caste]]&amp;Table1[[#This Row],[Q18: Gender]],Factor!$W$1:$X$23,2,0)</f>
        <v>1.9278542477265657</v>
      </c>
      <c r="AN846">
        <f>VLOOKUP(Table1[[#This Row],[Taluka]]&amp;Table1[[#This Row],[Caste]]&amp;Table1[[#This Row],[Q18: Gender]],Factor!$AK$4:$AL$93,2,0)</f>
        <v>1.2302776805571209</v>
      </c>
      <c r="AO846">
        <f t="shared" si="143"/>
        <v>-1</v>
      </c>
      <c r="AP846">
        <f t="shared" si="144"/>
        <v>-1</v>
      </c>
      <c r="AQ846">
        <f t="shared" si="145"/>
        <v>-1</v>
      </c>
      <c r="AR846">
        <f t="shared" si="146"/>
        <v>-1</v>
      </c>
      <c r="AS846">
        <f t="shared" si="147"/>
        <v>-1</v>
      </c>
      <c r="AT846">
        <f t="shared" si="148"/>
        <v>-1</v>
      </c>
      <c r="AU846">
        <f t="shared" si="149"/>
        <v>-5.5</v>
      </c>
      <c r="AV846">
        <f>SUM(Table1[[#This Row],[Satis]:[29]])</f>
        <v>-6</v>
      </c>
      <c r="AW846">
        <f t="shared" si="150"/>
        <v>-5</v>
      </c>
      <c r="AX846">
        <f t="shared" si="151"/>
        <v>-4</v>
      </c>
      <c r="AY846">
        <f t="shared" si="152"/>
        <v>-3</v>
      </c>
      <c r="AZ846" t="str">
        <f t="shared" si="153"/>
        <v>TDP HardCore</v>
      </c>
    </row>
    <row r="847" spans="1:52" x14ac:dyDescent="0.3">
      <c r="A847" t="s">
        <v>4697</v>
      </c>
      <c r="B847" s="94">
        <v>46048</v>
      </c>
      <c r="C847" t="s">
        <v>4698</v>
      </c>
      <c r="D847" t="s">
        <v>4699</v>
      </c>
      <c r="E847" t="s">
        <v>4688</v>
      </c>
      <c r="F847" t="s">
        <v>240</v>
      </c>
      <c r="G847" t="s">
        <v>39</v>
      </c>
      <c r="H847" t="s">
        <v>4700</v>
      </c>
      <c r="I847" t="s">
        <v>59</v>
      </c>
      <c r="J847" t="s">
        <v>71</v>
      </c>
      <c r="K847" t="s">
        <v>213</v>
      </c>
      <c r="L847" t="s">
        <v>75</v>
      </c>
      <c r="M847" t="s">
        <v>51</v>
      </c>
      <c r="N847" t="s">
        <v>63</v>
      </c>
      <c r="O847" t="s">
        <v>4701</v>
      </c>
      <c r="P847">
        <v>9949795002</v>
      </c>
      <c r="Q847" t="s">
        <v>54</v>
      </c>
      <c r="R847" t="s">
        <v>61</v>
      </c>
      <c r="S847" t="s">
        <v>43</v>
      </c>
      <c r="T847" t="s">
        <v>43</v>
      </c>
      <c r="U847" t="s">
        <v>90</v>
      </c>
      <c r="V847" t="s">
        <v>45</v>
      </c>
      <c r="W847" t="s">
        <v>5050</v>
      </c>
      <c r="X847" t="s">
        <v>45</v>
      </c>
      <c r="Y847" t="s">
        <v>46</v>
      </c>
      <c r="Z847" t="s">
        <v>47</v>
      </c>
      <c r="AA847" t="s">
        <v>48</v>
      </c>
      <c r="AB847" t="s">
        <v>49</v>
      </c>
      <c r="AC847" t="s">
        <v>49</v>
      </c>
      <c r="AD847" t="s">
        <v>494</v>
      </c>
      <c r="AE847" t="s">
        <v>185</v>
      </c>
      <c r="AF847">
        <v>0</v>
      </c>
      <c r="AG847" t="s">
        <v>196</v>
      </c>
      <c r="AH847" s="93">
        <f>VLOOKUP(Table1[[#This Row],[Caste]],Factor!$H$1:$K$13,4,0)</f>
        <v>1.1461625511156397</v>
      </c>
      <c r="AI84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47">
        <f>Table1[[#This Row],[Factor_1]]*Table1[[#This Row],[2024 Factor]]</f>
        <v>0.77721139583220644</v>
      </c>
      <c r="AK847">
        <f>VLOOKUP(Table1[[#This Row],[Q18: Gender]],Factor!$A$33:$E$35,5,0)</f>
        <v>0.85034013605442171</v>
      </c>
      <c r="AL847">
        <f>VLOOKUP(Table1[[#This Row],[Taluka]],Factor!$A$42:$G$46,7,0)</f>
        <v>1.1213131007097483</v>
      </c>
      <c r="AM847">
        <f>VLOOKUP(Table1[[#This Row],[Caste]]&amp;Table1[[#This Row],[Q18: Gender]],Factor!$W$1:$X$23,2,0)</f>
        <v>0.71995135120329123</v>
      </c>
      <c r="AN847">
        <f>VLOOKUP(Table1[[#This Row],[Taluka]]&amp;Table1[[#This Row],[Caste]]&amp;Table1[[#This Row],[Q18: Gender]],Factor!$AK$4:$AL$93,2,0)</f>
        <v>1.3370299504035861</v>
      </c>
      <c r="AO847">
        <f t="shared" si="143"/>
        <v>-1</v>
      </c>
      <c r="AP847">
        <f t="shared" si="144"/>
        <v>1</v>
      </c>
      <c r="AQ847">
        <f t="shared" si="145"/>
        <v>-1</v>
      </c>
      <c r="AR847">
        <f t="shared" si="146"/>
        <v>-1</v>
      </c>
      <c r="AS847">
        <f t="shared" si="147"/>
        <v>-1</v>
      </c>
      <c r="AT847">
        <f t="shared" si="148"/>
        <v>-1</v>
      </c>
      <c r="AU847">
        <f t="shared" si="149"/>
        <v>-3.5</v>
      </c>
      <c r="AV847">
        <f>SUM(Table1[[#This Row],[Satis]:[29]])</f>
        <v>-4</v>
      </c>
      <c r="AW847">
        <f t="shared" si="150"/>
        <v>-5</v>
      </c>
      <c r="AX847">
        <f t="shared" si="151"/>
        <v>-4</v>
      </c>
      <c r="AY847">
        <f t="shared" si="152"/>
        <v>-3</v>
      </c>
      <c r="AZ847" t="str">
        <f t="shared" si="153"/>
        <v>TDP Sympathiser</v>
      </c>
    </row>
    <row r="848" spans="1:52" x14ac:dyDescent="0.3">
      <c r="A848" t="s">
        <v>4702</v>
      </c>
      <c r="B848" s="94">
        <v>46048</v>
      </c>
      <c r="C848" t="s">
        <v>4703</v>
      </c>
      <c r="D848" t="s">
        <v>4699</v>
      </c>
      <c r="E848" t="s">
        <v>4688</v>
      </c>
      <c r="F848" t="s">
        <v>240</v>
      </c>
      <c r="G848" t="s">
        <v>39</v>
      </c>
      <c r="H848" t="s">
        <v>4704</v>
      </c>
      <c r="I848" t="s">
        <v>59</v>
      </c>
      <c r="J848" t="s">
        <v>71</v>
      </c>
      <c r="K848" t="s">
        <v>213</v>
      </c>
      <c r="L848" t="s">
        <v>75</v>
      </c>
      <c r="M848" t="s">
        <v>51</v>
      </c>
      <c r="N848" t="s">
        <v>63</v>
      </c>
      <c r="O848" t="s">
        <v>4701</v>
      </c>
      <c r="P848">
        <v>9949795002</v>
      </c>
      <c r="Q848" t="s">
        <v>54</v>
      </c>
      <c r="R848" t="s">
        <v>61</v>
      </c>
      <c r="S848" t="s">
        <v>43</v>
      </c>
      <c r="T848" t="s">
        <v>43</v>
      </c>
      <c r="U848" t="s">
        <v>90</v>
      </c>
      <c r="V848" t="s">
        <v>45</v>
      </c>
      <c r="W848" t="s">
        <v>5050</v>
      </c>
      <c r="X848" t="s">
        <v>45</v>
      </c>
      <c r="Y848" t="s">
        <v>46</v>
      </c>
      <c r="Z848" t="s">
        <v>47</v>
      </c>
      <c r="AA848" t="s">
        <v>48</v>
      </c>
      <c r="AB848" t="s">
        <v>49</v>
      </c>
      <c r="AC848" t="s">
        <v>49</v>
      </c>
      <c r="AD848">
        <v>0</v>
      </c>
      <c r="AE848" t="s">
        <v>185</v>
      </c>
      <c r="AF848">
        <v>0</v>
      </c>
      <c r="AG848" t="s">
        <v>196</v>
      </c>
      <c r="AH848" s="93">
        <f>VLOOKUP(Table1[[#This Row],[Caste]],Factor!$H$1:$K$13,4,0)</f>
        <v>1.1461625511156397</v>
      </c>
      <c r="AI84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48">
        <f>Table1[[#This Row],[Factor_1]]*Table1[[#This Row],[2024 Factor]]</f>
        <v>0.77721139583220644</v>
      </c>
      <c r="AK848">
        <f>VLOOKUP(Table1[[#This Row],[Q18: Gender]],Factor!$A$33:$E$35,5,0)</f>
        <v>0.85034013605442171</v>
      </c>
      <c r="AL848">
        <f>VLOOKUP(Table1[[#This Row],[Taluka]],Factor!$A$42:$G$46,7,0)</f>
        <v>1.1213131007097483</v>
      </c>
      <c r="AM848">
        <f>VLOOKUP(Table1[[#This Row],[Caste]]&amp;Table1[[#This Row],[Q18: Gender]],Factor!$W$1:$X$23,2,0)</f>
        <v>0.71995135120329123</v>
      </c>
      <c r="AN848">
        <f>VLOOKUP(Table1[[#This Row],[Taluka]]&amp;Table1[[#This Row],[Caste]]&amp;Table1[[#This Row],[Q18: Gender]],Factor!$AK$4:$AL$93,2,0)</f>
        <v>1.3370299504035861</v>
      </c>
      <c r="AO848">
        <f t="shared" si="143"/>
        <v>-1</v>
      </c>
      <c r="AP848">
        <f t="shared" si="144"/>
        <v>1</v>
      </c>
      <c r="AQ848">
        <f t="shared" si="145"/>
        <v>-1</v>
      </c>
      <c r="AR848">
        <f t="shared" si="146"/>
        <v>-1</v>
      </c>
      <c r="AS848">
        <f t="shared" si="147"/>
        <v>-1</v>
      </c>
      <c r="AT848">
        <f t="shared" si="148"/>
        <v>-1</v>
      </c>
      <c r="AU848">
        <f t="shared" si="149"/>
        <v>-3.5</v>
      </c>
      <c r="AV848">
        <f>SUM(Table1[[#This Row],[Satis]:[29]])</f>
        <v>-4</v>
      </c>
      <c r="AW848">
        <f t="shared" si="150"/>
        <v>-5</v>
      </c>
      <c r="AX848">
        <f t="shared" si="151"/>
        <v>-4</v>
      </c>
      <c r="AY848">
        <f t="shared" si="152"/>
        <v>-3</v>
      </c>
      <c r="AZ848" t="str">
        <f t="shared" si="153"/>
        <v>TDP Sympathiser</v>
      </c>
    </row>
    <row r="849" spans="1:52" x14ac:dyDescent="0.3">
      <c r="A849" t="s">
        <v>4705</v>
      </c>
      <c r="B849" s="94">
        <v>46048</v>
      </c>
      <c r="C849" t="s">
        <v>4706</v>
      </c>
      <c r="D849" t="s">
        <v>4707</v>
      </c>
      <c r="E849" t="s">
        <v>4660</v>
      </c>
      <c r="F849" t="s">
        <v>240</v>
      </c>
      <c r="G849" t="s">
        <v>39</v>
      </c>
      <c r="H849" t="s">
        <v>4708</v>
      </c>
      <c r="I849" t="s">
        <v>59</v>
      </c>
      <c r="J849" t="s">
        <v>71</v>
      </c>
      <c r="K849" t="s">
        <v>213</v>
      </c>
      <c r="L849" t="s">
        <v>451</v>
      </c>
      <c r="M849" t="s">
        <v>51</v>
      </c>
      <c r="N849" t="s">
        <v>52</v>
      </c>
      <c r="O849" t="s">
        <v>4709</v>
      </c>
      <c r="P849">
        <v>9704989566</v>
      </c>
      <c r="Q849" t="s">
        <v>445</v>
      </c>
      <c r="R849" t="s">
        <v>61</v>
      </c>
      <c r="S849" t="s">
        <v>43</v>
      </c>
      <c r="T849" t="s">
        <v>43</v>
      </c>
      <c r="U849" t="s">
        <v>44</v>
      </c>
      <c r="V849" t="s">
        <v>45</v>
      </c>
      <c r="W849" t="s">
        <v>5051</v>
      </c>
      <c r="X849" t="s">
        <v>45</v>
      </c>
      <c r="Y849" t="s">
        <v>46</v>
      </c>
      <c r="Z849" t="s">
        <v>47</v>
      </c>
      <c r="AA849" t="s">
        <v>48</v>
      </c>
      <c r="AB849" t="s">
        <v>49</v>
      </c>
      <c r="AC849" t="s">
        <v>49</v>
      </c>
      <c r="AD849" t="s">
        <v>494</v>
      </c>
      <c r="AE849" t="s">
        <v>185</v>
      </c>
      <c r="AF849">
        <v>0</v>
      </c>
      <c r="AG849" t="s">
        <v>196</v>
      </c>
      <c r="AH849" s="93">
        <f>VLOOKUP(Table1[[#This Row],[Caste]],Factor!$H$1:$K$13,4,0)</f>
        <v>1.1461625511156397</v>
      </c>
      <c r="AI84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49">
        <f>Table1[[#This Row],[Factor_1]]*Table1[[#This Row],[2024 Factor]]</f>
        <v>3.0326483876590018</v>
      </c>
      <c r="AK849">
        <f>VLOOKUP(Table1[[#This Row],[Q18: Gender]],Factor!$A$33:$E$35,5,0)</f>
        <v>2.1645021645021645</v>
      </c>
      <c r="AL849">
        <f>VLOOKUP(Table1[[#This Row],[Taluka]],Factor!$A$42:$G$46,7,0)</f>
        <v>1.1213131007097483</v>
      </c>
      <c r="AM849">
        <f>VLOOKUP(Table1[[#This Row],[Caste]]&amp;Table1[[#This Row],[Q18: Gender]],Factor!$W$1:$X$23,2,0)</f>
        <v>2.8092219390089208</v>
      </c>
      <c r="AN849">
        <f>VLOOKUP(Table1[[#This Row],[Taluka]]&amp;Table1[[#This Row],[Caste]]&amp;Table1[[#This Row],[Q18: Gender]],Factor!$AK$4:$AL$93,2,0)</f>
        <v>1.8020838461961379</v>
      </c>
      <c r="AO849">
        <f t="shared" si="143"/>
        <v>-1</v>
      </c>
      <c r="AP849">
        <f t="shared" si="144"/>
        <v>-1</v>
      </c>
      <c r="AQ849">
        <f t="shared" si="145"/>
        <v>-1</v>
      </c>
      <c r="AR849">
        <f t="shared" si="146"/>
        <v>-1</v>
      </c>
      <c r="AS849">
        <f t="shared" si="147"/>
        <v>-1</v>
      </c>
      <c r="AT849">
        <f t="shared" si="148"/>
        <v>-1</v>
      </c>
      <c r="AU849">
        <f t="shared" si="149"/>
        <v>-5.5</v>
      </c>
      <c r="AV849">
        <f>SUM(Table1[[#This Row],[Satis]:[29]])</f>
        <v>-6</v>
      </c>
      <c r="AW849">
        <f t="shared" si="150"/>
        <v>-5</v>
      </c>
      <c r="AX849">
        <f t="shared" si="151"/>
        <v>-4</v>
      </c>
      <c r="AY849">
        <f t="shared" si="152"/>
        <v>-3</v>
      </c>
      <c r="AZ849" t="str">
        <f t="shared" si="153"/>
        <v>TDP HardCore</v>
      </c>
    </row>
    <row r="850" spans="1:52" x14ac:dyDescent="0.3">
      <c r="A850" t="s">
        <v>4710</v>
      </c>
      <c r="B850" s="94">
        <v>46048</v>
      </c>
      <c r="C850" t="s">
        <v>4711</v>
      </c>
      <c r="D850" t="s">
        <v>4712</v>
      </c>
      <c r="E850" t="s">
        <v>4660</v>
      </c>
      <c r="F850" t="s">
        <v>240</v>
      </c>
      <c r="G850" t="s">
        <v>39</v>
      </c>
      <c r="H850" t="s">
        <v>4713</v>
      </c>
      <c r="I850" t="s">
        <v>227</v>
      </c>
      <c r="J850" t="s">
        <v>71</v>
      </c>
      <c r="K850" t="s">
        <v>213</v>
      </c>
      <c r="L850" t="s">
        <v>62</v>
      </c>
      <c r="M850" t="s">
        <v>443</v>
      </c>
      <c r="N850" t="s">
        <v>107</v>
      </c>
      <c r="O850" t="s">
        <v>4714</v>
      </c>
      <c r="P850">
        <v>99999999</v>
      </c>
      <c r="Q850" t="s">
        <v>54</v>
      </c>
      <c r="R850" t="s">
        <v>61</v>
      </c>
      <c r="S850" t="s">
        <v>88</v>
      </c>
      <c r="T850" t="s">
        <v>43</v>
      </c>
      <c r="U850" t="s">
        <v>90</v>
      </c>
      <c r="V850" t="s">
        <v>45</v>
      </c>
      <c r="W850" t="s">
        <v>5077</v>
      </c>
      <c r="X850" t="s">
        <v>45</v>
      </c>
      <c r="Y850" t="s">
        <v>46</v>
      </c>
      <c r="Z850" t="s">
        <v>47</v>
      </c>
      <c r="AA850" t="s">
        <v>48</v>
      </c>
      <c r="AB850" t="s">
        <v>49</v>
      </c>
      <c r="AC850" t="s">
        <v>49</v>
      </c>
      <c r="AD850" t="s">
        <v>494</v>
      </c>
      <c r="AE850" t="s">
        <v>185</v>
      </c>
      <c r="AF850">
        <v>0</v>
      </c>
      <c r="AG850" t="s">
        <v>196</v>
      </c>
      <c r="AH850" s="93">
        <f>VLOOKUP(Table1[[#This Row],[Caste]],Factor!$H$1:$K$13,4,0)</f>
        <v>1.2612194085121222</v>
      </c>
      <c r="AI85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50">
        <f>Table1[[#This Row],[Factor_1]]*Table1[[#This Row],[2024 Factor]]</f>
        <v>0.92029223709519836</v>
      </c>
      <c r="AK850">
        <f>VLOOKUP(Table1[[#This Row],[Q18: Gender]],Factor!$A$33:$E$35,5,0)</f>
        <v>0.85034013605442171</v>
      </c>
      <c r="AL850">
        <f>VLOOKUP(Table1[[#This Row],[Taluka]],Factor!$A$42:$G$46,7,0)</f>
        <v>1.1213131007097483</v>
      </c>
      <c r="AM850">
        <f>VLOOKUP(Table1[[#This Row],[Caste]]&amp;Table1[[#This Row],[Q18: Gender]],Factor!$W$1:$X$23,2,0)</f>
        <v>0.85249089649430487</v>
      </c>
      <c r="AN850">
        <f>VLOOKUP(Table1[[#This Row],[Taluka]]&amp;Table1[[#This Row],[Caste]]&amp;Table1[[#This Row],[Q18: Gender]],Factor!$AK$4:$AL$93,2,0)</f>
        <v>1.3317727120335781</v>
      </c>
      <c r="AO850">
        <f t="shared" si="143"/>
        <v>-1</v>
      </c>
      <c r="AP850">
        <f t="shared" si="144"/>
        <v>1</v>
      </c>
      <c r="AQ850">
        <f t="shared" si="145"/>
        <v>-1</v>
      </c>
      <c r="AR850">
        <f t="shared" si="146"/>
        <v>-1</v>
      </c>
      <c r="AS850">
        <f t="shared" si="147"/>
        <v>-1</v>
      </c>
      <c r="AT850">
        <f t="shared" si="148"/>
        <v>-1</v>
      </c>
      <c r="AU850">
        <f t="shared" si="149"/>
        <v>-3.5</v>
      </c>
      <c r="AV850">
        <f>SUM(Table1[[#This Row],[Satis]:[29]])</f>
        <v>-4</v>
      </c>
      <c r="AW850">
        <f t="shared" si="150"/>
        <v>-5</v>
      </c>
      <c r="AX850">
        <f t="shared" si="151"/>
        <v>-4</v>
      </c>
      <c r="AY850">
        <f t="shared" si="152"/>
        <v>-3</v>
      </c>
      <c r="AZ850" t="str">
        <f t="shared" si="153"/>
        <v>TDP Sympathiser</v>
      </c>
    </row>
    <row r="851" spans="1:52" x14ac:dyDescent="0.3">
      <c r="A851" t="s">
        <v>4715</v>
      </c>
      <c r="B851" s="94">
        <v>46048</v>
      </c>
      <c r="C851" t="s">
        <v>4716</v>
      </c>
      <c r="D851" t="s">
        <v>4717</v>
      </c>
      <c r="E851" t="s">
        <v>4660</v>
      </c>
      <c r="F851" t="s">
        <v>240</v>
      </c>
      <c r="G851" t="s">
        <v>39</v>
      </c>
      <c r="H851" t="s">
        <v>4718</v>
      </c>
      <c r="I851" t="s">
        <v>70</v>
      </c>
      <c r="J851" t="s">
        <v>71</v>
      </c>
      <c r="K851" t="s">
        <v>213</v>
      </c>
      <c r="L851" t="s">
        <v>75</v>
      </c>
      <c r="M851" t="s">
        <v>51</v>
      </c>
      <c r="N851" t="s">
        <v>63</v>
      </c>
      <c r="O851" t="s">
        <v>4719</v>
      </c>
      <c r="P851">
        <v>9696806806</v>
      </c>
      <c r="Q851" t="s">
        <v>54</v>
      </c>
      <c r="R851" t="s">
        <v>61</v>
      </c>
      <c r="S851" t="s">
        <v>43</v>
      </c>
      <c r="T851" t="s">
        <v>43</v>
      </c>
      <c r="U851" t="s">
        <v>44</v>
      </c>
      <c r="V851" t="s">
        <v>45</v>
      </c>
      <c r="W851" t="s">
        <v>5054</v>
      </c>
      <c r="X851" t="s">
        <v>45</v>
      </c>
      <c r="Y851" t="s">
        <v>46</v>
      </c>
      <c r="Z851" t="s">
        <v>47</v>
      </c>
      <c r="AA851" t="s">
        <v>48</v>
      </c>
      <c r="AB851" t="s">
        <v>49</v>
      </c>
      <c r="AC851" t="s">
        <v>49</v>
      </c>
      <c r="AD851" t="s">
        <v>494</v>
      </c>
      <c r="AE851" t="s">
        <v>185</v>
      </c>
      <c r="AF851">
        <v>0</v>
      </c>
      <c r="AG851" t="s">
        <v>196</v>
      </c>
      <c r="AH851" s="93">
        <f>VLOOKUP(Table1[[#This Row],[Caste]],Factor!$H$1:$K$13,4,0)</f>
        <v>1.3836274505214585</v>
      </c>
      <c r="AI85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51">
        <f>Table1[[#This Row],[Factor_1]]*Table1[[#This Row],[2024 Factor]]</f>
        <v>1.1648410586678206</v>
      </c>
      <c r="AK851">
        <f>VLOOKUP(Table1[[#This Row],[Q18: Gender]],Factor!$A$33:$E$35,5,0)</f>
        <v>0.85034013605442171</v>
      </c>
      <c r="AL851">
        <f>VLOOKUP(Table1[[#This Row],[Taluka]],Factor!$A$42:$G$46,7,0)</f>
        <v>1.1213131007097483</v>
      </c>
      <c r="AM851">
        <f>VLOOKUP(Table1[[#This Row],[Caste]]&amp;Table1[[#This Row],[Q18: Gender]],Factor!$W$1:$X$23,2,0)</f>
        <v>1.0790228998469584</v>
      </c>
      <c r="AN851">
        <f>VLOOKUP(Table1[[#This Row],[Taluka]]&amp;Table1[[#This Row],[Caste]]&amp;Table1[[#This Row],[Q18: Gender]],Factor!$AK$4:$AL$93,2,0)</f>
        <v>0.90933567693352424</v>
      </c>
      <c r="AO851">
        <f t="shared" si="143"/>
        <v>-1</v>
      </c>
      <c r="AP851">
        <f t="shared" si="144"/>
        <v>-1</v>
      </c>
      <c r="AQ851">
        <f t="shared" si="145"/>
        <v>-1</v>
      </c>
      <c r="AR851">
        <f t="shared" si="146"/>
        <v>-1</v>
      </c>
      <c r="AS851">
        <f t="shared" si="147"/>
        <v>-1</v>
      </c>
      <c r="AT851">
        <f t="shared" si="148"/>
        <v>-1</v>
      </c>
      <c r="AU851">
        <f t="shared" si="149"/>
        <v>-5.5</v>
      </c>
      <c r="AV851">
        <f>SUM(Table1[[#This Row],[Satis]:[29]])</f>
        <v>-6</v>
      </c>
      <c r="AW851">
        <f t="shared" si="150"/>
        <v>-5</v>
      </c>
      <c r="AX851">
        <f t="shared" si="151"/>
        <v>-4</v>
      </c>
      <c r="AY851">
        <f t="shared" si="152"/>
        <v>-3</v>
      </c>
      <c r="AZ851" t="str">
        <f t="shared" si="153"/>
        <v>TDP HardCore</v>
      </c>
    </row>
    <row r="852" spans="1:52" x14ac:dyDescent="0.3">
      <c r="A852" t="s">
        <v>4720</v>
      </c>
      <c r="B852" s="94">
        <v>46048</v>
      </c>
      <c r="C852" t="s">
        <v>4721</v>
      </c>
      <c r="D852" t="s">
        <v>4722</v>
      </c>
      <c r="E852" t="s">
        <v>4660</v>
      </c>
      <c r="F852" t="s">
        <v>240</v>
      </c>
      <c r="G852" t="s">
        <v>39</v>
      </c>
      <c r="H852" t="s">
        <v>4723</v>
      </c>
      <c r="I852" t="s">
        <v>36</v>
      </c>
      <c r="J852" t="s">
        <v>71</v>
      </c>
      <c r="K852" t="s">
        <v>213</v>
      </c>
      <c r="L852" t="s">
        <v>451</v>
      </c>
      <c r="M852" t="s">
        <v>51</v>
      </c>
      <c r="N852" t="s">
        <v>52</v>
      </c>
      <c r="O852" t="s">
        <v>4724</v>
      </c>
      <c r="P852">
        <v>9010705893</v>
      </c>
      <c r="Q852" t="s">
        <v>445</v>
      </c>
      <c r="R852" t="s">
        <v>132</v>
      </c>
      <c r="S852" t="s">
        <v>43</v>
      </c>
      <c r="T852" t="s">
        <v>43</v>
      </c>
      <c r="U852" t="s">
        <v>44</v>
      </c>
      <c r="V852" t="s">
        <v>45</v>
      </c>
      <c r="W852" t="s">
        <v>5051</v>
      </c>
      <c r="X852" t="s">
        <v>45</v>
      </c>
      <c r="Y852" t="s">
        <v>46</v>
      </c>
      <c r="Z852" t="s">
        <v>47</v>
      </c>
      <c r="AA852" t="s">
        <v>48</v>
      </c>
      <c r="AB852" t="s">
        <v>49</v>
      </c>
      <c r="AC852" t="s">
        <v>49</v>
      </c>
      <c r="AD852" t="s">
        <v>494</v>
      </c>
      <c r="AE852" t="s">
        <v>189</v>
      </c>
      <c r="AF852" t="s">
        <v>4741</v>
      </c>
      <c r="AG852" t="s">
        <v>196</v>
      </c>
      <c r="AH852" s="93">
        <f>VLOOKUP(Table1[[#This Row],[Caste]],Factor!$H$1:$K$13,4,0)</f>
        <v>1.1705128247062893</v>
      </c>
      <c r="AI85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52">
        <f>Table1[[#This Row],[Factor_1]]*Table1[[#This Row],[2024 Factor]]</f>
        <v>2.3577066232182737</v>
      </c>
      <c r="AK852">
        <f>VLOOKUP(Table1[[#This Row],[Q18: Gender]],Factor!$A$33:$E$35,5,0)</f>
        <v>2.1645021645021645</v>
      </c>
      <c r="AL852">
        <f>VLOOKUP(Table1[[#This Row],[Taluka]],Factor!$A$42:$G$46,7,0)</f>
        <v>1.1213131007097483</v>
      </c>
      <c r="AM852">
        <f>VLOOKUP(Table1[[#This Row],[Caste]]&amp;Table1[[#This Row],[Q18: Gender]],Factor!$W$1:$X$23,2,0)</f>
        <v>2.1840056363422229</v>
      </c>
      <c r="AN852">
        <f>VLOOKUP(Table1[[#This Row],[Taluka]]&amp;Table1[[#This Row],[Caste]]&amp;Table1[[#This Row],[Q18: Gender]],Factor!$AK$4:$AL$93,2,0)</f>
        <v>0.95944580773600496</v>
      </c>
      <c r="AO852">
        <f t="shared" si="143"/>
        <v>-1</v>
      </c>
      <c r="AP852">
        <f t="shared" si="144"/>
        <v>-1</v>
      </c>
      <c r="AQ852">
        <f t="shared" si="145"/>
        <v>-1</v>
      </c>
      <c r="AR852">
        <f t="shared" si="146"/>
        <v>-1</v>
      </c>
      <c r="AS852">
        <f t="shared" si="147"/>
        <v>-1</v>
      </c>
      <c r="AT852">
        <f t="shared" si="148"/>
        <v>-1</v>
      </c>
      <c r="AU852">
        <f t="shared" si="149"/>
        <v>-5.5</v>
      </c>
      <c r="AV852">
        <f>SUM(Table1[[#This Row],[Satis]:[29]])</f>
        <v>-6</v>
      </c>
      <c r="AW852">
        <f t="shared" si="150"/>
        <v>-5</v>
      </c>
      <c r="AX852">
        <f t="shared" si="151"/>
        <v>-4</v>
      </c>
      <c r="AY852">
        <f t="shared" si="152"/>
        <v>-3</v>
      </c>
      <c r="AZ852" t="str">
        <f t="shared" si="153"/>
        <v>TDP HardCore</v>
      </c>
    </row>
    <row r="853" spans="1:52" x14ac:dyDescent="0.3">
      <c r="A853" t="s">
        <v>4725</v>
      </c>
      <c r="B853" s="94">
        <v>46048</v>
      </c>
      <c r="C853" t="s">
        <v>4726</v>
      </c>
      <c r="D853" t="s">
        <v>4727</v>
      </c>
      <c r="E853" t="s">
        <v>4660</v>
      </c>
      <c r="F853" t="s">
        <v>240</v>
      </c>
      <c r="G853" t="s">
        <v>39</v>
      </c>
      <c r="H853" t="s">
        <v>4728</v>
      </c>
      <c r="I853" t="s">
        <v>59</v>
      </c>
      <c r="J853" t="s">
        <v>71</v>
      </c>
      <c r="K853" t="s">
        <v>213</v>
      </c>
      <c r="L853" t="s">
        <v>50</v>
      </c>
      <c r="M853" t="s">
        <v>51</v>
      </c>
      <c r="N853" t="s">
        <v>107</v>
      </c>
      <c r="O853" t="s">
        <v>4729</v>
      </c>
      <c r="P853">
        <v>99999999999</v>
      </c>
      <c r="Q853" t="s">
        <v>54</v>
      </c>
      <c r="R853" t="s">
        <v>2116</v>
      </c>
      <c r="S853" t="s">
        <v>43</v>
      </c>
      <c r="T853" t="s">
        <v>43</v>
      </c>
      <c r="U853" t="s">
        <v>90</v>
      </c>
      <c r="V853" t="s">
        <v>45</v>
      </c>
      <c r="W853" t="s">
        <v>5058</v>
      </c>
      <c r="X853" t="s">
        <v>45</v>
      </c>
      <c r="Y853" t="s">
        <v>46</v>
      </c>
      <c r="Z853" t="s">
        <v>92</v>
      </c>
      <c r="AA853" t="s">
        <v>242</v>
      </c>
      <c r="AB853" t="s">
        <v>49</v>
      </c>
      <c r="AC853" t="s">
        <v>49</v>
      </c>
      <c r="AD853" t="s">
        <v>494</v>
      </c>
      <c r="AE853" t="s">
        <v>185</v>
      </c>
      <c r="AF853">
        <v>0</v>
      </c>
      <c r="AG853" t="s">
        <v>196</v>
      </c>
      <c r="AH853" s="93">
        <f>VLOOKUP(Table1[[#This Row],[Caste]],Factor!$H$1:$K$13,4,0)</f>
        <v>1.1461625511156397</v>
      </c>
      <c r="AI853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853">
        <f>Table1[[#This Row],[Factor_1]]*Table1[[#This Row],[2024 Factor]]</f>
        <v>0.47627550925756229</v>
      </c>
      <c r="AK853">
        <f>VLOOKUP(Table1[[#This Row],[Q18: Gender]],Factor!$A$33:$E$35,5,0)</f>
        <v>0.85034013605442171</v>
      </c>
      <c r="AL853">
        <f>VLOOKUP(Table1[[#This Row],[Taluka]],Factor!$A$42:$G$46,7,0)</f>
        <v>1.1213131007097483</v>
      </c>
      <c r="AM853">
        <f>VLOOKUP(Table1[[#This Row],[Caste]]&amp;Table1[[#This Row],[Q18: Gender]],Factor!$W$1:$X$23,2,0)</f>
        <v>0.71995135120329123</v>
      </c>
      <c r="AN853">
        <f>VLOOKUP(Table1[[#This Row],[Taluka]]&amp;Table1[[#This Row],[Caste]]&amp;Table1[[#This Row],[Q18: Gender]],Factor!$AK$4:$AL$93,2,0)</f>
        <v>1.3370299504035861</v>
      </c>
      <c r="AO853">
        <f t="shared" si="143"/>
        <v>-1</v>
      </c>
      <c r="AP853">
        <f t="shared" si="144"/>
        <v>1</v>
      </c>
      <c r="AQ853">
        <f t="shared" si="145"/>
        <v>-1</v>
      </c>
      <c r="AR853">
        <f t="shared" si="146"/>
        <v>-1</v>
      </c>
      <c r="AS853">
        <f t="shared" si="147"/>
        <v>-1</v>
      </c>
      <c r="AT853">
        <f t="shared" si="148"/>
        <v>1</v>
      </c>
      <c r="AU853">
        <f t="shared" si="149"/>
        <v>-1.5</v>
      </c>
      <c r="AV853">
        <f>SUM(Table1[[#This Row],[Satis]:[29]])</f>
        <v>-2</v>
      </c>
      <c r="AW853">
        <f t="shared" si="150"/>
        <v>-3</v>
      </c>
      <c r="AX853">
        <f t="shared" si="151"/>
        <v>-2</v>
      </c>
      <c r="AY853" t="str">
        <f t="shared" si="152"/>
        <v>ND</v>
      </c>
      <c r="AZ853" t="str">
        <f t="shared" si="153"/>
        <v>ND</v>
      </c>
    </row>
    <row r="854" spans="1:52" x14ac:dyDescent="0.3">
      <c r="A854" t="s">
        <v>4730</v>
      </c>
      <c r="B854" s="94">
        <v>46048</v>
      </c>
      <c r="C854" t="s">
        <v>4731</v>
      </c>
      <c r="D854" t="s">
        <v>4732</v>
      </c>
      <c r="E854" t="s">
        <v>4655</v>
      </c>
      <c r="F854" t="s">
        <v>240</v>
      </c>
      <c r="G854" t="s">
        <v>39</v>
      </c>
      <c r="H854" t="s">
        <v>4733</v>
      </c>
      <c r="I854" t="s">
        <v>70</v>
      </c>
      <c r="J854" t="s">
        <v>71</v>
      </c>
      <c r="K854" t="s">
        <v>213</v>
      </c>
      <c r="L854" t="s">
        <v>62</v>
      </c>
      <c r="M854" t="s">
        <v>51</v>
      </c>
      <c r="N854" t="s">
        <v>52</v>
      </c>
      <c r="O854" t="s">
        <v>4734</v>
      </c>
      <c r="P854">
        <v>9999999999</v>
      </c>
      <c r="Q854" t="s">
        <v>54</v>
      </c>
      <c r="R854" t="s">
        <v>2116</v>
      </c>
      <c r="S854" t="s">
        <v>43</v>
      </c>
      <c r="T854" t="s">
        <v>43</v>
      </c>
      <c r="U854" t="s">
        <v>44</v>
      </c>
      <c r="V854" t="s">
        <v>45</v>
      </c>
      <c r="W854" t="s">
        <v>5068</v>
      </c>
      <c r="X854" t="s">
        <v>45</v>
      </c>
      <c r="Y854" t="s">
        <v>46</v>
      </c>
      <c r="Z854" t="s">
        <v>47</v>
      </c>
      <c r="AA854" t="s">
        <v>48</v>
      </c>
      <c r="AB854" t="s">
        <v>49</v>
      </c>
      <c r="AC854" t="s">
        <v>49</v>
      </c>
      <c r="AD854" t="s">
        <v>184</v>
      </c>
      <c r="AE854" t="s">
        <v>185</v>
      </c>
      <c r="AF854">
        <v>0</v>
      </c>
      <c r="AG854" t="s">
        <v>196</v>
      </c>
      <c r="AH854" s="93">
        <f>VLOOKUP(Table1[[#This Row],[Caste]],Factor!$H$1:$K$13,4,0)</f>
        <v>1.3836274505214585</v>
      </c>
      <c r="AI85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54">
        <f>Table1[[#This Row],[Factor_1]]*Table1[[#This Row],[2024 Factor]]</f>
        <v>1.1648410586678206</v>
      </c>
      <c r="AK854">
        <f>VLOOKUP(Table1[[#This Row],[Q18: Gender]],Factor!$A$33:$E$35,5,0)</f>
        <v>0.85034013605442171</v>
      </c>
      <c r="AL854">
        <f>VLOOKUP(Table1[[#This Row],[Taluka]],Factor!$A$42:$G$46,7,0)</f>
        <v>1.1213131007097483</v>
      </c>
      <c r="AM854">
        <f>VLOOKUP(Table1[[#This Row],[Caste]]&amp;Table1[[#This Row],[Q18: Gender]],Factor!$W$1:$X$23,2,0)</f>
        <v>1.0790228998469584</v>
      </c>
      <c r="AN854">
        <f>VLOOKUP(Table1[[#This Row],[Taluka]]&amp;Table1[[#This Row],[Caste]]&amp;Table1[[#This Row],[Q18: Gender]],Factor!$AK$4:$AL$93,2,0)</f>
        <v>0.90933567693352424</v>
      </c>
      <c r="AO854">
        <f t="shared" si="143"/>
        <v>-1</v>
      </c>
      <c r="AP854">
        <f t="shared" si="144"/>
        <v>-1</v>
      </c>
      <c r="AQ854">
        <f t="shared" si="145"/>
        <v>-1</v>
      </c>
      <c r="AR854">
        <f t="shared" si="146"/>
        <v>-1</v>
      </c>
      <c r="AS854">
        <f t="shared" si="147"/>
        <v>-1</v>
      </c>
      <c r="AT854">
        <f t="shared" si="148"/>
        <v>-1</v>
      </c>
      <c r="AU854">
        <f t="shared" si="149"/>
        <v>-5.5</v>
      </c>
      <c r="AV854">
        <f>SUM(Table1[[#This Row],[Satis]:[29]])</f>
        <v>-6</v>
      </c>
      <c r="AW854">
        <f t="shared" si="150"/>
        <v>-5</v>
      </c>
      <c r="AX854">
        <f t="shared" si="151"/>
        <v>-4</v>
      </c>
      <c r="AY854">
        <f t="shared" si="152"/>
        <v>-3</v>
      </c>
      <c r="AZ854" t="str">
        <f t="shared" si="153"/>
        <v>TDP HardCore</v>
      </c>
    </row>
    <row r="855" spans="1:52" x14ac:dyDescent="0.3">
      <c r="A855" t="s">
        <v>4742</v>
      </c>
      <c r="B855" s="94">
        <v>46049</v>
      </c>
      <c r="C855" t="s">
        <v>4743</v>
      </c>
      <c r="D855" t="s">
        <v>4744</v>
      </c>
      <c r="E855" t="s">
        <v>4745</v>
      </c>
      <c r="F855" t="s">
        <v>240</v>
      </c>
      <c r="G855" t="s">
        <v>39</v>
      </c>
      <c r="H855" t="s">
        <v>4747</v>
      </c>
      <c r="I855" t="s">
        <v>36</v>
      </c>
      <c r="J855" t="s">
        <v>71</v>
      </c>
      <c r="K855" t="s">
        <v>213</v>
      </c>
      <c r="L855" t="s">
        <v>451</v>
      </c>
      <c r="M855" t="s">
        <v>443</v>
      </c>
      <c r="N855" t="s">
        <v>52</v>
      </c>
      <c r="O855" t="s">
        <v>4748</v>
      </c>
      <c r="P855">
        <v>9999999999</v>
      </c>
      <c r="Q855" t="s">
        <v>445</v>
      </c>
      <c r="R855" t="s">
        <v>61</v>
      </c>
      <c r="S855" t="s">
        <v>43</v>
      </c>
      <c r="T855" t="s">
        <v>43</v>
      </c>
      <c r="U855" t="s">
        <v>90</v>
      </c>
      <c r="V855" t="s">
        <v>91</v>
      </c>
      <c r="W855" t="s">
        <v>5054</v>
      </c>
      <c r="X855" t="s">
        <v>45</v>
      </c>
      <c r="Y855" t="s">
        <v>46</v>
      </c>
      <c r="Z855" t="s">
        <v>242</v>
      </c>
      <c r="AA855" t="s">
        <v>242</v>
      </c>
      <c r="AB855" t="s">
        <v>49</v>
      </c>
      <c r="AC855" t="s">
        <v>49</v>
      </c>
      <c r="AD855" t="s">
        <v>1552</v>
      </c>
      <c r="AE855" t="s">
        <v>1271</v>
      </c>
      <c r="AF855" t="s">
        <v>4746</v>
      </c>
      <c r="AG855" t="s">
        <v>196</v>
      </c>
      <c r="AH855" s="93">
        <f>VLOOKUP(Table1[[#This Row],[Caste]],Factor!$H$1:$K$13,4,0)</f>
        <v>1.1705128247062893</v>
      </c>
      <c r="AI855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855">
        <f>Table1[[#This Row],[Factor_1]]*Table1[[#This Row],[2024 Factor]]</f>
        <v>1.444803728657164</v>
      </c>
      <c r="AK855">
        <f>VLOOKUP(Table1[[#This Row],[Q18: Gender]],Factor!$A$33:$E$35,5,0)</f>
        <v>2.1645021645021645</v>
      </c>
      <c r="AL855">
        <f>VLOOKUP(Table1[[#This Row],[Taluka]],Factor!$A$42:$G$46,7,0)</f>
        <v>1.1213131007097483</v>
      </c>
      <c r="AM855">
        <f>VLOOKUP(Table1[[#This Row],[Caste]]&amp;Table1[[#This Row],[Q18: Gender]],Factor!$W$1:$X$23,2,0)</f>
        <v>2.1840056363422229</v>
      </c>
      <c r="AN855">
        <f>VLOOKUP(Table1[[#This Row],[Taluka]]&amp;Table1[[#This Row],[Caste]]&amp;Table1[[#This Row],[Q18: Gender]],Factor!$AK$4:$AL$93,2,0)</f>
        <v>0.95944580773600496</v>
      </c>
      <c r="AO855">
        <f t="shared" si="143"/>
        <v>-1</v>
      </c>
      <c r="AP855">
        <f t="shared" si="144"/>
        <v>1</v>
      </c>
      <c r="AQ855">
        <f t="shared" si="145"/>
        <v>1</v>
      </c>
      <c r="AR855">
        <f t="shared" si="146"/>
        <v>-1</v>
      </c>
      <c r="AS855">
        <f t="shared" si="147"/>
        <v>-1</v>
      </c>
      <c r="AT855">
        <f t="shared" si="148"/>
        <v>-1</v>
      </c>
      <c r="AU855">
        <f t="shared" si="149"/>
        <v>-1.5</v>
      </c>
      <c r="AV855">
        <f>SUM(Table1[[#This Row],[Satis]:[29]])</f>
        <v>-2</v>
      </c>
      <c r="AW855">
        <f t="shared" si="150"/>
        <v>-3</v>
      </c>
      <c r="AX855">
        <f t="shared" si="151"/>
        <v>-2</v>
      </c>
      <c r="AY855">
        <f t="shared" si="152"/>
        <v>-3</v>
      </c>
      <c r="AZ855" t="str">
        <f t="shared" si="153"/>
        <v>Neutral TDP</v>
      </c>
    </row>
    <row r="856" spans="1:52" x14ac:dyDescent="0.3">
      <c r="A856" t="s">
        <v>4776</v>
      </c>
      <c r="B856" s="94">
        <v>46049</v>
      </c>
      <c r="C856" t="s">
        <v>4777</v>
      </c>
      <c r="D856" t="s">
        <v>4778</v>
      </c>
      <c r="E856" t="s">
        <v>4282</v>
      </c>
      <c r="F856" t="s">
        <v>240</v>
      </c>
      <c r="G856" t="s">
        <v>39</v>
      </c>
      <c r="H856" t="s">
        <v>4779</v>
      </c>
      <c r="I856" t="s">
        <v>36</v>
      </c>
      <c r="J856" t="s">
        <v>71</v>
      </c>
      <c r="K856" t="s">
        <v>213</v>
      </c>
      <c r="L856" t="s">
        <v>451</v>
      </c>
      <c r="M856" t="s">
        <v>51</v>
      </c>
      <c r="N856" t="s">
        <v>63</v>
      </c>
      <c r="O856" t="s">
        <v>4780</v>
      </c>
      <c r="P856">
        <v>999999999</v>
      </c>
      <c r="Q856" t="s">
        <v>445</v>
      </c>
      <c r="R856" t="s">
        <v>2116</v>
      </c>
      <c r="S856" t="s">
        <v>43</v>
      </c>
      <c r="T856" t="s">
        <v>43</v>
      </c>
      <c r="U856" t="s">
        <v>44</v>
      </c>
      <c r="V856" t="s">
        <v>45</v>
      </c>
      <c r="W856" t="s">
        <v>5054</v>
      </c>
      <c r="X856" t="s">
        <v>45</v>
      </c>
      <c r="Y856" t="s">
        <v>46</v>
      </c>
      <c r="Z856" t="s">
        <v>47</v>
      </c>
      <c r="AA856" t="s">
        <v>48</v>
      </c>
      <c r="AB856" t="s">
        <v>49</v>
      </c>
      <c r="AC856" t="s">
        <v>49</v>
      </c>
      <c r="AD856" t="s">
        <v>1279</v>
      </c>
      <c r="AE856" t="s">
        <v>185</v>
      </c>
      <c r="AF856" t="s">
        <v>185</v>
      </c>
      <c r="AG856" t="s">
        <v>196</v>
      </c>
      <c r="AH856" s="93">
        <f>VLOOKUP(Table1[[#This Row],[Caste]],Factor!$H$1:$K$13,4,0)</f>
        <v>1.1705128247062893</v>
      </c>
      <c r="AI85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56">
        <f>Table1[[#This Row],[Factor_1]]*Table1[[#This Row],[2024 Factor]]</f>
        <v>2.3577066232182737</v>
      </c>
      <c r="AK856">
        <f>VLOOKUP(Table1[[#This Row],[Q18: Gender]],Factor!$A$33:$E$35,5,0)</f>
        <v>2.1645021645021645</v>
      </c>
      <c r="AL856">
        <f>VLOOKUP(Table1[[#This Row],[Taluka]],Factor!$A$42:$G$46,7,0)</f>
        <v>1.1213131007097483</v>
      </c>
      <c r="AM856">
        <f>VLOOKUP(Table1[[#This Row],[Caste]]&amp;Table1[[#This Row],[Q18: Gender]],Factor!$W$1:$X$23,2,0)</f>
        <v>2.1840056363422229</v>
      </c>
      <c r="AN856">
        <f>VLOOKUP(Table1[[#This Row],[Taluka]]&amp;Table1[[#This Row],[Caste]]&amp;Table1[[#This Row],[Q18: Gender]],Factor!$AK$4:$AL$93,2,0)</f>
        <v>0.95944580773600496</v>
      </c>
      <c r="AO856">
        <f t="shared" si="143"/>
        <v>-1</v>
      </c>
      <c r="AP856">
        <f t="shared" si="144"/>
        <v>-1</v>
      </c>
      <c r="AQ856">
        <f t="shared" si="145"/>
        <v>-1</v>
      </c>
      <c r="AR856">
        <f t="shared" si="146"/>
        <v>-1</v>
      </c>
      <c r="AS856">
        <f t="shared" si="147"/>
        <v>-1</v>
      </c>
      <c r="AT856">
        <f t="shared" si="148"/>
        <v>-1</v>
      </c>
      <c r="AU856">
        <f t="shared" si="149"/>
        <v>-5.5</v>
      </c>
      <c r="AV856">
        <f>SUM(Table1[[#This Row],[Satis]:[29]])</f>
        <v>-6</v>
      </c>
      <c r="AW856">
        <f t="shared" si="150"/>
        <v>-5</v>
      </c>
      <c r="AX856">
        <f t="shared" si="151"/>
        <v>-4</v>
      </c>
      <c r="AY856">
        <f t="shared" si="152"/>
        <v>-3</v>
      </c>
      <c r="AZ856" t="str">
        <f t="shared" si="153"/>
        <v>TDP HardCore</v>
      </c>
    </row>
    <row r="857" spans="1:52" x14ac:dyDescent="0.3">
      <c r="A857" t="s">
        <v>4806</v>
      </c>
      <c r="B857" s="94">
        <v>46049</v>
      </c>
      <c r="C857" t="s">
        <v>4807</v>
      </c>
      <c r="D857" t="s">
        <v>4808</v>
      </c>
      <c r="E857" t="s">
        <v>4745</v>
      </c>
      <c r="F857" t="s">
        <v>240</v>
      </c>
      <c r="G857" t="s">
        <v>39</v>
      </c>
      <c r="H857" t="s">
        <v>4809</v>
      </c>
      <c r="I857" t="s">
        <v>59</v>
      </c>
      <c r="J857" t="s">
        <v>71</v>
      </c>
      <c r="K857" t="s">
        <v>213</v>
      </c>
      <c r="L857" t="s">
        <v>451</v>
      </c>
      <c r="M857" t="s">
        <v>51</v>
      </c>
      <c r="N857" t="s">
        <v>162</v>
      </c>
      <c r="O857" t="s">
        <v>4810</v>
      </c>
      <c r="P857">
        <v>9573610926</v>
      </c>
      <c r="Q857" t="s">
        <v>445</v>
      </c>
      <c r="R857" t="s">
        <v>61</v>
      </c>
      <c r="S857" t="s">
        <v>43</v>
      </c>
      <c r="T857" t="s">
        <v>43</v>
      </c>
      <c r="U857" t="s">
        <v>44</v>
      </c>
      <c r="V857" t="s">
        <v>45</v>
      </c>
      <c r="W857" t="s">
        <v>5054</v>
      </c>
      <c r="X857" t="s">
        <v>91</v>
      </c>
      <c r="Y857" t="s">
        <v>46</v>
      </c>
      <c r="Z857" t="s">
        <v>92</v>
      </c>
      <c r="AA857" t="s">
        <v>48</v>
      </c>
      <c r="AB857" t="s">
        <v>49</v>
      </c>
      <c r="AC857" t="s">
        <v>49</v>
      </c>
      <c r="AD857" t="s">
        <v>1270</v>
      </c>
      <c r="AE857" t="s">
        <v>185</v>
      </c>
      <c r="AF857" t="s">
        <v>1341</v>
      </c>
      <c r="AG857" t="s">
        <v>196</v>
      </c>
      <c r="AH857" s="93">
        <f>VLOOKUP(Table1[[#This Row],[Caste]],Factor!$H$1:$K$13,4,0)</f>
        <v>1.1461625511156397</v>
      </c>
      <c r="AI85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57">
        <f>Table1[[#This Row],[Factor_1]]*Table1[[#This Row],[2024 Factor]]</f>
        <v>3.0326483876590018</v>
      </c>
      <c r="AK857">
        <f>VLOOKUP(Table1[[#This Row],[Q18: Gender]],Factor!$A$33:$E$35,5,0)</f>
        <v>2.1645021645021645</v>
      </c>
      <c r="AL857">
        <f>VLOOKUP(Table1[[#This Row],[Taluka]],Factor!$A$42:$G$46,7,0)</f>
        <v>1.1213131007097483</v>
      </c>
      <c r="AM857">
        <f>VLOOKUP(Table1[[#This Row],[Caste]]&amp;Table1[[#This Row],[Q18: Gender]],Factor!$W$1:$X$23,2,0)</f>
        <v>2.8092219390089208</v>
      </c>
      <c r="AN857">
        <f>VLOOKUP(Table1[[#This Row],[Taluka]]&amp;Table1[[#This Row],[Caste]]&amp;Table1[[#This Row],[Q18: Gender]],Factor!$AK$4:$AL$93,2,0)</f>
        <v>1.8020838461961379</v>
      </c>
      <c r="AO857">
        <f t="shared" si="143"/>
        <v>-1</v>
      </c>
      <c r="AP857">
        <f t="shared" si="144"/>
        <v>-1</v>
      </c>
      <c r="AQ857">
        <f t="shared" si="145"/>
        <v>-1</v>
      </c>
      <c r="AR857">
        <f t="shared" si="146"/>
        <v>1</v>
      </c>
      <c r="AS857">
        <f t="shared" si="147"/>
        <v>-1</v>
      </c>
      <c r="AT857">
        <f t="shared" si="148"/>
        <v>1</v>
      </c>
      <c r="AU857">
        <f t="shared" si="149"/>
        <v>-1.5</v>
      </c>
      <c r="AV857">
        <f>SUM(Table1[[#This Row],[Satis]:[29]])</f>
        <v>-2</v>
      </c>
      <c r="AW857">
        <f t="shared" si="150"/>
        <v>-1</v>
      </c>
      <c r="AX857">
        <f t="shared" si="151"/>
        <v>0</v>
      </c>
      <c r="AY857" t="str">
        <f t="shared" si="152"/>
        <v>ND</v>
      </c>
      <c r="AZ857" t="str">
        <f t="shared" si="153"/>
        <v>ND</v>
      </c>
    </row>
    <row r="858" spans="1:52" x14ac:dyDescent="0.3">
      <c r="A858" t="s">
        <v>4749</v>
      </c>
      <c r="B858" s="94">
        <v>46049</v>
      </c>
      <c r="C858" t="s">
        <v>4750</v>
      </c>
      <c r="D858" t="s">
        <v>4751</v>
      </c>
      <c r="E858" t="s">
        <v>4745</v>
      </c>
      <c r="F858" t="s">
        <v>240</v>
      </c>
      <c r="G858" t="s">
        <v>39</v>
      </c>
      <c r="H858" t="s">
        <v>4753</v>
      </c>
      <c r="I858" t="s">
        <v>59</v>
      </c>
      <c r="J858" t="s">
        <v>71</v>
      </c>
      <c r="K858" t="s">
        <v>213</v>
      </c>
      <c r="L858" t="s">
        <v>62</v>
      </c>
      <c r="M858" t="s">
        <v>51</v>
      </c>
      <c r="N858" t="s">
        <v>107</v>
      </c>
      <c r="O858" t="s">
        <v>3088</v>
      </c>
      <c r="P858">
        <v>9177633067</v>
      </c>
      <c r="Q858" t="s">
        <v>54</v>
      </c>
      <c r="R858" t="s">
        <v>61</v>
      </c>
      <c r="S858" t="s">
        <v>43</v>
      </c>
      <c r="T858" t="s">
        <v>43</v>
      </c>
      <c r="U858" t="s">
        <v>44</v>
      </c>
      <c r="V858" t="s">
        <v>91</v>
      </c>
      <c r="W858" t="s">
        <v>5054</v>
      </c>
      <c r="X858" t="s">
        <v>45</v>
      </c>
      <c r="Y858" t="s">
        <v>46</v>
      </c>
      <c r="Z858" t="s">
        <v>47</v>
      </c>
      <c r="AA858" t="s">
        <v>48</v>
      </c>
      <c r="AB858" t="s">
        <v>49</v>
      </c>
      <c r="AC858" t="s">
        <v>49</v>
      </c>
      <c r="AD858" t="s">
        <v>1552</v>
      </c>
      <c r="AE858" t="s">
        <v>185</v>
      </c>
      <c r="AF858" t="s">
        <v>4752</v>
      </c>
      <c r="AG858" t="s">
        <v>196</v>
      </c>
      <c r="AH858" s="93">
        <f>VLOOKUP(Table1[[#This Row],[Caste]],Factor!$H$1:$K$13,4,0)</f>
        <v>1.1461625511156397</v>
      </c>
      <c r="AI85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58">
        <f>Table1[[#This Row],[Factor_1]]*Table1[[#This Row],[2024 Factor]]</f>
        <v>0.77721139583220644</v>
      </c>
      <c r="AK858">
        <f>VLOOKUP(Table1[[#This Row],[Q18: Gender]],Factor!$A$33:$E$35,5,0)</f>
        <v>0.85034013605442171</v>
      </c>
      <c r="AL858">
        <f>VLOOKUP(Table1[[#This Row],[Taluka]],Factor!$A$42:$G$46,7,0)</f>
        <v>1.1213131007097483</v>
      </c>
      <c r="AM858">
        <f>VLOOKUP(Table1[[#This Row],[Caste]]&amp;Table1[[#This Row],[Q18: Gender]],Factor!$W$1:$X$23,2,0)</f>
        <v>0.71995135120329123</v>
      </c>
      <c r="AN858">
        <f>VLOOKUP(Table1[[#This Row],[Taluka]]&amp;Table1[[#This Row],[Caste]]&amp;Table1[[#This Row],[Q18: Gender]],Factor!$AK$4:$AL$93,2,0)</f>
        <v>1.3370299504035861</v>
      </c>
      <c r="AO858">
        <f t="shared" si="143"/>
        <v>-1</v>
      </c>
      <c r="AP858">
        <f t="shared" si="144"/>
        <v>-1</v>
      </c>
      <c r="AQ858">
        <f t="shared" si="145"/>
        <v>1</v>
      </c>
      <c r="AR858">
        <f t="shared" si="146"/>
        <v>-1</v>
      </c>
      <c r="AS858">
        <f t="shared" si="147"/>
        <v>-1</v>
      </c>
      <c r="AT858">
        <f t="shared" si="148"/>
        <v>-1</v>
      </c>
      <c r="AU858">
        <f t="shared" si="149"/>
        <v>-3.5</v>
      </c>
      <c r="AV858">
        <f>SUM(Table1[[#This Row],[Satis]:[29]])</f>
        <v>-4</v>
      </c>
      <c r="AW858">
        <f t="shared" si="150"/>
        <v>-3</v>
      </c>
      <c r="AX858">
        <f t="shared" si="151"/>
        <v>-2</v>
      </c>
      <c r="AY858">
        <f t="shared" si="152"/>
        <v>-3</v>
      </c>
      <c r="AZ858" t="str">
        <f t="shared" si="153"/>
        <v>Neutral TDP</v>
      </c>
    </row>
    <row r="859" spans="1:52" x14ac:dyDescent="0.3">
      <c r="A859" t="s">
        <v>4763</v>
      </c>
      <c r="B859" s="94">
        <v>46049</v>
      </c>
      <c r="C859" t="s">
        <v>4764</v>
      </c>
      <c r="D859" t="s">
        <v>4756</v>
      </c>
      <c r="E859" t="s">
        <v>4757</v>
      </c>
      <c r="F859" t="s">
        <v>240</v>
      </c>
      <c r="G859" t="s">
        <v>39</v>
      </c>
      <c r="H859" t="s">
        <v>4765</v>
      </c>
      <c r="I859" t="s">
        <v>70</v>
      </c>
      <c r="J859" t="s">
        <v>71</v>
      </c>
      <c r="K859" t="s">
        <v>213</v>
      </c>
      <c r="L859" t="s">
        <v>451</v>
      </c>
      <c r="M859" t="s">
        <v>443</v>
      </c>
      <c r="N859" t="s">
        <v>63</v>
      </c>
      <c r="O859" t="s">
        <v>4759</v>
      </c>
      <c r="P859">
        <v>7702226980</v>
      </c>
      <c r="Q859" t="s">
        <v>54</v>
      </c>
      <c r="R859" t="s">
        <v>2116</v>
      </c>
      <c r="S859" t="s">
        <v>43</v>
      </c>
      <c r="T859" t="s">
        <v>43</v>
      </c>
      <c r="U859" t="s">
        <v>44</v>
      </c>
      <c r="V859" t="s">
        <v>45</v>
      </c>
      <c r="W859" t="s">
        <v>5054</v>
      </c>
      <c r="X859" t="s">
        <v>45</v>
      </c>
      <c r="Y859" t="s">
        <v>46</v>
      </c>
      <c r="Z859" t="s">
        <v>92</v>
      </c>
      <c r="AA859" t="s">
        <v>92</v>
      </c>
      <c r="AB859" t="s">
        <v>93</v>
      </c>
      <c r="AC859" t="s">
        <v>94</v>
      </c>
      <c r="AD859" t="s">
        <v>1552</v>
      </c>
      <c r="AE859" t="s">
        <v>1271</v>
      </c>
      <c r="AF859" t="s">
        <v>2970</v>
      </c>
      <c r="AG859" t="s">
        <v>196</v>
      </c>
      <c r="AH859" s="93">
        <f>VLOOKUP(Table1[[#This Row],[Caste]],Factor!$H$1:$K$13,4,0)</f>
        <v>1.3836274505214585</v>
      </c>
      <c r="AI859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859">
        <f>Table1[[#This Row],[Factor_1]]*Table1[[#This Row],[2024 Factor]]</f>
        <v>1.9482662206881376</v>
      </c>
      <c r="AK859">
        <f>VLOOKUP(Table1[[#This Row],[Q18: Gender]],Factor!$A$33:$E$35,5,0)</f>
        <v>0.85034013605442171</v>
      </c>
      <c r="AL859">
        <f>VLOOKUP(Table1[[#This Row],[Taluka]],Factor!$A$42:$G$46,7,0)</f>
        <v>1.1213131007097483</v>
      </c>
      <c r="AM859">
        <f>VLOOKUP(Table1[[#This Row],[Caste]]&amp;Table1[[#This Row],[Q18: Gender]],Factor!$W$1:$X$23,2,0)</f>
        <v>1.0790228998469584</v>
      </c>
      <c r="AN859">
        <f>VLOOKUP(Table1[[#This Row],[Taluka]]&amp;Table1[[#This Row],[Caste]]&amp;Table1[[#This Row],[Q18: Gender]],Factor!$AK$4:$AL$93,2,0)</f>
        <v>0.90933567693352424</v>
      </c>
      <c r="AO859">
        <f t="shared" si="143"/>
        <v>-1</v>
      </c>
      <c r="AP859">
        <f t="shared" si="144"/>
        <v>-1</v>
      </c>
      <c r="AQ859">
        <f t="shared" si="145"/>
        <v>-1</v>
      </c>
      <c r="AR859">
        <f t="shared" si="146"/>
        <v>-1</v>
      </c>
      <c r="AS859">
        <f t="shared" si="147"/>
        <v>1</v>
      </c>
      <c r="AT859">
        <f t="shared" si="148"/>
        <v>1</v>
      </c>
      <c r="AU859">
        <f t="shared" si="149"/>
        <v>-2.5</v>
      </c>
      <c r="AV859">
        <f>SUM(Table1[[#This Row],[Satis]:[29]])</f>
        <v>-2</v>
      </c>
      <c r="AW859">
        <f t="shared" si="150"/>
        <v>-1</v>
      </c>
      <c r="AX859">
        <f t="shared" si="151"/>
        <v>0</v>
      </c>
      <c r="AY859">
        <f t="shared" si="152"/>
        <v>2</v>
      </c>
      <c r="AZ859" t="str">
        <f t="shared" si="153"/>
        <v>Neutral YSRCP</v>
      </c>
    </row>
    <row r="860" spans="1:52" x14ac:dyDescent="0.3">
      <c r="A860" t="s">
        <v>4771</v>
      </c>
      <c r="B860" s="94">
        <v>46049</v>
      </c>
      <c r="C860" t="s">
        <v>4750</v>
      </c>
      <c r="D860" t="s">
        <v>4751</v>
      </c>
      <c r="E860" t="s">
        <v>4745</v>
      </c>
      <c r="F860" t="s">
        <v>240</v>
      </c>
      <c r="G860" t="s">
        <v>39</v>
      </c>
      <c r="H860" t="s">
        <v>4773</v>
      </c>
      <c r="I860" t="s">
        <v>59</v>
      </c>
      <c r="J860" t="s">
        <v>71</v>
      </c>
      <c r="K860" t="s">
        <v>213</v>
      </c>
      <c r="L860" t="s">
        <v>62</v>
      </c>
      <c r="M860" t="s">
        <v>51</v>
      </c>
      <c r="N860" t="s">
        <v>107</v>
      </c>
      <c r="O860" t="s">
        <v>3088</v>
      </c>
      <c r="P860">
        <v>9177633067</v>
      </c>
      <c r="Q860" t="s">
        <v>54</v>
      </c>
      <c r="R860" t="s">
        <v>61</v>
      </c>
      <c r="S860" t="s">
        <v>43</v>
      </c>
      <c r="T860" t="s">
        <v>43</v>
      </c>
      <c r="U860" t="s">
        <v>44</v>
      </c>
      <c r="V860" t="s">
        <v>91</v>
      </c>
      <c r="W860" t="s">
        <v>5054</v>
      </c>
      <c r="X860" t="s">
        <v>45</v>
      </c>
      <c r="Y860" t="s">
        <v>46</v>
      </c>
      <c r="Z860" t="s">
        <v>47</v>
      </c>
      <c r="AA860" t="s">
        <v>48</v>
      </c>
      <c r="AB860" t="s">
        <v>49</v>
      </c>
      <c r="AC860" t="s">
        <v>49</v>
      </c>
      <c r="AD860" t="s">
        <v>1279</v>
      </c>
      <c r="AE860" t="s">
        <v>185</v>
      </c>
      <c r="AF860" t="s">
        <v>4772</v>
      </c>
      <c r="AG860" t="s">
        <v>196</v>
      </c>
      <c r="AH860" s="93">
        <f>VLOOKUP(Table1[[#This Row],[Caste]],Factor!$H$1:$K$13,4,0)</f>
        <v>1.1461625511156397</v>
      </c>
      <c r="AI86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60">
        <f>Table1[[#This Row],[Factor_1]]*Table1[[#This Row],[2024 Factor]]</f>
        <v>0.77721139583220644</v>
      </c>
      <c r="AK860">
        <f>VLOOKUP(Table1[[#This Row],[Q18: Gender]],Factor!$A$33:$E$35,5,0)</f>
        <v>0.85034013605442171</v>
      </c>
      <c r="AL860">
        <f>VLOOKUP(Table1[[#This Row],[Taluka]],Factor!$A$42:$G$46,7,0)</f>
        <v>1.1213131007097483</v>
      </c>
      <c r="AM860">
        <f>VLOOKUP(Table1[[#This Row],[Caste]]&amp;Table1[[#This Row],[Q18: Gender]],Factor!$W$1:$X$23,2,0)</f>
        <v>0.71995135120329123</v>
      </c>
      <c r="AN860">
        <f>VLOOKUP(Table1[[#This Row],[Taluka]]&amp;Table1[[#This Row],[Caste]]&amp;Table1[[#This Row],[Q18: Gender]],Factor!$AK$4:$AL$93,2,0)</f>
        <v>1.3370299504035861</v>
      </c>
      <c r="AO860">
        <f t="shared" si="143"/>
        <v>-1</v>
      </c>
      <c r="AP860">
        <f t="shared" si="144"/>
        <v>-1</v>
      </c>
      <c r="AQ860">
        <f t="shared" si="145"/>
        <v>1</v>
      </c>
      <c r="AR860">
        <f t="shared" si="146"/>
        <v>-1</v>
      </c>
      <c r="AS860">
        <f t="shared" si="147"/>
        <v>-1</v>
      </c>
      <c r="AT860">
        <f t="shared" si="148"/>
        <v>-1</v>
      </c>
      <c r="AU860">
        <f t="shared" si="149"/>
        <v>-3.5</v>
      </c>
      <c r="AV860">
        <f>SUM(Table1[[#This Row],[Satis]:[29]])</f>
        <v>-4</v>
      </c>
      <c r="AW860">
        <f t="shared" si="150"/>
        <v>-3</v>
      </c>
      <c r="AX860">
        <f t="shared" si="151"/>
        <v>-2</v>
      </c>
      <c r="AY860">
        <f t="shared" si="152"/>
        <v>-3</v>
      </c>
      <c r="AZ860" t="str">
        <f t="shared" si="153"/>
        <v>Neutral TDP</v>
      </c>
    </row>
    <row r="861" spans="1:52" x14ac:dyDescent="0.3">
      <c r="A861" t="s">
        <v>4774</v>
      </c>
      <c r="B861" s="94">
        <v>46049</v>
      </c>
      <c r="C861" t="s">
        <v>4750</v>
      </c>
      <c r="D861" t="s">
        <v>4751</v>
      </c>
      <c r="E861" t="s">
        <v>4745</v>
      </c>
      <c r="F861" t="s">
        <v>240</v>
      </c>
      <c r="G861" t="s">
        <v>39</v>
      </c>
      <c r="H861" t="s">
        <v>4775</v>
      </c>
      <c r="I861" t="s">
        <v>59</v>
      </c>
      <c r="J861" t="s">
        <v>71</v>
      </c>
      <c r="K861" t="s">
        <v>213</v>
      </c>
      <c r="L861" t="s">
        <v>62</v>
      </c>
      <c r="M861" t="s">
        <v>51</v>
      </c>
      <c r="N861" t="s">
        <v>107</v>
      </c>
      <c r="O861" t="s">
        <v>3088</v>
      </c>
      <c r="P861">
        <v>9177633067</v>
      </c>
      <c r="Q861" t="s">
        <v>54</v>
      </c>
      <c r="R861" t="s">
        <v>61</v>
      </c>
      <c r="S861" t="s">
        <v>43</v>
      </c>
      <c r="T861" t="s">
        <v>43</v>
      </c>
      <c r="U861" t="s">
        <v>44</v>
      </c>
      <c r="V861" t="s">
        <v>91</v>
      </c>
      <c r="W861" t="s">
        <v>5054</v>
      </c>
      <c r="X861" t="s">
        <v>45</v>
      </c>
      <c r="Y861" t="s">
        <v>46</v>
      </c>
      <c r="Z861" t="s">
        <v>47</v>
      </c>
      <c r="AA861" t="s">
        <v>48</v>
      </c>
      <c r="AB861" t="s">
        <v>49</v>
      </c>
      <c r="AC861" t="s">
        <v>49</v>
      </c>
      <c r="AD861" t="s">
        <v>1279</v>
      </c>
      <c r="AE861" t="s">
        <v>185</v>
      </c>
      <c r="AF861" t="s">
        <v>4772</v>
      </c>
      <c r="AG861" t="s">
        <v>196</v>
      </c>
      <c r="AH861" s="93">
        <f>VLOOKUP(Table1[[#This Row],[Caste]],Factor!$H$1:$K$13,4,0)</f>
        <v>1.1461625511156397</v>
      </c>
      <c r="AI86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61">
        <f>Table1[[#This Row],[Factor_1]]*Table1[[#This Row],[2024 Factor]]</f>
        <v>0.77721139583220644</v>
      </c>
      <c r="AK861">
        <f>VLOOKUP(Table1[[#This Row],[Q18: Gender]],Factor!$A$33:$E$35,5,0)</f>
        <v>0.85034013605442171</v>
      </c>
      <c r="AL861">
        <f>VLOOKUP(Table1[[#This Row],[Taluka]],Factor!$A$42:$G$46,7,0)</f>
        <v>1.1213131007097483</v>
      </c>
      <c r="AM861">
        <f>VLOOKUP(Table1[[#This Row],[Caste]]&amp;Table1[[#This Row],[Q18: Gender]],Factor!$W$1:$X$23,2,0)</f>
        <v>0.71995135120329123</v>
      </c>
      <c r="AN861">
        <f>VLOOKUP(Table1[[#This Row],[Taluka]]&amp;Table1[[#This Row],[Caste]]&amp;Table1[[#This Row],[Q18: Gender]],Factor!$AK$4:$AL$93,2,0)</f>
        <v>1.3370299504035861</v>
      </c>
      <c r="AO861">
        <f t="shared" si="143"/>
        <v>-1</v>
      </c>
      <c r="AP861">
        <f t="shared" si="144"/>
        <v>-1</v>
      </c>
      <c r="AQ861">
        <f t="shared" si="145"/>
        <v>1</v>
      </c>
      <c r="AR861">
        <f t="shared" si="146"/>
        <v>-1</v>
      </c>
      <c r="AS861">
        <f t="shared" si="147"/>
        <v>-1</v>
      </c>
      <c r="AT861">
        <f t="shared" si="148"/>
        <v>-1</v>
      </c>
      <c r="AU861">
        <f t="shared" si="149"/>
        <v>-3.5</v>
      </c>
      <c r="AV861">
        <f>SUM(Table1[[#This Row],[Satis]:[29]])</f>
        <v>-4</v>
      </c>
      <c r="AW861">
        <f t="shared" si="150"/>
        <v>-3</v>
      </c>
      <c r="AX861">
        <f t="shared" si="151"/>
        <v>-2</v>
      </c>
      <c r="AY861">
        <f t="shared" si="152"/>
        <v>-3</v>
      </c>
      <c r="AZ861" t="str">
        <f t="shared" si="153"/>
        <v>Neutral TDP</v>
      </c>
    </row>
    <row r="862" spans="1:52" x14ac:dyDescent="0.3">
      <c r="A862" t="s">
        <v>4811</v>
      </c>
      <c r="B862" s="94">
        <v>46049</v>
      </c>
      <c r="C862" t="s">
        <v>4750</v>
      </c>
      <c r="D862" t="s">
        <v>4751</v>
      </c>
      <c r="E862" t="s">
        <v>4745</v>
      </c>
      <c r="F862" t="s">
        <v>240</v>
      </c>
      <c r="G862" t="s">
        <v>39</v>
      </c>
      <c r="H862" t="s">
        <v>4813</v>
      </c>
      <c r="I862" t="s">
        <v>59</v>
      </c>
      <c r="J862" t="s">
        <v>71</v>
      </c>
      <c r="K862" t="s">
        <v>213</v>
      </c>
      <c r="L862" t="s">
        <v>62</v>
      </c>
      <c r="M862" t="s">
        <v>51</v>
      </c>
      <c r="N862" t="s">
        <v>107</v>
      </c>
      <c r="O862" t="s">
        <v>3088</v>
      </c>
      <c r="P862">
        <v>9177633067</v>
      </c>
      <c r="Q862" t="s">
        <v>54</v>
      </c>
      <c r="R862" t="s">
        <v>61</v>
      </c>
      <c r="S862" t="s">
        <v>43</v>
      </c>
      <c r="T862" t="s">
        <v>43</v>
      </c>
      <c r="U862" t="s">
        <v>44</v>
      </c>
      <c r="V862" t="s">
        <v>91</v>
      </c>
      <c r="W862" t="s">
        <v>5054</v>
      </c>
      <c r="X862" t="s">
        <v>45</v>
      </c>
      <c r="Y862" t="s">
        <v>46</v>
      </c>
      <c r="Z862" t="s">
        <v>47</v>
      </c>
      <c r="AA862" t="s">
        <v>48</v>
      </c>
      <c r="AB862" t="s">
        <v>49</v>
      </c>
      <c r="AC862" t="s">
        <v>49</v>
      </c>
      <c r="AD862" t="s">
        <v>1270</v>
      </c>
      <c r="AE862" t="s">
        <v>185</v>
      </c>
      <c r="AF862" t="s">
        <v>4812</v>
      </c>
      <c r="AG862" t="s">
        <v>196</v>
      </c>
      <c r="AH862" s="93">
        <f>VLOOKUP(Table1[[#This Row],[Caste]],Factor!$H$1:$K$13,4,0)</f>
        <v>1.1461625511156397</v>
      </c>
      <c r="AI86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62">
        <f>Table1[[#This Row],[Factor_1]]*Table1[[#This Row],[2024 Factor]]</f>
        <v>0.77721139583220644</v>
      </c>
      <c r="AK862">
        <f>VLOOKUP(Table1[[#This Row],[Q18: Gender]],Factor!$A$33:$E$35,5,0)</f>
        <v>0.85034013605442171</v>
      </c>
      <c r="AL862">
        <f>VLOOKUP(Table1[[#This Row],[Taluka]],Factor!$A$42:$G$46,7,0)</f>
        <v>1.1213131007097483</v>
      </c>
      <c r="AM862">
        <f>VLOOKUP(Table1[[#This Row],[Caste]]&amp;Table1[[#This Row],[Q18: Gender]],Factor!$W$1:$X$23,2,0)</f>
        <v>0.71995135120329123</v>
      </c>
      <c r="AN862">
        <f>VLOOKUP(Table1[[#This Row],[Taluka]]&amp;Table1[[#This Row],[Caste]]&amp;Table1[[#This Row],[Q18: Gender]],Factor!$AK$4:$AL$93,2,0)</f>
        <v>1.3370299504035861</v>
      </c>
      <c r="AO862">
        <f t="shared" si="143"/>
        <v>-1</v>
      </c>
      <c r="AP862">
        <f t="shared" si="144"/>
        <v>-1</v>
      </c>
      <c r="AQ862">
        <f t="shared" si="145"/>
        <v>1</v>
      </c>
      <c r="AR862">
        <f t="shared" si="146"/>
        <v>-1</v>
      </c>
      <c r="AS862">
        <f t="shared" si="147"/>
        <v>-1</v>
      </c>
      <c r="AT862">
        <f t="shared" si="148"/>
        <v>-1</v>
      </c>
      <c r="AU862">
        <f t="shared" si="149"/>
        <v>-3.5</v>
      </c>
      <c r="AV862">
        <f>SUM(Table1[[#This Row],[Satis]:[29]])</f>
        <v>-4</v>
      </c>
      <c r="AW862">
        <f t="shared" si="150"/>
        <v>-3</v>
      </c>
      <c r="AX862">
        <f t="shared" si="151"/>
        <v>-2</v>
      </c>
      <c r="AY862">
        <f t="shared" si="152"/>
        <v>-3</v>
      </c>
      <c r="AZ862" t="str">
        <f t="shared" si="153"/>
        <v>Neutral TDP</v>
      </c>
    </row>
    <row r="863" spans="1:52" x14ac:dyDescent="0.3">
      <c r="A863" t="s">
        <v>4760</v>
      </c>
      <c r="B863" s="94">
        <v>46049</v>
      </c>
      <c r="C863" t="s">
        <v>4761</v>
      </c>
      <c r="D863" t="s">
        <v>4751</v>
      </c>
      <c r="E863" t="s">
        <v>4745</v>
      </c>
      <c r="F863" t="s">
        <v>240</v>
      </c>
      <c r="G863" t="s">
        <v>39</v>
      </c>
      <c r="H863" t="s">
        <v>4762</v>
      </c>
      <c r="I863" t="s">
        <v>59</v>
      </c>
      <c r="J863" t="s">
        <v>71</v>
      </c>
      <c r="K863" t="s">
        <v>213</v>
      </c>
      <c r="L863" t="s">
        <v>62</v>
      </c>
      <c r="M863" t="s">
        <v>51</v>
      </c>
      <c r="N863" t="s">
        <v>107</v>
      </c>
      <c r="O863" t="s">
        <v>3088</v>
      </c>
      <c r="P863">
        <v>9177633067</v>
      </c>
      <c r="Q863" t="s">
        <v>54</v>
      </c>
      <c r="R863" t="s">
        <v>61</v>
      </c>
      <c r="S863" t="s">
        <v>43</v>
      </c>
      <c r="T863" t="s">
        <v>43</v>
      </c>
      <c r="U863" t="s">
        <v>44</v>
      </c>
      <c r="V863" t="s">
        <v>91</v>
      </c>
      <c r="W863" t="s">
        <v>5054</v>
      </c>
      <c r="X863" t="s">
        <v>45</v>
      </c>
      <c r="Y863" t="s">
        <v>46</v>
      </c>
      <c r="Z863" t="s">
        <v>47</v>
      </c>
      <c r="AA863" t="s">
        <v>48</v>
      </c>
      <c r="AB863" t="s">
        <v>49</v>
      </c>
      <c r="AC863" t="s">
        <v>49</v>
      </c>
      <c r="AD863" t="s">
        <v>1552</v>
      </c>
      <c r="AE863" t="s">
        <v>185</v>
      </c>
      <c r="AF863" t="s">
        <v>1341</v>
      </c>
      <c r="AG863" t="s">
        <v>196</v>
      </c>
      <c r="AH863" s="93">
        <f>VLOOKUP(Table1[[#This Row],[Caste]],Factor!$H$1:$K$13,4,0)</f>
        <v>1.1461625511156397</v>
      </c>
      <c r="AI86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63">
        <f>Table1[[#This Row],[Factor_1]]*Table1[[#This Row],[2024 Factor]]</f>
        <v>0.77721139583220644</v>
      </c>
      <c r="AK863">
        <f>VLOOKUP(Table1[[#This Row],[Q18: Gender]],Factor!$A$33:$E$35,5,0)</f>
        <v>0.85034013605442171</v>
      </c>
      <c r="AL863">
        <f>VLOOKUP(Table1[[#This Row],[Taluka]],Factor!$A$42:$G$46,7,0)</f>
        <v>1.1213131007097483</v>
      </c>
      <c r="AM863">
        <f>VLOOKUP(Table1[[#This Row],[Caste]]&amp;Table1[[#This Row],[Q18: Gender]],Factor!$W$1:$X$23,2,0)</f>
        <v>0.71995135120329123</v>
      </c>
      <c r="AN863">
        <f>VLOOKUP(Table1[[#This Row],[Taluka]]&amp;Table1[[#This Row],[Caste]]&amp;Table1[[#This Row],[Q18: Gender]],Factor!$AK$4:$AL$93,2,0)</f>
        <v>1.3370299504035861</v>
      </c>
      <c r="AO863">
        <f t="shared" si="143"/>
        <v>-1</v>
      </c>
      <c r="AP863">
        <f t="shared" si="144"/>
        <v>-1</v>
      </c>
      <c r="AQ863">
        <f t="shared" si="145"/>
        <v>1</v>
      </c>
      <c r="AR863">
        <f t="shared" si="146"/>
        <v>-1</v>
      </c>
      <c r="AS863">
        <f t="shared" si="147"/>
        <v>-1</v>
      </c>
      <c r="AT863">
        <f t="shared" si="148"/>
        <v>-1</v>
      </c>
      <c r="AU863">
        <f t="shared" si="149"/>
        <v>-3.5</v>
      </c>
      <c r="AV863">
        <f>SUM(Table1[[#This Row],[Satis]:[29]])</f>
        <v>-4</v>
      </c>
      <c r="AW863">
        <f t="shared" si="150"/>
        <v>-3</v>
      </c>
      <c r="AX863">
        <f t="shared" si="151"/>
        <v>-2</v>
      </c>
      <c r="AY863">
        <f t="shared" si="152"/>
        <v>-3</v>
      </c>
      <c r="AZ863" t="str">
        <f t="shared" si="153"/>
        <v>Neutral TDP</v>
      </c>
    </row>
    <row r="864" spans="1:52" x14ac:dyDescent="0.3">
      <c r="A864" t="s">
        <v>4781</v>
      </c>
      <c r="B864" s="94">
        <v>46049</v>
      </c>
      <c r="C864" t="s">
        <v>4782</v>
      </c>
      <c r="D864" t="s">
        <v>4756</v>
      </c>
      <c r="E864" t="s">
        <v>4757</v>
      </c>
      <c r="F864" t="s">
        <v>240</v>
      </c>
      <c r="G864" t="s">
        <v>39</v>
      </c>
      <c r="H864" t="s">
        <v>4783</v>
      </c>
      <c r="I864" t="s">
        <v>70</v>
      </c>
      <c r="J864" t="s">
        <v>71</v>
      </c>
      <c r="K864" t="s">
        <v>213</v>
      </c>
      <c r="L864" t="s">
        <v>451</v>
      </c>
      <c r="M864" t="s">
        <v>443</v>
      </c>
      <c r="N864" t="s">
        <v>63</v>
      </c>
      <c r="O864" t="s">
        <v>4759</v>
      </c>
      <c r="P864">
        <v>7702226980</v>
      </c>
      <c r="Q864" t="s">
        <v>54</v>
      </c>
      <c r="R864" t="s">
        <v>2116</v>
      </c>
      <c r="S864" t="s">
        <v>43</v>
      </c>
      <c r="T864" t="s">
        <v>43</v>
      </c>
      <c r="U864" t="s">
        <v>44</v>
      </c>
      <c r="V864" t="s">
        <v>45</v>
      </c>
      <c r="W864" t="s">
        <v>5054</v>
      </c>
      <c r="X864" t="s">
        <v>45</v>
      </c>
      <c r="Y864" t="s">
        <v>46</v>
      </c>
      <c r="Z864" t="s">
        <v>92</v>
      </c>
      <c r="AA864" t="s">
        <v>92</v>
      </c>
      <c r="AB864" t="s">
        <v>93</v>
      </c>
      <c r="AC864" t="s">
        <v>94</v>
      </c>
      <c r="AD864" t="s">
        <v>1279</v>
      </c>
      <c r="AE864" t="s">
        <v>1271</v>
      </c>
      <c r="AF864" t="s">
        <v>492</v>
      </c>
      <c r="AG864" t="s">
        <v>196</v>
      </c>
      <c r="AH864" s="93">
        <f>VLOOKUP(Table1[[#This Row],[Caste]],Factor!$H$1:$K$13,4,0)</f>
        <v>1.3836274505214585</v>
      </c>
      <c r="AI864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864">
        <f>Table1[[#This Row],[Factor_1]]*Table1[[#This Row],[2024 Factor]]</f>
        <v>1.9482662206881376</v>
      </c>
      <c r="AK864">
        <f>VLOOKUP(Table1[[#This Row],[Q18: Gender]],Factor!$A$33:$E$35,5,0)</f>
        <v>0.85034013605442171</v>
      </c>
      <c r="AL864">
        <f>VLOOKUP(Table1[[#This Row],[Taluka]],Factor!$A$42:$G$46,7,0)</f>
        <v>1.1213131007097483</v>
      </c>
      <c r="AM864">
        <f>VLOOKUP(Table1[[#This Row],[Caste]]&amp;Table1[[#This Row],[Q18: Gender]],Factor!$W$1:$X$23,2,0)</f>
        <v>1.0790228998469584</v>
      </c>
      <c r="AN864">
        <f>VLOOKUP(Table1[[#This Row],[Taluka]]&amp;Table1[[#This Row],[Caste]]&amp;Table1[[#This Row],[Q18: Gender]],Factor!$AK$4:$AL$93,2,0)</f>
        <v>0.90933567693352424</v>
      </c>
      <c r="AO864">
        <f t="shared" si="143"/>
        <v>-1</v>
      </c>
      <c r="AP864">
        <f t="shared" si="144"/>
        <v>-1</v>
      </c>
      <c r="AQ864">
        <f t="shared" si="145"/>
        <v>-1</v>
      </c>
      <c r="AR864">
        <f t="shared" si="146"/>
        <v>-1</v>
      </c>
      <c r="AS864">
        <f t="shared" si="147"/>
        <v>1</v>
      </c>
      <c r="AT864">
        <f t="shared" si="148"/>
        <v>1</v>
      </c>
      <c r="AU864">
        <f t="shared" si="149"/>
        <v>-2.5</v>
      </c>
      <c r="AV864">
        <f>SUM(Table1[[#This Row],[Satis]:[29]])</f>
        <v>-2</v>
      </c>
      <c r="AW864">
        <f t="shared" si="150"/>
        <v>-1</v>
      </c>
      <c r="AX864">
        <f t="shared" si="151"/>
        <v>0</v>
      </c>
      <c r="AY864">
        <f t="shared" si="152"/>
        <v>2</v>
      </c>
      <c r="AZ864" t="str">
        <f t="shared" si="153"/>
        <v>Neutral YSRCP</v>
      </c>
    </row>
    <row r="865" spans="1:52" x14ac:dyDescent="0.3">
      <c r="A865" t="s">
        <v>4754</v>
      </c>
      <c r="B865" s="94">
        <v>46049</v>
      </c>
      <c r="C865" t="s">
        <v>4755</v>
      </c>
      <c r="D865" t="s">
        <v>4756</v>
      </c>
      <c r="E865" t="s">
        <v>4757</v>
      </c>
      <c r="F865" t="s">
        <v>240</v>
      </c>
      <c r="G865" t="s">
        <v>39</v>
      </c>
      <c r="H865" t="s">
        <v>4758</v>
      </c>
      <c r="I865" t="s">
        <v>70</v>
      </c>
      <c r="J865" t="s">
        <v>71</v>
      </c>
      <c r="K865" t="s">
        <v>213</v>
      </c>
      <c r="L865" t="s">
        <v>451</v>
      </c>
      <c r="M865" t="s">
        <v>443</v>
      </c>
      <c r="N865" t="s">
        <v>63</v>
      </c>
      <c r="O865" t="s">
        <v>4759</v>
      </c>
      <c r="P865">
        <v>7702226980</v>
      </c>
      <c r="Q865" t="s">
        <v>54</v>
      </c>
      <c r="R865" t="s">
        <v>2116</v>
      </c>
      <c r="S865" t="s">
        <v>43</v>
      </c>
      <c r="T865" t="s">
        <v>43</v>
      </c>
      <c r="U865" t="s">
        <v>44</v>
      </c>
      <c r="V865" t="s">
        <v>45</v>
      </c>
      <c r="W865" t="s">
        <v>5054</v>
      </c>
      <c r="X865" t="s">
        <v>45</v>
      </c>
      <c r="Y865" t="s">
        <v>46</v>
      </c>
      <c r="Z865" t="s">
        <v>92</v>
      </c>
      <c r="AA865" t="s">
        <v>92</v>
      </c>
      <c r="AB865" t="s">
        <v>93</v>
      </c>
      <c r="AC865" t="s">
        <v>94</v>
      </c>
      <c r="AD865" t="s">
        <v>1270</v>
      </c>
      <c r="AE865" t="s">
        <v>185</v>
      </c>
      <c r="AF865" t="s">
        <v>4752</v>
      </c>
      <c r="AG865" t="s">
        <v>196</v>
      </c>
      <c r="AH865" s="93">
        <f>VLOOKUP(Table1[[#This Row],[Caste]],Factor!$H$1:$K$13,4,0)</f>
        <v>1.3836274505214585</v>
      </c>
      <c r="AI865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865">
        <f>Table1[[#This Row],[Factor_1]]*Table1[[#This Row],[2024 Factor]]</f>
        <v>1.9482662206881376</v>
      </c>
      <c r="AK865">
        <f>VLOOKUP(Table1[[#This Row],[Q18: Gender]],Factor!$A$33:$E$35,5,0)</f>
        <v>0.85034013605442171</v>
      </c>
      <c r="AL865">
        <f>VLOOKUP(Table1[[#This Row],[Taluka]],Factor!$A$42:$G$46,7,0)</f>
        <v>1.1213131007097483</v>
      </c>
      <c r="AM865">
        <f>VLOOKUP(Table1[[#This Row],[Caste]]&amp;Table1[[#This Row],[Q18: Gender]],Factor!$W$1:$X$23,2,0)</f>
        <v>1.0790228998469584</v>
      </c>
      <c r="AN865">
        <f>VLOOKUP(Table1[[#This Row],[Taluka]]&amp;Table1[[#This Row],[Caste]]&amp;Table1[[#This Row],[Q18: Gender]],Factor!$AK$4:$AL$93,2,0)</f>
        <v>0.90933567693352424</v>
      </c>
      <c r="AO865">
        <f t="shared" si="143"/>
        <v>-1</v>
      </c>
      <c r="AP865">
        <f t="shared" si="144"/>
        <v>-1</v>
      </c>
      <c r="AQ865">
        <f t="shared" si="145"/>
        <v>-1</v>
      </c>
      <c r="AR865">
        <f t="shared" si="146"/>
        <v>-1</v>
      </c>
      <c r="AS865">
        <f t="shared" si="147"/>
        <v>1</v>
      </c>
      <c r="AT865">
        <f t="shared" si="148"/>
        <v>1</v>
      </c>
      <c r="AU865">
        <f t="shared" si="149"/>
        <v>-2.5</v>
      </c>
      <c r="AV865">
        <f>SUM(Table1[[#This Row],[Satis]:[29]])</f>
        <v>-2</v>
      </c>
      <c r="AW865">
        <f t="shared" si="150"/>
        <v>-1</v>
      </c>
      <c r="AX865">
        <f t="shared" si="151"/>
        <v>0</v>
      </c>
      <c r="AY865">
        <f t="shared" si="152"/>
        <v>2</v>
      </c>
      <c r="AZ865" t="str">
        <f t="shared" si="153"/>
        <v>Neutral YSRCP</v>
      </c>
    </row>
    <row r="866" spans="1:52" x14ac:dyDescent="0.3">
      <c r="A866" t="s">
        <v>4784</v>
      </c>
      <c r="B866" s="94">
        <v>46049</v>
      </c>
      <c r="C866" t="s">
        <v>4785</v>
      </c>
      <c r="D866" t="s">
        <v>4786</v>
      </c>
      <c r="E866" t="s">
        <v>4254</v>
      </c>
      <c r="F866" t="s">
        <v>240</v>
      </c>
      <c r="G866" t="s">
        <v>39</v>
      </c>
      <c r="H866" t="s">
        <v>4787</v>
      </c>
      <c r="I866" t="s">
        <v>36</v>
      </c>
      <c r="J866" t="s">
        <v>71</v>
      </c>
      <c r="K866" t="s">
        <v>213</v>
      </c>
      <c r="L866" t="s">
        <v>62</v>
      </c>
      <c r="M866" t="s">
        <v>51</v>
      </c>
      <c r="N866" t="s">
        <v>63</v>
      </c>
      <c r="O866" t="s">
        <v>4157</v>
      </c>
      <c r="P866">
        <v>7730931878</v>
      </c>
      <c r="Q866" t="s">
        <v>54</v>
      </c>
      <c r="R866" t="s">
        <v>73</v>
      </c>
      <c r="S866" t="s">
        <v>43</v>
      </c>
      <c r="T866" t="s">
        <v>43</v>
      </c>
      <c r="U866" t="s">
        <v>44</v>
      </c>
      <c r="V866" t="s">
        <v>45</v>
      </c>
      <c r="W866" t="s">
        <v>5089</v>
      </c>
      <c r="X866" t="s">
        <v>45</v>
      </c>
      <c r="Y866" t="s">
        <v>46</v>
      </c>
      <c r="Z866" t="s">
        <v>47</v>
      </c>
      <c r="AA866" t="s">
        <v>92</v>
      </c>
      <c r="AB866" t="s">
        <v>351</v>
      </c>
      <c r="AC866" t="s">
        <v>94</v>
      </c>
      <c r="AD866" t="s">
        <v>1279</v>
      </c>
      <c r="AE866" t="s">
        <v>185</v>
      </c>
      <c r="AF866" t="s">
        <v>1355</v>
      </c>
      <c r="AG866" t="s">
        <v>196</v>
      </c>
      <c r="AH866" s="93">
        <f>VLOOKUP(Table1[[#This Row],[Caste]],Factor!$H$1:$K$13,4,0)</f>
        <v>1.1705128247062893</v>
      </c>
      <c r="AI866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866">
        <f>Table1[[#This Row],[Factor_1]]*Table1[[#This Row],[2024 Factor]]</f>
        <v>1.4435679386658844</v>
      </c>
      <c r="AK866">
        <f>VLOOKUP(Table1[[#This Row],[Q18: Gender]],Factor!$A$33:$E$35,5,0)</f>
        <v>0.85034013605442171</v>
      </c>
      <c r="AL866">
        <f>VLOOKUP(Table1[[#This Row],[Taluka]],Factor!$A$42:$G$46,7,0)</f>
        <v>1.1213131007097483</v>
      </c>
      <c r="AM866">
        <f>VLOOKUP(Table1[[#This Row],[Caste]]&amp;Table1[[#This Row],[Q18: Gender]],Factor!$W$1:$X$23,2,0)</f>
        <v>0.79950206330384943</v>
      </c>
      <c r="AN866">
        <f>VLOOKUP(Table1[[#This Row],[Taluka]]&amp;Table1[[#This Row],[Caste]]&amp;Table1[[#This Row],[Q18: Gender]],Factor!$AK$4:$AL$93,2,0)</f>
        <v>0.7401439088249181</v>
      </c>
      <c r="AO866">
        <f t="shared" si="143"/>
        <v>-1</v>
      </c>
      <c r="AP866">
        <f t="shared" si="144"/>
        <v>-1</v>
      </c>
      <c r="AQ866">
        <f t="shared" si="145"/>
        <v>-1</v>
      </c>
      <c r="AR866">
        <f t="shared" si="146"/>
        <v>-1</v>
      </c>
      <c r="AS866">
        <f t="shared" si="147"/>
        <v>1</v>
      </c>
      <c r="AT866">
        <f t="shared" si="148"/>
        <v>-1</v>
      </c>
      <c r="AU866">
        <f t="shared" si="149"/>
        <v>-4.5</v>
      </c>
      <c r="AV866">
        <f>SUM(Table1[[#This Row],[Satis]:[29]])</f>
        <v>-4</v>
      </c>
      <c r="AW866">
        <f t="shared" si="150"/>
        <v>-3</v>
      </c>
      <c r="AX866">
        <f t="shared" si="151"/>
        <v>-2</v>
      </c>
      <c r="AY866">
        <f t="shared" si="152"/>
        <v>-2</v>
      </c>
      <c r="AZ866" t="str">
        <f t="shared" si="153"/>
        <v>Neutral TDP</v>
      </c>
    </row>
    <row r="867" spans="1:52" x14ac:dyDescent="0.3">
      <c r="A867" t="s">
        <v>4766</v>
      </c>
      <c r="B867" s="94">
        <v>46049</v>
      </c>
      <c r="C867" t="s">
        <v>4767</v>
      </c>
      <c r="D867" t="s">
        <v>4768</v>
      </c>
      <c r="E867" t="s">
        <v>1197</v>
      </c>
      <c r="F867" t="s">
        <v>240</v>
      </c>
      <c r="G867" t="s">
        <v>39</v>
      </c>
      <c r="H867" t="s">
        <v>4769</v>
      </c>
      <c r="I867" t="s">
        <v>70</v>
      </c>
      <c r="J867" t="s">
        <v>71</v>
      </c>
      <c r="K867" t="s">
        <v>213</v>
      </c>
      <c r="L867" t="s">
        <v>62</v>
      </c>
      <c r="M867" t="s">
        <v>51</v>
      </c>
      <c r="N867" t="s">
        <v>52</v>
      </c>
      <c r="O867" t="s">
        <v>4770</v>
      </c>
      <c r="P867">
        <v>8499822859</v>
      </c>
      <c r="Q867" t="s">
        <v>445</v>
      </c>
      <c r="R867" t="s">
        <v>2116</v>
      </c>
      <c r="S867" t="s">
        <v>89</v>
      </c>
      <c r="T867" t="s">
        <v>89</v>
      </c>
      <c r="U867" t="s">
        <v>44</v>
      </c>
      <c r="V867" t="s">
        <v>91</v>
      </c>
      <c r="W867" t="s">
        <v>5090</v>
      </c>
      <c r="X867" t="s">
        <v>91</v>
      </c>
      <c r="Y867" t="s">
        <v>46</v>
      </c>
      <c r="Z867" t="s">
        <v>92</v>
      </c>
      <c r="AA867" t="s">
        <v>92</v>
      </c>
      <c r="AB867" t="s">
        <v>93</v>
      </c>
      <c r="AC867" t="s">
        <v>94</v>
      </c>
      <c r="AD867" t="s">
        <v>1552</v>
      </c>
      <c r="AE867" t="s">
        <v>185</v>
      </c>
      <c r="AF867" t="s">
        <v>1341</v>
      </c>
      <c r="AG867" t="s">
        <v>196</v>
      </c>
      <c r="AH867" s="93">
        <f>VLOOKUP(Table1[[#This Row],[Caste]],Factor!$H$1:$K$13,4,0)</f>
        <v>1.3836274505214585</v>
      </c>
      <c r="AI867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867">
        <f>Table1[[#This Row],[Factor_1]]*Table1[[#This Row],[2024 Factor]]</f>
        <v>3.4809023142961388</v>
      </c>
      <c r="AK867">
        <f>VLOOKUP(Table1[[#This Row],[Q18: Gender]],Factor!$A$33:$E$35,5,0)</f>
        <v>2.1645021645021645</v>
      </c>
      <c r="AL867">
        <f>VLOOKUP(Table1[[#This Row],[Taluka]],Factor!$A$42:$G$46,7,0)</f>
        <v>1.1213131007097483</v>
      </c>
      <c r="AM867">
        <f>VLOOKUP(Table1[[#This Row],[Caste]]&amp;Table1[[#This Row],[Q18: Gender]],Factor!$W$1:$X$23,2,0)</f>
        <v>1.9278542477265657</v>
      </c>
      <c r="AN867">
        <f>VLOOKUP(Table1[[#This Row],[Taluka]]&amp;Table1[[#This Row],[Caste]]&amp;Table1[[#This Row],[Q18: Gender]],Factor!$AK$4:$AL$93,2,0)</f>
        <v>1.2302776805571209</v>
      </c>
      <c r="AO867">
        <f t="shared" si="143"/>
        <v>1</v>
      </c>
      <c r="AP867">
        <f t="shared" si="144"/>
        <v>-1</v>
      </c>
      <c r="AQ867">
        <f t="shared" si="145"/>
        <v>1</v>
      </c>
      <c r="AR867">
        <f t="shared" si="146"/>
        <v>1</v>
      </c>
      <c r="AS867">
        <f t="shared" si="147"/>
        <v>1</v>
      </c>
      <c r="AT867">
        <f t="shared" si="148"/>
        <v>1</v>
      </c>
      <c r="AU867">
        <f t="shared" si="149"/>
        <v>3.5</v>
      </c>
      <c r="AV867">
        <f>SUM(Table1[[#This Row],[Satis]:[29]])</f>
        <v>4</v>
      </c>
      <c r="AW867">
        <f t="shared" si="150"/>
        <v>5</v>
      </c>
      <c r="AX867">
        <f t="shared" si="151"/>
        <v>4</v>
      </c>
      <c r="AY867">
        <f t="shared" si="152"/>
        <v>3</v>
      </c>
      <c r="AZ867" t="str">
        <f t="shared" si="153"/>
        <v>YSRCP Sympathiser</v>
      </c>
    </row>
    <row r="868" spans="1:52" x14ac:dyDescent="0.3">
      <c r="A868" t="s">
        <v>4861</v>
      </c>
      <c r="B868" s="94">
        <v>46049</v>
      </c>
      <c r="C868" t="s">
        <v>4862</v>
      </c>
      <c r="D868" t="s">
        <v>4790</v>
      </c>
      <c r="E868" t="s">
        <v>4791</v>
      </c>
      <c r="F868" t="s">
        <v>240</v>
      </c>
      <c r="G868" t="s">
        <v>39</v>
      </c>
      <c r="H868" t="s">
        <v>4864</v>
      </c>
      <c r="I868" t="s">
        <v>70</v>
      </c>
      <c r="J868" t="s">
        <v>71</v>
      </c>
      <c r="K868" t="s">
        <v>213</v>
      </c>
      <c r="L868" t="s">
        <v>451</v>
      </c>
      <c r="M868" t="s">
        <v>443</v>
      </c>
      <c r="N868" t="s">
        <v>63</v>
      </c>
      <c r="O868" t="s">
        <v>4793</v>
      </c>
      <c r="P868">
        <v>999999999</v>
      </c>
      <c r="Q868" t="s">
        <v>445</v>
      </c>
      <c r="R868" t="s">
        <v>139</v>
      </c>
      <c r="S868" t="s">
        <v>88</v>
      </c>
      <c r="T868" t="s">
        <v>89</v>
      </c>
      <c r="U868" t="s">
        <v>90</v>
      </c>
      <c r="V868" t="s">
        <v>91</v>
      </c>
      <c r="W868" t="s">
        <v>5041</v>
      </c>
      <c r="X868" t="s">
        <v>91</v>
      </c>
      <c r="Y868" t="s">
        <v>716</v>
      </c>
      <c r="Z868" t="s">
        <v>92</v>
      </c>
      <c r="AA868" t="s">
        <v>92</v>
      </c>
      <c r="AB868" t="s">
        <v>351</v>
      </c>
      <c r="AC868" t="s">
        <v>94</v>
      </c>
      <c r="AD868" t="s">
        <v>1270</v>
      </c>
      <c r="AE868" t="s">
        <v>185</v>
      </c>
      <c r="AF868" t="s">
        <v>4863</v>
      </c>
      <c r="AG868" t="s">
        <v>196</v>
      </c>
      <c r="AH868" s="93">
        <f>VLOOKUP(Table1[[#This Row],[Caste]],Factor!$H$1:$K$13,4,0)</f>
        <v>1.3836274505214585</v>
      </c>
      <c r="AI868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868">
        <f>Table1[[#This Row],[Factor_1]]*Table1[[#This Row],[2024 Factor]]</f>
        <v>3.4809023142961388</v>
      </c>
      <c r="AK868">
        <f>VLOOKUP(Table1[[#This Row],[Q18: Gender]],Factor!$A$33:$E$35,5,0)</f>
        <v>2.1645021645021645</v>
      </c>
      <c r="AL868">
        <f>VLOOKUP(Table1[[#This Row],[Taluka]],Factor!$A$42:$G$46,7,0)</f>
        <v>1.1213131007097483</v>
      </c>
      <c r="AM868">
        <f>VLOOKUP(Table1[[#This Row],[Caste]]&amp;Table1[[#This Row],[Q18: Gender]],Factor!$W$1:$X$23,2,0)</f>
        <v>1.9278542477265657</v>
      </c>
      <c r="AN868">
        <f>VLOOKUP(Table1[[#This Row],[Taluka]]&amp;Table1[[#This Row],[Caste]]&amp;Table1[[#This Row],[Q18: Gender]],Factor!$AK$4:$AL$93,2,0)</f>
        <v>1.2302776805571209</v>
      </c>
      <c r="AO868">
        <f t="shared" si="143"/>
        <v>1</v>
      </c>
      <c r="AP868">
        <f t="shared" si="144"/>
        <v>1</v>
      </c>
      <c r="AQ868">
        <f t="shared" si="145"/>
        <v>1</v>
      </c>
      <c r="AR868">
        <f t="shared" si="146"/>
        <v>1</v>
      </c>
      <c r="AS868">
        <f t="shared" si="147"/>
        <v>1</v>
      </c>
      <c r="AT868">
        <f t="shared" si="148"/>
        <v>1</v>
      </c>
      <c r="AU868">
        <f t="shared" si="149"/>
        <v>5.5</v>
      </c>
      <c r="AV868">
        <f>SUM(Table1[[#This Row],[Satis]:[29]])</f>
        <v>6</v>
      </c>
      <c r="AW868">
        <f t="shared" si="150"/>
        <v>5</v>
      </c>
      <c r="AX868">
        <f t="shared" si="151"/>
        <v>4</v>
      </c>
      <c r="AY868">
        <f t="shared" si="152"/>
        <v>3</v>
      </c>
      <c r="AZ868" t="str">
        <f t="shared" si="153"/>
        <v>YSRCP HardCore</v>
      </c>
    </row>
    <row r="869" spans="1:52" x14ac:dyDescent="0.3">
      <c r="A869" t="s">
        <v>4788</v>
      </c>
      <c r="B869" s="94">
        <v>46049</v>
      </c>
      <c r="C869" t="s">
        <v>4789</v>
      </c>
      <c r="D869" t="s">
        <v>4790</v>
      </c>
      <c r="E869" t="s">
        <v>4791</v>
      </c>
      <c r="F869" t="s">
        <v>240</v>
      </c>
      <c r="G869" t="s">
        <v>39</v>
      </c>
      <c r="H869" t="s">
        <v>4792</v>
      </c>
      <c r="I869" t="s">
        <v>70</v>
      </c>
      <c r="J869" t="s">
        <v>71</v>
      </c>
      <c r="K869" t="s">
        <v>213</v>
      </c>
      <c r="L869" t="s">
        <v>451</v>
      </c>
      <c r="M869" t="s">
        <v>443</v>
      </c>
      <c r="N869" t="s">
        <v>63</v>
      </c>
      <c r="O869" t="s">
        <v>4793</v>
      </c>
      <c r="P869">
        <v>999999999</v>
      </c>
      <c r="Q869" t="s">
        <v>445</v>
      </c>
      <c r="R869" t="s">
        <v>139</v>
      </c>
      <c r="S869" t="s">
        <v>88</v>
      </c>
      <c r="T869" t="s">
        <v>89</v>
      </c>
      <c r="U869" t="s">
        <v>90</v>
      </c>
      <c r="V869" t="s">
        <v>91</v>
      </c>
      <c r="W869" t="s">
        <v>5041</v>
      </c>
      <c r="X869" t="s">
        <v>91</v>
      </c>
      <c r="Y869" t="s">
        <v>716</v>
      </c>
      <c r="Z869" t="s">
        <v>92</v>
      </c>
      <c r="AA869" t="s">
        <v>92</v>
      </c>
      <c r="AB869" t="s">
        <v>351</v>
      </c>
      <c r="AC869" t="s">
        <v>94</v>
      </c>
      <c r="AD869" t="s">
        <v>1279</v>
      </c>
      <c r="AE869" t="s">
        <v>185</v>
      </c>
      <c r="AF869" t="s">
        <v>1355</v>
      </c>
      <c r="AG869" t="s">
        <v>196</v>
      </c>
      <c r="AH869" s="93">
        <f>VLOOKUP(Table1[[#This Row],[Caste]],Factor!$H$1:$K$13,4,0)</f>
        <v>1.3836274505214585</v>
      </c>
      <c r="AI869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869">
        <f>Table1[[#This Row],[Factor_1]]*Table1[[#This Row],[2024 Factor]]</f>
        <v>3.4809023142961388</v>
      </c>
      <c r="AK869">
        <f>VLOOKUP(Table1[[#This Row],[Q18: Gender]],Factor!$A$33:$E$35,5,0)</f>
        <v>2.1645021645021645</v>
      </c>
      <c r="AL869">
        <f>VLOOKUP(Table1[[#This Row],[Taluka]],Factor!$A$42:$G$46,7,0)</f>
        <v>1.1213131007097483</v>
      </c>
      <c r="AM869">
        <f>VLOOKUP(Table1[[#This Row],[Caste]]&amp;Table1[[#This Row],[Q18: Gender]],Factor!$W$1:$X$23,2,0)</f>
        <v>1.9278542477265657</v>
      </c>
      <c r="AN869">
        <f>VLOOKUP(Table1[[#This Row],[Taluka]]&amp;Table1[[#This Row],[Caste]]&amp;Table1[[#This Row],[Q18: Gender]],Factor!$AK$4:$AL$93,2,0)</f>
        <v>1.2302776805571209</v>
      </c>
      <c r="AO869">
        <f t="shared" si="143"/>
        <v>1</v>
      </c>
      <c r="AP869">
        <f t="shared" si="144"/>
        <v>1</v>
      </c>
      <c r="AQ869">
        <f t="shared" si="145"/>
        <v>1</v>
      </c>
      <c r="AR869">
        <f t="shared" si="146"/>
        <v>1</v>
      </c>
      <c r="AS869">
        <f t="shared" si="147"/>
        <v>1</v>
      </c>
      <c r="AT869">
        <f t="shared" si="148"/>
        <v>1</v>
      </c>
      <c r="AU869">
        <f t="shared" si="149"/>
        <v>5.5</v>
      </c>
      <c r="AV869">
        <f>SUM(Table1[[#This Row],[Satis]:[29]])</f>
        <v>6</v>
      </c>
      <c r="AW869">
        <f t="shared" si="150"/>
        <v>5</v>
      </c>
      <c r="AX869">
        <f t="shared" si="151"/>
        <v>4</v>
      </c>
      <c r="AY869">
        <f t="shared" si="152"/>
        <v>3</v>
      </c>
      <c r="AZ869" t="str">
        <f t="shared" si="153"/>
        <v>YSRCP HardCore</v>
      </c>
    </row>
    <row r="870" spans="1:52" x14ac:dyDescent="0.3">
      <c r="A870" t="s">
        <v>4814</v>
      </c>
      <c r="B870" s="94">
        <v>46049</v>
      </c>
      <c r="C870" t="s">
        <v>4815</v>
      </c>
      <c r="D870" t="s">
        <v>4796</v>
      </c>
      <c r="E870" t="s">
        <v>4797</v>
      </c>
      <c r="F870" t="s">
        <v>240</v>
      </c>
      <c r="G870" t="s">
        <v>39</v>
      </c>
      <c r="H870" t="s">
        <v>4816</v>
      </c>
      <c r="I870" t="s">
        <v>70</v>
      </c>
      <c r="J870" t="s">
        <v>71</v>
      </c>
      <c r="K870" t="s">
        <v>213</v>
      </c>
      <c r="L870" t="s">
        <v>161</v>
      </c>
      <c r="M870" t="s">
        <v>51</v>
      </c>
      <c r="N870" t="s">
        <v>107</v>
      </c>
      <c r="O870" t="s">
        <v>4799</v>
      </c>
      <c r="P870">
        <v>9502234661</v>
      </c>
      <c r="Q870" t="s">
        <v>54</v>
      </c>
      <c r="R870" t="s">
        <v>132</v>
      </c>
      <c r="S870" t="s">
        <v>43</v>
      </c>
      <c r="T870" t="s">
        <v>43</v>
      </c>
      <c r="U870" t="s">
        <v>90</v>
      </c>
      <c r="V870" t="s">
        <v>45</v>
      </c>
      <c r="W870" t="s">
        <v>5041</v>
      </c>
      <c r="X870" t="s">
        <v>45</v>
      </c>
      <c r="Y870" t="s">
        <v>46</v>
      </c>
      <c r="Z870" t="s">
        <v>242</v>
      </c>
      <c r="AA870" t="s">
        <v>2231</v>
      </c>
      <c r="AB870" t="s">
        <v>49</v>
      </c>
      <c r="AC870" t="s">
        <v>49</v>
      </c>
      <c r="AD870" t="s">
        <v>1552</v>
      </c>
      <c r="AE870" t="s">
        <v>185</v>
      </c>
      <c r="AF870" t="s">
        <v>4752</v>
      </c>
      <c r="AG870" t="s">
        <v>196</v>
      </c>
      <c r="AH870" s="93">
        <f>VLOOKUP(Table1[[#This Row],[Caste]],Factor!$H$1:$K$13,4,0)</f>
        <v>1.3836274505214585</v>
      </c>
      <c r="AI870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870">
        <f>Table1[[#This Row],[Factor_1]]*Table1[[#This Row],[2024 Factor]]</f>
        <v>0.71381514912952693</v>
      </c>
      <c r="AK870">
        <f>VLOOKUP(Table1[[#This Row],[Q18: Gender]],Factor!$A$33:$E$35,5,0)</f>
        <v>0.85034013605442171</v>
      </c>
      <c r="AL870">
        <f>VLOOKUP(Table1[[#This Row],[Taluka]],Factor!$A$42:$G$46,7,0)</f>
        <v>1.1213131007097483</v>
      </c>
      <c r="AM870">
        <f>VLOOKUP(Table1[[#This Row],[Caste]]&amp;Table1[[#This Row],[Q18: Gender]],Factor!$W$1:$X$23,2,0)</f>
        <v>1.0790228998469584</v>
      </c>
      <c r="AN870">
        <f>VLOOKUP(Table1[[#This Row],[Taluka]]&amp;Table1[[#This Row],[Caste]]&amp;Table1[[#This Row],[Q18: Gender]],Factor!$AK$4:$AL$93,2,0)</f>
        <v>0.90933567693352424</v>
      </c>
      <c r="AO870">
        <f t="shared" si="143"/>
        <v>-1</v>
      </c>
      <c r="AP870">
        <f t="shared" si="144"/>
        <v>1</v>
      </c>
      <c r="AQ870">
        <f t="shared" si="145"/>
        <v>-1</v>
      </c>
      <c r="AR870">
        <f t="shared" si="146"/>
        <v>-1</v>
      </c>
      <c r="AS870">
        <f t="shared" si="147"/>
        <v>-1</v>
      </c>
      <c r="AT870">
        <f t="shared" si="148"/>
        <v>-1</v>
      </c>
      <c r="AU870">
        <f t="shared" si="149"/>
        <v>-3.5</v>
      </c>
      <c r="AV870">
        <f>SUM(Table1[[#This Row],[Satis]:[29]])</f>
        <v>-4</v>
      </c>
      <c r="AW870">
        <f t="shared" si="150"/>
        <v>-5</v>
      </c>
      <c r="AX870">
        <f t="shared" si="151"/>
        <v>-4</v>
      </c>
      <c r="AY870">
        <f t="shared" si="152"/>
        <v>-3</v>
      </c>
      <c r="AZ870" t="str">
        <f t="shared" si="153"/>
        <v>TDP Sympathiser</v>
      </c>
    </row>
    <row r="871" spans="1:52" x14ac:dyDescent="0.3">
      <c r="A871" t="s">
        <v>4865</v>
      </c>
      <c r="B871" s="94">
        <v>46049</v>
      </c>
      <c r="C871" t="s">
        <v>4815</v>
      </c>
      <c r="D871" t="s">
        <v>4796</v>
      </c>
      <c r="E871" t="s">
        <v>4797</v>
      </c>
      <c r="F871" t="s">
        <v>240</v>
      </c>
      <c r="G871" t="s">
        <v>39</v>
      </c>
      <c r="H871" t="s">
        <v>4866</v>
      </c>
      <c r="I871" t="s">
        <v>70</v>
      </c>
      <c r="J871" t="s">
        <v>71</v>
      </c>
      <c r="K871" t="s">
        <v>213</v>
      </c>
      <c r="L871" t="s">
        <v>161</v>
      </c>
      <c r="M871" t="s">
        <v>51</v>
      </c>
      <c r="N871" t="s">
        <v>107</v>
      </c>
      <c r="O871" t="s">
        <v>4799</v>
      </c>
      <c r="P871">
        <v>9502234661</v>
      </c>
      <c r="Q871" t="s">
        <v>54</v>
      </c>
      <c r="R871" t="s">
        <v>132</v>
      </c>
      <c r="S871" t="s">
        <v>43</v>
      </c>
      <c r="T871" t="s">
        <v>43</v>
      </c>
      <c r="U871" t="s">
        <v>90</v>
      </c>
      <c r="V871" t="s">
        <v>45</v>
      </c>
      <c r="W871" t="s">
        <v>5041</v>
      </c>
      <c r="X871" t="s">
        <v>45</v>
      </c>
      <c r="Y871" t="s">
        <v>46</v>
      </c>
      <c r="Z871" t="s">
        <v>242</v>
      </c>
      <c r="AA871" t="s">
        <v>2231</v>
      </c>
      <c r="AB871" t="s">
        <v>49</v>
      </c>
      <c r="AC871" t="s">
        <v>49</v>
      </c>
      <c r="AD871" t="s">
        <v>1270</v>
      </c>
      <c r="AE871" t="s">
        <v>185</v>
      </c>
      <c r="AF871" t="s">
        <v>4863</v>
      </c>
      <c r="AG871" t="s">
        <v>196</v>
      </c>
      <c r="AH871" s="93">
        <f>VLOOKUP(Table1[[#This Row],[Caste]],Factor!$H$1:$K$13,4,0)</f>
        <v>1.3836274505214585</v>
      </c>
      <c r="AI871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871">
        <f>Table1[[#This Row],[Factor_1]]*Table1[[#This Row],[2024 Factor]]</f>
        <v>0.71381514912952693</v>
      </c>
      <c r="AK871">
        <f>VLOOKUP(Table1[[#This Row],[Q18: Gender]],Factor!$A$33:$E$35,5,0)</f>
        <v>0.85034013605442171</v>
      </c>
      <c r="AL871">
        <f>VLOOKUP(Table1[[#This Row],[Taluka]],Factor!$A$42:$G$46,7,0)</f>
        <v>1.1213131007097483</v>
      </c>
      <c r="AM871">
        <f>VLOOKUP(Table1[[#This Row],[Caste]]&amp;Table1[[#This Row],[Q18: Gender]],Factor!$W$1:$X$23,2,0)</f>
        <v>1.0790228998469584</v>
      </c>
      <c r="AN871">
        <f>VLOOKUP(Table1[[#This Row],[Taluka]]&amp;Table1[[#This Row],[Caste]]&amp;Table1[[#This Row],[Q18: Gender]],Factor!$AK$4:$AL$93,2,0)</f>
        <v>0.90933567693352424</v>
      </c>
      <c r="AO871">
        <f t="shared" si="143"/>
        <v>-1</v>
      </c>
      <c r="AP871">
        <f t="shared" si="144"/>
        <v>1</v>
      </c>
      <c r="AQ871">
        <f t="shared" si="145"/>
        <v>-1</v>
      </c>
      <c r="AR871">
        <f t="shared" si="146"/>
        <v>-1</v>
      </c>
      <c r="AS871">
        <f t="shared" si="147"/>
        <v>-1</v>
      </c>
      <c r="AT871">
        <f t="shared" si="148"/>
        <v>-1</v>
      </c>
      <c r="AU871">
        <f t="shared" si="149"/>
        <v>-3.5</v>
      </c>
      <c r="AV871">
        <f>SUM(Table1[[#This Row],[Satis]:[29]])</f>
        <v>-4</v>
      </c>
      <c r="AW871">
        <f t="shared" si="150"/>
        <v>-5</v>
      </c>
      <c r="AX871">
        <f t="shared" si="151"/>
        <v>-4</v>
      </c>
      <c r="AY871">
        <f t="shared" si="152"/>
        <v>-3</v>
      </c>
      <c r="AZ871" t="str">
        <f t="shared" si="153"/>
        <v>TDP Sympathiser</v>
      </c>
    </row>
    <row r="872" spans="1:52" x14ac:dyDescent="0.3">
      <c r="A872" t="s">
        <v>4794</v>
      </c>
      <c r="B872" s="94">
        <v>46049</v>
      </c>
      <c r="C872" t="s">
        <v>4795</v>
      </c>
      <c r="D872" t="s">
        <v>4796</v>
      </c>
      <c r="E872" t="s">
        <v>4797</v>
      </c>
      <c r="F872" t="s">
        <v>240</v>
      </c>
      <c r="G872" t="s">
        <v>39</v>
      </c>
      <c r="H872" t="s">
        <v>4798</v>
      </c>
      <c r="I872" t="s">
        <v>70</v>
      </c>
      <c r="J872" t="s">
        <v>71</v>
      </c>
      <c r="K872" t="s">
        <v>213</v>
      </c>
      <c r="L872" t="s">
        <v>161</v>
      </c>
      <c r="M872" t="s">
        <v>51</v>
      </c>
      <c r="N872" t="s">
        <v>107</v>
      </c>
      <c r="O872" t="s">
        <v>4799</v>
      </c>
      <c r="P872">
        <v>9502234661</v>
      </c>
      <c r="Q872" t="s">
        <v>54</v>
      </c>
      <c r="R872" t="s">
        <v>132</v>
      </c>
      <c r="S872" t="s">
        <v>43</v>
      </c>
      <c r="T872" t="s">
        <v>43</v>
      </c>
      <c r="U872" t="s">
        <v>90</v>
      </c>
      <c r="V872" t="s">
        <v>45</v>
      </c>
      <c r="W872" t="s">
        <v>5041</v>
      </c>
      <c r="X872" t="s">
        <v>45</v>
      </c>
      <c r="Y872" t="s">
        <v>46</v>
      </c>
      <c r="Z872" t="s">
        <v>242</v>
      </c>
      <c r="AA872" t="s">
        <v>2231</v>
      </c>
      <c r="AB872" t="s">
        <v>49</v>
      </c>
      <c r="AC872" t="s">
        <v>49</v>
      </c>
      <c r="AD872" t="s">
        <v>1279</v>
      </c>
      <c r="AE872" t="s">
        <v>185</v>
      </c>
      <c r="AF872" t="s">
        <v>1355</v>
      </c>
      <c r="AG872" t="s">
        <v>196</v>
      </c>
      <c r="AH872" s="93">
        <f>VLOOKUP(Table1[[#This Row],[Caste]],Factor!$H$1:$K$13,4,0)</f>
        <v>1.3836274505214585</v>
      </c>
      <c r="AI872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872">
        <f>Table1[[#This Row],[Factor_1]]*Table1[[#This Row],[2024 Factor]]</f>
        <v>0.71381514912952693</v>
      </c>
      <c r="AK872">
        <f>VLOOKUP(Table1[[#This Row],[Q18: Gender]],Factor!$A$33:$E$35,5,0)</f>
        <v>0.85034013605442171</v>
      </c>
      <c r="AL872">
        <f>VLOOKUP(Table1[[#This Row],[Taluka]],Factor!$A$42:$G$46,7,0)</f>
        <v>1.1213131007097483</v>
      </c>
      <c r="AM872">
        <f>VLOOKUP(Table1[[#This Row],[Caste]]&amp;Table1[[#This Row],[Q18: Gender]],Factor!$W$1:$X$23,2,0)</f>
        <v>1.0790228998469584</v>
      </c>
      <c r="AN872">
        <f>VLOOKUP(Table1[[#This Row],[Taluka]]&amp;Table1[[#This Row],[Caste]]&amp;Table1[[#This Row],[Q18: Gender]],Factor!$AK$4:$AL$93,2,0)</f>
        <v>0.90933567693352424</v>
      </c>
      <c r="AO872">
        <f t="shared" si="143"/>
        <v>-1</v>
      </c>
      <c r="AP872">
        <f t="shared" si="144"/>
        <v>1</v>
      </c>
      <c r="AQ872">
        <f t="shared" si="145"/>
        <v>-1</v>
      </c>
      <c r="AR872">
        <f t="shared" si="146"/>
        <v>-1</v>
      </c>
      <c r="AS872">
        <f t="shared" si="147"/>
        <v>-1</v>
      </c>
      <c r="AT872">
        <f t="shared" si="148"/>
        <v>-1</v>
      </c>
      <c r="AU872">
        <f t="shared" si="149"/>
        <v>-3.5</v>
      </c>
      <c r="AV872">
        <f>SUM(Table1[[#This Row],[Satis]:[29]])</f>
        <v>-4</v>
      </c>
      <c r="AW872">
        <f t="shared" si="150"/>
        <v>-5</v>
      </c>
      <c r="AX872">
        <f t="shared" si="151"/>
        <v>-4</v>
      </c>
      <c r="AY872">
        <f t="shared" si="152"/>
        <v>-3</v>
      </c>
      <c r="AZ872" t="str">
        <f t="shared" si="153"/>
        <v>TDP Sympathiser</v>
      </c>
    </row>
    <row r="873" spans="1:52" x14ac:dyDescent="0.3">
      <c r="A873" t="s">
        <v>4817</v>
      </c>
      <c r="B873" s="94">
        <v>46049</v>
      </c>
      <c r="C873" t="s">
        <v>4818</v>
      </c>
      <c r="D873" t="s">
        <v>4819</v>
      </c>
      <c r="E873" t="s">
        <v>4243</v>
      </c>
      <c r="F873" t="s">
        <v>240</v>
      </c>
      <c r="G873" t="s">
        <v>39</v>
      </c>
      <c r="H873" t="s">
        <v>4820</v>
      </c>
      <c r="I873" t="s">
        <v>70</v>
      </c>
      <c r="J873" t="s">
        <v>71</v>
      </c>
      <c r="K873" t="s">
        <v>213</v>
      </c>
      <c r="L873" t="s">
        <v>451</v>
      </c>
      <c r="M873" t="s">
        <v>443</v>
      </c>
      <c r="N873" t="s">
        <v>52</v>
      </c>
      <c r="O873" t="s">
        <v>4821</v>
      </c>
      <c r="P873">
        <v>99999999</v>
      </c>
      <c r="Q873" t="s">
        <v>445</v>
      </c>
      <c r="R873" t="s">
        <v>2116</v>
      </c>
      <c r="S873" t="s">
        <v>43</v>
      </c>
      <c r="T873" t="s">
        <v>43</v>
      </c>
      <c r="U873" t="s">
        <v>44</v>
      </c>
      <c r="V873" t="s">
        <v>45</v>
      </c>
      <c r="W873" t="s">
        <v>5054</v>
      </c>
      <c r="X873" t="s">
        <v>45</v>
      </c>
      <c r="Y873" t="s">
        <v>46</v>
      </c>
      <c r="Z873" t="s">
        <v>47</v>
      </c>
      <c r="AA873" t="s">
        <v>48</v>
      </c>
      <c r="AB873" t="s">
        <v>49</v>
      </c>
      <c r="AC873" t="s">
        <v>49</v>
      </c>
      <c r="AD873" t="s">
        <v>1552</v>
      </c>
      <c r="AE873" t="s">
        <v>185</v>
      </c>
      <c r="AF873" t="s">
        <v>1341</v>
      </c>
      <c r="AG873" t="s">
        <v>196</v>
      </c>
      <c r="AH873" s="93">
        <f>VLOOKUP(Table1[[#This Row],[Caste]],Factor!$H$1:$K$13,4,0)</f>
        <v>1.3836274505214585</v>
      </c>
      <c r="AI87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73">
        <f>Table1[[#This Row],[Factor_1]]*Table1[[#This Row],[2024 Factor]]</f>
        <v>2.0811826914865059</v>
      </c>
      <c r="AK873">
        <f>VLOOKUP(Table1[[#This Row],[Q18: Gender]],Factor!$A$33:$E$35,5,0)</f>
        <v>2.1645021645021645</v>
      </c>
      <c r="AL873">
        <f>VLOOKUP(Table1[[#This Row],[Taluka]],Factor!$A$42:$G$46,7,0)</f>
        <v>1.1213131007097483</v>
      </c>
      <c r="AM873">
        <f>VLOOKUP(Table1[[#This Row],[Caste]]&amp;Table1[[#This Row],[Q18: Gender]],Factor!$W$1:$X$23,2,0)</f>
        <v>1.9278542477265657</v>
      </c>
      <c r="AN873">
        <f>VLOOKUP(Table1[[#This Row],[Taluka]]&amp;Table1[[#This Row],[Caste]]&amp;Table1[[#This Row],[Q18: Gender]],Factor!$AK$4:$AL$93,2,0)</f>
        <v>1.2302776805571209</v>
      </c>
      <c r="AO873">
        <f t="shared" si="143"/>
        <v>-1</v>
      </c>
      <c r="AP873">
        <f t="shared" si="144"/>
        <v>-1</v>
      </c>
      <c r="AQ873">
        <f t="shared" si="145"/>
        <v>-1</v>
      </c>
      <c r="AR873">
        <f t="shared" si="146"/>
        <v>-1</v>
      </c>
      <c r="AS873">
        <f t="shared" si="147"/>
        <v>-1</v>
      </c>
      <c r="AT873">
        <f t="shared" si="148"/>
        <v>-1</v>
      </c>
      <c r="AU873">
        <f t="shared" si="149"/>
        <v>-5.5</v>
      </c>
      <c r="AV873">
        <f>SUM(Table1[[#This Row],[Satis]:[29]])</f>
        <v>-6</v>
      </c>
      <c r="AW873">
        <f t="shared" si="150"/>
        <v>-5</v>
      </c>
      <c r="AX873">
        <f t="shared" si="151"/>
        <v>-4</v>
      </c>
      <c r="AY873">
        <f t="shared" si="152"/>
        <v>-3</v>
      </c>
      <c r="AZ873" t="str">
        <f t="shared" si="153"/>
        <v>TDP HardCore</v>
      </c>
    </row>
    <row r="874" spans="1:52" x14ac:dyDescent="0.3">
      <c r="A874" t="s">
        <v>4867</v>
      </c>
      <c r="B874" s="94">
        <v>46049</v>
      </c>
      <c r="C874" t="s">
        <v>4868</v>
      </c>
      <c r="D874" t="s">
        <v>4869</v>
      </c>
      <c r="E874" t="s">
        <v>4870</v>
      </c>
      <c r="F874" t="s">
        <v>240</v>
      </c>
      <c r="G874" t="s">
        <v>39</v>
      </c>
      <c r="H874" t="s">
        <v>4871</v>
      </c>
      <c r="I874" t="s">
        <v>36</v>
      </c>
      <c r="J874" t="s">
        <v>71</v>
      </c>
      <c r="K874" t="s">
        <v>213</v>
      </c>
      <c r="L874" t="s">
        <v>451</v>
      </c>
      <c r="M874" t="s">
        <v>51</v>
      </c>
      <c r="N874" t="s">
        <v>52</v>
      </c>
      <c r="O874" t="s">
        <v>4872</v>
      </c>
      <c r="P874">
        <v>9989342843</v>
      </c>
      <c r="Q874" t="s">
        <v>445</v>
      </c>
      <c r="R874" t="s">
        <v>61</v>
      </c>
      <c r="S874" t="s">
        <v>43</v>
      </c>
      <c r="T874" t="s">
        <v>43</v>
      </c>
      <c r="U874" t="s">
        <v>44</v>
      </c>
      <c r="V874" t="s">
        <v>45</v>
      </c>
      <c r="W874" t="s">
        <v>5090</v>
      </c>
      <c r="X874" t="s">
        <v>45</v>
      </c>
      <c r="Y874" t="s">
        <v>46</v>
      </c>
      <c r="Z874" t="s">
        <v>47</v>
      </c>
      <c r="AA874" t="s">
        <v>48</v>
      </c>
      <c r="AB874" t="s">
        <v>49</v>
      </c>
      <c r="AC874" t="s">
        <v>49</v>
      </c>
      <c r="AD874" t="s">
        <v>1270</v>
      </c>
      <c r="AE874" t="s">
        <v>185</v>
      </c>
      <c r="AF874" t="s">
        <v>4863</v>
      </c>
      <c r="AG874" t="s">
        <v>196</v>
      </c>
      <c r="AH874" s="93">
        <f>VLOOKUP(Table1[[#This Row],[Caste]],Factor!$H$1:$K$13,4,0)</f>
        <v>1.1705128247062893</v>
      </c>
      <c r="AI87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74">
        <f>Table1[[#This Row],[Factor_1]]*Table1[[#This Row],[2024 Factor]]</f>
        <v>2.3577066232182737</v>
      </c>
      <c r="AK874">
        <f>VLOOKUP(Table1[[#This Row],[Q18: Gender]],Factor!$A$33:$E$35,5,0)</f>
        <v>2.1645021645021645</v>
      </c>
      <c r="AL874">
        <f>VLOOKUP(Table1[[#This Row],[Taluka]],Factor!$A$42:$G$46,7,0)</f>
        <v>1.1213131007097483</v>
      </c>
      <c r="AM874">
        <f>VLOOKUP(Table1[[#This Row],[Caste]]&amp;Table1[[#This Row],[Q18: Gender]],Factor!$W$1:$X$23,2,0)</f>
        <v>2.1840056363422229</v>
      </c>
      <c r="AN874">
        <f>VLOOKUP(Table1[[#This Row],[Taluka]]&amp;Table1[[#This Row],[Caste]]&amp;Table1[[#This Row],[Q18: Gender]],Factor!$AK$4:$AL$93,2,0)</f>
        <v>0.95944580773600496</v>
      </c>
      <c r="AO874">
        <f t="shared" si="143"/>
        <v>-1</v>
      </c>
      <c r="AP874">
        <f t="shared" si="144"/>
        <v>-1</v>
      </c>
      <c r="AQ874">
        <f t="shared" si="145"/>
        <v>-1</v>
      </c>
      <c r="AR874">
        <f t="shared" si="146"/>
        <v>-1</v>
      </c>
      <c r="AS874">
        <f t="shared" si="147"/>
        <v>-1</v>
      </c>
      <c r="AT874">
        <f t="shared" si="148"/>
        <v>-1</v>
      </c>
      <c r="AU874">
        <f t="shared" si="149"/>
        <v>-5.5</v>
      </c>
      <c r="AV874">
        <f>SUM(Table1[[#This Row],[Satis]:[29]])</f>
        <v>-6</v>
      </c>
      <c r="AW874">
        <f t="shared" si="150"/>
        <v>-5</v>
      </c>
      <c r="AX874">
        <f t="shared" si="151"/>
        <v>-4</v>
      </c>
      <c r="AY874">
        <f t="shared" si="152"/>
        <v>-3</v>
      </c>
      <c r="AZ874" t="str">
        <f t="shared" si="153"/>
        <v>TDP HardCore</v>
      </c>
    </row>
    <row r="875" spans="1:52" x14ac:dyDescent="0.3">
      <c r="A875" t="s">
        <v>4800</v>
      </c>
      <c r="B875" s="94">
        <v>46049</v>
      </c>
      <c r="C875" t="s">
        <v>4801</v>
      </c>
      <c r="D875" t="s">
        <v>4802</v>
      </c>
      <c r="E875" t="s">
        <v>4803</v>
      </c>
      <c r="F875" t="s">
        <v>240</v>
      </c>
      <c r="G875" t="s">
        <v>39</v>
      </c>
      <c r="H875" t="s">
        <v>4804</v>
      </c>
      <c r="I875" t="s">
        <v>36</v>
      </c>
      <c r="J875" t="s">
        <v>71</v>
      </c>
      <c r="K875" t="s">
        <v>213</v>
      </c>
      <c r="L875" t="s">
        <v>451</v>
      </c>
      <c r="M875" t="s">
        <v>51</v>
      </c>
      <c r="N875" t="s">
        <v>63</v>
      </c>
      <c r="O875" t="s">
        <v>4805</v>
      </c>
      <c r="P875">
        <v>9848314436</v>
      </c>
      <c r="Q875" t="s">
        <v>445</v>
      </c>
      <c r="R875" t="s">
        <v>61</v>
      </c>
      <c r="S875" t="s">
        <v>43</v>
      </c>
      <c r="T875" t="s">
        <v>43</v>
      </c>
      <c r="U875" t="s">
        <v>44</v>
      </c>
      <c r="V875" t="s">
        <v>45</v>
      </c>
      <c r="W875" t="s">
        <v>5051</v>
      </c>
      <c r="X875" t="s">
        <v>45</v>
      </c>
      <c r="Y875" t="s">
        <v>46</v>
      </c>
      <c r="Z875" t="s">
        <v>242</v>
      </c>
      <c r="AA875" t="s">
        <v>242</v>
      </c>
      <c r="AB875" t="s">
        <v>49</v>
      </c>
      <c r="AC875" t="s">
        <v>49</v>
      </c>
      <c r="AD875" t="s">
        <v>1279</v>
      </c>
      <c r="AE875" t="s">
        <v>185</v>
      </c>
      <c r="AF875" t="s">
        <v>1355</v>
      </c>
      <c r="AG875" t="s">
        <v>196</v>
      </c>
      <c r="AH875" s="93">
        <f>VLOOKUP(Table1[[#This Row],[Caste]],Factor!$H$1:$K$13,4,0)</f>
        <v>1.1705128247062893</v>
      </c>
      <c r="AI875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875">
        <f>Table1[[#This Row],[Factor_1]]*Table1[[#This Row],[2024 Factor]]</f>
        <v>1.444803728657164</v>
      </c>
      <c r="AK875">
        <f>VLOOKUP(Table1[[#This Row],[Q18: Gender]],Factor!$A$33:$E$35,5,0)</f>
        <v>2.1645021645021645</v>
      </c>
      <c r="AL875">
        <f>VLOOKUP(Table1[[#This Row],[Taluka]],Factor!$A$42:$G$46,7,0)</f>
        <v>1.1213131007097483</v>
      </c>
      <c r="AM875">
        <f>VLOOKUP(Table1[[#This Row],[Caste]]&amp;Table1[[#This Row],[Q18: Gender]],Factor!$W$1:$X$23,2,0)</f>
        <v>2.1840056363422229</v>
      </c>
      <c r="AN875">
        <f>VLOOKUP(Table1[[#This Row],[Taluka]]&amp;Table1[[#This Row],[Caste]]&amp;Table1[[#This Row],[Q18: Gender]],Factor!$AK$4:$AL$93,2,0)</f>
        <v>0.95944580773600496</v>
      </c>
      <c r="AO875">
        <f t="shared" si="143"/>
        <v>-1</v>
      </c>
      <c r="AP875">
        <f t="shared" si="144"/>
        <v>-1</v>
      </c>
      <c r="AQ875">
        <f t="shared" si="145"/>
        <v>-1</v>
      </c>
      <c r="AR875">
        <f t="shared" si="146"/>
        <v>-1</v>
      </c>
      <c r="AS875">
        <f t="shared" si="147"/>
        <v>-1</v>
      </c>
      <c r="AT875">
        <f t="shared" si="148"/>
        <v>-1</v>
      </c>
      <c r="AU875">
        <f t="shared" si="149"/>
        <v>-5.5</v>
      </c>
      <c r="AV875">
        <f>SUM(Table1[[#This Row],[Satis]:[29]])</f>
        <v>-6</v>
      </c>
      <c r="AW875">
        <f t="shared" si="150"/>
        <v>-5</v>
      </c>
      <c r="AX875">
        <f t="shared" si="151"/>
        <v>-4</v>
      </c>
      <c r="AY875">
        <f t="shared" si="152"/>
        <v>-3</v>
      </c>
      <c r="AZ875" t="str">
        <f t="shared" si="153"/>
        <v>TDP HardCore</v>
      </c>
    </row>
    <row r="876" spans="1:52" x14ac:dyDescent="0.3">
      <c r="A876" t="s">
        <v>4838</v>
      </c>
      <c r="B876" s="94">
        <v>46049</v>
      </c>
      <c r="C876" t="s">
        <v>4839</v>
      </c>
      <c r="D876" t="s">
        <v>4840</v>
      </c>
      <c r="E876" t="s">
        <v>4830</v>
      </c>
      <c r="F876" t="s">
        <v>240</v>
      </c>
      <c r="G876" t="s">
        <v>39</v>
      </c>
      <c r="H876" t="s">
        <v>4842</v>
      </c>
      <c r="I876" t="s">
        <v>70</v>
      </c>
      <c r="J876" t="s">
        <v>71</v>
      </c>
      <c r="K876" t="s">
        <v>213</v>
      </c>
      <c r="L876" t="s">
        <v>451</v>
      </c>
      <c r="M876" t="s">
        <v>443</v>
      </c>
      <c r="N876" t="s">
        <v>52</v>
      </c>
      <c r="O876" t="s">
        <v>4843</v>
      </c>
      <c r="P876">
        <v>99999999</v>
      </c>
      <c r="Q876" t="s">
        <v>445</v>
      </c>
      <c r="R876" t="s">
        <v>2116</v>
      </c>
      <c r="S876" t="s">
        <v>43</v>
      </c>
      <c r="T876" t="s">
        <v>43</v>
      </c>
      <c r="U876" t="s">
        <v>44</v>
      </c>
      <c r="V876" t="s">
        <v>45</v>
      </c>
      <c r="W876" t="s">
        <v>5057</v>
      </c>
      <c r="X876" t="s">
        <v>45</v>
      </c>
      <c r="Y876" t="s">
        <v>46</v>
      </c>
      <c r="Z876" t="s">
        <v>92</v>
      </c>
      <c r="AA876" t="s">
        <v>92</v>
      </c>
      <c r="AB876" t="s">
        <v>351</v>
      </c>
      <c r="AC876" t="s">
        <v>94</v>
      </c>
      <c r="AD876" t="s">
        <v>1279</v>
      </c>
      <c r="AE876" t="s">
        <v>1271</v>
      </c>
      <c r="AF876" t="s">
        <v>4841</v>
      </c>
      <c r="AG876" t="s">
        <v>196</v>
      </c>
      <c r="AH876" s="93">
        <f>VLOOKUP(Table1[[#This Row],[Caste]],Factor!$H$1:$K$13,4,0)</f>
        <v>1.3836274505214585</v>
      </c>
      <c r="AI876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876">
        <f>Table1[[#This Row],[Factor_1]]*Table1[[#This Row],[2024 Factor]]</f>
        <v>3.4809023142961388</v>
      </c>
      <c r="AK876">
        <f>VLOOKUP(Table1[[#This Row],[Q18: Gender]],Factor!$A$33:$E$35,5,0)</f>
        <v>2.1645021645021645</v>
      </c>
      <c r="AL876">
        <f>VLOOKUP(Table1[[#This Row],[Taluka]],Factor!$A$42:$G$46,7,0)</f>
        <v>1.1213131007097483</v>
      </c>
      <c r="AM876">
        <f>VLOOKUP(Table1[[#This Row],[Caste]]&amp;Table1[[#This Row],[Q18: Gender]],Factor!$W$1:$X$23,2,0)</f>
        <v>1.9278542477265657</v>
      </c>
      <c r="AN876">
        <f>VLOOKUP(Table1[[#This Row],[Taluka]]&amp;Table1[[#This Row],[Caste]]&amp;Table1[[#This Row],[Q18: Gender]],Factor!$AK$4:$AL$93,2,0)</f>
        <v>1.2302776805571209</v>
      </c>
      <c r="AO876">
        <f t="shared" si="143"/>
        <v>-1</v>
      </c>
      <c r="AP876">
        <f t="shared" si="144"/>
        <v>-1</v>
      </c>
      <c r="AQ876">
        <f t="shared" si="145"/>
        <v>-1</v>
      </c>
      <c r="AR876">
        <f t="shared" si="146"/>
        <v>-1</v>
      </c>
      <c r="AS876">
        <f t="shared" si="147"/>
        <v>1</v>
      </c>
      <c r="AT876">
        <f t="shared" si="148"/>
        <v>1</v>
      </c>
      <c r="AU876">
        <f t="shared" si="149"/>
        <v>-2.5</v>
      </c>
      <c r="AV876">
        <f>SUM(Table1[[#This Row],[Satis]:[29]])</f>
        <v>-2</v>
      </c>
      <c r="AW876">
        <f t="shared" si="150"/>
        <v>-1</v>
      </c>
      <c r="AX876">
        <f t="shared" si="151"/>
        <v>0</v>
      </c>
      <c r="AY876">
        <f t="shared" si="152"/>
        <v>2</v>
      </c>
      <c r="AZ876" t="str">
        <f t="shared" si="153"/>
        <v>Neutral YSRCP</v>
      </c>
    </row>
    <row r="877" spans="1:52" x14ac:dyDescent="0.3">
      <c r="A877" t="s">
        <v>4822</v>
      </c>
      <c r="B877" s="94">
        <v>46049</v>
      </c>
      <c r="C877" t="s">
        <v>4823</v>
      </c>
      <c r="D877" t="s">
        <v>4824</v>
      </c>
      <c r="E877" t="s">
        <v>4803</v>
      </c>
      <c r="F877" t="s">
        <v>240</v>
      </c>
      <c r="G877" t="s">
        <v>39</v>
      </c>
      <c r="H877" t="s">
        <v>4825</v>
      </c>
      <c r="I877" t="s">
        <v>36</v>
      </c>
      <c r="J877" t="s">
        <v>71</v>
      </c>
      <c r="K877" t="s">
        <v>213</v>
      </c>
      <c r="L877" t="s">
        <v>451</v>
      </c>
      <c r="M877" t="s">
        <v>51</v>
      </c>
      <c r="N877" t="s">
        <v>52</v>
      </c>
      <c r="O877" t="s">
        <v>4826</v>
      </c>
      <c r="P877">
        <v>9999999999</v>
      </c>
      <c r="Q877" t="s">
        <v>445</v>
      </c>
      <c r="R877" t="s">
        <v>139</v>
      </c>
      <c r="S877" t="s">
        <v>43</v>
      </c>
      <c r="T877" t="s">
        <v>43</v>
      </c>
      <c r="U877" t="s">
        <v>44</v>
      </c>
      <c r="V877" t="s">
        <v>45</v>
      </c>
      <c r="W877" t="s">
        <v>5058</v>
      </c>
      <c r="X877" t="s">
        <v>45</v>
      </c>
      <c r="Y877" t="s">
        <v>46</v>
      </c>
      <c r="Z877" t="s">
        <v>47</v>
      </c>
      <c r="AA877" t="s">
        <v>48</v>
      </c>
      <c r="AB877" t="s">
        <v>49</v>
      </c>
      <c r="AC877" t="s">
        <v>49</v>
      </c>
      <c r="AD877" t="s">
        <v>1552</v>
      </c>
      <c r="AE877" t="s">
        <v>185</v>
      </c>
      <c r="AF877" t="s">
        <v>1341</v>
      </c>
      <c r="AG877" t="s">
        <v>196</v>
      </c>
      <c r="AH877" s="93">
        <f>VLOOKUP(Table1[[#This Row],[Caste]],Factor!$H$1:$K$13,4,0)</f>
        <v>1.1705128247062893</v>
      </c>
      <c r="AI87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77">
        <f>Table1[[#This Row],[Factor_1]]*Table1[[#This Row],[2024 Factor]]</f>
        <v>2.3577066232182737</v>
      </c>
      <c r="AK877">
        <f>VLOOKUP(Table1[[#This Row],[Q18: Gender]],Factor!$A$33:$E$35,5,0)</f>
        <v>2.1645021645021645</v>
      </c>
      <c r="AL877">
        <f>VLOOKUP(Table1[[#This Row],[Taluka]],Factor!$A$42:$G$46,7,0)</f>
        <v>1.1213131007097483</v>
      </c>
      <c r="AM877">
        <f>VLOOKUP(Table1[[#This Row],[Caste]]&amp;Table1[[#This Row],[Q18: Gender]],Factor!$W$1:$X$23,2,0)</f>
        <v>2.1840056363422229</v>
      </c>
      <c r="AN877">
        <f>VLOOKUP(Table1[[#This Row],[Taluka]]&amp;Table1[[#This Row],[Caste]]&amp;Table1[[#This Row],[Q18: Gender]],Factor!$AK$4:$AL$93,2,0)</f>
        <v>0.95944580773600496</v>
      </c>
      <c r="AO877">
        <f t="shared" si="143"/>
        <v>-1</v>
      </c>
      <c r="AP877">
        <f t="shared" si="144"/>
        <v>-1</v>
      </c>
      <c r="AQ877">
        <f t="shared" si="145"/>
        <v>-1</v>
      </c>
      <c r="AR877">
        <f t="shared" si="146"/>
        <v>-1</v>
      </c>
      <c r="AS877">
        <f t="shared" si="147"/>
        <v>-1</v>
      </c>
      <c r="AT877">
        <f t="shared" si="148"/>
        <v>-1</v>
      </c>
      <c r="AU877">
        <f t="shared" si="149"/>
        <v>-5.5</v>
      </c>
      <c r="AV877">
        <f>SUM(Table1[[#This Row],[Satis]:[29]])</f>
        <v>-6</v>
      </c>
      <c r="AW877">
        <f t="shared" si="150"/>
        <v>-5</v>
      </c>
      <c r="AX877">
        <f t="shared" si="151"/>
        <v>-4</v>
      </c>
      <c r="AY877">
        <f t="shared" si="152"/>
        <v>-3</v>
      </c>
      <c r="AZ877" t="str">
        <f t="shared" si="153"/>
        <v>TDP HardCore</v>
      </c>
    </row>
    <row r="878" spans="1:52" x14ac:dyDescent="0.3">
      <c r="A878" t="s">
        <v>4827</v>
      </c>
      <c r="B878" s="94">
        <v>46049</v>
      </c>
      <c r="C878" t="s">
        <v>4828</v>
      </c>
      <c r="D878" t="s">
        <v>4829</v>
      </c>
      <c r="E878" t="s">
        <v>4830</v>
      </c>
      <c r="F878" t="s">
        <v>240</v>
      </c>
      <c r="G878" t="s">
        <v>39</v>
      </c>
      <c r="H878" t="s">
        <v>4831</v>
      </c>
      <c r="I878" t="s">
        <v>70</v>
      </c>
      <c r="J878" t="s">
        <v>71</v>
      </c>
      <c r="K878" t="s">
        <v>213</v>
      </c>
      <c r="L878" t="s">
        <v>75</v>
      </c>
      <c r="M878" t="s">
        <v>443</v>
      </c>
      <c r="N878" t="s">
        <v>63</v>
      </c>
      <c r="O878" t="s">
        <v>4832</v>
      </c>
      <c r="P878">
        <v>9999999999</v>
      </c>
      <c r="Q878" t="s">
        <v>445</v>
      </c>
      <c r="R878" t="s">
        <v>132</v>
      </c>
      <c r="S878" t="s">
        <v>43</v>
      </c>
      <c r="T878" t="s">
        <v>89</v>
      </c>
      <c r="U878" t="s">
        <v>44</v>
      </c>
      <c r="V878" t="s">
        <v>91</v>
      </c>
      <c r="W878" t="s">
        <v>5055</v>
      </c>
      <c r="X878" t="s">
        <v>91</v>
      </c>
      <c r="Y878" t="s">
        <v>716</v>
      </c>
      <c r="Z878" t="s">
        <v>92</v>
      </c>
      <c r="AA878" t="s">
        <v>242</v>
      </c>
      <c r="AB878" t="s">
        <v>49</v>
      </c>
      <c r="AC878" t="s">
        <v>49</v>
      </c>
      <c r="AD878" t="s">
        <v>1552</v>
      </c>
      <c r="AE878" t="s">
        <v>185</v>
      </c>
      <c r="AF878" t="s">
        <v>1341</v>
      </c>
      <c r="AG878" t="s">
        <v>196</v>
      </c>
      <c r="AH878" s="93">
        <f>VLOOKUP(Table1[[#This Row],[Caste]],Factor!$H$1:$K$13,4,0)</f>
        <v>1.3836274505214585</v>
      </c>
      <c r="AI878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878">
        <f>Table1[[#This Row],[Factor_1]]*Table1[[#This Row],[2024 Factor]]</f>
        <v>1.2753497331114214</v>
      </c>
      <c r="AK878">
        <f>VLOOKUP(Table1[[#This Row],[Q18: Gender]],Factor!$A$33:$E$35,5,0)</f>
        <v>2.1645021645021645</v>
      </c>
      <c r="AL878">
        <f>VLOOKUP(Table1[[#This Row],[Taluka]],Factor!$A$42:$G$46,7,0)</f>
        <v>1.1213131007097483</v>
      </c>
      <c r="AM878">
        <f>VLOOKUP(Table1[[#This Row],[Caste]]&amp;Table1[[#This Row],[Q18: Gender]],Factor!$W$1:$X$23,2,0)</f>
        <v>1.9278542477265657</v>
      </c>
      <c r="AN878">
        <f>VLOOKUP(Table1[[#This Row],[Taluka]]&amp;Table1[[#This Row],[Caste]]&amp;Table1[[#This Row],[Q18: Gender]],Factor!$AK$4:$AL$93,2,0)</f>
        <v>1.2302776805571209</v>
      </c>
      <c r="AO878">
        <f t="shared" si="143"/>
        <v>1</v>
      </c>
      <c r="AP878">
        <f t="shared" si="144"/>
        <v>-1</v>
      </c>
      <c r="AQ878">
        <f t="shared" si="145"/>
        <v>1</v>
      </c>
      <c r="AR878">
        <f t="shared" si="146"/>
        <v>1</v>
      </c>
      <c r="AS878">
        <f t="shared" si="147"/>
        <v>-1</v>
      </c>
      <c r="AT878">
        <f t="shared" si="148"/>
        <v>1</v>
      </c>
      <c r="AU878">
        <f t="shared" si="149"/>
        <v>2.5</v>
      </c>
      <c r="AV878">
        <f>SUM(Table1[[#This Row],[Satis]:[29]])</f>
        <v>2</v>
      </c>
      <c r="AW878">
        <f t="shared" si="150"/>
        <v>3</v>
      </c>
      <c r="AX878">
        <f t="shared" si="151"/>
        <v>2</v>
      </c>
      <c r="AY878">
        <f t="shared" si="152"/>
        <v>2</v>
      </c>
      <c r="AZ878" t="str">
        <f t="shared" si="153"/>
        <v>Neutral YSRCP</v>
      </c>
    </row>
    <row r="879" spans="1:52" x14ac:dyDescent="0.3">
      <c r="A879" t="s">
        <v>4855</v>
      </c>
      <c r="B879" s="94">
        <v>46049</v>
      </c>
      <c r="C879" t="s">
        <v>4856</v>
      </c>
      <c r="D879" t="s">
        <v>4857</v>
      </c>
      <c r="E879" t="s">
        <v>4858</v>
      </c>
      <c r="F879" t="s">
        <v>240</v>
      </c>
      <c r="G879" t="s">
        <v>39</v>
      </c>
      <c r="H879" t="s">
        <v>4860</v>
      </c>
      <c r="I879" t="s">
        <v>36</v>
      </c>
      <c r="J879" t="s">
        <v>71</v>
      </c>
      <c r="K879" t="s">
        <v>213</v>
      </c>
      <c r="L879" t="s">
        <v>451</v>
      </c>
      <c r="M879" t="s">
        <v>51</v>
      </c>
      <c r="N879" t="s">
        <v>52</v>
      </c>
      <c r="O879" t="s">
        <v>1779</v>
      </c>
      <c r="P879">
        <v>9999999999</v>
      </c>
      <c r="Q879" t="s">
        <v>445</v>
      </c>
      <c r="R879" t="s">
        <v>61</v>
      </c>
      <c r="S879" t="s">
        <v>43</v>
      </c>
      <c r="T879" t="s">
        <v>43</v>
      </c>
      <c r="U879" t="s">
        <v>44</v>
      </c>
      <c r="V879" t="s">
        <v>45</v>
      </c>
      <c r="W879" t="s">
        <v>5054</v>
      </c>
      <c r="X879" t="s">
        <v>45</v>
      </c>
      <c r="Y879" t="s">
        <v>46</v>
      </c>
      <c r="Z879" t="s">
        <v>47</v>
      </c>
      <c r="AA879" t="s">
        <v>48</v>
      </c>
      <c r="AB879" t="s">
        <v>49</v>
      </c>
      <c r="AC879" t="s">
        <v>49</v>
      </c>
      <c r="AD879" t="s">
        <v>1270</v>
      </c>
      <c r="AE879" t="s">
        <v>1271</v>
      </c>
      <c r="AF879" t="s">
        <v>4859</v>
      </c>
      <c r="AG879" t="s">
        <v>196</v>
      </c>
      <c r="AH879" s="93">
        <f>VLOOKUP(Table1[[#This Row],[Caste]],Factor!$H$1:$K$13,4,0)</f>
        <v>1.1705128247062893</v>
      </c>
      <c r="AI87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79">
        <f>Table1[[#This Row],[Factor_1]]*Table1[[#This Row],[2024 Factor]]</f>
        <v>2.3577066232182737</v>
      </c>
      <c r="AK879">
        <f>VLOOKUP(Table1[[#This Row],[Q18: Gender]],Factor!$A$33:$E$35,5,0)</f>
        <v>2.1645021645021645</v>
      </c>
      <c r="AL879">
        <f>VLOOKUP(Table1[[#This Row],[Taluka]],Factor!$A$42:$G$46,7,0)</f>
        <v>1.1213131007097483</v>
      </c>
      <c r="AM879">
        <f>VLOOKUP(Table1[[#This Row],[Caste]]&amp;Table1[[#This Row],[Q18: Gender]],Factor!$W$1:$X$23,2,0)</f>
        <v>2.1840056363422229</v>
      </c>
      <c r="AN879">
        <f>VLOOKUP(Table1[[#This Row],[Taluka]]&amp;Table1[[#This Row],[Caste]]&amp;Table1[[#This Row],[Q18: Gender]],Factor!$AK$4:$AL$93,2,0)</f>
        <v>0.95944580773600496</v>
      </c>
      <c r="AO879">
        <f t="shared" si="143"/>
        <v>-1</v>
      </c>
      <c r="AP879">
        <f t="shared" si="144"/>
        <v>-1</v>
      </c>
      <c r="AQ879">
        <f t="shared" si="145"/>
        <v>-1</v>
      </c>
      <c r="AR879">
        <f t="shared" si="146"/>
        <v>-1</v>
      </c>
      <c r="AS879">
        <f t="shared" si="147"/>
        <v>-1</v>
      </c>
      <c r="AT879">
        <f t="shared" si="148"/>
        <v>-1</v>
      </c>
      <c r="AU879">
        <f t="shared" si="149"/>
        <v>-5.5</v>
      </c>
      <c r="AV879">
        <f>SUM(Table1[[#This Row],[Satis]:[29]])</f>
        <v>-6</v>
      </c>
      <c r="AW879">
        <f t="shared" si="150"/>
        <v>-5</v>
      </c>
      <c r="AX879">
        <f t="shared" si="151"/>
        <v>-4</v>
      </c>
      <c r="AY879">
        <f t="shared" si="152"/>
        <v>-3</v>
      </c>
      <c r="AZ879" t="str">
        <f t="shared" si="153"/>
        <v>TDP HardCore</v>
      </c>
    </row>
    <row r="880" spans="1:52" x14ac:dyDescent="0.3">
      <c r="A880" t="s">
        <v>4880</v>
      </c>
      <c r="B880" s="94">
        <v>46049</v>
      </c>
      <c r="C880" t="s">
        <v>4881</v>
      </c>
      <c r="D880" t="s">
        <v>4882</v>
      </c>
      <c r="E880" t="s">
        <v>4830</v>
      </c>
      <c r="F880" t="s">
        <v>240</v>
      </c>
      <c r="G880" t="s">
        <v>39</v>
      </c>
      <c r="H880" t="s">
        <v>4883</v>
      </c>
      <c r="I880" t="s">
        <v>70</v>
      </c>
      <c r="J880" t="s">
        <v>71</v>
      </c>
      <c r="K880" t="s">
        <v>213</v>
      </c>
      <c r="L880" t="s">
        <v>451</v>
      </c>
      <c r="M880" t="s">
        <v>51</v>
      </c>
      <c r="N880" t="s">
        <v>107</v>
      </c>
      <c r="O880" t="s">
        <v>3407</v>
      </c>
      <c r="P880">
        <v>1111111111</v>
      </c>
      <c r="Q880" t="s">
        <v>445</v>
      </c>
      <c r="R880" t="s">
        <v>61</v>
      </c>
      <c r="S880" t="s">
        <v>89</v>
      </c>
      <c r="T880" t="s">
        <v>89</v>
      </c>
      <c r="U880" t="s">
        <v>90</v>
      </c>
      <c r="V880" t="s">
        <v>91</v>
      </c>
      <c r="W880" t="s">
        <v>5102</v>
      </c>
      <c r="X880" t="s">
        <v>91</v>
      </c>
      <c r="Y880" t="s">
        <v>46</v>
      </c>
      <c r="Z880" t="s">
        <v>92</v>
      </c>
      <c r="AA880" t="s">
        <v>92</v>
      </c>
      <c r="AB880" t="s">
        <v>351</v>
      </c>
      <c r="AC880" t="s">
        <v>381</v>
      </c>
      <c r="AD880" t="s">
        <v>1270</v>
      </c>
      <c r="AE880" t="s">
        <v>185</v>
      </c>
      <c r="AF880" t="s">
        <v>4863</v>
      </c>
      <c r="AG880" t="s">
        <v>196</v>
      </c>
      <c r="AH880" s="93">
        <f>VLOOKUP(Table1[[#This Row],[Caste]],Factor!$H$1:$K$13,4,0)</f>
        <v>1.3836274505214585</v>
      </c>
      <c r="AI880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880">
        <f>Table1[[#This Row],[Factor_1]]*Table1[[#This Row],[2024 Factor]]</f>
        <v>3.4809023142961388</v>
      </c>
      <c r="AK880">
        <f>VLOOKUP(Table1[[#This Row],[Q18: Gender]],Factor!$A$33:$E$35,5,0)</f>
        <v>2.1645021645021645</v>
      </c>
      <c r="AL880">
        <f>VLOOKUP(Table1[[#This Row],[Taluka]],Factor!$A$42:$G$46,7,0)</f>
        <v>1.1213131007097483</v>
      </c>
      <c r="AM880">
        <f>VLOOKUP(Table1[[#This Row],[Caste]]&amp;Table1[[#This Row],[Q18: Gender]],Factor!$W$1:$X$23,2,0)</f>
        <v>1.9278542477265657</v>
      </c>
      <c r="AN880">
        <f>VLOOKUP(Table1[[#This Row],[Taluka]]&amp;Table1[[#This Row],[Caste]]&amp;Table1[[#This Row],[Q18: Gender]],Factor!$AK$4:$AL$93,2,0)</f>
        <v>1.2302776805571209</v>
      </c>
      <c r="AO880">
        <f t="shared" si="143"/>
        <v>1</v>
      </c>
      <c r="AP880">
        <f t="shared" si="144"/>
        <v>1</v>
      </c>
      <c r="AQ880">
        <f t="shared" si="145"/>
        <v>1</v>
      </c>
      <c r="AR880">
        <f t="shared" si="146"/>
        <v>1</v>
      </c>
      <c r="AS880">
        <f t="shared" si="147"/>
        <v>1</v>
      </c>
      <c r="AT880">
        <f t="shared" si="148"/>
        <v>1</v>
      </c>
      <c r="AU880">
        <f t="shared" si="149"/>
        <v>5.5</v>
      </c>
      <c r="AV880">
        <f>SUM(Table1[[#This Row],[Satis]:[29]])</f>
        <v>6</v>
      </c>
      <c r="AW880">
        <f t="shared" si="150"/>
        <v>5</v>
      </c>
      <c r="AX880">
        <f t="shared" si="151"/>
        <v>4</v>
      </c>
      <c r="AY880">
        <f t="shared" si="152"/>
        <v>3</v>
      </c>
      <c r="AZ880" t="str">
        <f t="shared" si="153"/>
        <v>YSRCP HardCore</v>
      </c>
    </row>
    <row r="881" spans="1:52" x14ac:dyDescent="0.3">
      <c r="A881" t="s">
        <v>4844</v>
      </c>
      <c r="B881" s="94">
        <v>46049</v>
      </c>
      <c r="C881" t="s">
        <v>4845</v>
      </c>
      <c r="D881" t="s">
        <v>4846</v>
      </c>
      <c r="E881" t="s">
        <v>4847</v>
      </c>
      <c r="F881" t="s">
        <v>240</v>
      </c>
      <c r="G881" t="s">
        <v>39</v>
      </c>
      <c r="H881" t="s">
        <v>4848</v>
      </c>
      <c r="I881" t="s">
        <v>36</v>
      </c>
      <c r="J881" t="s">
        <v>71</v>
      </c>
      <c r="K881" t="s">
        <v>213</v>
      </c>
      <c r="L881" t="s">
        <v>451</v>
      </c>
      <c r="M881" t="s">
        <v>51</v>
      </c>
      <c r="N881" t="s">
        <v>107</v>
      </c>
      <c r="O881" t="s">
        <v>1779</v>
      </c>
      <c r="P881">
        <v>9948138114</v>
      </c>
      <c r="Q881" t="s">
        <v>445</v>
      </c>
      <c r="R881" t="s">
        <v>132</v>
      </c>
      <c r="S881" t="s">
        <v>43</v>
      </c>
      <c r="T881" t="s">
        <v>43</v>
      </c>
      <c r="U881" t="s">
        <v>90</v>
      </c>
      <c r="V881" t="s">
        <v>45</v>
      </c>
      <c r="W881" t="s">
        <v>5058</v>
      </c>
      <c r="X881" t="s">
        <v>45</v>
      </c>
      <c r="Y881" t="s">
        <v>46</v>
      </c>
      <c r="Z881" t="s">
        <v>242</v>
      </c>
      <c r="AA881" t="s">
        <v>242</v>
      </c>
      <c r="AB881" t="s">
        <v>49</v>
      </c>
      <c r="AC881" t="s">
        <v>49</v>
      </c>
      <c r="AD881" t="s">
        <v>1279</v>
      </c>
      <c r="AE881" t="s">
        <v>185</v>
      </c>
      <c r="AF881" t="s">
        <v>1355</v>
      </c>
      <c r="AG881" t="s">
        <v>196</v>
      </c>
      <c r="AH881" s="93">
        <f>VLOOKUP(Table1[[#This Row],[Caste]],Factor!$H$1:$K$13,4,0)</f>
        <v>1.1705128247062893</v>
      </c>
      <c r="AI881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881">
        <f>Table1[[#This Row],[Factor_1]]*Table1[[#This Row],[2024 Factor]]</f>
        <v>1.444803728657164</v>
      </c>
      <c r="AK881">
        <f>VLOOKUP(Table1[[#This Row],[Q18: Gender]],Factor!$A$33:$E$35,5,0)</f>
        <v>2.1645021645021645</v>
      </c>
      <c r="AL881">
        <f>VLOOKUP(Table1[[#This Row],[Taluka]],Factor!$A$42:$G$46,7,0)</f>
        <v>1.1213131007097483</v>
      </c>
      <c r="AM881">
        <f>VLOOKUP(Table1[[#This Row],[Caste]]&amp;Table1[[#This Row],[Q18: Gender]],Factor!$W$1:$X$23,2,0)</f>
        <v>2.1840056363422229</v>
      </c>
      <c r="AN881">
        <f>VLOOKUP(Table1[[#This Row],[Taluka]]&amp;Table1[[#This Row],[Caste]]&amp;Table1[[#This Row],[Q18: Gender]],Factor!$AK$4:$AL$93,2,0)</f>
        <v>0.95944580773600496</v>
      </c>
      <c r="AO881">
        <f t="shared" si="143"/>
        <v>-1</v>
      </c>
      <c r="AP881">
        <f t="shared" si="144"/>
        <v>1</v>
      </c>
      <c r="AQ881">
        <f t="shared" si="145"/>
        <v>-1</v>
      </c>
      <c r="AR881">
        <f t="shared" si="146"/>
        <v>-1</v>
      </c>
      <c r="AS881">
        <f t="shared" si="147"/>
        <v>-1</v>
      </c>
      <c r="AT881">
        <f t="shared" si="148"/>
        <v>-1</v>
      </c>
      <c r="AU881">
        <f t="shared" si="149"/>
        <v>-3.5</v>
      </c>
      <c r="AV881">
        <f>SUM(Table1[[#This Row],[Satis]:[29]])</f>
        <v>-4</v>
      </c>
      <c r="AW881">
        <f t="shared" si="150"/>
        <v>-5</v>
      </c>
      <c r="AX881">
        <f t="shared" si="151"/>
        <v>-4</v>
      </c>
      <c r="AY881">
        <f t="shared" si="152"/>
        <v>-3</v>
      </c>
      <c r="AZ881" t="str">
        <f t="shared" si="153"/>
        <v>TDP Sympathiser</v>
      </c>
    </row>
    <row r="882" spans="1:52" x14ac:dyDescent="0.3">
      <c r="A882" t="s">
        <v>4833</v>
      </c>
      <c r="B882" s="94">
        <v>46049</v>
      </c>
      <c r="C882" t="s">
        <v>4834</v>
      </c>
      <c r="D882" t="s">
        <v>4835</v>
      </c>
      <c r="E882" t="s">
        <v>4836</v>
      </c>
      <c r="F882" t="s">
        <v>240</v>
      </c>
      <c r="G882" t="s">
        <v>39</v>
      </c>
      <c r="H882" t="s">
        <v>4837</v>
      </c>
      <c r="I882" t="s">
        <v>36</v>
      </c>
      <c r="J882" t="s">
        <v>71</v>
      </c>
      <c r="K882" t="s">
        <v>213</v>
      </c>
      <c r="L882" t="s">
        <v>62</v>
      </c>
      <c r="M882" t="s">
        <v>51</v>
      </c>
      <c r="N882" t="s">
        <v>52</v>
      </c>
      <c r="O882" t="s">
        <v>452</v>
      </c>
      <c r="P882">
        <v>9848964091</v>
      </c>
      <c r="Q882" t="s">
        <v>445</v>
      </c>
      <c r="R882" t="s">
        <v>2116</v>
      </c>
      <c r="S882" t="s">
        <v>88</v>
      </c>
      <c r="T882" t="s">
        <v>43</v>
      </c>
      <c r="U882" t="s">
        <v>44</v>
      </c>
      <c r="V882" t="s">
        <v>91</v>
      </c>
      <c r="W882" t="s">
        <v>5054</v>
      </c>
      <c r="X882" t="s">
        <v>91</v>
      </c>
      <c r="Y882" t="s">
        <v>46</v>
      </c>
      <c r="Z882" t="s">
        <v>242</v>
      </c>
      <c r="AA882" t="s">
        <v>48</v>
      </c>
      <c r="AB882" t="s">
        <v>49</v>
      </c>
      <c r="AC882" t="s">
        <v>49</v>
      </c>
      <c r="AD882" t="s">
        <v>1552</v>
      </c>
      <c r="AE882" t="s">
        <v>185</v>
      </c>
      <c r="AF882" t="s">
        <v>1341</v>
      </c>
      <c r="AG882" t="s">
        <v>196</v>
      </c>
      <c r="AH882" s="93">
        <f>VLOOKUP(Table1[[#This Row],[Caste]],Factor!$H$1:$K$13,4,0)</f>
        <v>1.1705128247062893</v>
      </c>
      <c r="AI88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82">
        <f>Table1[[#This Row],[Factor_1]]*Table1[[#This Row],[2024 Factor]]</f>
        <v>2.3577066232182737</v>
      </c>
      <c r="AK882">
        <f>VLOOKUP(Table1[[#This Row],[Q18: Gender]],Factor!$A$33:$E$35,5,0)</f>
        <v>2.1645021645021645</v>
      </c>
      <c r="AL882">
        <f>VLOOKUP(Table1[[#This Row],[Taluka]],Factor!$A$42:$G$46,7,0)</f>
        <v>1.1213131007097483</v>
      </c>
      <c r="AM882">
        <f>VLOOKUP(Table1[[#This Row],[Caste]]&amp;Table1[[#This Row],[Q18: Gender]],Factor!$W$1:$X$23,2,0)</f>
        <v>2.1840056363422229</v>
      </c>
      <c r="AN882">
        <f>VLOOKUP(Table1[[#This Row],[Taluka]]&amp;Table1[[#This Row],[Caste]]&amp;Table1[[#This Row],[Q18: Gender]],Factor!$AK$4:$AL$93,2,0)</f>
        <v>0.95944580773600496</v>
      </c>
      <c r="AO882">
        <f t="shared" si="143"/>
        <v>-1</v>
      </c>
      <c r="AP882">
        <f t="shared" si="144"/>
        <v>-1</v>
      </c>
      <c r="AQ882">
        <f t="shared" si="145"/>
        <v>1</v>
      </c>
      <c r="AR882">
        <f t="shared" si="146"/>
        <v>1</v>
      </c>
      <c r="AS882">
        <f t="shared" si="147"/>
        <v>-1</v>
      </c>
      <c r="AT882">
        <f t="shared" si="148"/>
        <v>-1</v>
      </c>
      <c r="AU882">
        <f t="shared" si="149"/>
        <v>-1.5</v>
      </c>
      <c r="AV882">
        <f>SUM(Table1[[#This Row],[Satis]:[29]])</f>
        <v>-2</v>
      </c>
      <c r="AW882">
        <f t="shared" si="150"/>
        <v>-1</v>
      </c>
      <c r="AX882">
        <f t="shared" si="151"/>
        <v>0</v>
      </c>
      <c r="AY882">
        <f t="shared" si="152"/>
        <v>-3</v>
      </c>
      <c r="AZ882" t="str">
        <f t="shared" si="153"/>
        <v>Neutral TDP</v>
      </c>
    </row>
    <row r="883" spans="1:52" x14ac:dyDescent="0.3">
      <c r="A883" t="s">
        <v>4873</v>
      </c>
      <c r="B883" s="94">
        <v>46049</v>
      </c>
      <c r="C883" t="s">
        <v>4874</v>
      </c>
      <c r="D883" t="s">
        <v>4875</v>
      </c>
      <c r="E883" t="s">
        <v>4876</v>
      </c>
      <c r="F883" t="s">
        <v>240</v>
      </c>
      <c r="G883" t="s">
        <v>39</v>
      </c>
      <c r="H883" t="s">
        <v>4878</v>
      </c>
      <c r="I883" t="s">
        <v>59</v>
      </c>
      <c r="J883" t="s">
        <v>71</v>
      </c>
      <c r="K883" t="s">
        <v>213</v>
      </c>
      <c r="L883" t="s">
        <v>50</v>
      </c>
      <c r="M883" t="s">
        <v>51</v>
      </c>
      <c r="N883" t="s">
        <v>52</v>
      </c>
      <c r="O883" t="s">
        <v>4879</v>
      </c>
      <c r="P883">
        <v>8466921359</v>
      </c>
      <c r="Q883" t="s">
        <v>54</v>
      </c>
      <c r="R883" t="s">
        <v>42</v>
      </c>
      <c r="S883" t="s">
        <v>43</v>
      </c>
      <c r="T883" t="s">
        <v>43</v>
      </c>
      <c r="U883" t="s">
        <v>90</v>
      </c>
      <c r="V883" t="s">
        <v>45</v>
      </c>
      <c r="W883" t="s">
        <v>5051</v>
      </c>
      <c r="X883" t="s">
        <v>45</v>
      </c>
      <c r="Y883" t="s">
        <v>46</v>
      </c>
      <c r="Z883" t="s">
        <v>47</v>
      </c>
      <c r="AA883" t="s">
        <v>48</v>
      </c>
      <c r="AB883" t="s">
        <v>49</v>
      </c>
      <c r="AC883" t="s">
        <v>49</v>
      </c>
      <c r="AD883" t="s">
        <v>1270</v>
      </c>
      <c r="AE883" t="s">
        <v>1271</v>
      </c>
      <c r="AF883" t="s">
        <v>4877</v>
      </c>
      <c r="AG883" t="s">
        <v>196</v>
      </c>
      <c r="AH883" s="93">
        <f>VLOOKUP(Table1[[#This Row],[Caste]],Factor!$H$1:$K$13,4,0)</f>
        <v>1.1461625511156397</v>
      </c>
      <c r="AI88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83">
        <f>Table1[[#This Row],[Factor_1]]*Table1[[#This Row],[2024 Factor]]</f>
        <v>0.77721139583220644</v>
      </c>
      <c r="AK883">
        <f>VLOOKUP(Table1[[#This Row],[Q18: Gender]],Factor!$A$33:$E$35,5,0)</f>
        <v>0.85034013605442171</v>
      </c>
      <c r="AL883">
        <f>VLOOKUP(Table1[[#This Row],[Taluka]],Factor!$A$42:$G$46,7,0)</f>
        <v>1.1213131007097483</v>
      </c>
      <c r="AM883">
        <f>VLOOKUP(Table1[[#This Row],[Caste]]&amp;Table1[[#This Row],[Q18: Gender]],Factor!$W$1:$X$23,2,0)</f>
        <v>0.71995135120329123</v>
      </c>
      <c r="AN883">
        <f>VLOOKUP(Table1[[#This Row],[Taluka]]&amp;Table1[[#This Row],[Caste]]&amp;Table1[[#This Row],[Q18: Gender]],Factor!$AK$4:$AL$93,2,0)</f>
        <v>1.3370299504035861</v>
      </c>
      <c r="AO883">
        <f t="shared" si="143"/>
        <v>-1</v>
      </c>
      <c r="AP883">
        <f t="shared" si="144"/>
        <v>1</v>
      </c>
      <c r="AQ883">
        <f t="shared" si="145"/>
        <v>-1</v>
      </c>
      <c r="AR883">
        <f t="shared" si="146"/>
        <v>-1</v>
      </c>
      <c r="AS883">
        <f t="shared" si="147"/>
        <v>-1</v>
      </c>
      <c r="AT883">
        <f t="shared" si="148"/>
        <v>-1</v>
      </c>
      <c r="AU883">
        <f t="shared" si="149"/>
        <v>-3.5</v>
      </c>
      <c r="AV883">
        <f>SUM(Table1[[#This Row],[Satis]:[29]])</f>
        <v>-4</v>
      </c>
      <c r="AW883">
        <f t="shared" si="150"/>
        <v>-5</v>
      </c>
      <c r="AX883">
        <f t="shared" si="151"/>
        <v>-4</v>
      </c>
      <c r="AY883">
        <f t="shared" si="152"/>
        <v>-3</v>
      </c>
      <c r="AZ883" t="str">
        <f t="shared" si="153"/>
        <v>TDP Sympathiser</v>
      </c>
    </row>
    <row r="884" spans="1:52" x14ac:dyDescent="0.3">
      <c r="A884" t="s">
        <v>4849</v>
      </c>
      <c r="B884" s="94">
        <v>46049</v>
      </c>
      <c r="C884" t="s">
        <v>4850</v>
      </c>
      <c r="D884" t="s">
        <v>4851</v>
      </c>
      <c r="E884" t="s">
        <v>4852</v>
      </c>
      <c r="F884" t="s">
        <v>240</v>
      </c>
      <c r="G884" t="s">
        <v>39</v>
      </c>
      <c r="H884" t="s">
        <v>4853</v>
      </c>
      <c r="I884" t="s">
        <v>36</v>
      </c>
      <c r="J884" t="s">
        <v>71</v>
      </c>
      <c r="K884" t="s">
        <v>71</v>
      </c>
      <c r="L884" t="s">
        <v>451</v>
      </c>
      <c r="M884" t="s">
        <v>443</v>
      </c>
      <c r="N884" t="s">
        <v>52</v>
      </c>
      <c r="O884" t="s">
        <v>4854</v>
      </c>
      <c r="P884">
        <v>999999999</v>
      </c>
      <c r="Q884" t="s">
        <v>445</v>
      </c>
      <c r="R884" t="s">
        <v>61</v>
      </c>
      <c r="S884" t="s">
        <v>88</v>
      </c>
      <c r="T884" t="s">
        <v>89</v>
      </c>
      <c r="U884" t="s">
        <v>90</v>
      </c>
      <c r="V884" t="s">
        <v>91</v>
      </c>
      <c r="W884" t="s">
        <v>5042</v>
      </c>
      <c r="X884" t="s">
        <v>91</v>
      </c>
      <c r="Y884" t="s">
        <v>46</v>
      </c>
      <c r="Z884" t="s">
        <v>92</v>
      </c>
      <c r="AA884" t="s">
        <v>92</v>
      </c>
      <c r="AB884" t="s">
        <v>93</v>
      </c>
      <c r="AC884" t="s">
        <v>381</v>
      </c>
      <c r="AD884" t="s">
        <v>1279</v>
      </c>
      <c r="AE884" t="s">
        <v>185</v>
      </c>
      <c r="AF884" t="s">
        <v>1355</v>
      </c>
      <c r="AG884" t="s">
        <v>196</v>
      </c>
      <c r="AH884" s="93">
        <f>VLOOKUP(Table1[[#This Row],[Caste]],Factor!$H$1:$K$13,4,0)</f>
        <v>1.1705128247062893</v>
      </c>
      <c r="AI884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884">
        <f>Table1[[#This Row],[Factor_1]]*Table1[[#This Row],[2024 Factor]]</f>
        <v>3.9434051007458306</v>
      </c>
      <c r="AK884">
        <f>VLOOKUP(Table1[[#This Row],[Q18: Gender]],Factor!$A$33:$E$35,5,0)</f>
        <v>2.1645021645021645</v>
      </c>
      <c r="AL884">
        <f>VLOOKUP(Table1[[#This Row],[Taluka]],Factor!$A$42:$G$46,7,0)</f>
        <v>1.1213131007097483</v>
      </c>
      <c r="AM884">
        <f>VLOOKUP(Table1[[#This Row],[Caste]]&amp;Table1[[#This Row],[Q18: Gender]],Factor!$W$1:$X$23,2,0)</f>
        <v>2.1840056363422229</v>
      </c>
      <c r="AN884">
        <f>VLOOKUP(Table1[[#This Row],[Taluka]]&amp;Table1[[#This Row],[Caste]]&amp;Table1[[#This Row],[Q18: Gender]],Factor!$AK$4:$AL$93,2,0)</f>
        <v>0.95944580773600496</v>
      </c>
      <c r="AO884">
        <f t="shared" si="143"/>
        <v>1</v>
      </c>
      <c r="AP884">
        <f t="shared" si="144"/>
        <v>1</v>
      </c>
      <c r="AQ884">
        <f t="shared" si="145"/>
        <v>1</v>
      </c>
      <c r="AR884">
        <f t="shared" si="146"/>
        <v>1</v>
      </c>
      <c r="AS884">
        <f t="shared" si="147"/>
        <v>1</v>
      </c>
      <c r="AT884">
        <f t="shared" si="148"/>
        <v>1</v>
      </c>
      <c r="AU884">
        <f t="shared" si="149"/>
        <v>5.5</v>
      </c>
      <c r="AV884">
        <f>SUM(Table1[[#This Row],[Satis]:[29]])</f>
        <v>6</v>
      </c>
      <c r="AW884">
        <f t="shared" si="150"/>
        <v>5</v>
      </c>
      <c r="AX884">
        <f t="shared" si="151"/>
        <v>4</v>
      </c>
      <c r="AY884">
        <f t="shared" si="152"/>
        <v>3</v>
      </c>
      <c r="AZ884" t="str">
        <f t="shared" si="153"/>
        <v>YSRCP HardCore</v>
      </c>
    </row>
    <row r="885" spans="1:52" x14ac:dyDescent="0.3">
      <c r="A885" t="s">
        <v>4884</v>
      </c>
      <c r="B885" s="94">
        <v>46049</v>
      </c>
      <c r="C885" t="s">
        <v>4885</v>
      </c>
      <c r="D885" t="s">
        <v>4886</v>
      </c>
      <c r="E885" t="s">
        <v>4887</v>
      </c>
      <c r="F885" t="s">
        <v>240</v>
      </c>
      <c r="G885" t="s">
        <v>39</v>
      </c>
      <c r="H885" t="s">
        <v>4889</v>
      </c>
      <c r="I885" t="s">
        <v>36</v>
      </c>
      <c r="J885" t="s">
        <v>71</v>
      </c>
      <c r="K885" t="s">
        <v>213</v>
      </c>
      <c r="L885" t="s">
        <v>62</v>
      </c>
      <c r="M885" t="s">
        <v>51</v>
      </c>
      <c r="N885" t="s">
        <v>63</v>
      </c>
      <c r="O885" t="s">
        <v>394</v>
      </c>
      <c r="P885">
        <v>99129184912</v>
      </c>
      <c r="Q885" t="s">
        <v>54</v>
      </c>
      <c r="R885" t="s">
        <v>61</v>
      </c>
      <c r="S885" t="s">
        <v>43</v>
      </c>
      <c r="T885" t="s">
        <v>43</v>
      </c>
      <c r="U885" t="s">
        <v>44</v>
      </c>
      <c r="V885" t="s">
        <v>45</v>
      </c>
      <c r="W885" t="s">
        <v>5068</v>
      </c>
      <c r="X885" t="s">
        <v>91</v>
      </c>
      <c r="Y885" t="s">
        <v>46</v>
      </c>
      <c r="Z885" t="s">
        <v>47</v>
      </c>
      <c r="AA885" t="s">
        <v>48</v>
      </c>
      <c r="AB885" t="s">
        <v>49</v>
      </c>
      <c r="AC885" t="s">
        <v>49</v>
      </c>
      <c r="AD885" t="s">
        <v>1270</v>
      </c>
      <c r="AE885" t="s">
        <v>1271</v>
      </c>
      <c r="AF885" t="s">
        <v>4888</v>
      </c>
      <c r="AG885" t="s">
        <v>196</v>
      </c>
      <c r="AH885" s="93">
        <f>VLOOKUP(Table1[[#This Row],[Caste]],Factor!$H$1:$K$13,4,0)</f>
        <v>1.1705128247062893</v>
      </c>
      <c r="AI88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85">
        <f>Table1[[#This Row],[Factor_1]]*Table1[[#This Row],[2024 Factor]]</f>
        <v>0.86308903171383233</v>
      </c>
      <c r="AK885">
        <f>VLOOKUP(Table1[[#This Row],[Q18: Gender]],Factor!$A$33:$E$35,5,0)</f>
        <v>0.85034013605442171</v>
      </c>
      <c r="AL885">
        <f>VLOOKUP(Table1[[#This Row],[Taluka]],Factor!$A$42:$G$46,7,0)</f>
        <v>1.1213131007097483</v>
      </c>
      <c r="AM885">
        <f>VLOOKUP(Table1[[#This Row],[Caste]]&amp;Table1[[#This Row],[Q18: Gender]],Factor!$W$1:$X$23,2,0)</f>
        <v>0.79950206330384943</v>
      </c>
      <c r="AN885">
        <f>VLOOKUP(Table1[[#This Row],[Taluka]]&amp;Table1[[#This Row],[Caste]]&amp;Table1[[#This Row],[Q18: Gender]],Factor!$AK$4:$AL$93,2,0)</f>
        <v>0.7401439088249181</v>
      </c>
      <c r="AO885">
        <f t="shared" si="143"/>
        <v>-1</v>
      </c>
      <c r="AP885">
        <f t="shared" si="144"/>
        <v>-1</v>
      </c>
      <c r="AQ885">
        <f t="shared" si="145"/>
        <v>-1</v>
      </c>
      <c r="AR885">
        <f t="shared" si="146"/>
        <v>1</v>
      </c>
      <c r="AS885">
        <f t="shared" si="147"/>
        <v>-1</v>
      </c>
      <c r="AT885">
        <f t="shared" si="148"/>
        <v>-1</v>
      </c>
      <c r="AU885">
        <f t="shared" si="149"/>
        <v>-3.5</v>
      </c>
      <c r="AV885">
        <f>SUM(Table1[[#This Row],[Satis]:[29]])</f>
        <v>-4</v>
      </c>
      <c r="AW885">
        <f t="shared" si="150"/>
        <v>-3</v>
      </c>
      <c r="AX885">
        <f t="shared" si="151"/>
        <v>-2</v>
      </c>
      <c r="AY885">
        <f t="shared" si="152"/>
        <v>-3</v>
      </c>
      <c r="AZ885" t="str">
        <f t="shared" si="153"/>
        <v>Neutral TDP</v>
      </c>
    </row>
    <row r="886" spans="1:52" x14ac:dyDescent="0.3">
      <c r="A886" t="s">
        <v>4890</v>
      </c>
      <c r="B886" s="94">
        <v>46049</v>
      </c>
      <c r="C886" t="s">
        <v>4891</v>
      </c>
      <c r="D886" t="s">
        <v>4892</v>
      </c>
      <c r="E886" t="s">
        <v>4893</v>
      </c>
      <c r="F886" t="s">
        <v>240</v>
      </c>
      <c r="G886" t="s">
        <v>39</v>
      </c>
      <c r="H886" t="s">
        <v>4895</v>
      </c>
      <c r="I886" t="s">
        <v>70</v>
      </c>
      <c r="J886" t="s">
        <v>71</v>
      </c>
      <c r="K886" t="s">
        <v>71</v>
      </c>
      <c r="L886" t="s">
        <v>75</v>
      </c>
      <c r="M886" t="s">
        <v>443</v>
      </c>
      <c r="N886" t="s">
        <v>63</v>
      </c>
      <c r="O886" t="s">
        <v>4896</v>
      </c>
      <c r="P886">
        <v>6301480557</v>
      </c>
      <c r="Q886" t="s">
        <v>54</v>
      </c>
      <c r="R886" t="s">
        <v>61</v>
      </c>
      <c r="S886" t="s">
        <v>43</v>
      </c>
      <c r="T886" t="s">
        <v>43</v>
      </c>
      <c r="U886" t="s">
        <v>44</v>
      </c>
      <c r="V886" t="s">
        <v>91</v>
      </c>
      <c r="W886" t="s">
        <v>5062</v>
      </c>
      <c r="X886" t="s">
        <v>91</v>
      </c>
      <c r="Y886" t="s">
        <v>46</v>
      </c>
      <c r="Z886" t="s">
        <v>92</v>
      </c>
      <c r="AA886" t="s">
        <v>92</v>
      </c>
      <c r="AB886" t="s">
        <v>93</v>
      </c>
      <c r="AC886" t="s">
        <v>94</v>
      </c>
      <c r="AD886" t="s">
        <v>1270</v>
      </c>
      <c r="AE886" t="s">
        <v>185</v>
      </c>
      <c r="AF886" t="s">
        <v>4894</v>
      </c>
      <c r="AG886" t="s">
        <v>196</v>
      </c>
      <c r="AH886" s="93">
        <f>VLOOKUP(Table1[[#This Row],[Caste]],Factor!$H$1:$K$13,4,0)</f>
        <v>1.3836274505214585</v>
      </c>
      <c r="AI886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886">
        <f>Table1[[#This Row],[Factor_1]]*Table1[[#This Row],[2024 Factor]]</f>
        <v>1.9482662206881376</v>
      </c>
      <c r="AK886">
        <f>VLOOKUP(Table1[[#This Row],[Q18: Gender]],Factor!$A$33:$E$35,5,0)</f>
        <v>0.85034013605442171</v>
      </c>
      <c r="AL886">
        <f>VLOOKUP(Table1[[#This Row],[Taluka]],Factor!$A$42:$G$46,7,0)</f>
        <v>1.1213131007097483</v>
      </c>
      <c r="AM886">
        <f>VLOOKUP(Table1[[#This Row],[Caste]]&amp;Table1[[#This Row],[Q18: Gender]],Factor!$W$1:$X$23,2,0)</f>
        <v>1.0790228998469584</v>
      </c>
      <c r="AN886">
        <f>VLOOKUP(Table1[[#This Row],[Taluka]]&amp;Table1[[#This Row],[Caste]]&amp;Table1[[#This Row],[Q18: Gender]],Factor!$AK$4:$AL$93,2,0)</f>
        <v>0.90933567693352424</v>
      </c>
      <c r="AO886">
        <f t="shared" si="143"/>
        <v>-1</v>
      </c>
      <c r="AP886">
        <f t="shared" si="144"/>
        <v>-1</v>
      </c>
      <c r="AQ886">
        <f t="shared" si="145"/>
        <v>1</v>
      </c>
      <c r="AR886">
        <f t="shared" si="146"/>
        <v>1</v>
      </c>
      <c r="AS886">
        <f t="shared" si="147"/>
        <v>1</v>
      </c>
      <c r="AT886">
        <f t="shared" si="148"/>
        <v>1</v>
      </c>
      <c r="AU886">
        <f t="shared" si="149"/>
        <v>1.5</v>
      </c>
      <c r="AV886">
        <f>SUM(Table1[[#This Row],[Satis]:[29]])</f>
        <v>2</v>
      </c>
      <c r="AW886">
        <f t="shared" si="150"/>
        <v>3</v>
      </c>
      <c r="AX886">
        <f t="shared" si="151"/>
        <v>4</v>
      </c>
      <c r="AY886">
        <f t="shared" si="152"/>
        <v>2</v>
      </c>
      <c r="AZ886" t="str">
        <f t="shared" si="153"/>
        <v>YSRCP Sympathiser</v>
      </c>
    </row>
    <row r="887" spans="1:52" x14ac:dyDescent="0.3">
      <c r="A887" t="s">
        <v>4908</v>
      </c>
      <c r="B887" s="94">
        <v>46049</v>
      </c>
      <c r="C887" t="s">
        <v>4909</v>
      </c>
      <c r="D887" t="s">
        <v>4910</v>
      </c>
      <c r="E887" t="s">
        <v>4911</v>
      </c>
      <c r="F887" t="s">
        <v>240</v>
      </c>
      <c r="G887" t="s">
        <v>39</v>
      </c>
      <c r="H887" t="s">
        <v>4912</v>
      </c>
      <c r="I887" t="s">
        <v>36</v>
      </c>
      <c r="J887" t="s">
        <v>71</v>
      </c>
      <c r="K887" t="s">
        <v>71</v>
      </c>
      <c r="L887" t="s">
        <v>50</v>
      </c>
      <c r="M887" t="s">
        <v>51</v>
      </c>
      <c r="N887" t="s">
        <v>107</v>
      </c>
      <c r="O887" t="s">
        <v>651</v>
      </c>
      <c r="P887">
        <v>8897398189</v>
      </c>
      <c r="Q887" t="s">
        <v>54</v>
      </c>
      <c r="R887" t="s">
        <v>61</v>
      </c>
      <c r="S887" t="s">
        <v>43</v>
      </c>
      <c r="T887" t="s">
        <v>43</v>
      </c>
      <c r="U887" t="s">
        <v>44</v>
      </c>
      <c r="V887" t="s">
        <v>45</v>
      </c>
      <c r="W887" t="s">
        <v>5058</v>
      </c>
      <c r="X887" t="s">
        <v>45</v>
      </c>
      <c r="Y887" t="s">
        <v>46</v>
      </c>
      <c r="Z887" t="s">
        <v>47</v>
      </c>
      <c r="AA887" t="s">
        <v>48</v>
      </c>
      <c r="AB887" t="s">
        <v>49</v>
      </c>
      <c r="AC887" t="s">
        <v>49</v>
      </c>
      <c r="AD887" t="s">
        <v>1279</v>
      </c>
      <c r="AE887" t="s">
        <v>185</v>
      </c>
      <c r="AF887" t="s">
        <v>185</v>
      </c>
      <c r="AG887" t="s">
        <v>196</v>
      </c>
      <c r="AH887" s="93">
        <f>VLOOKUP(Table1[[#This Row],[Caste]],Factor!$H$1:$K$13,4,0)</f>
        <v>1.1705128247062893</v>
      </c>
      <c r="AI88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87">
        <f>Table1[[#This Row],[Factor_1]]*Table1[[#This Row],[2024 Factor]]</f>
        <v>0.86308903171383233</v>
      </c>
      <c r="AK887">
        <f>VLOOKUP(Table1[[#This Row],[Q18: Gender]],Factor!$A$33:$E$35,5,0)</f>
        <v>0.85034013605442171</v>
      </c>
      <c r="AL887">
        <f>VLOOKUP(Table1[[#This Row],[Taluka]],Factor!$A$42:$G$46,7,0)</f>
        <v>1.1213131007097483</v>
      </c>
      <c r="AM887">
        <f>VLOOKUP(Table1[[#This Row],[Caste]]&amp;Table1[[#This Row],[Q18: Gender]],Factor!$W$1:$X$23,2,0)</f>
        <v>0.79950206330384943</v>
      </c>
      <c r="AN887">
        <f>VLOOKUP(Table1[[#This Row],[Taluka]]&amp;Table1[[#This Row],[Caste]]&amp;Table1[[#This Row],[Q18: Gender]],Factor!$AK$4:$AL$93,2,0)</f>
        <v>0.7401439088249181</v>
      </c>
      <c r="AO887">
        <f t="shared" si="143"/>
        <v>-1</v>
      </c>
      <c r="AP887">
        <f t="shared" si="144"/>
        <v>-1</v>
      </c>
      <c r="AQ887">
        <f t="shared" si="145"/>
        <v>-1</v>
      </c>
      <c r="AR887">
        <f t="shared" si="146"/>
        <v>-1</v>
      </c>
      <c r="AS887">
        <f t="shared" si="147"/>
        <v>-1</v>
      </c>
      <c r="AT887">
        <f t="shared" si="148"/>
        <v>-1</v>
      </c>
      <c r="AU887">
        <f t="shared" si="149"/>
        <v>-5.5</v>
      </c>
      <c r="AV887">
        <f>SUM(Table1[[#This Row],[Satis]:[29]])</f>
        <v>-6</v>
      </c>
      <c r="AW887">
        <f t="shared" si="150"/>
        <v>-5</v>
      </c>
      <c r="AX887">
        <f t="shared" si="151"/>
        <v>-4</v>
      </c>
      <c r="AY887">
        <f t="shared" si="152"/>
        <v>-3</v>
      </c>
      <c r="AZ887" t="str">
        <f t="shared" si="153"/>
        <v>TDP HardCore</v>
      </c>
    </row>
    <row r="888" spans="1:52" x14ac:dyDescent="0.3">
      <c r="A888" t="s">
        <v>4897</v>
      </c>
      <c r="B888" s="94">
        <v>46049</v>
      </c>
      <c r="C888" t="s">
        <v>4898</v>
      </c>
      <c r="D888" t="s">
        <v>4899</v>
      </c>
      <c r="E888" t="s">
        <v>4900</v>
      </c>
      <c r="F888" t="s">
        <v>240</v>
      </c>
      <c r="G888" t="s">
        <v>39</v>
      </c>
      <c r="H888" t="s">
        <v>4901</v>
      </c>
      <c r="I888" t="s">
        <v>59</v>
      </c>
      <c r="J888" t="s">
        <v>71</v>
      </c>
      <c r="K888" t="s">
        <v>71</v>
      </c>
      <c r="L888" t="s">
        <v>50</v>
      </c>
      <c r="M888" t="s">
        <v>51</v>
      </c>
      <c r="N888" t="s">
        <v>63</v>
      </c>
      <c r="O888" t="s">
        <v>651</v>
      </c>
      <c r="P888">
        <v>9959252678</v>
      </c>
      <c r="Q888" t="s">
        <v>54</v>
      </c>
      <c r="R888" t="s">
        <v>132</v>
      </c>
      <c r="S888" t="s">
        <v>43</v>
      </c>
      <c r="T888" t="s">
        <v>43</v>
      </c>
      <c r="U888" t="s">
        <v>44</v>
      </c>
      <c r="V888" t="s">
        <v>45</v>
      </c>
      <c r="W888" t="s">
        <v>5078</v>
      </c>
      <c r="X888" t="s">
        <v>45</v>
      </c>
      <c r="Y888" t="s">
        <v>46</v>
      </c>
      <c r="Z888" t="s">
        <v>47</v>
      </c>
      <c r="AA888" t="s">
        <v>48</v>
      </c>
      <c r="AB888" t="s">
        <v>49</v>
      </c>
      <c r="AC888" t="s">
        <v>49</v>
      </c>
      <c r="AD888" t="s">
        <v>1270</v>
      </c>
      <c r="AE888" t="s">
        <v>185</v>
      </c>
      <c r="AF888" t="s">
        <v>4863</v>
      </c>
      <c r="AG888" t="s">
        <v>196</v>
      </c>
      <c r="AH888" s="93">
        <f>VLOOKUP(Table1[[#This Row],[Caste]],Factor!$H$1:$K$13,4,0)</f>
        <v>1.1461625511156397</v>
      </c>
      <c r="AI888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88">
        <f>Table1[[#This Row],[Factor_1]]*Table1[[#This Row],[2024 Factor]]</f>
        <v>0.77721139583220644</v>
      </c>
      <c r="AK888">
        <f>VLOOKUP(Table1[[#This Row],[Q18: Gender]],Factor!$A$33:$E$35,5,0)</f>
        <v>0.85034013605442171</v>
      </c>
      <c r="AL888">
        <f>VLOOKUP(Table1[[#This Row],[Taluka]],Factor!$A$42:$G$46,7,0)</f>
        <v>1.1213131007097483</v>
      </c>
      <c r="AM888">
        <f>VLOOKUP(Table1[[#This Row],[Caste]]&amp;Table1[[#This Row],[Q18: Gender]],Factor!$W$1:$X$23,2,0)</f>
        <v>0.71995135120329123</v>
      </c>
      <c r="AN888">
        <f>VLOOKUP(Table1[[#This Row],[Taluka]]&amp;Table1[[#This Row],[Caste]]&amp;Table1[[#This Row],[Q18: Gender]],Factor!$AK$4:$AL$93,2,0)</f>
        <v>1.3370299504035861</v>
      </c>
      <c r="AO888">
        <f t="shared" si="143"/>
        <v>-1</v>
      </c>
      <c r="AP888">
        <f t="shared" si="144"/>
        <v>-1</v>
      </c>
      <c r="AQ888">
        <f t="shared" si="145"/>
        <v>-1</v>
      </c>
      <c r="AR888">
        <f t="shared" si="146"/>
        <v>-1</v>
      </c>
      <c r="AS888">
        <f t="shared" si="147"/>
        <v>-1</v>
      </c>
      <c r="AT888">
        <f t="shared" si="148"/>
        <v>-1</v>
      </c>
      <c r="AU888">
        <f t="shared" si="149"/>
        <v>-5.5</v>
      </c>
      <c r="AV888">
        <f>SUM(Table1[[#This Row],[Satis]:[29]])</f>
        <v>-6</v>
      </c>
      <c r="AW888">
        <f t="shared" si="150"/>
        <v>-5</v>
      </c>
      <c r="AX888">
        <f t="shared" si="151"/>
        <v>-4</v>
      </c>
      <c r="AY888">
        <f t="shared" si="152"/>
        <v>-3</v>
      </c>
      <c r="AZ888" t="str">
        <f t="shared" si="153"/>
        <v>TDP HardCore</v>
      </c>
    </row>
    <row r="889" spans="1:52" x14ac:dyDescent="0.3">
      <c r="A889" t="s">
        <v>4913</v>
      </c>
      <c r="B889" s="94">
        <v>46049</v>
      </c>
      <c r="C889" t="s">
        <v>4914</v>
      </c>
      <c r="D889" t="s">
        <v>4915</v>
      </c>
      <c r="E889" t="s">
        <v>4916</v>
      </c>
      <c r="F889" t="s">
        <v>240</v>
      </c>
      <c r="G889" t="s">
        <v>39</v>
      </c>
      <c r="H889" t="s">
        <v>4917</v>
      </c>
      <c r="I889" t="s">
        <v>59</v>
      </c>
      <c r="J889" t="s">
        <v>71</v>
      </c>
      <c r="K889" t="s">
        <v>71</v>
      </c>
      <c r="L889" t="s">
        <v>62</v>
      </c>
      <c r="M889" t="s">
        <v>51</v>
      </c>
      <c r="N889" t="s">
        <v>63</v>
      </c>
      <c r="O889" t="s">
        <v>4918</v>
      </c>
      <c r="P889">
        <v>9701884430</v>
      </c>
      <c r="Q889" t="s">
        <v>445</v>
      </c>
      <c r="R889" t="s">
        <v>2116</v>
      </c>
      <c r="S889" t="s">
        <v>43</v>
      </c>
      <c r="T889" t="s">
        <v>43</v>
      </c>
      <c r="U889" t="s">
        <v>44</v>
      </c>
      <c r="V889" t="s">
        <v>45</v>
      </c>
      <c r="W889" t="s">
        <v>5078</v>
      </c>
      <c r="X889" t="s">
        <v>45</v>
      </c>
      <c r="Y889" t="s">
        <v>46</v>
      </c>
      <c r="Z889" t="s">
        <v>47</v>
      </c>
      <c r="AA889" t="s">
        <v>48</v>
      </c>
      <c r="AB889" t="s">
        <v>49</v>
      </c>
      <c r="AC889" t="s">
        <v>49</v>
      </c>
      <c r="AD889" t="s">
        <v>1279</v>
      </c>
      <c r="AE889" t="s">
        <v>185</v>
      </c>
      <c r="AF889" t="s">
        <v>1355</v>
      </c>
      <c r="AG889" t="s">
        <v>196</v>
      </c>
      <c r="AH889" s="93">
        <f>VLOOKUP(Table1[[#This Row],[Caste]],Factor!$H$1:$K$13,4,0)</f>
        <v>1.1461625511156397</v>
      </c>
      <c r="AI889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89">
        <f>Table1[[#This Row],[Factor_1]]*Table1[[#This Row],[2024 Factor]]</f>
        <v>3.0326483876590018</v>
      </c>
      <c r="AK889">
        <f>VLOOKUP(Table1[[#This Row],[Q18: Gender]],Factor!$A$33:$E$35,5,0)</f>
        <v>2.1645021645021645</v>
      </c>
      <c r="AL889">
        <f>VLOOKUP(Table1[[#This Row],[Taluka]],Factor!$A$42:$G$46,7,0)</f>
        <v>1.1213131007097483</v>
      </c>
      <c r="AM889">
        <f>VLOOKUP(Table1[[#This Row],[Caste]]&amp;Table1[[#This Row],[Q18: Gender]],Factor!$W$1:$X$23,2,0)</f>
        <v>2.8092219390089208</v>
      </c>
      <c r="AN889">
        <f>VLOOKUP(Table1[[#This Row],[Taluka]]&amp;Table1[[#This Row],[Caste]]&amp;Table1[[#This Row],[Q18: Gender]],Factor!$AK$4:$AL$93,2,0)</f>
        <v>1.8020838461961379</v>
      </c>
      <c r="AO889">
        <f t="shared" si="143"/>
        <v>-1</v>
      </c>
      <c r="AP889">
        <f t="shared" si="144"/>
        <v>-1</v>
      </c>
      <c r="AQ889">
        <f t="shared" si="145"/>
        <v>-1</v>
      </c>
      <c r="AR889">
        <f t="shared" si="146"/>
        <v>-1</v>
      </c>
      <c r="AS889">
        <f t="shared" si="147"/>
        <v>-1</v>
      </c>
      <c r="AT889">
        <f t="shared" si="148"/>
        <v>-1</v>
      </c>
      <c r="AU889">
        <f t="shared" si="149"/>
        <v>-5.5</v>
      </c>
      <c r="AV889">
        <f>SUM(Table1[[#This Row],[Satis]:[29]])</f>
        <v>-6</v>
      </c>
      <c r="AW889">
        <f t="shared" si="150"/>
        <v>-5</v>
      </c>
      <c r="AX889">
        <f t="shared" si="151"/>
        <v>-4</v>
      </c>
      <c r="AY889">
        <f t="shared" si="152"/>
        <v>-3</v>
      </c>
      <c r="AZ889" t="str">
        <f t="shared" si="153"/>
        <v>TDP HardCore</v>
      </c>
    </row>
    <row r="890" spans="1:52" x14ac:dyDescent="0.3">
      <c r="A890" t="s">
        <v>4902</v>
      </c>
      <c r="B890" s="94">
        <v>46049</v>
      </c>
      <c r="C890" t="s">
        <v>4903</v>
      </c>
      <c r="D890" t="s">
        <v>4904</v>
      </c>
      <c r="E890" t="s">
        <v>4905</v>
      </c>
      <c r="F890" t="s">
        <v>240</v>
      </c>
      <c r="G890" t="s">
        <v>39</v>
      </c>
      <c r="H890" t="s">
        <v>4906</v>
      </c>
      <c r="I890" t="s">
        <v>59</v>
      </c>
      <c r="J890" t="s">
        <v>71</v>
      </c>
      <c r="K890" t="s">
        <v>71</v>
      </c>
      <c r="L890" t="s">
        <v>50</v>
      </c>
      <c r="M890" t="s">
        <v>51</v>
      </c>
      <c r="N890" t="s">
        <v>107</v>
      </c>
      <c r="O890" t="s">
        <v>4907</v>
      </c>
      <c r="P890">
        <v>9999999999</v>
      </c>
      <c r="Q890" t="s">
        <v>54</v>
      </c>
      <c r="R890" t="s">
        <v>61</v>
      </c>
      <c r="S890" t="s">
        <v>88</v>
      </c>
      <c r="T890" t="s">
        <v>43</v>
      </c>
      <c r="U890" t="s">
        <v>44</v>
      </c>
      <c r="V890" t="s">
        <v>45</v>
      </c>
      <c r="W890" t="s">
        <v>5056</v>
      </c>
      <c r="X890" t="s">
        <v>45</v>
      </c>
      <c r="Y890" t="s">
        <v>46</v>
      </c>
      <c r="Z890" t="s">
        <v>47</v>
      </c>
      <c r="AA890" t="s">
        <v>48</v>
      </c>
      <c r="AB890" t="s">
        <v>49</v>
      </c>
      <c r="AC890" t="s">
        <v>49</v>
      </c>
      <c r="AD890" t="s">
        <v>1270</v>
      </c>
      <c r="AE890" t="s">
        <v>185</v>
      </c>
      <c r="AF890" t="s">
        <v>4863</v>
      </c>
      <c r="AG890" t="s">
        <v>196</v>
      </c>
      <c r="AH890" s="93">
        <f>VLOOKUP(Table1[[#This Row],[Caste]],Factor!$H$1:$K$13,4,0)</f>
        <v>1.1461625511156397</v>
      </c>
      <c r="AI89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90">
        <f>Table1[[#This Row],[Factor_1]]*Table1[[#This Row],[2024 Factor]]</f>
        <v>0.77721139583220644</v>
      </c>
      <c r="AK890">
        <f>VLOOKUP(Table1[[#This Row],[Q18: Gender]],Factor!$A$33:$E$35,5,0)</f>
        <v>0.85034013605442171</v>
      </c>
      <c r="AL890">
        <f>VLOOKUP(Table1[[#This Row],[Taluka]],Factor!$A$42:$G$46,7,0)</f>
        <v>1.1213131007097483</v>
      </c>
      <c r="AM890">
        <f>VLOOKUP(Table1[[#This Row],[Caste]]&amp;Table1[[#This Row],[Q18: Gender]],Factor!$W$1:$X$23,2,0)</f>
        <v>0.71995135120329123</v>
      </c>
      <c r="AN890">
        <f>VLOOKUP(Table1[[#This Row],[Taluka]]&amp;Table1[[#This Row],[Caste]]&amp;Table1[[#This Row],[Q18: Gender]],Factor!$AK$4:$AL$93,2,0)</f>
        <v>1.3370299504035861</v>
      </c>
      <c r="AO890">
        <f t="shared" si="143"/>
        <v>-1</v>
      </c>
      <c r="AP890">
        <f t="shared" si="144"/>
        <v>-1</v>
      </c>
      <c r="AQ890">
        <f t="shared" si="145"/>
        <v>-1</v>
      </c>
      <c r="AR890">
        <f t="shared" si="146"/>
        <v>-1</v>
      </c>
      <c r="AS890">
        <f t="shared" si="147"/>
        <v>-1</v>
      </c>
      <c r="AT890">
        <f t="shared" si="148"/>
        <v>-1</v>
      </c>
      <c r="AU890">
        <f t="shared" si="149"/>
        <v>-5.5</v>
      </c>
      <c r="AV890">
        <f>SUM(Table1[[#This Row],[Satis]:[29]])</f>
        <v>-6</v>
      </c>
      <c r="AW890">
        <f t="shared" si="150"/>
        <v>-5</v>
      </c>
      <c r="AX890">
        <f t="shared" si="151"/>
        <v>-4</v>
      </c>
      <c r="AY890">
        <f t="shared" si="152"/>
        <v>-3</v>
      </c>
      <c r="AZ890" t="str">
        <f t="shared" si="153"/>
        <v>TDP HardCore</v>
      </c>
    </row>
    <row r="891" spans="1:52" x14ac:dyDescent="0.3">
      <c r="A891" t="s">
        <v>4919</v>
      </c>
      <c r="B891" s="94">
        <v>46049</v>
      </c>
      <c r="C891" t="s">
        <v>4920</v>
      </c>
      <c r="D891" t="s">
        <v>4921</v>
      </c>
      <c r="E891" t="s">
        <v>4905</v>
      </c>
      <c r="F891" t="s">
        <v>240</v>
      </c>
      <c r="G891" t="s">
        <v>39</v>
      </c>
      <c r="H891" t="s">
        <v>4922</v>
      </c>
      <c r="I891" t="s">
        <v>36</v>
      </c>
      <c r="J891" t="s">
        <v>71</v>
      </c>
      <c r="K891" t="s">
        <v>71</v>
      </c>
      <c r="L891" t="s">
        <v>62</v>
      </c>
      <c r="M891" t="s">
        <v>51</v>
      </c>
      <c r="N891" t="s">
        <v>63</v>
      </c>
      <c r="O891" t="s">
        <v>788</v>
      </c>
      <c r="P891">
        <v>8332802765</v>
      </c>
      <c r="Q891" t="s">
        <v>54</v>
      </c>
      <c r="R891" t="s">
        <v>2116</v>
      </c>
      <c r="S891" t="s">
        <v>43</v>
      </c>
      <c r="T891" t="s">
        <v>43</v>
      </c>
      <c r="U891" t="s">
        <v>44</v>
      </c>
      <c r="V891" t="s">
        <v>45</v>
      </c>
      <c r="W891" t="s">
        <v>5078</v>
      </c>
      <c r="X891" t="s">
        <v>45</v>
      </c>
      <c r="Y891" t="s">
        <v>46</v>
      </c>
      <c r="Z891" t="s">
        <v>47</v>
      </c>
      <c r="AA891" t="s">
        <v>48</v>
      </c>
      <c r="AB891" t="s">
        <v>49</v>
      </c>
      <c r="AC891" t="s">
        <v>49</v>
      </c>
      <c r="AD891" t="s">
        <v>1279</v>
      </c>
      <c r="AE891" t="s">
        <v>185</v>
      </c>
      <c r="AF891" t="s">
        <v>1355</v>
      </c>
      <c r="AG891" t="s">
        <v>196</v>
      </c>
      <c r="AH891" s="93">
        <f>VLOOKUP(Table1[[#This Row],[Caste]],Factor!$H$1:$K$13,4,0)</f>
        <v>1.1705128247062893</v>
      </c>
      <c r="AI89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91">
        <f>Table1[[#This Row],[Factor_1]]*Table1[[#This Row],[2024 Factor]]</f>
        <v>0.86308903171383233</v>
      </c>
      <c r="AK891">
        <f>VLOOKUP(Table1[[#This Row],[Q18: Gender]],Factor!$A$33:$E$35,5,0)</f>
        <v>0.85034013605442171</v>
      </c>
      <c r="AL891">
        <f>VLOOKUP(Table1[[#This Row],[Taluka]],Factor!$A$42:$G$46,7,0)</f>
        <v>1.1213131007097483</v>
      </c>
      <c r="AM891">
        <f>VLOOKUP(Table1[[#This Row],[Caste]]&amp;Table1[[#This Row],[Q18: Gender]],Factor!$W$1:$X$23,2,0)</f>
        <v>0.79950206330384943</v>
      </c>
      <c r="AN891">
        <f>VLOOKUP(Table1[[#This Row],[Taluka]]&amp;Table1[[#This Row],[Caste]]&amp;Table1[[#This Row],[Q18: Gender]],Factor!$AK$4:$AL$93,2,0)</f>
        <v>0.7401439088249181</v>
      </c>
      <c r="AO891">
        <f t="shared" si="143"/>
        <v>-1</v>
      </c>
      <c r="AP891">
        <f t="shared" si="144"/>
        <v>-1</v>
      </c>
      <c r="AQ891">
        <f t="shared" si="145"/>
        <v>-1</v>
      </c>
      <c r="AR891">
        <f t="shared" si="146"/>
        <v>-1</v>
      </c>
      <c r="AS891">
        <f t="shared" si="147"/>
        <v>-1</v>
      </c>
      <c r="AT891">
        <f t="shared" si="148"/>
        <v>-1</v>
      </c>
      <c r="AU891">
        <f t="shared" si="149"/>
        <v>-5.5</v>
      </c>
      <c r="AV891">
        <f>SUM(Table1[[#This Row],[Satis]:[29]])</f>
        <v>-6</v>
      </c>
      <c r="AW891">
        <f t="shared" si="150"/>
        <v>-5</v>
      </c>
      <c r="AX891">
        <f t="shared" si="151"/>
        <v>-4</v>
      </c>
      <c r="AY891">
        <f t="shared" si="152"/>
        <v>-3</v>
      </c>
      <c r="AZ891" t="str">
        <f t="shared" si="153"/>
        <v>TDP HardCore</v>
      </c>
    </row>
    <row r="892" spans="1:52" x14ac:dyDescent="0.3">
      <c r="A892" t="s">
        <v>4923</v>
      </c>
      <c r="B892" s="94">
        <v>46049</v>
      </c>
      <c r="C892" t="s">
        <v>4924</v>
      </c>
      <c r="D892" t="s">
        <v>4925</v>
      </c>
      <c r="E892" t="s">
        <v>4926</v>
      </c>
      <c r="F892" t="s">
        <v>240</v>
      </c>
      <c r="G892" t="s">
        <v>39</v>
      </c>
      <c r="H892" t="s">
        <v>4928</v>
      </c>
      <c r="I892" t="s">
        <v>227</v>
      </c>
      <c r="J892" t="s">
        <v>71</v>
      </c>
      <c r="K892" t="s">
        <v>71</v>
      </c>
      <c r="L892" t="s">
        <v>62</v>
      </c>
      <c r="M892" t="s">
        <v>51</v>
      </c>
      <c r="N892" t="s">
        <v>63</v>
      </c>
      <c r="O892" t="s">
        <v>4929</v>
      </c>
      <c r="P892">
        <v>99999999</v>
      </c>
      <c r="Q892" t="s">
        <v>54</v>
      </c>
      <c r="R892" t="s">
        <v>2116</v>
      </c>
      <c r="S892" t="s">
        <v>43</v>
      </c>
      <c r="T892" t="s">
        <v>43</v>
      </c>
      <c r="U892" t="s">
        <v>44</v>
      </c>
      <c r="V892" t="s">
        <v>45</v>
      </c>
      <c r="W892" t="s">
        <v>5054</v>
      </c>
      <c r="X892" t="s">
        <v>45</v>
      </c>
      <c r="Y892" t="s">
        <v>46</v>
      </c>
      <c r="Z892" t="s">
        <v>47</v>
      </c>
      <c r="AA892" t="s">
        <v>48</v>
      </c>
      <c r="AB892" t="s">
        <v>49</v>
      </c>
      <c r="AC892" t="s">
        <v>49</v>
      </c>
      <c r="AD892" t="s">
        <v>1552</v>
      </c>
      <c r="AE892" t="s">
        <v>1271</v>
      </c>
      <c r="AF892" t="s">
        <v>4927</v>
      </c>
      <c r="AG892" t="s">
        <v>196</v>
      </c>
      <c r="AH892" s="93">
        <f>VLOOKUP(Table1[[#This Row],[Caste]],Factor!$H$1:$K$13,4,0)</f>
        <v>1.2612194085121222</v>
      </c>
      <c r="AI892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92">
        <f>Table1[[#This Row],[Factor_1]]*Table1[[#This Row],[2024 Factor]]</f>
        <v>0.92029223709519836</v>
      </c>
      <c r="AK892">
        <f>VLOOKUP(Table1[[#This Row],[Q18: Gender]],Factor!$A$33:$E$35,5,0)</f>
        <v>0.85034013605442171</v>
      </c>
      <c r="AL892">
        <f>VLOOKUP(Table1[[#This Row],[Taluka]],Factor!$A$42:$G$46,7,0)</f>
        <v>1.1213131007097483</v>
      </c>
      <c r="AM892">
        <f>VLOOKUP(Table1[[#This Row],[Caste]]&amp;Table1[[#This Row],[Q18: Gender]],Factor!$W$1:$X$23,2,0)</f>
        <v>0.85249089649430487</v>
      </c>
      <c r="AN892">
        <f>VLOOKUP(Table1[[#This Row],[Taluka]]&amp;Table1[[#This Row],[Caste]]&amp;Table1[[#This Row],[Q18: Gender]],Factor!$AK$4:$AL$93,2,0)</f>
        <v>1.3317727120335781</v>
      </c>
      <c r="AO892">
        <f t="shared" si="143"/>
        <v>-1</v>
      </c>
      <c r="AP892">
        <f t="shared" si="144"/>
        <v>-1</v>
      </c>
      <c r="AQ892">
        <f t="shared" si="145"/>
        <v>-1</v>
      </c>
      <c r="AR892">
        <f t="shared" si="146"/>
        <v>-1</v>
      </c>
      <c r="AS892">
        <f t="shared" si="147"/>
        <v>-1</v>
      </c>
      <c r="AT892">
        <f t="shared" si="148"/>
        <v>-1</v>
      </c>
      <c r="AU892">
        <f t="shared" si="149"/>
        <v>-5.5</v>
      </c>
      <c r="AV892">
        <f>SUM(Table1[[#This Row],[Satis]:[29]])</f>
        <v>-6</v>
      </c>
      <c r="AW892">
        <f t="shared" si="150"/>
        <v>-5</v>
      </c>
      <c r="AX892">
        <f t="shared" si="151"/>
        <v>-4</v>
      </c>
      <c r="AY892">
        <f t="shared" si="152"/>
        <v>-3</v>
      </c>
      <c r="AZ892" t="str">
        <f t="shared" si="153"/>
        <v>TDP HardCore</v>
      </c>
    </row>
    <row r="893" spans="1:52" x14ac:dyDescent="0.3">
      <c r="A893" t="s">
        <v>4930</v>
      </c>
      <c r="B893" s="94">
        <v>46049</v>
      </c>
      <c r="C893" t="s">
        <v>4931</v>
      </c>
      <c r="D893" t="s">
        <v>4932</v>
      </c>
      <c r="E893" t="s">
        <v>4933</v>
      </c>
      <c r="F893" t="s">
        <v>240</v>
      </c>
      <c r="G893" t="s">
        <v>39</v>
      </c>
      <c r="H893" t="s">
        <v>4935</v>
      </c>
      <c r="I893" t="s">
        <v>36</v>
      </c>
      <c r="J893" t="s">
        <v>71</v>
      </c>
      <c r="K893" t="s">
        <v>71</v>
      </c>
      <c r="L893" t="s">
        <v>62</v>
      </c>
      <c r="M893" t="s">
        <v>51</v>
      </c>
      <c r="N893" t="s">
        <v>63</v>
      </c>
      <c r="O893" t="s">
        <v>4936</v>
      </c>
      <c r="P893">
        <v>999999999</v>
      </c>
      <c r="Q893" t="s">
        <v>54</v>
      </c>
      <c r="R893" t="s">
        <v>61</v>
      </c>
      <c r="S893" t="s">
        <v>43</v>
      </c>
      <c r="T893" t="s">
        <v>43</v>
      </c>
      <c r="U893" t="s">
        <v>90</v>
      </c>
      <c r="V893" t="s">
        <v>45</v>
      </c>
      <c r="W893" t="s">
        <v>5056</v>
      </c>
      <c r="X893" t="s">
        <v>45</v>
      </c>
      <c r="Y893" t="s">
        <v>46</v>
      </c>
      <c r="Z893" t="s">
        <v>242</v>
      </c>
      <c r="AA893" t="s">
        <v>48</v>
      </c>
      <c r="AB893" t="s">
        <v>49</v>
      </c>
      <c r="AC893" t="s">
        <v>49</v>
      </c>
      <c r="AD893" t="s">
        <v>1552</v>
      </c>
      <c r="AE893" t="s">
        <v>1271</v>
      </c>
      <c r="AF893" t="s">
        <v>4934</v>
      </c>
      <c r="AG893" t="s">
        <v>196</v>
      </c>
      <c r="AH893" s="93">
        <f>VLOOKUP(Table1[[#This Row],[Caste]],Factor!$H$1:$K$13,4,0)</f>
        <v>1.1705128247062893</v>
      </c>
      <c r="AI893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93">
        <f>Table1[[#This Row],[Factor_1]]*Table1[[#This Row],[2024 Factor]]</f>
        <v>0.86308903171383233</v>
      </c>
      <c r="AK893">
        <f>VLOOKUP(Table1[[#This Row],[Q18: Gender]],Factor!$A$33:$E$35,5,0)</f>
        <v>0.85034013605442171</v>
      </c>
      <c r="AL893">
        <f>VLOOKUP(Table1[[#This Row],[Taluka]],Factor!$A$42:$G$46,7,0)</f>
        <v>1.1213131007097483</v>
      </c>
      <c r="AM893">
        <f>VLOOKUP(Table1[[#This Row],[Caste]]&amp;Table1[[#This Row],[Q18: Gender]],Factor!$W$1:$X$23,2,0)</f>
        <v>0.79950206330384943</v>
      </c>
      <c r="AN893">
        <f>VLOOKUP(Table1[[#This Row],[Taluka]]&amp;Table1[[#This Row],[Caste]]&amp;Table1[[#This Row],[Q18: Gender]],Factor!$AK$4:$AL$93,2,0)</f>
        <v>0.7401439088249181</v>
      </c>
      <c r="AO893">
        <f t="shared" si="143"/>
        <v>-1</v>
      </c>
      <c r="AP893">
        <f t="shared" si="144"/>
        <v>1</v>
      </c>
      <c r="AQ893">
        <f t="shared" si="145"/>
        <v>-1</v>
      </c>
      <c r="AR893">
        <f t="shared" si="146"/>
        <v>-1</v>
      </c>
      <c r="AS893">
        <f t="shared" si="147"/>
        <v>-1</v>
      </c>
      <c r="AT893">
        <f t="shared" si="148"/>
        <v>-1</v>
      </c>
      <c r="AU893">
        <f t="shared" si="149"/>
        <v>-3.5</v>
      </c>
      <c r="AV893">
        <f>SUM(Table1[[#This Row],[Satis]:[29]])</f>
        <v>-4</v>
      </c>
      <c r="AW893">
        <f t="shared" si="150"/>
        <v>-5</v>
      </c>
      <c r="AX893">
        <f t="shared" si="151"/>
        <v>-4</v>
      </c>
      <c r="AY893">
        <f t="shared" si="152"/>
        <v>-3</v>
      </c>
      <c r="AZ893" t="str">
        <f t="shared" si="153"/>
        <v>TDP Sympathiser</v>
      </c>
    </row>
    <row r="894" spans="1:52" x14ac:dyDescent="0.3">
      <c r="A894" t="s">
        <v>4937</v>
      </c>
      <c r="B894" s="94">
        <v>46049</v>
      </c>
      <c r="C894" t="s">
        <v>4938</v>
      </c>
      <c r="D894" t="s">
        <v>4939</v>
      </c>
      <c r="E894" t="s">
        <v>4940</v>
      </c>
      <c r="F894" t="s">
        <v>240</v>
      </c>
      <c r="G894" t="s">
        <v>39</v>
      </c>
      <c r="H894" t="s">
        <v>4942</v>
      </c>
      <c r="I894" t="s">
        <v>36</v>
      </c>
      <c r="J894" t="s">
        <v>71</v>
      </c>
      <c r="K894" t="s">
        <v>71</v>
      </c>
      <c r="L894" t="s">
        <v>62</v>
      </c>
      <c r="M894" t="s">
        <v>4943</v>
      </c>
      <c r="N894" t="s">
        <v>52</v>
      </c>
      <c r="O894" t="s">
        <v>4944</v>
      </c>
      <c r="P894">
        <v>8309831044</v>
      </c>
      <c r="Q894" t="s">
        <v>445</v>
      </c>
      <c r="R894" t="s">
        <v>139</v>
      </c>
      <c r="S894" t="s">
        <v>43</v>
      </c>
      <c r="T894" t="s">
        <v>43</v>
      </c>
      <c r="U894" t="s">
        <v>44</v>
      </c>
      <c r="V894" t="s">
        <v>45</v>
      </c>
      <c r="W894" t="s">
        <v>5090</v>
      </c>
      <c r="X894" t="s">
        <v>45</v>
      </c>
      <c r="Y894" t="s">
        <v>46</v>
      </c>
      <c r="Z894" t="s">
        <v>47</v>
      </c>
      <c r="AA894" t="s">
        <v>48</v>
      </c>
      <c r="AB894" t="s">
        <v>49</v>
      </c>
      <c r="AC894" t="s">
        <v>49</v>
      </c>
      <c r="AD894" t="s">
        <v>1552</v>
      </c>
      <c r="AE894" t="s">
        <v>1271</v>
      </c>
      <c r="AF894" t="s">
        <v>4941</v>
      </c>
      <c r="AG894" t="s">
        <v>196</v>
      </c>
      <c r="AH894" s="93">
        <f>VLOOKUP(Table1[[#This Row],[Caste]],Factor!$H$1:$K$13,4,0)</f>
        <v>1.1705128247062893</v>
      </c>
      <c r="AI894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94">
        <f>Table1[[#This Row],[Factor_1]]*Table1[[#This Row],[2024 Factor]]</f>
        <v>2.3577066232182737</v>
      </c>
      <c r="AK894">
        <f>VLOOKUP(Table1[[#This Row],[Q18: Gender]],Factor!$A$33:$E$35,5,0)</f>
        <v>2.1645021645021645</v>
      </c>
      <c r="AL894">
        <f>VLOOKUP(Table1[[#This Row],[Taluka]],Factor!$A$42:$G$46,7,0)</f>
        <v>1.1213131007097483</v>
      </c>
      <c r="AM894">
        <f>VLOOKUP(Table1[[#This Row],[Caste]]&amp;Table1[[#This Row],[Q18: Gender]],Factor!$W$1:$X$23,2,0)</f>
        <v>2.1840056363422229</v>
      </c>
      <c r="AN894">
        <f>VLOOKUP(Table1[[#This Row],[Taluka]]&amp;Table1[[#This Row],[Caste]]&amp;Table1[[#This Row],[Q18: Gender]],Factor!$AK$4:$AL$93,2,0)</f>
        <v>0.95944580773600496</v>
      </c>
      <c r="AO894">
        <f t="shared" si="143"/>
        <v>-1</v>
      </c>
      <c r="AP894">
        <f t="shared" si="144"/>
        <v>-1</v>
      </c>
      <c r="AQ894">
        <f t="shared" si="145"/>
        <v>-1</v>
      </c>
      <c r="AR894">
        <f t="shared" si="146"/>
        <v>-1</v>
      </c>
      <c r="AS894">
        <f t="shared" si="147"/>
        <v>-1</v>
      </c>
      <c r="AT894">
        <f t="shared" si="148"/>
        <v>-1</v>
      </c>
      <c r="AU894">
        <f t="shared" si="149"/>
        <v>-5.5</v>
      </c>
      <c r="AV894">
        <f>SUM(Table1[[#This Row],[Satis]:[29]])</f>
        <v>-6</v>
      </c>
      <c r="AW894">
        <f t="shared" si="150"/>
        <v>-5</v>
      </c>
      <c r="AX894">
        <f t="shared" si="151"/>
        <v>-4</v>
      </c>
      <c r="AY894">
        <f t="shared" si="152"/>
        <v>-3</v>
      </c>
      <c r="AZ894" t="str">
        <f t="shared" si="153"/>
        <v>TDP HardCore</v>
      </c>
    </row>
    <row r="895" spans="1:52" x14ac:dyDescent="0.3">
      <c r="A895" t="s">
        <v>4945</v>
      </c>
      <c r="B895" s="94">
        <v>46049</v>
      </c>
      <c r="C895" t="s">
        <v>4946</v>
      </c>
      <c r="D895" t="s">
        <v>4947</v>
      </c>
      <c r="E895" t="s">
        <v>4948</v>
      </c>
      <c r="F895" t="s">
        <v>240</v>
      </c>
      <c r="G895" t="s">
        <v>39</v>
      </c>
      <c r="H895" t="s">
        <v>4949</v>
      </c>
      <c r="I895" t="s">
        <v>36</v>
      </c>
      <c r="J895" t="s">
        <v>71</v>
      </c>
      <c r="K895" t="s">
        <v>71</v>
      </c>
      <c r="L895" t="s">
        <v>50</v>
      </c>
      <c r="M895" t="s">
        <v>51</v>
      </c>
      <c r="N895" t="s">
        <v>63</v>
      </c>
      <c r="O895" t="s">
        <v>1933</v>
      </c>
      <c r="P895">
        <v>8523031600</v>
      </c>
      <c r="Q895" t="s">
        <v>445</v>
      </c>
      <c r="R895" t="s">
        <v>61</v>
      </c>
      <c r="S895" t="s">
        <v>43</v>
      </c>
      <c r="T895" t="s">
        <v>43</v>
      </c>
      <c r="U895" t="s">
        <v>90</v>
      </c>
      <c r="V895" t="s">
        <v>45</v>
      </c>
      <c r="W895" t="s">
        <v>5051</v>
      </c>
      <c r="X895" t="s">
        <v>45</v>
      </c>
      <c r="Y895" t="s">
        <v>46</v>
      </c>
      <c r="Z895" t="s">
        <v>47</v>
      </c>
      <c r="AA895" t="s">
        <v>48</v>
      </c>
      <c r="AB895" t="s">
        <v>49</v>
      </c>
      <c r="AC895" t="s">
        <v>49</v>
      </c>
      <c r="AD895" t="s">
        <v>1552</v>
      </c>
      <c r="AE895" t="s">
        <v>185</v>
      </c>
      <c r="AF895" t="s">
        <v>1341</v>
      </c>
      <c r="AG895" t="s">
        <v>196</v>
      </c>
      <c r="AH895" s="93">
        <f>VLOOKUP(Table1[[#This Row],[Caste]],Factor!$H$1:$K$13,4,0)</f>
        <v>1.1705128247062893</v>
      </c>
      <c r="AI895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95">
        <f>Table1[[#This Row],[Factor_1]]*Table1[[#This Row],[2024 Factor]]</f>
        <v>2.3577066232182737</v>
      </c>
      <c r="AK895">
        <f>VLOOKUP(Table1[[#This Row],[Q18: Gender]],Factor!$A$33:$E$35,5,0)</f>
        <v>2.1645021645021645</v>
      </c>
      <c r="AL895">
        <f>VLOOKUP(Table1[[#This Row],[Taluka]],Factor!$A$42:$G$46,7,0)</f>
        <v>1.1213131007097483</v>
      </c>
      <c r="AM895">
        <f>VLOOKUP(Table1[[#This Row],[Caste]]&amp;Table1[[#This Row],[Q18: Gender]],Factor!$W$1:$X$23,2,0)</f>
        <v>2.1840056363422229</v>
      </c>
      <c r="AN895">
        <f>VLOOKUP(Table1[[#This Row],[Taluka]]&amp;Table1[[#This Row],[Caste]]&amp;Table1[[#This Row],[Q18: Gender]],Factor!$AK$4:$AL$93,2,0)</f>
        <v>0.95944580773600496</v>
      </c>
      <c r="AO895">
        <f t="shared" si="143"/>
        <v>-1</v>
      </c>
      <c r="AP895">
        <f t="shared" si="144"/>
        <v>1</v>
      </c>
      <c r="AQ895">
        <f t="shared" si="145"/>
        <v>-1</v>
      </c>
      <c r="AR895">
        <f t="shared" si="146"/>
        <v>-1</v>
      </c>
      <c r="AS895">
        <f t="shared" si="147"/>
        <v>-1</v>
      </c>
      <c r="AT895">
        <f t="shared" si="148"/>
        <v>-1</v>
      </c>
      <c r="AU895">
        <f t="shared" si="149"/>
        <v>-3.5</v>
      </c>
      <c r="AV895">
        <f>SUM(Table1[[#This Row],[Satis]:[29]])</f>
        <v>-4</v>
      </c>
      <c r="AW895">
        <f t="shared" si="150"/>
        <v>-5</v>
      </c>
      <c r="AX895">
        <f t="shared" si="151"/>
        <v>-4</v>
      </c>
      <c r="AY895">
        <f t="shared" si="152"/>
        <v>-3</v>
      </c>
      <c r="AZ895" t="str">
        <f t="shared" si="153"/>
        <v>TDP Sympathiser</v>
      </c>
    </row>
    <row r="896" spans="1:52" x14ac:dyDescent="0.3">
      <c r="A896" t="s">
        <v>4955</v>
      </c>
      <c r="B896" s="94">
        <v>46049</v>
      </c>
      <c r="C896" t="s">
        <v>4956</v>
      </c>
      <c r="D896" t="s">
        <v>4957</v>
      </c>
      <c r="E896" t="s">
        <v>4958</v>
      </c>
      <c r="F896" t="s">
        <v>240</v>
      </c>
      <c r="G896" t="s">
        <v>39</v>
      </c>
      <c r="H896" t="s">
        <v>4960</v>
      </c>
      <c r="I896" t="s">
        <v>227</v>
      </c>
      <c r="J896" t="s">
        <v>71</v>
      </c>
      <c r="K896" t="s">
        <v>71</v>
      </c>
      <c r="L896" t="s">
        <v>50</v>
      </c>
      <c r="M896" t="s">
        <v>443</v>
      </c>
      <c r="N896" t="s">
        <v>107</v>
      </c>
      <c r="O896" t="s">
        <v>4961</v>
      </c>
      <c r="P896">
        <v>9346425654</v>
      </c>
      <c r="Q896" t="s">
        <v>445</v>
      </c>
      <c r="R896" t="s">
        <v>132</v>
      </c>
      <c r="S896" t="s">
        <v>43</v>
      </c>
      <c r="T896" t="s">
        <v>43</v>
      </c>
      <c r="U896" t="s">
        <v>44</v>
      </c>
      <c r="V896" t="s">
        <v>91</v>
      </c>
      <c r="W896" t="s">
        <v>5050</v>
      </c>
      <c r="X896" t="s">
        <v>45</v>
      </c>
      <c r="Y896" t="s">
        <v>46</v>
      </c>
      <c r="Z896" t="s">
        <v>47</v>
      </c>
      <c r="AA896" t="s">
        <v>48</v>
      </c>
      <c r="AB896" t="s">
        <v>49</v>
      </c>
      <c r="AC896" t="s">
        <v>49</v>
      </c>
      <c r="AD896" t="s">
        <v>1270</v>
      </c>
      <c r="AE896" t="s">
        <v>185</v>
      </c>
      <c r="AF896" t="s">
        <v>4959</v>
      </c>
      <c r="AG896" t="s">
        <v>196</v>
      </c>
      <c r="AH896" s="93">
        <f>VLOOKUP(Table1[[#This Row],[Caste]],Factor!$H$1:$K$13,4,0)</f>
        <v>1.2612194085121222</v>
      </c>
      <c r="AI89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96">
        <f>Table1[[#This Row],[Factor_1]]*Table1[[#This Row],[2024 Factor]]</f>
        <v>2.6155674106916162</v>
      </c>
      <c r="AK896">
        <f>VLOOKUP(Table1[[#This Row],[Q18: Gender]],Factor!$A$33:$E$35,5,0)</f>
        <v>2.1645021645021645</v>
      </c>
      <c r="AL896">
        <f>VLOOKUP(Table1[[#This Row],[Taluka]],Factor!$A$42:$G$46,7,0)</f>
        <v>1.1213131007097483</v>
      </c>
      <c r="AM896">
        <f>VLOOKUP(Table1[[#This Row],[Caste]]&amp;Table1[[#This Row],[Q18: Gender]],Factor!$W$1:$X$23,2,0)</f>
        <v>2.4228688637206557</v>
      </c>
      <c r="AN896">
        <f>VLOOKUP(Table1[[#This Row],[Taluka]]&amp;Table1[[#This Row],[Caste]]&amp;Table1[[#This Row],[Q18: Gender]],Factor!$AK$4:$AL$93,2,0)</f>
        <v>1.6647158900419725</v>
      </c>
      <c r="AO896">
        <f t="shared" si="143"/>
        <v>-1</v>
      </c>
      <c r="AP896">
        <f t="shared" si="144"/>
        <v>-1</v>
      </c>
      <c r="AQ896">
        <f t="shared" si="145"/>
        <v>1</v>
      </c>
      <c r="AR896">
        <f t="shared" si="146"/>
        <v>-1</v>
      </c>
      <c r="AS896">
        <f t="shared" si="147"/>
        <v>-1</v>
      </c>
      <c r="AT896">
        <f t="shared" si="148"/>
        <v>-1</v>
      </c>
      <c r="AU896">
        <f t="shared" si="149"/>
        <v>-3.5</v>
      </c>
      <c r="AV896">
        <f>SUM(Table1[[#This Row],[Satis]:[29]])</f>
        <v>-4</v>
      </c>
      <c r="AW896">
        <f t="shared" si="150"/>
        <v>-3</v>
      </c>
      <c r="AX896">
        <f t="shared" si="151"/>
        <v>-2</v>
      </c>
      <c r="AY896">
        <f t="shared" si="152"/>
        <v>-3</v>
      </c>
      <c r="AZ896" t="str">
        <f t="shared" si="153"/>
        <v>Neutral TDP</v>
      </c>
    </row>
    <row r="897" spans="1:52" x14ac:dyDescent="0.3">
      <c r="A897" t="s">
        <v>4971</v>
      </c>
      <c r="B897" s="94">
        <v>46049</v>
      </c>
      <c r="C897" t="s">
        <v>4972</v>
      </c>
      <c r="D897" t="s">
        <v>4973</v>
      </c>
      <c r="E897" t="s">
        <v>4958</v>
      </c>
      <c r="F897" t="s">
        <v>240</v>
      </c>
      <c r="G897" t="s">
        <v>39</v>
      </c>
      <c r="H897" t="s">
        <v>4974</v>
      </c>
      <c r="I897" t="s">
        <v>227</v>
      </c>
      <c r="J897" t="s">
        <v>71</v>
      </c>
      <c r="K897" t="s">
        <v>71</v>
      </c>
      <c r="L897" t="s">
        <v>62</v>
      </c>
      <c r="M897" t="s">
        <v>51</v>
      </c>
      <c r="N897" t="s">
        <v>52</v>
      </c>
      <c r="O897" t="s">
        <v>4975</v>
      </c>
      <c r="P897">
        <v>7702509670</v>
      </c>
      <c r="Q897" t="s">
        <v>54</v>
      </c>
      <c r="R897" t="s">
        <v>132</v>
      </c>
      <c r="S897" t="s">
        <v>89</v>
      </c>
      <c r="T897" t="s">
        <v>43</v>
      </c>
      <c r="U897" t="s">
        <v>44</v>
      </c>
      <c r="V897" t="s">
        <v>45</v>
      </c>
      <c r="W897" t="s">
        <v>5058</v>
      </c>
      <c r="X897" t="s">
        <v>45</v>
      </c>
      <c r="Y897" t="s">
        <v>46</v>
      </c>
      <c r="Z897" t="s">
        <v>47</v>
      </c>
      <c r="AA897" t="s">
        <v>48</v>
      </c>
      <c r="AB897" t="s">
        <v>49</v>
      </c>
      <c r="AC897" t="s">
        <v>49</v>
      </c>
      <c r="AD897" t="s">
        <v>1279</v>
      </c>
      <c r="AE897" t="s">
        <v>185</v>
      </c>
      <c r="AF897" t="s">
        <v>1355</v>
      </c>
      <c r="AG897" t="s">
        <v>196</v>
      </c>
      <c r="AH897" s="93">
        <f>VLOOKUP(Table1[[#This Row],[Caste]],Factor!$H$1:$K$13,4,0)</f>
        <v>1.2612194085121222</v>
      </c>
      <c r="AI897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897">
        <f>Table1[[#This Row],[Factor_1]]*Table1[[#This Row],[2024 Factor]]</f>
        <v>0.92029223709519836</v>
      </c>
      <c r="AK897">
        <f>VLOOKUP(Table1[[#This Row],[Q18: Gender]],Factor!$A$33:$E$35,5,0)</f>
        <v>0.85034013605442171</v>
      </c>
      <c r="AL897">
        <f>VLOOKUP(Table1[[#This Row],[Taluka]],Factor!$A$42:$G$46,7,0)</f>
        <v>1.1213131007097483</v>
      </c>
      <c r="AM897">
        <f>VLOOKUP(Table1[[#This Row],[Caste]]&amp;Table1[[#This Row],[Q18: Gender]],Factor!$W$1:$X$23,2,0)</f>
        <v>0.85249089649430487</v>
      </c>
      <c r="AN897">
        <f>VLOOKUP(Table1[[#This Row],[Taluka]]&amp;Table1[[#This Row],[Caste]]&amp;Table1[[#This Row],[Q18: Gender]],Factor!$AK$4:$AL$93,2,0)</f>
        <v>1.3317727120335781</v>
      </c>
      <c r="AO897">
        <f t="shared" si="143"/>
        <v>-1</v>
      </c>
      <c r="AP897">
        <f t="shared" si="144"/>
        <v>-1</v>
      </c>
      <c r="AQ897">
        <f t="shared" si="145"/>
        <v>-1</v>
      </c>
      <c r="AR897">
        <f t="shared" si="146"/>
        <v>-1</v>
      </c>
      <c r="AS897">
        <f t="shared" si="147"/>
        <v>-1</v>
      </c>
      <c r="AT897">
        <f t="shared" si="148"/>
        <v>-1</v>
      </c>
      <c r="AU897">
        <f t="shared" si="149"/>
        <v>-5.5</v>
      </c>
      <c r="AV897">
        <f>SUM(Table1[[#This Row],[Satis]:[29]])</f>
        <v>-6</v>
      </c>
      <c r="AW897">
        <f t="shared" si="150"/>
        <v>-5</v>
      </c>
      <c r="AX897">
        <f t="shared" si="151"/>
        <v>-4</v>
      </c>
      <c r="AY897">
        <f t="shared" si="152"/>
        <v>-3</v>
      </c>
      <c r="AZ897" t="str">
        <f t="shared" si="153"/>
        <v>TDP HardCore</v>
      </c>
    </row>
    <row r="898" spans="1:52" x14ac:dyDescent="0.3">
      <c r="A898" t="s">
        <v>4950</v>
      </c>
      <c r="B898" s="94">
        <v>46049</v>
      </c>
      <c r="C898" t="s">
        <v>4951</v>
      </c>
      <c r="D898" t="s">
        <v>4952</v>
      </c>
      <c r="E898" t="s">
        <v>4953</v>
      </c>
      <c r="F898" t="s">
        <v>240</v>
      </c>
      <c r="G898" t="s">
        <v>39</v>
      </c>
      <c r="H898" t="s">
        <v>4954</v>
      </c>
      <c r="I898" t="s">
        <v>227</v>
      </c>
      <c r="J898" t="s">
        <v>71</v>
      </c>
      <c r="K898" t="s">
        <v>71</v>
      </c>
      <c r="L898" t="s">
        <v>62</v>
      </c>
      <c r="M898" t="s">
        <v>443</v>
      </c>
      <c r="N898" t="s">
        <v>63</v>
      </c>
      <c r="O898" t="s">
        <v>394</v>
      </c>
      <c r="P898">
        <v>6309318226</v>
      </c>
      <c r="Q898" t="s">
        <v>54</v>
      </c>
      <c r="R898" t="s">
        <v>132</v>
      </c>
      <c r="S898" t="s">
        <v>43</v>
      </c>
      <c r="T898" t="s">
        <v>43</v>
      </c>
      <c r="U898" t="s">
        <v>44</v>
      </c>
      <c r="V898" t="s">
        <v>45</v>
      </c>
      <c r="W898" t="s">
        <v>5078</v>
      </c>
      <c r="X898" t="s">
        <v>45</v>
      </c>
      <c r="Y898" t="s">
        <v>46</v>
      </c>
      <c r="Z898" t="s">
        <v>47</v>
      </c>
      <c r="AA898" t="s">
        <v>242</v>
      </c>
      <c r="AB898" t="s">
        <v>49</v>
      </c>
      <c r="AC898" t="s">
        <v>49</v>
      </c>
      <c r="AD898" t="s">
        <v>1552</v>
      </c>
      <c r="AE898" t="s">
        <v>185</v>
      </c>
      <c r="AF898" t="s">
        <v>1341</v>
      </c>
      <c r="AG898" t="s">
        <v>196</v>
      </c>
      <c r="AH898" s="93">
        <f>VLOOKUP(Table1[[#This Row],[Caste]],Factor!$H$1:$K$13,4,0)</f>
        <v>1.2612194085121222</v>
      </c>
      <c r="AI898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898">
        <f>Table1[[#This Row],[Factor_1]]*Table1[[#This Row],[2024 Factor]]</f>
        <v>0.5639555161423867</v>
      </c>
      <c r="AK898">
        <f>VLOOKUP(Table1[[#This Row],[Q18: Gender]],Factor!$A$33:$E$35,5,0)</f>
        <v>0.85034013605442171</v>
      </c>
      <c r="AL898">
        <f>VLOOKUP(Table1[[#This Row],[Taluka]],Factor!$A$42:$G$46,7,0)</f>
        <v>1.1213131007097483</v>
      </c>
      <c r="AM898">
        <f>VLOOKUP(Table1[[#This Row],[Caste]]&amp;Table1[[#This Row],[Q18: Gender]],Factor!$W$1:$X$23,2,0)</f>
        <v>0.85249089649430487</v>
      </c>
      <c r="AN898">
        <f>VLOOKUP(Table1[[#This Row],[Taluka]]&amp;Table1[[#This Row],[Caste]]&amp;Table1[[#This Row],[Q18: Gender]],Factor!$AK$4:$AL$93,2,0)</f>
        <v>1.3317727120335781</v>
      </c>
      <c r="AO898">
        <f t="shared" ref="AO898:AO911" si="154">IF(T898="బాగుంది",-1,1)</f>
        <v>-1</v>
      </c>
      <c r="AP898">
        <f t="shared" ref="AP898:AP911" si="155">IF(U898="అమలవడం లేదు",1,-1)</f>
        <v>-1</v>
      </c>
      <c r="AQ898">
        <f t="shared" ref="AQ898:AQ911" si="156">IF(V898="జగన్ మోహన్ రెడ్డి గారు",1,-1)</f>
        <v>-1</v>
      </c>
      <c r="AR898">
        <f t="shared" ref="AR898:AR911" si="157">IF(X898="జగన్ మోహన్ రెడ్డి గారు",1,-1)</f>
        <v>-1</v>
      </c>
      <c r="AS898">
        <f t="shared" ref="AS898:AS911" si="158">IF(AA898="YSRCP (వైఎస్‌ఆర్‌సీపీ)",1,-1)</f>
        <v>-1</v>
      </c>
      <c r="AT898">
        <f t="shared" ref="AT898:AT911" si="159">IF(Z898="YSRCP (వైఎస్‌ఆర్‌సీపీ)",1,-1)</f>
        <v>-1</v>
      </c>
      <c r="AU898">
        <f t="shared" ref="AU898:AU909" si="160">AO898+AP898+AQ898+AR898+(0.5*AS898)+AT898</f>
        <v>-5.5</v>
      </c>
      <c r="AV898">
        <f>SUM(Table1[[#This Row],[Satis]:[29]])</f>
        <v>-6</v>
      </c>
      <c r="AW898">
        <f t="shared" ref="AW898:AW909" si="161">AO898+AQ898+AR898+AS898+AT898</f>
        <v>-5</v>
      </c>
      <c r="AX898">
        <f t="shared" ref="AX898:AX909" si="162">AQ898+AR898+AS898+AT898</f>
        <v>-4</v>
      </c>
      <c r="AY898">
        <f t="shared" ref="AY898:AY909" si="163">IF(AND(AO898=1,AS898=1,AT898=1),3,IF(AND(AO898=-1,AS898=-1,AT898=-1),-3,IF(AND(AO898=1,AS898=-1,AT898=1),2,IF(AND(AO898=-1,AS898=1,AT898=-1),-2,IF(AND(AS898=1,AT898=1),2,IF(AND(AS898=-1,AT898=-1),-2,"ND"))))))</f>
        <v>-3</v>
      </c>
      <c r="AZ898" t="str">
        <f t="shared" ref="AZ898:AZ909" si="164">IFERROR(IF(AV898=6,"YSRCP HardCore",IF(AV898=-6,"TDP HardCore",IF(AW898&gt;=4,"YSRCP Sympathiser",IF(AW898&lt;=-4,"TDP Sympathiser",IF(AX898&gt;=3,"YSRCP Sympathiser",IF(AX898&lt;=-3,"TDP Sympathiser",IF(AY898="ND","ND",IF(AY898&gt;=2,"Neutral YSRCP",IF(AY898&lt;=-2,"Neutral TDP",0))))))))),"ND")</f>
        <v>TDP HardCore</v>
      </c>
    </row>
    <row r="899" spans="1:52" x14ac:dyDescent="0.3">
      <c r="A899" t="s">
        <v>4962</v>
      </c>
      <c r="B899" s="94">
        <v>46049</v>
      </c>
      <c r="C899" t="s">
        <v>4963</v>
      </c>
      <c r="D899" t="s">
        <v>4964</v>
      </c>
      <c r="E899" t="s">
        <v>4953</v>
      </c>
      <c r="F899" t="s">
        <v>240</v>
      </c>
      <c r="G899" t="s">
        <v>39</v>
      </c>
      <c r="H899" t="s">
        <v>4965</v>
      </c>
      <c r="I899" t="s">
        <v>227</v>
      </c>
      <c r="J899" t="s">
        <v>71</v>
      </c>
      <c r="K899" t="s">
        <v>71</v>
      </c>
      <c r="L899" t="s">
        <v>62</v>
      </c>
      <c r="M899" t="s">
        <v>443</v>
      </c>
      <c r="N899" t="s">
        <v>52</v>
      </c>
      <c r="O899" t="s">
        <v>4966</v>
      </c>
      <c r="P899">
        <v>9999999999</v>
      </c>
      <c r="Q899" t="s">
        <v>445</v>
      </c>
      <c r="R899" t="s">
        <v>132</v>
      </c>
      <c r="S899" t="s">
        <v>88</v>
      </c>
      <c r="T899" t="s">
        <v>43</v>
      </c>
      <c r="U899" t="s">
        <v>44</v>
      </c>
      <c r="V899" t="s">
        <v>45</v>
      </c>
      <c r="W899" t="s">
        <v>5069</v>
      </c>
      <c r="X899" t="s">
        <v>91</v>
      </c>
      <c r="Y899" t="s">
        <v>46</v>
      </c>
      <c r="Z899" t="s">
        <v>92</v>
      </c>
      <c r="AA899" t="s">
        <v>92</v>
      </c>
      <c r="AB899" t="s">
        <v>351</v>
      </c>
      <c r="AC899" t="s">
        <v>94</v>
      </c>
      <c r="AD899" t="s">
        <v>1270</v>
      </c>
      <c r="AE899" t="s">
        <v>185</v>
      </c>
      <c r="AF899" t="s">
        <v>4959</v>
      </c>
      <c r="AG899" t="s">
        <v>196</v>
      </c>
      <c r="AH899" s="93">
        <f>VLOOKUP(Table1[[#This Row],[Caste]],Factor!$H$1:$K$13,4,0)</f>
        <v>1.2612194085121222</v>
      </c>
      <c r="AI899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899">
        <f>Table1[[#This Row],[Factor_1]]*Table1[[#This Row],[2024 Factor]]</f>
        <v>4.3746926640885135</v>
      </c>
      <c r="AK899">
        <f>VLOOKUP(Table1[[#This Row],[Q18: Gender]],Factor!$A$33:$E$35,5,0)</f>
        <v>2.1645021645021645</v>
      </c>
      <c r="AL899">
        <f>VLOOKUP(Table1[[#This Row],[Taluka]],Factor!$A$42:$G$46,7,0)</f>
        <v>1.1213131007097483</v>
      </c>
      <c r="AM899">
        <f>VLOOKUP(Table1[[#This Row],[Caste]]&amp;Table1[[#This Row],[Q18: Gender]],Factor!$W$1:$X$23,2,0)</f>
        <v>2.4228688637206557</v>
      </c>
      <c r="AN899">
        <f>VLOOKUP(Table1[[#This Row],[Taluka]]&amp;Table1[[#This Row],[Caste]]&amp;Table1[[#This Row],[Q18: Gender]],Factor!$AK$4:$AL$93,2,0)</f>
        <v>1.6647158900419725</v>
      </c>
      <c r="AO899">
        <f t="shared" si="154"/>
        <v>-1</v>
      </c>
      <c r="AP899">
        <f t="shared" si="155"/>
        <v>-1</v>
      </c>
      <c r="AQ899">
        <f t="shared" si="156"/>
        <v>-1</v>
      </c>
      <c r="AR899">
        <f t="shared" si="157"/>
        <v>1</v>
      </c>
      <c r="AS899">
        <f t="shared" si="158"/>
        <v>1</v>
      </c>
      <c r="AT899">
        <f t="shared" si="159"/>
        <v>1</v>
      </c>
      <c r="AU899">
        <f t="shared" si="160"/>
        <v>-0.5</v>
      </c>
      <c r="AV899">
        <f>SUM(Table1[[#This Row],[Satis]:[29]])</f>
        <v>0</v>
      </c>
      <c r="AW899">
        <f t="shared" si="161"/>
        <v>1</v>
      </c>
      <c r="AX899">
        <f t="shared" si="162"/>
        <v>2</v>
      </c>
      <c r="AY899">
        <f t="shared" si="163"/>
        <v>2</v>
      </c>
      <c r="AZ899" t="str">
        <f t="shared" si="164"/>
        <v>Neutral YSRCP</v>
      </c>
    </row>
    <row r="900" spans="1:52" x14ac:dyDescent="0.3">
      <c r="A900" t="s">
        <v>4976</v>
      </c>
      <c r="B900" s="94">
        <v>46049</v>
      </c>
      <c r="C900" t="s">
        <v>4977</v>
      </c>
      <c r="D900" t="s">
        <v>4978</v>
      </c>
      <c r="E900" t="s">
        <v>4953</v>
      </c>
      <c r="F900" t="s">
        <v>240</v>
      </c>
      <c r="G900" t="s">
        <v>39</v>
      </c>
      <c r="H900" t="s">
        <v>4979</v>
      </c>
      <c r="I900" t="s">
        <v>227</v>
      </c>
      <c r="J900" t="s">
        <v>71</v>
      </c>
      <c r="K900" t="s">
        <v>71</v>
      </c>
      <c r="L900" t="s">
        <v>62</v>
      </c>
      <c r="M900" t="s">
        <v>51</v>
      </c>
      <c r="N900" t="s">
        <v>107</v>
      </c>
      <c r="O900" t="s">
        <v>4980</v>
      </c>
      <c r="P900">
        <v>8790582878</v>
      </c>
      <c r="Q900" t="s">
        <v>54</v>
      </c>
      <c r="R900" t="s">
        <v>132</v>
      </c>
      <c r="S900" t="s">
        <v>43</v>
      </c>
      <c r="T900" t="s">
        <v>43</v>
      </c>
      <c r="U900" t="s">
        <v>44</v>
      </c>
      <c r="V900" t="s">
        <v>45</v>
      </c>
      <c r="W900" t="s">
        <v>5050</v>
      </c>
      <c r="X900" t="s">
        <v>45</v>
      </c>
      <c r="Y900" t="s">
        <v>46</v>
      </c>
      <c r="Z900" t="s">
        <v>47</v>
      </c>
      <c r="AA900" t="s">
        <v>48</v>
      </c>
      <c r="AB900" t="s">
        <v>49</v>
      </c>
      <c r="AC900" t="s">
        <v>49</v>
      </c>
      <c r="AD900" t="s">
        <v>1279</v>
      </c>
      <c r="AE900" t="s">
        <v>185</v>
      </c>
      <c r="AF900" t="s">
        <v>1355</v>
      </c>
      <c r="AG900" t="s">
        <v>196</v>
      </c>
      <c r="AH900" s="93">
        <f>VLOOKUP(Table1[[#This Row],[Caste]],Factor!$H$1:$K$13,4,0)</f>
        <v>1.2612194085121222</v>
      </c>
      <c r="AI900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900">
        <f>Table1[[#This Row],[Factor_1]]*Table1[[#This Row],[2024 Factor]]</f>
        <v>0.92029223709519836</v>
      </c>
      <c r="AK900">
        <f>VLOOKUP(Table1[[#This Row],[Q18: Gender]],Factor!$A$33:$E$35,5,0)</f>
        <v>0.85034013605442171</v>
      </c>
      <c r="AL900">
        <f>VLOOKUP(Table1[[#This Row],[Taluka]],Factor!$A$42:$G$46,7,0)</f>
        <v>1.1213131007097483</v>
      </c>
      <c r="AM900">
        <f>VLOOKUP(Table1[[#This Row],[Caste]]&amp;Table1[[#This Row],[Q18: Gender]],Factor!$W$1:$X$23,2,0)</f>
        <v>0.85249089649430487</v>
      </c>
      <c r="AN900">
        <f>VLOOKUP(Table1[[#This Row],[Taluka]]&amp;Table1[[#This Row],[Caste]]&amp;Table1[[#This Row],[Q18: Gender]],Factor!$AK$4:$AL$93,2,0)</f>
        <v>1.3317727120335781</v>
      </c>
      <c r="AO900">
        <f t="shared" si="154"/>
        <v>-1</v>
      </c>
      <c r="AP900">
        <f t="shared" si="155"/>
        <v>-1</v>
      </c>
      <c r="AQ900">
        <f t="shared" si="156"/>
        <v>-1</v>
      </c>
      <c r="AR900">
        <f t="shared" si="157"/>
        <v>-1</v>
      </c>
      <c r="AS900">
        <f t="shared" si="158"/>
        <v>-1</v>
      </c>
      <c r="AT900">
        <f t="shared" si="159"/>
        <v>-1</v>
      </c>
      <c r="AU900">
        <f t="shared" si="160"/>
        <v>-5.5</v>
      </c>
      <c r="AV900">
        <f>SUM(Table1[[#This Row],[Satis]:[29]])</f>
        <v>-6</v>
      </c>
      <c r="AW900">
        <f t="shared" si="161"/>
        <v>-5</v>
      </c>
      <c r="AX900">
        <f t="shared" si="162"/>
        <v>-4</v>
      </c>
      <c r="AY900">
        <f t="shared" si="163"/>
        <v>-3</v>
      </c>
      <c r="AZ900" t="str">
        <f t="shared" si="164"/>
        <v>TDP HardCore</v>
      </c>
    </row>
    <row r="901" spans="1:52" x14ac:dyDescent="0.3">
      <c r="A901" t="s">
        <v>4967</v>
      </c>
      <c r="B901" s="94">
        <v>46049</v>
      </c>
      <c r="C901" t="s">
        <v>4968</v>
      </c>
      <c r="D901" t="s">
        <v>4969</v>
      </c>
      <c r="E901" t="s">
        <v>4953</v>
      </c>
      <c r="F901" t="s">
        <v>240</v>
      </c>
      <c r="G901" t="s">
        <v>39</v>
      </c>
      <c r="H901" t="s">
        <v>4970</v>
      </c>
      <c r="I901" t="s">
        <v>227</v>
      </c>
      <c r="J901" t="s">
        <v>71</v>
      </c>
      <c r="K901" t="s">
        <v>71</v>
      </c>
      <c r="L901" t="s">
        <v>62</v>
      </c>
      <c r="M901" t="s">
        <v>51</v>
      </c>
      <c r="N901" t="s">
        <v>162</v>
      </c>
      <c r="O901" t="s">
        <v>1933</v>
      </c>
      <c r="P901">
        <v>7416837449</v>
      </c>
      <c r="Q901" t="s">
        <v>445</v>
      </c>
      <c r="R901" t="s">
        <v>132</v>
      </c>
      <c r="S901" t="s">
        <v>43</v>
      </c>
      <c r="T901" t="s">
        <v>89</v>
      </c>
      <c r="U901" t="s">
        <v>44</v>
      </c>
      <c r="V901" t="s">
        <v>91</v>
      </c>
      <c r="W901" t="s">
        <v>5055</v>
      </c>
      <c r="X901" t="s">
        <v>45</v>
      </c>
      <c r="Y901" t="s">
        <v>716</v>
      </c>
      <c r="Z901" t="s">
        <v>47</v>
      </c>
      <c r="AA901" t="s">
        <v>48</v>
      </c>
      <c r="AB901" t="s">
        <v>49</v>
      </c>
      <c r="AC901" t="s">
        <v>49</v>
      </c>
      <c r="AD901" t="s">
        <v>1552</v>
      </c>
      <c r="AE901" t="s">
        <v>185</v>
      </c>
      <c r="AF901" t="s">
        <v>1341</v>
      </c>
      <c r="AG901" t="s">
        <v>196</v>
      </c>
      <c r="AH901" s="93">
        <f>VLOOKUP(Table1[[#This Row],[Caste]],Factor!$H$1:$K$13,4,0)</f>
        <v>1.2612194085121222</v>
      </c>
      <c r="AI901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901">
        <f>Table1[[#This Row],[Factor_1]]*Table1[[#This Row],[2024 Factor]]</f>
        <v>2.6155674106916162</v>
      </c>
      <c r="AK901">
        <f>VLOOKUP(Table1[[#This Row],[Q18: Gender]],Factor!$A$33:$E$35,5,0)</f>
        <v>2.1645021645021645</v>
      </c>
      <c r="AL901">
        <f>VLOOKUP(Table1[[#This Row],[Taluka]],Factor!$A$42:$G$46,7,0)</f>
        <v>1.1213131007097483</v>
      </c>
      <c r="AM901">
        <f>VLOOKUP(Table1[[#This Row],[Caste]]&amp;Table1[[#This Row],[Q18: Gender]],Factor!$W$1:$X$23,2,0)</f>
        <v>2.4228688637206557</v>
      </c>
      <c r="AN901">
        <f>VLOOKUP(Table1[[#This Row],[Taluka]]&amp;Table1[[#This Row],[Caste]]&amp;Table1[[#This Row],[Q18: Gender]],Factor!$AK$4:$AL$93,2,0)</f>
        <v>1.6647158900419725</v>
      </c>
      <c r="AO901">
        <f t="shared" si="154"/>
        <v>1</v>
      </c>
      <c r="AP901">
        <f t="shared" si="155"/>
        <v>-1</v>
      </c>
      <c r="AQ901">
        <f t="shared" si="156"/>
        <v>1</v>
      </c>
      <c r="AR901">
        <f t="shared" si="157"/>
        <v>-1</v>
      </c>
      <c r="AS901">
        <f t="shared" si="158"/>
        <v>-1</v>
      </c>
      <c r="AT901">
        <f t="shared" si="159"/>
        <v>-1</v>
      </c>
      <c r="AU901">
        <f t="shared" si="160"/>
        <v>-1.5</v>
      </c>
      <c r="AV901">
        <f>SUM(Table1[[#This Row],[Satis]:[29]])</f>
        <v>-2</v>
      </c>
      <c r="AW901">
        <f t="shared" si="161"/>
        <v>-1</v>
      </c>
      <c r="AX901">
        <f t="shared" si="162"/>
        <v>-2</v>
      </c>
      <c r="AY901">
        <f t="shared" si="163"/>
        <v>-2</v>
      </c>
      <c r="AZ901" t="str">
        <f t="shared" si="164"/>
        <v>Neutral TDP</v>
      </c>
    </row>
    <row r="902" spans="1:52" x14ac:dyDescent="0.3">
      <c r="A902" t="s">
        <v>4981</v>
      </c>
      <c r="B902" s="94">
        <v>46049</v>
      </c>
      <c r="C902" t="s">
        <v>4982</v>
      </c>
      <c r="D902" t="s">
        <v>4983</v>
      </c>
      <c r="E902" t="s">
        <v>4953</v>
      </c>
      <c r="F902" t="s">
        <v>240</v>
      </c>
      <c r="G902" t="s">
        <v>39</v>
      </c>
      <c r="H902" t="s">
        <v>4984</v>
      </c>
      <c r="I902" t="s">
        <v>227</v>
      </c>
      <c r="J902" t="s">
        <v>71</v>
      </c>
      <c r="K902" t="s">
        <v>71</v>
      </c>
      <c r="L902" t="s">
        <v>451</v>
      </c>
      <c r="M902" t="s">
        <v>51</v>
      </c>
      <c r="N902" t="s">
        <v>162</v>
      </c>
      <c r="O902" t="s">
        <v>4985</v>
      </c>
      <c r="P902">
        <v>8106443788</v>
      </c>
      <c r="Q902" t="s">
        <v>445</v>
      </c>
      <c r="R902" t="s">
        <v>73</v>
      </c>
      <c r="S902" t="s">
        <v>89</v>
      </c>
      <c r="T902" t="s">
        <v>89</v>
      </c>
      <c r="U902" t="s">
        <v>90</v>
      </c>
      <c r="V902" t="s">
        <v>91</v>
      </c>
      <c r="W902" t="s">
        <v>5056</v>
      </c>
      <c r="X902" t="s">
        <v>45</v>
      </c>
      <c r="Y902" t="s">
        <v>46</v>
      </c>
      <c r="Z902" t="s">
        <v>242</v>
      </c>
      <c r="AA902" t="s">
        <v>242</v>
      </c>
      <c r="AB902" t="s">
        <v>49</v>
      </c>
      <c r="AC902" t="s">
        <v>49</v>
      </c>
      <c r="AD902" t="s">
        <v>1270</v>
      </c>
      <c r="AE902" t="s">
        <v>185</v>
      </c>
      <c r="AF902" t="s">
        <v>1341</v>
      </c>
      <c r="AG902" t="s">
        <v>196</v>
      </c>
      <c r="AH902" s="93">
        <f>VLOOKUP(Table1[[#This Row],[Caste]],Factor!$H$1:$K$13,4,0)</f>
        <v>1.2612194085121222</v>
      </c>
      <c r="AI902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902">
        <f>Table1[[#This Row],[Factor_1]]*Table1[[#This Row],[2024 Factor]]</f>
        <v>1.6028209406152043</v>
      </c>
      <c r="AK902">
        <f>VLOOKUP(Table1[[#This Row],[Q18: Gender]],Factor!$A$33:$E$35,5,0)</f>
        <v>2.1645021645021645</v>
      </c>
      <c r="AL902">
        <f>VLOOKUP(Table1[[#This Row],[Taluka]],Factor!$A$42:$G$46,7,0)</f>
        <v>1.1213131007097483</v>
      </c>
      <c r="AM902">
        <f>VLOOKUP(Table1[[#This Row],[Caste]]&amp;Table1[[#This Row],[Q18: Gender]],Factor!$W$1:$X$23,2,0)</f>
        <v>2.4228688637206557</v>
      </c>
      <c r="AN902">
        <f>VLOOKUP(Table1[[#This Row],[Taluka]]&amp;Table1[[#This Row],[Caste]]&amp;Table1[[#This Row],[Q18: Gender]],Factor!$AK$4:$AL$93,2,0)</f>
        <v>1.6647158900419725</v>
      </c>
      <c r="AO902">
        <f t="shared" si="154"/>
        <v>1</v>
      </c>
      <c r="AP902">
        <f t="shared" si="155"/>
        <v>1</v>
      </c>
      <c r="AQ902">
        <f t="shared" si="156"/>
        <v>1</v>
      </c>
      <c r="AR902">
        <f t="shared" si="157"/>
        <v>-1</v>
      </c>
      <c r="AS902">
        <f t="shared" si="158"/>
        <v>-1</v>
      </c>
      <c r="AT902">
        <f t="shared" si="159"/>
        <v>-1</v>
      </c>
      <c r="AU902">
        <f t="shared" si="160"/>
        <v>0.5</v>
      </c>
      <c r="AV902">
        <f>SUM(Table1[[#This Row],[Satis]:[29]])</f>
        <v>0</v>
      </c>
      <c r="AW902">
        <f t="shared" si="161"/>
        <v>-1</v>
      </c>
      <c r="AX902">
        <f t="shared" si="162"/>
        <v>-2</v>
      </c>
      <c r="AY902">
        <f t="shared" si="163"/>
        <v>-2</v>
      </c>
      <c r="AZ902" t="str">
        <f t="shared" si="164"/>
        <v>Neutral TDP</v>
      </c>
    </row>
    <row r="903" spans="1:52" x14ac:dyDescent="0.3">
      <c r="A903" t="s">
        <v>4986</v>
      </c>
      <c r="B903" s="94">
        <v>46049</v>
      </c>
      <c r="C903" t="s">
        <v>4987</v>
      </c>
      <c r="D903" t="s">
        <v>4988</v>
      </c>
      <c r="E903" t="s">
        <v>4953</v>
      </c>
      <c r="F903" t="s">
        <v>240</v>
      </c>
      <c r="G903" t="s">
        <v>39</v>
      </c>
      <c r="H903" t="s">
        <v>4990</v>
      </c>
      <c r="I903" t="s">
        <v>227</v>
      </c>
      <c r="J903" t="s">
        <v>71</v>
      </c>
      <c r="K903" t="s">
        <v>71</v>
      </c>
      <c r="L903" t="s">
        <v>62</v>
      </c>
      <c r="M903" t="s">
        <v>51</v>
      </c>
      <c r="N903" t="s">
        <v>63</v>
      </c>
      <c r="O903" t="s">
        <v>4991</v>
      </c>
      <c r="P903">
        <v>7207464236</v>
      </c>
      <c r="Q903" t="s">
        <v>445</v>
      </c>
      <c r="R903" t="s">
        <v>139</v>
      </c>
      <c r="S903" t="s">
        <v>43</v>
      </c>
      <c r="T903" t="s">
        <v>43</v>
      </c>
      <c r="U903" t="s">
        <v>90</v>
      </c>
      <c r="V903" t="s">
        <v>45</v>
      </c>
      <c r="W903" t="s">
        <v>5054</v>
      </c>
      <c r="X903" t="s">
        <v>45</v>
      </c>
      <c r="Y903" t="s">
        <v>46</v>
      </c>
      <c r="Z903" t="s">
        <v>242</v>
      </c>
      <c r="AA903" t="s">
        <v>691</v>
      </c>
      <c r="AB903" t="s">
        <v>49</v>
      </c>
      <c r="AC903" t="s">
        <v>49</v>
      </c>
      <c r="AD903" t="s">
        <v>1279</v>
      </c>
      <c r="AE903" t="s">
        <v>1271</v>
      </c>
      <c r="AF903" t="s">
        <v>4989</v>
      </c>
      <c r="AG903" t="s">
        <v>196</v>
      </c>
      <c r="AH903" s="93">
        <f>VLOOKUP(Table1[[#This Row],[Caste]],Factor!$H$1:$K$13,4,0)</f>
        <v>1.2612194085121222</v>
      </c>
      <c r="AI903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903">
        <f>Table1[[#This Row],[Factor_1]]*Table1[[#This Row],[2024 Factor]]</f>
        <v>1.6028209406152043</v>
      </c>
      <c r="AK903">
        <f>VLOOKUP(Table1[[#This Row],[Q18: Gender]],Factor!$A$33:$E$35,5,0)</f>
        <v>2.1645021645021645</v>
      </c>
      <c r="AL903">
        <f>VLOOKUP(Table1[[#This Row],[Taluka]],Factor!$A$42:$G$46,7,0)</f>
        <v>1.1213131007097483</v>
      </c>
      <c r="AM903">
        <f>VLOOKUP(Table1[[#This Row],[Caste]]&amp;Table1[[#This Row],[Q18: Gender]],Factor!$W$1:$X$23,2,0)</f>
        <v>2.4228688637206557</v>
      </c>
      <c r="AN903">
        <f>VLOOKUP(Table1[[#This Row],[Taluka]]&amp;Table1[[#This Row],[Caste]]&amp;Table1[[#This Row],[Q18: Gender]],Factor!$AK$4:$AL$93,2,0)</f>
        <v>1.6647158900419725</v>
      </c>
      <c r="AO903">
        <f t="shared" si="154"/>
        <v>-1</v>
      </c>
      <c r="AP903">
        <f t="shared" si="155"/>
        <v>1</v>
      </c>
      <c r="AQ903">
        <f t="shared" si="156"/>
        <v>-1</v>
      </c>
      <c r="AR903">
        <f t="shared" si="157"/>
        <v>-1</v>
      </c>
      <c r="AS903">
        <f t="shared" si="158"/>
        <v>-1</v>
      </c>
      <c r="AT903">
        <f t="shared" si="159"/>
        <v>-1</v>
      </c>
      <c r="AU903">
        <f t="shared" si="160"/>
        <v>-3.5</v>
      </c>
      <c r="AV903">
        <f>SUM(Table1[[#This Row],[Satis]:[29]])</f>
        <v>-4</v>
      </c>
      <c r="AW903">
        <f t="shared" si="161"/>
        <v>-5</v>
      </c>
      <c r="AX903">
        <f t="shared" si="162"/>
        <v>-4</v>
      </c>
      <c r="AY903">
        <f t="shared" si="163"/>
        <v>-3</v>
      </c>
      <c r="AZ903" t="str">
        <f t="shared" si="164"/>
        <v>TDP Sympathiser</v>
      </c>
    </row>
    <row r="904" spans="1:52" x14ac:dyDescent="0.3">
      <c r="A904" t="s">
        <v>4992</v>
      </c>
      <c r="B904" s="94">
        <v>46050</v>
      </c>
      <c r="C904" t="s">
        <v>4993</v>
      </c>
      <c r="D904" t="s">
        <v>4994</v>
      </c>
      <c r="E904" t="s">
        <v>4995</v>
      </c>
      <c r="F904" t="s">
        <v>240</v>
      </c>
      <c r="G904" t="s">
        <v>39</v>
      </c>
      <c r="H904" t="s">
        <v>4996</v>
      </c>
      <c r="I904" t="s">
        <v>70</v>
      </c>
      <c r="J904" t="s">
        <v>71</v>
      </c>
      <c r="K904" t="s">
        <v>71</v>
      </c>
      <c r="L904" t="s">
        <v>62</v>
      </c>
      <c r="M904" t="s">
        <v>443</v>
      </c>
      <c r="N904" t="s">
        <v>52</v>
      </c>
      <c r="O904" t="s">
        <v>4998</v>
      </c>
      <c r="P904">
        <v>7095775571</v>
      </c>
      <c r="Q904" t="s">
        <v>445</v>
      </c>
      <c r="R904" t="s">
        <v>61</v>
      </c>
      <c r="S904" t="s">
        <v>89</v>
      </c>
      <c r="T904" t="s">
        <v>89</v>
      </c>
      <c r="U904" t="s">
        <v>44</v>
      </c>
      <c r="V904" t="s">
        <v>91</v>
      </c>
      <c r="W904" t="s">
        <v>4997</v>
      </c>
      <c r="X904" t="s">
        <v>91</v>
      </c>
      <c r="Y904" t="s">
        <v>46</v>
      </c>
      <c r="Z904" t="s">
        <v>92</v>
      </c>
      <c r="AA904" t="s">
        <v>92</v>
      </c>
      <c r="AB904" t="s">
        <v>147</v>
      </c>
      <c r="AC904" t="s">
        <v>381</v>
      </c>
      <c r="AD904" t="s">
        <v>1552</v>
      </c>
      <c r="AE904">
        <v>0</v>
      </c>
      <c r="AF904">
        <v>0</v>
      </c>
      <c r="AG904" t="s">
        <v>196</v>
      </c>
      <c r="AH904" s="93">
        <f>VLOOKUP(Table1[[#This Row],[Caste]],Factor!$H$1:$K$13,4,0)</f>
        <v>1.3836274505214585</v>
      </c>
      <c r="AI904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904">
        <f>Table1[[#This Row],[Factor_1]]*Table1[[#This Row],[2024 Factor]]</f>
        <v>3.4809023142961388</v>
      </c>
      <c r="AK904">
        <f>VLOOKUP(Table1[[#This Row],[Q18: Gender]],Factor!$A$33:$E$35,5,0)</f>
        <v>2.1645021645021645</v>
      </c>
      <c r="AL904">
        <f>VLOOKUP(Table1[[#This Row],[Taluka]],Factor!$A$42:$G$46,7,0)</f>
        <v>1.1213131007097483</v>
      </c>
      <c r="AM904">
        <f>VLOOKUP(Table1[[#This Row],[Caste]]&amp;Table1[[#This Row],[Q18: Gender]],Factor!$W$1:$X$23,2,0)</f>
        <v>1.9278542477265657</v>
      </c>
      <c r="AN904">
        <f>VLOOKUP(Table1[[#This Row],[Taluka]]&amp;Table1[[#This Row],[Caste]]&amp;Table1[[#This Row],[Q18: Gender]],Factor!$AK$4:$AL$93,2,0)</f>
        <v>1.2302776805571209</v>
      </c>
      <c r="AO904">
        <f t="shared" si="154"/>
        <v>1</v>
      </c>
      <c r="AP904">
        <f t="shared" si="155"/>
        <v>-1</v>
      </c>
      <c r="AQ904">
        <f t="shared" si="156"/>
        <v>1</v>
      </c>
      <c r="AR904">
        <f t="shared" si="157"/>
        <v>1</v>
      </c>
      <c r="AS904">
        <f t="shared" si="158"/>
        <v>1</v>
      </c>
      <c r="AT904">
        <f t="shared" si="159"/>
        <v>1</v>
      </c>
      <c r="AU904">
        <f t="shared" si="160"/>
        <v>3.5</v>
      </c>
      <c r="AV904">
        <f>SUM(Table1[[#This Row],[Satis]:[29]])</f>
        <v>4</v>
      </c>
      <c r="AW904">
        <f t="shared" si="161"/>
        <v>5</v>
      </c>
      <c r="AX904">
        <f t="shared" si="162"/>
        <v>4</v>
      </c>
      <c r="AY904">
        <f t="shared" si="163"/>
        <v>3</v>
      </c>
      <c r="AZ904" t="str">
        <f t="shared" si="164"/>
        <v>YSRCP Sympathiser</v>
      </c>
    </row>
    <row r="905" spans="1:52" x14ac:dyDescent="0.3">
      <c r="A905" t="s">
        <v>4999</v>
      </c>
      <c r="B905" s="94">
        <v>46050</v>
      </c>
      <c r="C905" t="s">
        <v>5000</v>
      </c>
      <c r="D905" t="s">
        <v>5001</v>
      </c>
      <c r="E905" t="s">
        <v>4995</v>
      </c>
      <c r="F905" t="s">
        <v>240</v>
      </c>
      <c r="G905" t="s">
        <v>39</v>
      </c>
      <c r="H905" t="s">
        <v>5002</v>
      </c>
      <c r="I905" t="s">
        <v>70</v>
      </c>
      <c r="J905" t="s">
        <v>71</v>
      </c>
      <c r="K905" t="s">
        <v>71</v>
      </c>
      <c r="L905" t="s">
        <v>626</v>
      </c>
      <c r="M905" t="s">
        <v>51</v>
      </c>
      <c r="N905" t="s">
        <v>52</v>
      </c>
      <c r="O905" t="s">
        <v>5003</v>
      </c>
      <c r="P905">
        <v>9515848261</v>
      </c>
      <c r="Q905" t="s">
        <v>54</v>
      </c>
      <c r="R905" t="s">
        <v>132</v>
      </c>
      <c r="S905" t="s">
        <v>88</v>
      </c>
      <c r="T905" t="s">
        <v>89</v>
      </c>
      <c r="U905" t="s">
        <v>90</v>
      </c>
      <c r="V905" t="s">
        <v>91</v>
      </c>
      <c r="W905" t="s">
        <v>5056</v>
      </c>
      <c r="X905" t="s">
        <v>91</v>
      </c>
      <c r="Y905" t="s">
        <v>46</v>
      </c>
      <c r="Z905" t="s">
        <v>92</v>
      </c>
      <c r="AA905" t="s">
        <v>92</v>
      </c>
      <c r="AB905" t="s">
        <v>93</v>
      </c>
      <c r="AC905" t="s">
        <v>94</v>
      </c>
      <c r="AD905" t="s">
        <v>1552</v>
      </c>
      <c r="AE905" t="s">
        <v>185</v>
      </c>
      <c r="AF905" t="s">
        <v>1341</v>
      </c>
      <c r="AG905" t="s">
        <v>196</v>
      </c>
      <c r="AH905" s="93">
        <f>VLOOKUP(Table1[[#This Row],[Caste]],Factor!$H$1:$K$13,4,0)</f>
        <v>1.3836274505214585</v>
      </c>
      <c r="AI905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905">
        <f>Table1[[#This Row],[Factor_1]]*Table1[[#This Row],[2024 Factor]]</f>
        <v>1.9482662206881376</v>
      </c>
      <c r="AK905">
        <f>VLOOKUP(Table1[[#This Row],[Q18: Gender]],Factor!$A$33:$E$35,5,0)</f>
        <v>0.85034013605442171</v>
      </c>
      <c r="AL905">
        <f>VLOOKUP(Table1[[#This Row],[Taluka]],Factor!$A$42:$G$46,7,0)</f>
        <v>1.1213131007097483</v>
      </c>
      <c r="AM905">
        <f>VLOOKUP(Table1[[#This Row],[Caste]]&amp;Table1[[#This Row],[Q18: Gender]],Factor!$W$1:$X$23,2,0)</f>
        <v>1.0790228998469584</v>
      </c>
      <c r="AN905">
        <f>VLOOKUP(Table1[[#This Row],[Taluka]]&amp;Table1[[#This Row],[Caste]]&amp;Table1[[#This Row],[Q18: Gender]],Factor!$AK$4:$AL$93,2,0)</f>
        <v>0.90933567693352424</v>
      </c>
      <c r="AO905">
        <f t="shared" si="154"/>
        <v>1</v>
      </c>
      <c r="AP905">
        <f t="shared" si="155"/>
        <v>1</v>
      </c>
      <c r="AQ905">
        <f t="shared" si="156"/>
        <v>1</v>
      </c>
      <c r="AR905">
        <f t="shared" si="157"/>
        <v>1</v>
      </c>
      <c r="AS905">
        <f t="shared" si="158"/>
        <v>1</v>
      </c>
      <c r="AT905">
        <f t="shared" si="159"/>
        <v>1</v>
      </c>
      <c r="AU905">
        <f t="shared" si="160"/>
        <v>5.5</v>
      </c>
      <c r="AV905">
        <f>SUM(Table1[[#This Row],[Satis]:[29]])</f>
        <v>6</v>
      </c>
      <c r="AW905">
        <f t="shared" si="161"/>
        <v>5</v>
      </c>
      <c r="AX905">
        <f t="shared" si="162"/>
        <v>4</v>
      </c>
      <c r="AY905">
        <f t="shared" si="163"/>
        <v>3</v>
      </c>
      <c r="AZ905" t="str">
        <f t="shared" si="164"/>
        <v>YSRCP HardCore</v>
      </c>
    </row>
    <row r="906" spans="1:52" x14ac:dyDescent="0.3">
      <c r="A906" t="s">
        <v>5016</v>
      </c>
      <c r="B906" s="94">
        <v>46050</v>
      </c>
      <c r="C906" t="s">
        <v>5017</v>
      </c>
      <c r="D906" t="s">
        <v>5018</v>
      </c>
      <c r="E906" t="s">
        <v>5013</v>
      </c>
      <c r="F906" t="s">
        <v>240</v>
      </c>
      <c r="G906" t="s">
        <v>39</v>
      </c>
      <c r="H906" t="s">
        <v>5019</v>
      </c>
      <c r="I906" t="s">
        <v>70</v>
      </c>
      <c r="J906" t="s">
        <v>71</v>
      </c>
      <c r="K906" t="s">
        <v>71</v>
      </c>
      <c r="L906" t="s">
        <v>75</v>
      </c>
      <c r="M906" t="s">
        <v>51</v>
      </c>
      <c r="N906" t="s">
        <v>63</v>
      </c>
      <c r="O906" t="s">
        <v>5020</v>
      </c>
      <c r="P906">
        <v>9701437857</v>
      </c>
      <c r="Q906" t="s">
        <v>54</v>
      </c>
      <c r="R906" t="s">
        <v>139</v>
      </c>
      <c r="S906" t="s">
        <v>89</v>
      </c>
      <c r="T906" t="s">
        <v>89</v>
      </c>
      <c r="U906" t="s">
        <v>44</v>
      </c>
      <c r="V906" t="s">
        <v>91</v>
      </c>
      <c r="W906" t="s">
        <v>5056</v>
      </c>
      <c r="X906" t="s">
        <v>45</v>
      </c>
      <c r="Y906" t="s">
        <v>46</v>
      </c>
      <c r="Z906" t="s">
        <v>92</v>
      </c>
      <c r="AA906" t="s">
        <v>48</v>
      </c>
      <c r="AB906" t="s">
        <v>49</v>
      </c>
      <c r="AC906" t="s">
        <v>49</v>
      </c>
      <c r="AD906" t="s">
        <v>1270</v>
      </c>
      <c r="AE906" t="s">
        <v>185</v>
      </c>
      <c r="AF906" t="s">
        <v>4863</v>
      </c>
      <c r="AG906" t="s">
        <v>196</v>
      </c>
      <c r="AH906" s="93">
        <f>VLOOKUP(Table1[[#This Row],[Caste]],Factor!$H$1:$K$13,4,0)</f>
        <v>1.3836274505214585</v>
      </c>
      <c r="AI906">
        <f>IFERROR(VLOOKUP(Table1[[#This Row],[Q10: మీరు 2024 అసెంబ్లీ ఎన్నికలో ఏ పార్టీ కి వోట్ వేశారు?]],Factor!$D$22:$H$23,5,0),Factor!$H$24)</f>
        <v>1.0795332136445241</v>
      </c>
      <c r="AJ906">
        <f>Table1[[#This Row],[Factor_1]]*Table1[[#This Row],[2024 Factor]]</f>
        <v>1.1648410586678206</v>
      </c>
      <c r="AK906">
        <f>VLOOKUP(Table1[[#This Row],[Q18: Gender]],Factor!$A$33:$E$35,5,0)</f>
        <v>0.85034013605442171</v>
      </c>
      <c r="AL906">
        <f>VLOOKUP(Table1[[#This Row],[Taluka]],Factor!$A$42:$G$46,7,0)</f>
        <v>1.1213131007097483</v>
      </c>
      <c r="AM906">
        <f>VLOOKUP(Table1[[#This Row],[Caste]]&amp;Table1[[#This Row],[Q18: Gender]],Factor!$W$1:$X$23,2,0)</f>
        <v>1.0790228998469584</v>
      </c>
      <c r="AN906">
        <f>VLOOKUP(Table1[[#This Row],[Taluka]]&amp;Table1[[#This Row],[Caste]]&amp;Table1[[#This Row],[Q18: Gender]],Factor!$AK$4:$AL$93,2,0)</f>
        <v>0.90933567693352424</v>
      </c>
      <c r="AO906">
        <f t="shared" si="154"/>
        <v>1</v>
      </c>
      <c r="AP906">
        <f t="shared" si="155"/>
        <v>-1</v>
      </c>
      <c r="AQ906">
        <f t="shared" si="156"/>
        <v>1</v>
      </c>
      <c r="AR906">
        <f t="shared" si="157"/>
        <v>-1</v>
      </c>
      <c r="AS906">
        <f t="shared" si="158"/>
        <v>-1</v>
      </c>
      <c r="AT906">
        <f t="shared" si="159"/>
        <v>1</v>
      </c>
      <c r="AU906">
        <f t="shared" si="160"/>
        <v>0.5</v>
      </c>
      <c r="AV906">
        <f>SUM(Table1[[#This Row],[Satis]:[29]])</f>
        <v>0</v>
      </c>
      <c r="AW906">
        <f t="shared" si="161"/>
        <v>1</v>
      </c>
      <c r="AX906">
        <f t="shared" si="162"/>
        <v>0</v>
      </c>
      <c r="AY906">
        <f t="shared" si="163"/>
        <v>2</v>
      </c>
      <c r="AZ906" t="str">
        <f t="shared" si="164"/>
        <v>Neutral YSRCP</v>
      </c>
    </row>
    <row r="907" spans="1:52" x14ac:dyDescent="0.3">
      <c r="A907" t="s">
        <v>5010</v>
      </c>
      <c r="B907" s="94">
        <v>46050</v>
      </c>
      <c r="C907" t="s">
        <v>5011</v>
      </c>
      <c r="D907" t="s">
        <v>5012</v>
      </c>
      <c r="E907" t="s">
        <v>5013</v>
      </c>
      <c r="F907" t="s">
        <v>240</v>
      </c>
      <c r="G907" t="s">
        <v>39</v>
      </c>
      <c r="H907" t="s">
        <v>5014</v>
      </c>
      <c r="I907" t="s">
        <v>70</v>
      </c>
      <c r="J907" t="s">
        <v>71</v>
      </c>
      <c r="K907" t="s">
        <v>71</v>
      </c>
      <c r="L907" t="s">
        <v>75</v>
      </c>
      <c r="M907" t="s">
        <v>443</v>
      </c>
      <c r="N907" t="s">
        <v>63</v>
      </c>
      <c r="O907" t="s">
        <v>5015</v>
      </c>
      <c r="P907">
        <v>7416770273</v>
      </c>
      <c r="Q907" t="s">
        <v>54</v>
      </c>
      <c r="R907" t="s">
        <v>132</v>
      </c>
      <c r="S907" t="s">
        <v>89</v>
      </c>
      <c r="T907" t="s">
        <v>89</v>
      </c>
      <c r="U907" t="s">
        <v>90</v>
      </c>
      <c r="V907" t="s">
        <v>91</v>
      </c>
      <c r="W907" t="s">
        <v>5040</v>
      </c>
      <c r="X907" t="s">
        <v>91</v>
      </c>
      <c r="Y907" t="s">
        <v>46</v>
      </c>
      <c r="Z907" t="s">
        <v>92</v>
      </c>
      <c r="AA907" t="s">
        <v>92</v>
      </c>
      <c r="AB907" t="s">
        <v>93</v>
      </c>
      <c r="AC907" t="s">
        <v>381</v>
      </c>
      <c r="AD907" t="s">
        <v>1270</v>
      </c>
      <c r="AE907">
        <v>0</v>
      </c>
      <c r="AF907">
        <v>0</v>
      </c>
      <c r="AG907" t="s">
        <v>196</v>
      </c>
      <c r="AH907" s="93">
        <f>VLOOKUP(Table1[[#This Row],[Caste]],Factor!$H$1:$K$13,4,0)</f>
        <v>1.3836274505214585</v>
      </c>
      <c r="AI907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907">
        <f>Table1[[#This Row],[Factor_1]]*Table1[[#This Row],[2024 Factor]]</f>
        <v>1.9482662206881376</v>
      </c>
      <c r="AK907">
        <f>VLOOKUP(Table1[[#This Row],[Q18: Gender]],Factor!$A$33:$E$35,5,0)</f>
        <v>0.85034013605442171</v>
      </c>
      <c r="AL907">
        <f>VLOOKUP(Table1[[#This Row],[Taluka]],Factor!$A$42:$G$46,7,0)</f>
        <v>1.1213131007097483</v>
      </c>
      <c r="AM907">
        <f>VLOOKUP(Table1[[#This Row],[Caste]]&amp;Table1[[#This Row],[Q18: Gender]],Factor!$W$1:$X$23,2,0)</f>
        <v>1.0790228998469584</v>
      </c>
      <c r="AN907">
        <f>VLOOKUP(Table1[[#This Row],[Taluka]]&amp;Table1[[#This Row],[Caste]]&amp;Table1[[#This Row],[Q18: Gender]],Factor!$AK$4:$AL$93,2,0)</f>
        <v>0.90933567693352424</v>
      </c>
      <c r="AO907">
        <f t="shared" si="154"/>
        <v>1</v>
      </c>
      <c r="AP907">
        <f t="shared" si="155"/>
        <v>1</v>
      </c>
      <c r="AQ907">
        <f t="shared" si="156"/>
        <v>1</v>
      </c>
      <c r="AR907">
        <f t="shared" si="157"/>
        <v>1</v>
      </c>
      <c r="AS907">
        <f t="shared" si="158"/>
        <v>1</v>
      </c>
      <c r="AT907">
        <f t="shared" si="159"/>
        <v>1</v>
      </c>
      <c r="AU907">
        <f t="shared" si="160"/>
        <v>5.5</v>
      </c>
      <c r="AV907">
        <f>SUM(Table1[[#This Row],[Satis]:[29]])</f>
        <v>6</v>
      </c>
      <c r="AW907">
        <f t="shared" si="161"/>
        <v>5</v>
      </c>
      <c r="AX907">
        <f t="shared" si="162"/>
        <v>4</v>
      </c>
      <c r="AY907">
        <f t="shared" si="163"/>
        <v>3</v>
      </c>
      <c r="AZ907" t="str">
        <f t="shared" si="164"/>
        <v>YSRCP HardCore</v>
      </c>
    </row>
    <row r="908" spans="1:52" x14ac:dyDescent="0.3">
      <c r="A908" t="s">
        <v>5004</v>
      </c>
      <c r="B908" s="94">
        <v>46050</v>
      </c>
      <c r="C908" t="s">
        <v>5005</v>
      </c>
      <c r="D908" t="s">
        <v>5006</v>
      </c>
      <c r="E908" t="s">
        <v>5007</v>
      </c>
      <c r="F908" t="s">
        <v>240</v>
      </c>
      <c r="G908" t="s">
        <v>39</v>
      </c>
      <c r="H908" t="s">
        <v>5008</v>
      </c>
      <c r="I908" t="s">
        <v>70</v>
      </c>
      <c r="J908" t="s">
        <v>71</v>
      </c>
      <c r="K908" t="s">
        <v>71</v>
      </c>
      <c r="L908" t="s">
        <v>161</v>
      </c>
      <c r="M908" t="s">
        <v>443</v>
      </c>
      <c r="N908" t="s">
        <v>63</v>
      </c>
      <c r="O908" t="s">
        <v>5009</v>
      </c>
      <c r="P908">
        <v>9885284003</v>
      </c>
      <c r="Q908" t="s">
        <v>54</v>
      </c>
      <c r="R908" t="s">
        <v>2116</v>
      </c>
      <c r="S908" t="s">
        <v>88</v>
      </c>
      <c r="T908" t="s">
        <v>89</v>
      </c>
      <c r="U908" t="s">
        <v>90</v>
      </c>
      <c r="V908" t="s">
        <v>91</v>
      </c>
      <c r="W908" t="s">
        <v>5081</v>
      </c>
      <c r="X908" t="s">
        <v>91</v>
      </c>
      <c r="Y908" t="s">
        <v>46</v>
      </c>
      <c r="Z908" t="s">
        <v>92</v>
      </c>
      <c r="AA908" t="s">
        <v>92</v>
      </c>
      <c r="AB908" t="s">
        <v>93</v>
      </c>
      <c r="AC908" t="s">
        <v>2590</v>
      </c>
      <c r="AD908" t="s">
        <v>1552</v>
      </c>
      <c r="AE908" t="s">
        <v>185</v>
      </c>
      <c r="AF908" t="s">
        <v>1341</v>
      </c>
      <c r="AG908" t="s">
        <v>196</v>
      </c>
      <c r="AH908" s="93">
        <f>VLOOKUP(Table1[[#This Row],[Caste]],Factor!$H$1:$K$13,4,0)</f>
        <v>1.3836274505214585</v>
      </c>
      <c r="AI908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908">
        <f>Table1[[#This Row],[Factor_1]]*Table1[[#This Row],[2024 Factor]]</f>
        <v>1.9482662206881376</v>
      </c>
      <c r="AK908">
        <f>VLOOKUP(Table1[[#This Row],[Q18: Gender]],Factor!$A$33:$E$35,5,0)</f>
        <v>0.85034013605442171</v>
      </c>
      <c r="AL908">
        <f>VLOOKUP(Table1[[#This Row],[Taluka]],Factor!$A$42:$G$46,7,0)</f>
        <v>1.1213131007097483</v>
      </c>
      <c r="AM908">
        <f>VLOOKUP(Table1[[#This Row],[Caste]]&amp;Table1[[#This Row],[Q18: Gender]],Factor!$W$1:$X$23,2,0)</f>
        <v>1.0790228998469584</v>
      </c>
      <c r="AN908">
        <f>VLOOKUP(Table1[[#This Row],[Taluka]]&amp;Table1[[#This Row],[Caste]]&amp;Table1[[#This Row],[Q18: Gender]],Factor!$AK$4:$AL$93,2,0)</f>
        <v>0.90933567693352424</v>
      </c>
      <c r="AO908">
        <f t="shared" si="154"/>
        <v>1</v>
      </c>
      <c r="AP908">
        <f t="shared" si="155"/>
        <v>1</v>
      </c>
      <c r="AQ908">
        <f t="shared" si="156"/>
        <v>1</v>
      </c>
      <c r="AR908">
        <f t="shared" si="157"/>
        <v>1</v>
      </c>
      <c r="AS908">
        <f t="shared" si="158"/>
        <v>1</v>
      </c>
      <c r="AT908">
        <f t="shared" si="159"/>
        <v>1</v>
      </c>
      <c r="AU908">
        <f t="shared" si="160"/>
        <v>5.5</v>
      </c>
      <c r="AV908">
        <f>SUM(Table1[[#This Row],[Satis]:[29]])</f>
        <v>6</v>
      </c>
      <c r="AW908">
        <f t="shared" si="161"/>
        <v>5</v>
      </c>
      <c r="AX908">
        <f t="shared" si="162"/>
        <v>4</v>
      </c>
      <c r="AY908">
        <f t="shared" si="163"/>
        <v>3</v>
      </c>
      <c r="AZ908" t="str">
        <f t="shared" si="164"/>
        <v>YSRCP HardCore</v>
      </c>
    </row>
    <row r="909" spans="1:52" x14ac:dyDescent="0.3">
      <c r="A909" t="s">
        <v>5021</v>
      </c>
      <c r="B909" s="94">
        <v>46050</v>
      </c>
      <c r="C909" t="s">
        <v>5022</v>
      </c>
      <c r="D909" t="s">
        <v>5023</v>
      </c>
      <c r="E909" t="s">
        <v>5024</v>
      </c>
      <c r="F909" t="s">
        <v>240</v>
      </c>
      <c r="G909" t="s">
        <v>39</v>
      </c>
      <c r="H909" t="s">
        <v>5025</v>
      </c>
      <c r="I909" t="s">
        <v>70</v>
      </c>
      <c r="J909" t="s">
        <v>71</v>
      </c>
      <c r="K909" t="s">
        <v>71</v>
      </c>
      <c r="L909" t="s">
        <v>62</v>
      </c>
      <c r="M909" t="s">
        <v>51</v>
      </c>
      <c r="N909" t="s">
        <v>63</v>
      </c>
      <c r="O909" t="s">
        <v>5026</v>
      </c>
      <c r="P909">
        <v>999999999</v>
      </c>
      <c r="Q909" t="s">
        <v>445</v>
      </c>
      <c r="R909" t="s">
        <v>2116</v>
      </c>
      <c r="S909" t="s">
        <v>43</v>
      </c>
      <c r="T909" t="s">
        <v>43</v>
      </c>
      <c r="U909" t="s">
        <v>44</v>
      </c>
      <c r="V909" t="s">
        <v>45</v>
      </c>
      <c r="W909" t="s">
        <v>5058</v>
      </c>
      <c r="X909" t="s">
        <v>91</v>
      </c>
      <c r="Y909" t="s">
        <v>46</v>
      </c>
      <c r="Z909" t="s">
        <v>242</v>
      </c>
      <c r="AA909" t="s">
        <v>242</v>
      </c>
      <c r="AB909" t="s">
        <v>49</v>
      </c>
      <c r="AC909" t="s">
        <v>49</v>
      </c>
      <c r="AD909" t="s">
        <v>1270</v>
      </c>
      <c r="AE909" t="s">
        <v>185</v>
      </c>
      <c r="AF909" t="s">
        <v>4863</v>
      </c>
      <c r="AG909" t="s">
        <v>196</v>
      </c>
      <c r="AH909" s="93">
        <f>VLOOKUP(Table1[[#This Row],[Caste]],Factor!$H$1:$K$13,4,0)</f>
        <v>1.3836274505214585</v>
      </c>
      <c r="AI909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909">
        <f>Table1[[#This Row],[Factor_1]]*Table1[[#This Row],[2024 Factor]]</f>
        <v>1.2753497331114214</v>
      </c>
      <c r="AK909">
        <f>VLOOKUP(Table1[[#This Row],[Q18: Gender]],Factor!$A$33:$E$35,5,0)</f>
        <v>2.1645021645021645</v>
      </c>
      <c r="AL909">
        <f>VLOOKUP(Table1[[#This Row],[Taluka]],Factor!$A$42:$G$46,7,0)</f>
        <v>1.1213131007097483</v>
      </c>
      <c r="AM909">
        <f>VLOOKUP(Table1[[#This Row],[Caste]]&amp;Table1[[#This Row],[Q18: Gender]],Factor!$W$1:$X$23,2,0)</f>
        <v>1.9278542477265657</v>
      </c>
      <c r="AN909">
        <f>VLOOKUP(Table1[[#This Row],[Taluka]]&amp;Table1[[#This Row],[Caste]]&amp;Table1[[#This Row],[Q18: Gender]],Factor!$AK$4:$AL$93,2,0)</f>
        <v>1.2302776805571209</v>
      </c>
      <c r="AO909">
        <f t="shared" si="154"/>
        <v>-1</v>
      </c>
      <c r="AP909">
        <f t="shared" si="155"/>
        <v>-1</v>
      </c>
      <c r="AQ909">
        <f t="shared" si="156"/>
        <v>-1</v>
      </c>
      <c r="AR909">
        <f t="shared" si="157"/>
        <v>1</v>
      </c>
      <c r="AS909">
        <f t="shared" si="158"/>
        <v>-1</v>
      </c>
      <c r="AT909">
        <f t="shared" si="159"/>
        <v>-1</v>
      </c>
      <c r="AU909">
        <f t="shared" si="160"/>
        <v>-3.5</v>
      </c>
      <c r="AV909">
        <f>SUM(Table1[[#This Row],[Satis]:[29]])</f>
        <v>-4</v>
      </c>
      <c r="AW909">
        <f t="shared" si="161"/>
        <v>-3</v>
      </c>
      <c r="AX909">
        <f t="shared" si="162"/>
        <v>-2</v>
      </c>
      <c r="AY909">
        <f t="shared" si="163"/>
        <v>-3</v>
      </c>
      <c r="AZ909" t="str">
        <f t="shared" si="164"/>
        <v>Neutral TDP</v>
      </c>
    </row>
    <row r="910" spans="1:52" x14ac:dyDescent="0.3">
      <c r="A910" t="s">
        <v>5027</v>
      </c>
      <c r="B910" s="94">
        <v>46050</v>
      </c>
      <c r="C910" t="s">
        <v>5028</v>
      </c>
      <c r="D910" t="s">
        <v>5029</v>
      </c>
      <c r="E910" t="s">
        <v>5030</v>
      </c>
      <c r="F910" t="s">
        <v>240</v>
      </c>
      <c r="G910" t="s">
        <v>39</v>
      </c>
      <c r="H910" t="s">
        <v>5031</v>
      </c>
      <c r="I910" t="s">
        <v>70</v>
      </c>
      <c r="J910" t="s">
        <v>71</v>
      </c>
      <c r="K910" t="s">
        <v>71</v>
      </c>
      <c r="L910" t="s">
        <v>161</v>
      </c>
      <c r="M910" t="s">
        <v>443</v>
      </c>
      <c r="N910" t="s">
        <v>162</v>
      </c>
      <c r="O910" t="s">
        <v>5032</v>
      </c>
      <c r="P910">
        <v>7702213343</v>
      </c>
      <c r="Q910" t="s">
        <v>54</v>
      </c>
      <c r="R910" t="s">
        <v>139</v>
      </c>
      <c r="S910" t="s">
        <v>89</v>
      </c>
      <c r="T910" t="s">
        <v>89</v>
      </c>
      <c r="U910" t="s">
        <v>90</v>
      </c>
      <c r="V910" t="s">
        <v>91</v>
      </c>
      <c r="W910" t="s">
        <v>5050</v>
      </c>
      <c r="X910" t="s">
        <v>91</v>
      </c>
      <c r="Y910" t="s">
        <v>46</v>
      </c>
      <c r="Z910" t="s">
        <v>92</v>
      </c>
      <c r="AA910" t="s">
        <v>92</v>
      </c>
      <c r="AB910" t="s">
        <v>351</v>
      </c>
      <c r="AC910" t="s">
        <v>381</v>
      </c>
      <c r="AD910" t="s">
        <v>1279</v>
      </c>
      <c r="AE910">
        <v>0</v>
      </c>
      <c r="AF910">
        <v>0</v>
      </c>
      <c r="AG910" t="s">
        <v>196</v>
      </c>
      <c r="AH910" s="93">
        <f>VLOOKUP(Table1[[#This Row],[Caste]],Factor!$H$1:$K$13,4,0)</f>
        <v>1.3836274505214585</v>
      </c>
      <c r="AI910">
        <f>IFERROR(VLOOKUP(Table1[[#This Row],[Q10: మీరు 2024 అసెంబ్లీ ఎన్నికలో ఏ పార్టీ కి వోట్ వేశారు?]],Factor!$D$22:$H$23,5,0),Factor!$H$24)</f>
        <v>1.8055837563451775</v>
      </c>
      <c r="AJ910">
        <f>Table1[[#This Row],[Factor_1]]*Table1[[#This Row],[2024 Factor]]</f>
        <v>1.9482662206881376</v>
      </c>
      <c r="AK910">
        <f>VLOOKUP(Table1[[#This Row],[Q18: Gender]],Factor!$A$33:$E$35,5,0)</f>
        <v>0.85034013605442171</v>
      </c>
      <c r="AL910">
        <f>VLOOKUP(Table1[[#This Row],[Taluka]],Factor!$A$42:$G$46,7,0)</f>
        <v>1.1213131007097483</v>
      </c>
      <c r="AM910">
        <f>VLOOKUP(Table1[[#This Row],[Caste]]&amp;Table1[[#This Row],[Q18: Gender]],Factor!$W$1:$X$23,2,0)</f>
        <v>1.0790228998469584</v>
      </c>
      <c r="AN910">
        <f>VLOOKUP(Table1[[#This Row],[Taluka]]&amp;Table1[[#This Row],[Caste]]&amp;Table1[[#This Row],[Q18: Gender]],Factor!$AK$4:$AL$93,2,0)</f>
        <v>0.90933567693352424</v>
      </c>
      <c r="AO910">
        <f t="shared" si="154"/>
        <v>1</v>
      </c>
      <c r="AP910">
        <f t="shared" si="155"/>
        <v>1</v>
      </c>
      <c r="AQ910">
        <f t="shared" si="156"/>
        <v>1</v>
      </c>
      <c r="AR910">
        <f t="shared" si="157"/>
        <v>1</v>
      </c>
      <c r="AS910">
        <f t="shared" si="158"/>
        <v>1</v>
      </c>
      <c r="AT910">
        <f t="shared" si="159"/>
        <v>1</v>
      </c>
      <c r="AU910">
        <f t="shared" ref="AU910:AU911" si="165">AO910+AP910+AQ910+AR910+(0.5*AS910)+AT910</f>
        <v>5.5</v>
      </c>
      <c r="AV910">
        <f>SUM(Table1[[#This Row],[Satis]:[29]])</f>
        <v>6</v>
      </c>
      <c r="AW910">
        <f t="shared" ref="AW910:AW911" si="166">AO910+AQ910+AR910+AS910+AT910</f>
        <v>5</v>
      </c>
      <c r="AX910">
        <f t="shared" ref="AX910:AX911" si="167">AQ910+AR910+AS910+AT910</f>
        <v>4</v>
      </c>
      <c r="AY910">
        <f t="shared" ref="AY910:AY911" si="168">IF(AND(AO910=1,AS910=1,AT910=1),3,IF(AND(AO910=-1,AS910=-1,AT910=-1),-3,IF(AND(AO910=1,AS910=-1,AT910=1),2,IF(AND(AO910=-1,AS910=1,AT910=-1),-2,IF(AND(AS910=1,AT910=1),2,IF(AND(AS910=-1,AT910=-1),-2,"ND"))))))</f>
        <v>3</v>
      </c>
      <c r="AZ910" t="str">
        <f t="shared" ref="AZ910:AZ911" si="169">IFERROR(IF(AV910=6,"YSRCP HardCore",IF(AV910=-6,"TDP HardCore",IF(AW910&gt;=4,"YSRCP Sympathiser",IF(AW910&lt;=-4,"TDP Sympathiser",IF(AX910&gt;=3,"YSRCP Sympathiser",IF(AX910&lt;=-3,"TDP Sympathiser",IF(AY910="ND","ND",IF(AY910&gt;=2,"Neutral YSRCP",IF(AY910&lt;=-2,"Neutral TDP",0))))))))),"ND")</f>
        <v>YSRCP HardCore</v>
      </c>
    </row>
    <row r="911" spans="1:52" x14ac:dyDescent="0.3">
      <c r="A911" t="s">
        <v>5033</v>
      </c>
      <c r="B911" s="94">
        <v>46050</v>
      </c>
      <c r="C911" t="s">
        <v>5034</v>
      </c>
      <c r="D911" t="s">
        <v>5035</v>
      </c>
      <c r="E911" t="s">
        <v>5036</v>
      </c>
      <c r="F911" t="s">
        <v>240</v>
      </c>
      <c r="G911" t="s">
        <v>39</v>
      </c>
      <c r="H911" t="s">
        <v>5037</v>
      </c>
      <c r="I911" t="s">
        <v>36</v>
      </c>
      <c r="J911" t="s">
        <v>71</v>
      </c>
      <c r="K911" t="s">
        <v>71</v>
      </c>
      <c r="L911" t="s">
        <v>62</v>
      </c>
      <c r="M911" t="s">
        <v>51</v>
      </c>
      <c r="N911" t="s">
        <v>52</v>
      </c>
      <c r="O911" t="s">
        <v>4227</v>
      </c>
      <c r="P911">
        <v>9999999999</v>
      </c>
      <c r="Q911" t="s">
        <v>54</v>
      </c>
      <c r="R911" t="s">
        <v>2116</v>
      </c>
      <c r="S911" t="s">
        <v>89</v>
      </c>
      <c r="T911" t="s">
        <v>89</v>
      </c>
      <c r="U911" t="s">
        <v>90</v>
      </c>
      <c r="V911" t="s">
        <v>91</v>
      </c>
      <c r="W911" t="s">
        <v>5058</v>
      </c>
      <c r="X911" t="s">
        <v>91</v>
      </c>
      <c r="Y911" t="s">
        <v>46</v>
      </c>
      <c r="Z911" t="s">
        <v>242</v>
      </c>
      <c r="AA911" t="s">
        <v>691</v>
      </c>
      <c r="AB911" t="s">
        <v>49</v>
      </c>
      <c r="AC911" t="s">
        <v>49</v>
      </c>
      <c r="AD911" t="s">
        <v>1279</v>
      </c>
      <c r="AE911">
        <v>0</v>
      </c>
      <c r="AF911">
        <v>0</v>
      </c>
      <c r="AG911" t="s">
        <v>196</v>
      </c>
      <c r="AH911" s="93">
        <f>VLOOKUP(Table1[[#This Row],[Caste]],Factor!$H$1:$K$13,4,0)</f>
        <v>1.1705128247062893</v>
      </c>
      <c r="AI911">
        <f>IFERROR(VLOOKUP(Table1[[#This Row],[Q10: మీరు 2024 అసెంబ్లీ ఎన్నికలో ఏ పార్టీ కి వోట్ వేశారు?]],Factor!$D$22:$H$23,5,0),Factor!$H$24)</f>
        <v>0.66153846153846207</v>
      </c>
      <c r="AJ911">
        <f>Table1[[#This Row],[Factor_1]]*Table1[[#This Row],[2024 Factor]]</f>
        <v>0.52890136495485462</v>
      </c>
      <c r="AK911">
        <f>VLOOKUP(Table1[[#This Row],[Q18: Gender]],Factor!$A$33:$E$35,5,0)</f>
        <v>0.85034013605442171</v>
      </c>
      <c r="AL911">
        <f>VLOOKUP(Table1[[#This Row],[Taluka]],Factor!$A$42:$G$46,7,0)</f>
        <v>1.1213131007097483</v>
      </c>
      <c r="AM911">
        <f>VLOOKUP(Table1[[#This Row],[Caste]]&amp;Table1[[#This Row],[Q18: Gender]],Factor!$W$1:$X$23,2,0)</f>
        <v>0.79950206330384943</v>
      </c>
      <c r="AN911">
        <f>VLOOKUP(Table1[[#This Row],[Taluka]]&amp;Table1[[#This Row],[Caste]]&amp;Table1[[#This Row],[Q18: Gender]],Factor!$AK$4:$AL$93,2,0)</f>
        <v>0.7401439088249181</v>
      </c>
      <c r="AO911">
        <f t="shared" si="154"/>
        <v>1</v>
      </c>
      <c r="AP911">
        <f t="shared" si="155"/>
        <v>1</v>
      </c>
      <c r="AQ911">
        <f t="shared" si="156"/>
        <v>1</v>
      </c>
      <c r="AR911">
        <f t="shared" si="157"/>
        <v>1</v>
      </c>
      <c r="AS911">
        <f t="shared" si="158"/>
        <v>-1</v>
      </c>
      <c r="AT911">
        <f t="shared" si="159"/>
        <v>-1</v>
      </c>
      <c r="AU911">
        <f t="shared" si="165"/>
        <v>2.5</v>
      </c>
      <c r="AV911">
        <f>SUM(Table1[[#This Row],[Satis]:[29]])</f>
        <v>2</v>
      </c>
      <c r="AW911">
        <f t="shared" si="166"/>
        <v>1</v>
      </c>
      <c r="AX911">
        <f t="shared" si="167"/>
        <v>0</v>
      </c>
      <c r="AY911">
        <f t="shared" si="168"/>
        <v>-2</v>
      </c>
      <c r="AZ911" t="str">
        <f t="shared" si="169"/>
        <v>Neutral TDP</v>
      </c>
    </row>
  </sheetData>
  <conditionalFormatting sqref="W912:W1048576 H1:H911">
    <cfRule type="duplicateValues" dxfId="25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5031C-B548-4F38-B185-CE634649CADC}">
  <dimension ref="A1:I129"/>
  <sheetViews>
    <sheetView tabSelected="1" topLeftCell="A104" zoomScale="70" zoomScaleNormal="70" workbookViewId="0">
      <selection activeCell="F121" sqref="F121"/>
    </sheetView>
  </sheetViews>
  <sheetFormatPr defaultRowHeight="15.6" x14ac:dyDescent="0.3"/>
  <cols>
    <col min="1" max="1" width="15.09765625" style="104" bestFit="1" customWidth="1"/>
    <col min="2" max="3" width="17.796875" bestFit="1" customWidth="1"/>
    <col min="4" max="4" width="17.796875" style="104" bestFit="1" customWidth="1"/>
    <col min="5" max="5" width="9.19921875" bestFit="1" customWidth="1"/>
    <col min="6" max="6" width="16.09765625" bestFit="1" customWidth="1"/>
    <col min="7" max="7" width="12.296875" bestFit="1" customWidth="1"/>
    <col min="8" max="8" width="65.69921875" bestFit="1" customWidth="1"/>
    <col min="9" max="9" width="19.296875" bestFit="1" customWidth="1"/>
  </cols>
  <sheetData>
    <row r="1" spans="1:8" x14ac:dyDescent="0.3">
      <c r="A1" s="103" t="s">
        <v>195</v>
      </c>
      <c r="B1" s="27" t="s">
        <v>196</v>
      </c>
      <c r="C1" s="2"/>
    </row>
    <row r="2" spans="1:8" x14ac:dyDescent="0.3">
      <c r="B2" s="27"/>
    </row>
    <row r="3" spans="1:8" ht="41.4" x14ac:dyDescent="0.3">
      <c r="A3" s="103" t="s">
        <v>235</v>
      </c>
      <c r="B3" s="27" t="s">
        <v>2101</v>
      </c>
      <c r="C3" s="27" t="s">
        <v>197</v>
      </c>
      <c r="D3" s="27" t="s">
        <v>2096</v>
      </c>
      <c r="E3" s="104" t="s">
        <v>2097</v>
      </c>
      <c r="F3" s="27" t="s">
        <v>2100</v>
      </c>
      <c r="G3" s="27" t="s">
        <v>2098</v>
      </c>
      <c r="H3" s="27" t="s">
        <v>2099</v>
      </c>
    </row>
    <row r="4" spans="1:8" x14ac:dyDescent="0.3">
      <c r="A4" s="104" t="s">
        <v>92</v>
      </c>
      <c r="B4" s="28">
        <v>0.3614506629976289</v>
      </c>
      <c r="C4" s="28">
        <v>0.2576312576312576</v>
      </c>
      <c r="D4" s="28">
        <v>0.27092700278599818</v>
      </c>
      <c r="E4" s="105">
        <v>0.34361977802656968</v>
      </c>
      <c r="F4" s="28">
        <v>0.27009894867037443</v>
      </c>
      <c r="G4" s="28">
        <v>0.2713445293812653</v>
      </c>
      <c r="H4" s="28">
        <v>0.2830333834189907</v>
      </c>
    </row>
    <row r="5" spans="1:8" x14ac:dyDescent="0.3">
      <c r="A5" s="104" t="s">
        <v>47</v>
      </c>
      <c r="B5" s="28">
        <v>0.53595028497832187</v>
      </c>
      <c r="C5" s="28">
        <v>0.63369963369963367</v>
      </c>
      <c r="D5" s="28">
        <v>0.62006895426657516</v>
      </c>
      <c r="E5" s="105">
        <v>0.57952952455596052</v>
      </c>
      <c r="F5" s="28">
        <v>0.58982683982683148</v>
      </c>
      <c r="G5" s="28">
        <v>0.58330027658630068</v>
      </c>
      <c r="H5" s="28">
        <v>0.56639806920683555</v>
      </c>
    </row>
    <row r="6" spans="1:8" x14ac:dyDescent="0.3">
      <c r="A6" s="104" t="s">
        <v>242</v>
      </c>
      <c r="B6" s="28">
        <v>0.10259905202405316</v>
      </c>
      <c r="C6" s="28">
        <v>0.10866910866910867</v>
      </c>
      <c r="D6" s="28">
        <v>0.10900404294743136</v>
      </c>
      <c r="E6" s="105">
        <v>7.685069741748464E-2</v>
      </c>
      <c r="F6" s="28">
        <v>0.14007421150278157</v>
      </c>
      <c r="G6" s="28">
        <v>0.14535519403244038</v>
      </c>
      <c r="H6" s="28">
        <v>0.15056854737417319</v>
      </c>
    </row>
    <row r="7" spans="1:8" x14ac:dyDescent="0.3">
      <c r="A7" s="104" t="s">
        <v>182</v>
      </c>
      <c r="B7" s="28">
        <v>1</v>
      </c>
      <c r="C7" s="28">
        <v>1</v>
      </c>
      <c r="D7" s="28">
        <v>1</v>
      </c>
      <c r="E7" s="105">
        <v>1</v>
      </c>
      <c r="F7" s="28">
        <v>1</v>
      </c>
      <c r="G7" s="28">
        <v>1</v>
      </c>
      <c r="H7" s="28">
        <v>1</v>
      </c>
    </row>
    <row r="8" spans="1:8" x14ac:dyDescent="0.3">
      <c r="A8"/>
      <c r="D8"/>
    </row>
    <row r="11" spans="1:8" x14ac:dyDescent="0.3">
      <c r="A11" s="103" t="s">
        <v>195</v>
      </c>
      <c r="B11" s="27" t="s">
        <v>196</v>
      </c>
      <c r="C11" s="2"/>
    </row>
    <row r="12" spans="1:8" x14ac:dyDescent="0.3">
      <c r="B12" s="27"/>
    </row>
    <row r="13" spans="1:8" x14ac:dyDescent="0.3">
      <c r="A13" s="103" t="s">
        <v>235</v>
      </c>
      <c r="B13" s="27" t="s">
        <v>2101</v>
      </c>
    </row>
    <row r="14" spans="1:8" x14ac:dyDescent="0.3">
      <c r="A14" s="104" t="s">
        <v>92</v>
      </c>
      <c r="B14" s="121">
        <v>0.36145066299762751</v>
      </c>
    </row>
    <row r="15" spans="1:8" x14ac:dyDescent="0.3">
      <c r="A15" s="104" t="s">
        <v>47</v>
      </c>
      <c r="B15" s="121">
        <v>0.53595028497831987</v>
      </c>
      <c r="C15" s="115">
        <f>B14-B15</f>
        <v>-0.17449962198069235</v>
      </c>
    </row>
    <row r="16" spans="1:8" x14ac:dyDescent="0.3">
      <c r="A16" s="104" t="s">
        <v>242</v>
      </c>
      <c r="B16" s="121">
        <v>0.10259905202405277</v>
      </c>
    </row>
    <row r="17" spans="1:5" x14ac:dyDescent="0.3">
      <c r="A17" s="104" t="s">
        <v>182</v>
      </c>
      <c r="B17" s="28">
        <v>1</v>
      </c>
    </row>
    <row r="18" spans="1:5" x14ac:dyDescent="0.3">
      <c r="A18"/>
    </row>
    <row r="20" spans="1:5" x14ac:dyDescent="0.3">
      <c r="A20" s="103" t="s">
        <v>195</v>
      </c>
      <c r="B20" s="27" t="s">
        <v>196</v>
      </c>
      <c r="D20" s="103" t="s">
        <v>195</v>
      </c>
      <c r="E20" s="27" t="s">
        <v>196</v>
      </c>
    </row>
    <row r="21" spans="1:5" x14ac:dyDescent="0.3">
      <c r="B21" s="27"/>
      <c r="E21" s="27"/>
    </row>
    <row r="22" spans="1:5" x14ac:dyDescent="0.3">
      <c r="A22" s="103" t="s">
        <v>2103</v>
      </c>
      <c r="B22" s="27" t="s">
        <v>2101</v>
      </c>
      <c r="D22" s="103" t="s">
        <v>2104</v>
      </c>
      <c r="E22" s="27" t="s">
        <v>2101</v>
      </c>
    </row>
    <row r="23" spans="1:5" x14ac:dyDescent="0.3">
      <c r="A23" s="104" t="s">
        <v>43</v>
      </c>
      <c r="B23" s="28">
        <v>0.66457303435708359</v>
      </c>
      <c r="D23" s="104" t="s">
        <v>43</v>
      </c>
      <c r="E23" s="28">
        <v>0.72083530674984286</v>
      </c>
    </row>
    <row r="24" spans="1:5" x14ac:dyDescent="0.3">
      <c r="A24" s="104" t="s">
        <v>89</v>
      </c>
      <c r="B24" s="28">
        <v>0.22304307195827139</v>
      </c>
      <c r="D24" s="104" t="s">
        <v>89</v>
      </c>
      <c r="E24" s="28">
        <v>0.27916469325015703</v>
      </c>
    </row>
    <row r="25" spans="1:5" x14ac:dyDescent="0.3">
      <c r="A25" s="104" t="s">
        <v>88</v>
      </c>
      <c r="B25" s="28">
        <v>0.11238389368464506</v>
      </c>
      <c r="D25" s="104" t="s">
        <v>182</v>
      </c>
      <c r="E25" s="28">
        <v>1</v>
      </c>
    </row>
    <row r="26" spans="1:5" x14ac:dyDescent="0.3">
      <c r="A26" s="104" t="s">
        <v>182</v>
      </c>
      <c r="B26" s="28">
        <v>1</v>
      </c>
    </row>
    <row r="30" spans="1:5" x14ac:dyDescent="0.3">
      <c r="A30" s="103" t="s">
        <v>195</v>
      </c>
      <c r="B30" s="27" t="s">
        <v>196</v>
      </c>
    </row>
    <row r="31" spans="1:5" x14ac:dyDescent="0.3">
      <c r="B31" s="27"/>
    </row>
    <row r="32" spans="1:5" ht="41.4" x14ac:dyDescent="0.3">
      <c r="A32" s="103" t="s">
        <v>16</v>
      </c>
      <c r="B32" s="27" t="s">
        <v>2101</v>
      </c>
    </row>
    <row r="33" spans="1:5" x14ac:dyDescent="0.3">
      <c r="A33" s="104" t="s">
        <v>44</v>
      </c>
      <c r="B33" s="28">
        <v>0.53097057912524281</v>
      </c>
    </row>
    <row r="34" spans="1:5" x14ac:dyDescent="0.3">
      <c r="A34" s="104" t="s">
        <v>90</v>
      </c>
      <c r="B34" s="28">
        <v>0.46902942087475724</v>
      </c>
    </row>
    <row r="35" spans="1:5" x14ac:dyDescent="0.3">
      <c r="A35" s="104" t="s">
        <v>182</v>
      </c>
      <c r="B35" s="28">
        <v>1</v>
      </c>
    </row>
    <row r="36" spans="1:5" x14ac:dyDescent="0.3">
      <c r="A36" s="104" t="s">
        <v>2102</v>
      </c>
    </row>
    <row r="38" spans="1:5" x14ac:dyDescent="0.3">
      <c r="A38" s="103" t="s">
        <v>195</v>
      </c>
      <c r="B38" s="27" t="s">
        <v>196</v>
      </c>
      <c r="D38" s="103" t="s">
        <v>195</v>
      </c>
      <c r="E38" s="27" t="s">
        <v>196</v>
      </c>
    </row>
    <row r="39" spans="1:5" x14ac:dyDescent="0.3">
      <c r="B39" s="27"/>
      <c r="E39" s="27"/>
    </row>
    <row r="40" spans="1:5" ht="41.4" x14ac:dyDescent="0.3">
      <c r="A40" s="103" t="s">
        <v>17</v>
      </c>
      <c r="B40" s="27" t="s">
        <v>2101</v>
      </c>
      <c r="D40" s="103" t="s">
        <v>19</v>
      </c>
      <c r="E40" s="27" t="s">
        <v>2101</v>
      </c>
    </row>
    <row r="41" spans="1:5" x14ac:dyDescent="0.3">
      <c r="A41" s="104" t="s">
        <v>45</v>
      </c>
      <c r="B41" s="28">
        <v>0.53384783529575397</v>
      </c>
      <c r="D41" s="104" t="s">
        <v>45</v>
      </c>
      <c r="E41" s="28">
        <v>0.60827529425163573</v>
      </c>
    </row>
    <row r="42" spans="1:5" x14ac:dyDescent="0.3">
      <c r="A42" s="104" t="s">
        <v>91</v>
      </c>
      <c r="B42" s="28">
        <v>0.46615216470424609</v>
      </c>
      <c r="D42" s="104" t="s">
        <v>91</v>
      </c>
      <c r="E42" s="28">
        <v>0.39172470574836415</v>
      </c>
    </row>
    <row r="43" spans="1:5" x14ac:dyDescent="0.3">
      <c r="A43" s="104" t="s">
        <v>182</v>
      </c>
      <c r="B43" s="28">
        <v>1</v>
      </c>
      <c r="D43" s="104" t="s">
        <v>182</v>
      </c>
      <c r="E43" s="28">
        <v>1</v>
      </c>
    </row>
    <row r="46" spans="1:5" x14ac:dyDescent="0.3">
      <c r="A46" s="103" t="s">
        <v>195</v>
      </c>
      <c r="B46" s="27" t="s">
        <v>196</v>
      </c>
    </row>
    <row r="47" spans="1:5" x14ac:dyDescent="0.3">
      <c r="B47" s="27"/>
    </row>
    <row r="48" spans="1:5" ht="27.6" x14ac:dyDescent="0.3">
      <c r="A48" s="103" t="s">
        <v>20</v>
      </c>
      <c r="B48" s="27" t="s">
        <v>2101</v>
      </c>
    </row>
    <row r="49" spans="1:9" x14ac:dyDescent="0.3">
      <c r="A49" s="104" t="s">
        <v>716</v>
      </c>
      <c r="B49" s="28">
        <v>3.669715135638963E-2</v>
      </c>
    </row>
    <row r="50" spans="1:9" ht="27.6" x14ac:dyDescent="0.3">
      <c r="A50" s="104" t="s">
        <v>638</v>
      </c>
      <c r="B50" s="28">
        <v>6.4094836742019698E-2</v>
      </c>
    </row>
    <row r="51" spans="1:9" x14ac:dyDescent="0.3">
      <c r="A51" s="104" t="s">
        <v>46</v>
      </c>
      <c r="B51" s="28">
        <v>0.89920801190159072</v>
      </c>
    </row>
    <row r="52" spans="1:9" x14ac:dyDescent="0.3">
      <c r="A52" s="104" t="s">
        <v>182</v>
      </c>
      <c r="B52" s="28">
        <v>1</v>
      </c>
    </row>
    <row r="53" spans="1:9" x14ac:dyDescent="0.3">
      <c r="H53" s="103" t="s">
        <v>195</v>
      </c>
      <c r="I53" s="27" t="s">
        <v>196</v>
      </c>
    </row>
    <row r="54" spans="1:9" x14ac:dyDescent="0.3">
      <c r="A54" s="103" t="s">
        <v>195</v>
      </c>
      <c r="B54" s="27" t="s">
        <v>196</v>
      </c>
      <c r="D54" s="103" t="s">
        <v>195</v>
      </c>
      <c r="E54" s="27" t="s">
        <v>196</v>
      </c>
      <c r="H54" s="25" t="s">
        <v>22</v>
      </c>
      <c r="I54" s="27" t="s">
        <v>92</v>
      </c>
    </row>
    <row r="55" spans="1:9" ht="27.6" x14ac:dyDescent="0.3">
      <c r="A55" s="25" t="s">
        <v>22</v>
      </c>
      <c r="B55" s="27" t="s">
        <v>92</v>
      </c>
      <c r="D55" s="25" t="s">
        <v>22</v>
      </c>
      <c r="E55" s="27" t="s">
        <v>92</v>
      </c>
      <c r="H55" s="103" t="s">
        <v>23</v>
      </c>
      <c r="I55" s="104" t="s">
        <v>147</v>
      </c>
    </row>
    <row r="56" spans="1:9" x14ac:dyDescent="0.3">
      <c r="B56" s="27"/>
      <c r="E56" s="27"/>
      <c r="H56" s="104"/>
      <c r="I56" s="27"/>
    </row>
    <row r="57" spans="1:9" ht="69" x14ac:dyDescent="0.3">
      <c r="A57" s="103" t="s">
        <v>23</v>
      </c>
      <c r="B57" s="27" t="s">
        <v>2101</v>
      </c>
      <c r="D57" s="103" t="s">
        <v>24</v>
      </c>
      <c r="E57" s="27" t="s">
        <v>2101</v>
      </c>
      <c r="H57" s="103" t="s">
        <v>24</v>
      </c>
      <c r="I57" s="27" t="s">
        <v>2101</v>
      </c>
    </row>
    <row r="58" spans="1:9" x14ac:dyDescent="0.3">
      <c r="A58" s="104" t="s">
        <v>93</v>
      </c>
      <c r="B58" s="28">
        <v>0.60881333814422733</v>
      </c>
      <c r="D58" s="104" t="s">
        <v>94</v>
      </c>
      <c r="E58" s="28">
        <v>0.65503511547219206</v>
      </c>
      <c r="H58" s="27" t="s">
        <v>148</v>
      </c>
      <c r="I58" s="28">
        <v>0.4052211717994883</v>
      </c>
    </row>
    <row r="59" spans="1:9" x14ac:dyDescent="0.3">
      <c r="A59" s="104" t="s">
        <v>147</v>
      </c>
      <c r="B59" s="28">
        <v>0.17784726434506812</v>
      </c>
      <c r="D59" s="104" t="s">
        <v>148</v>
      </c>
      <c r="E59" s="28">
        <v>0.13538426416105476</v>
      </c>
      <c r="H59" s="27" t="s">
        <v>470</v>
      </c>
      <c r="I59" s="28">
        <v>0.2288607946410959</v>
      </c>
    </row>
    <row r="60" spans="1:9" x14ac:dyDescent="0.3">
      <c r="A60" s="104" t="s">
        <v>351</v>
      </c>
      <c r="B60" s="28">
        <v>0.21333939751070444</v>
      </c>
      <c r="D60" s="104" t="s">
        <v>381</v>
      </c>
      <c r="E60" s="28">
        <v>0.11733202125880822</v>
      </c>
      <c r="H60" s="27" t="s">
        <v>2590</v>
      </c>
      <c r="I60" s="28">
        <v>0.20421270444338122</v>
      </c>
    </row>
    <row r="61" spans="1:9" x14ac:dyDescent="0.3">
      <c r="A61" s="104" t="s">
        <v>182</v>
      </c>
      <c r="B61" s="28">
        <v>1</v>
      </c>
      <c r="D61" s="104" t="s">
        <v>470</v>
      </c>
      <c r="E61" s="28">
        <v>5.6421233070554772E-2</v>
      </c>
      <c r="H61" s="27" t="s">
        <v>381</v>
      </c>
      <c r="I61" s="28">
        <v>0.16170532911603464</v>
      </c>
    </row>
    <row r="62" spans="1:9" x14ac:dyDescent="0.3">
      <c r="A62"/>
      <c r="D62" s="27" t="s">
        <v>2590</v>
      </c>
      <c r="E62" s="28">
        <v>3.5827366037390021E-2</v>
      </c>
      <c r="H62" s="104" t="s">
        <v>182</v>
      </c>
      <c r="I62" s="28">
        <v>1</v>
      </c>
    </row>
    <row r="63" spans="1:9" x14ac:dyDescent="0.3">
      <c r="D63" s="104" t="s">
        <v>182</v>
      </c>
      <c r="E63" s="28">
        <v>1</v>
      </c>
    </row>
    <row r="65" spans="1:5" x14ac:dyDescent="0.3">
      <c r="A65" s="103" t="s">
        <v>195</v>
      </c>
      <c r="B65" s="27" t="s">
        <v>196</v>
      </c>
    </row>
    <row r="66" spans="1:5" x14ac:dyDescent="0.3">
      <c r="B66" s="27"/>
    </row>
    <row r="67" spans="1:5" x14ac:dyDescent="0.3">
      <c r="A67" s="25" t="s">
        <v>2101</v>
      </c>
      <c r="B67" s="103" t="s">
        <v>235</v>
      </c>
      <c r="C67" s="27"/>
      <c r="D67" s="27"/>
      <c r="E67" s="27"/>
    </row>
    <row r="68" spans="1:5" x14ac:dyDescent="0.3">
      <c r="A68" s="25" t="s">
        <v>7</v>
      </c>
      <c r="B68" s="104" t="s">
        <v>92</v>
      </c>
      <c r="C68" s="104" t="s">
        <v>47</v>
      </c>
      <c r="D68" s="104" t="s">
        <v>242</v>
      </c>
      <c r="E68" s="27" t="s">
        <v>182</v>
      </c>
    </row>
    <row r="69" spans="1:5" x14ac:dyDescent="0.3">
      <c r="A69" s="27" t="s">
        <v>203</v>
      </c>
      <c r="B69" s="28">
        <v>0.34224702702521387</v>
      </c>
      <c r="C69" s="28">
        <v>0.58652095643953317</v>
      </c>
      <c r="D69" s="28">
        <v>7.1232016535253059E-2</v>
      </c>
      <c r="E69" s="28">
        <v>1</v>
      </c>
    </row>
    <row r="70" spans="1:5" x14ac:dyDescent="0.3">
      <c r="A70" s="27" t="s">
        <v>37</v>
      </c>
      <c r="B70" s="28">
        <v>0.41563071487860537</v>
      </c>
      <c r="C70" s="28">
        <v>0.47787599198947284</v>
      </c>
      <c r="D70" s="28">
        <v>0.10649329313192173</v>
      </c>
      <c r="E70" s="28">
        <v>1</v>
      </c>
    </row>
    <row r="71" spans="1:5" x14ac:dyDescent="0.3">
      <c r="A71" s="27" t="s">
        <v>71</v>
      </c>
      <c r="B71" s="28">
        <v>0.31868320069279593</v>
      </c>
      <c r="C71" s="28">
        <v>0.49522546862752576</v>
      </c>
      <c r="D71" s="28">
        <v>0.18609133067967837</v>
      </c>
      <c r="E71" s="28">
        <v>1</v>
      </c>
    </row>
    <row r="72" spans="1:5" x14ac:dyDescent="0.3">
      <c r="A72" s="27" t="s">
        <v>219</v>
      </c>
      <c r="B72" s="28">
        <v>0.39442071704783693</v>
      </c>
      <c r="C72" s="28">
        <v>0.58935572672656955</v>
      </c>
      <c r="D72" s="28">
        <v>1.6223556225593613E-2</v>
      </c>
      <c r="E72" s="28">
        <v>1</v>
      </c>
    </row>
    <row r="73" spans="1:5" x14ac:dyDescent="0.3">
      <c r="A73" s="104" t="s">
        <v>182</v>
      </c>
      <c r="B73" s="28">
        <v>0.36145066299762674</v>
      </c>
      <c r="C73" s="28">
        <v>0.53595028497832065</v>
      </c>
      <c r="D73" s="28">
        <v>0.10259905202405256</v>
      </c>
      <c r="E73" s="28">
        <v>1</v>
      </c>
    </row>
    <row r="77" spans="1:5" x14ac:dyDescent="0.3">
      <c r="A77" s="103" t="s">
        <v>195</v>
      </c>
      <c r="B77" s="27" t="s">
        <v>196</v>
      </c>
    </row>
    <row r="78" spans="1:5" x14ac:dyDescent="0.3">
      <c r="B78" s="27"/>
    </row>
    <row r="79" spans="1:5" x14ac:dyDescent="0.3">
      <c r="A79" s="25" t="s">
        <v>2101</v>
      </c>
      <c r="B79" s="103" t="s">
        <v>235</v>
      </c>
      <c r="C79" s="27"/>
      <c r="D79" s="27"/>
      <c r="E79" s="27"/>
    </row>
    <row r="80" spans="1:5" x14ac:dyDescent="0.3">
      <c r="A80" s="25" t="s">
        <v>6</v>
      </c>
      <c r="B80" s="104" t="s">
        <v>92</v>
      </c>
      <c r="C80" s="104" t="s">
        <v>47</v>
      </c>
      <c r="D80" s="104" t="s">
        <v>242</v>
      </c>
      <c r="E80" s="27" t="s">
        <v>182</v>
      </c>
    </row>
    <row r="81" spans="1:6" x14ac:dyDescent="0.3">
      <c r="A81" s="27" t="s">
        <v>70</v>
      </c>
      <c r="B81" s="28">
        <v>0.67835533954378413</v>
      </c>
      <c r="C81" s="28">
        <v>0.27329560289094146</v>
      </c>
      <c r="D81" s="28">
        <v>4.8349057565274377E-2</v>
      </c>
      <c r="E81" s="28">
        <v>1</v>
      </c>
      <c r="F81" t="s">
        <v>70</v>
      </c>
    </row>
    <row r="82" spans="1:6" x14ac:dyDescent="0.3">
      <c r="A82" s="27" t="s">
        <v>59</v>
      </c>
      <c r="B82" s="28">
        <v>0.1212660739617983</v>
      </c>
      <c r="C82" s="28">
        <v>0.77245997195333427</v>
      </c>
      <c r="D82" s="28">
        <v>0.10627395408486758</v>
      </c>
      <c r="E82" s="28">
        <v>1</v>
      </c>
      <c r="F82" t="s">
        <v>59</v>
      </c>
    </row>
    <row r="83" spans="1:6" x14ac:dyDescent="0.3">
      <c r="A83" s="27" t="s">
        <v>36</v>
      </c>
      <c r="B83" s="28">
        <v>0.16214533606691431</v>
      </c>
      <c r="C83" s="28">
        <v>0.62775683042522235</v>
      </c>
      <c r="D83" s="28">
        <v>0.2100978335078634</v>
      </c>
      <c r="E83" s="28">
        <v>1</v>
      </c>
      <c r="F83" t="s">
        <v>36</v>
      </c>
    </row>
    <row r="84" spans="1:6" x14ac:dyDescent="0.3">
      <c r="A84" s="27" t="s">
        <v>227</v>
      </c>
      <c r="B84" s="28">
        <v>0.31384040048948186</v>
      </c>
      <c r="C84" s="28">
        <v>0.62693948262543675</v>
      </c>
      <c r="D84" s="28">
        <v>5.9220116885081414E-2</v>
      </c>
      <c r="E84" s="28">
        <v>1</v>
      </c>
      <c r="F84" t="s">
        <v>227</v>
      </c>
    </row>
    <row r="85" spans="1:6" x14ac:dyDescent="0.3">
      <c r="A85" s="27" t="s">
        <v>228</v>
      </c>
      <c r="B85" s="28">
        <v>0.38956664620133225</v>
      </c>
      <c r="C85" s="28">
        <v>0.46618334447268639</v>
      </c>
      <c r="D85" s="28">
        <v>0.14425000932598134</v>
      </c>
      <c r="E85" s="28">
        <v>1</v>
      </c>
      <c r="F85" t="s">
        <v>228</v>
      </c>
    </row>
    <row r="86" spans="1:6" x14ac:dyDescent="0.3">
      <c r="A86" s="27" t="s">
        <v>159</v>
      </c>
      <c r="B86" s="28">
        <v>0.1664216878031434</v>
      </c>
      <c r="C86" s="28">
        <v>0.45146128375104638</v>
      </c>
      <c r="D86" s="28">
        <v>0.38211702844581025</v>
      </c>
      <c r="E86" s="28">
        <v>1</v>
      </c>
      <c r="F86" t="s">
        <v>159</v>
      </c>
    </row>
    <row r="87" spans="1:6" x14ac:dyDescent="0.3">
      <c r="A87" s="27" t="s">
        <v>229</v>
      </c>
      <c r="B87" s="28">
        <v>0.20891606959844433</v>
      </c>
      <c r="C87" s="28">
        <v>0.74944793406463162</v>
      </c>
      <c r="D87" s="28">
        <v>4.1635996336923969E-2</v>
      </c>
      <c r="E87" s="28">
        <v>1</v>
      </c>
      <c r="F87" t="s">
        <v>229</v>
      </c>
    </row>
    <row r="88" spans="1:6" x14ac:dyDescent="0.3">
      <c r="A88" s="27" t="s">
        <v>145</v>
      </c>
      <c r="B88" s="28">
        <v>0.29225022868371575</v>
      </c>
      <c r="C88" s="28">
        <v>0.70774977131628436</v>
      </c>
      <c r="D88" s="28">
        <v>0</v>
      </c>
      <c r="E88" s="28">
        <v>1</v>
      </c>
      <c r="F88" t="s">
        <v>145</v>
      </c>
    </row>
    <row r="89" spans="1:6" x14ac:dyDescent="0.3">
      <c r="A89" s="27" t="s">
        <v>168</v>
      </c>
      <c r="B89" s="28">
        <v>0.14067820415670915</v>
      </c>
      <c r="C89" s="28">
        <v>0.81067051399407963</v>
      </c>
      <c r="D89" s="28">
        <v>4.8651281849211248E-2</v>
      </c>
      <c r="E89" s="28">
        <v>1</v>
      </c>
      <c r="F89" t="s">
        <v>168</v>
      </c>
    </row>
    <row r="90" spans="1:6" x14ac:dyDescent="0.3">
      <c r="A90" s="27" t="s">
        <v>230</v>
      </c>
      <c r="B90" s="28">
        <v>0.5650390946625059</v>
      </c>
      <c r="C90" s="28">
        <v>0.26969294293950685</v>
      </c>
      <c r="D90" s="28">
        <v>0.16526796239798727</v>
      </c>
      <c r="E90" s="28">
        <v>1</v>
      </c>
      <c r="F90" t="s">
        <v>230</v>
      </c>
    </row>
    <row r="91" spans="1:6" x14ac:dyDescent="0.3">
      <c r="A91" s="27" t="s">
        <v>231</v>
      </c>
      <c r="B91" s="28">
        <v>0.16897681973750758</v>
      </c>
      <c r="C91" s="28">
        <v>0.70720210026885655</v>
      </c>
      <c r="D91" s="28">
        <v>0.12382107999363577</v>
      </c>
      <c r="E91" s="28">
        <v>1</v>
      </c>
      <c r="F91" t="s">
        <v>231</v>
      </c>
    </row>
    <row r="92" spans="1:6" x14ac:dyDescent="0.3">
      <c r="A92" s="104" t="s">
        <v>182</v>
      </c>
      <c r="B92" s="28">
        <v>0.36145066299762685</v>
      </c>
      <c r="C92" s="28">
        <v>0.53595028497832065</v>
      </c>
      <c r="D92" s="28">
        <v>0.10259905202405255</v>
      </c>
      <c r="E92" s="28">
        <v>1</v>
      </c>
    </row>
    <row r="95" spans="1:6" x14ac:dyDescent="0.3">
      <c r="A95" s="103" t="s">
        <v>195</v>
      </c>
      <c r="B95" s="27" t="s">
        <v>196</v>
      </c>
    </row>
    <row r="96" spans="1:6" x14ac:dyDescent="0.3">
      <c r="B96" s="27"/>
    </row>
    <row r="97" spans="1:5" x14ac:dyDescent="0.3">
      <c r="A97" s="25" t="s">
        <v>2101</v>
      </c>
      <c r="B97" s="103" t="s">
        <v>235</v>
      </c>
      <c r="C97" s="27"/>
      <c r="D97" s="27"/>
      <c r="E97" s="27"/>
    </row>
    <row r="98" spans="1:5" x14ac:dyDescent="0.3">
      <c r="A98" s="25" t="s">
        <v>27</v>
      </c>
      <c r="B98" s="104" t="s">
        <v>92</v>
      </c>
      <c r="C98" s="104" t="s">
        <v>47</v>
      </c>
      <c r="D98" s="104" t="s">
        <v>242</v>
      </c>
      <c r="E98" s="27" t="s">
        <v>182</v>
      </c>
    </row>
    <row r="99" spans="1:5" x14ac:dyDescent="0.3">
      <c r="A99" s="27" t="s">
        <v>162</v>
      </c>
      <c r="B99" s="28">
        <v>0.47994259996224464</v>
      </c>
      <c r="C99" s="28">
        <v>0.47627094264678849</v>
      </c>
      <c r="D99" s="28">
        <v>4.3786457390966843E-2</v>
      </c>
      <c r="E99" s="28">
        <v>1</v>
      </c>
    </row>
    <row r="100" spans="1:5" x14ac:dyDescent="0.3">
      <c r="A100" s="27" t="s">
        <v>63</v>
      </c>
      <c r="B100" s="28">
        <v>0.36410154945067075</v>
      </c>
      <c r="C100" s="28">
        <v>0.53236072678493729</v>
      </c>
      <c r="D100" s="28">
        <v>0.10353772376439202</v>
      </c>
      <c r="E100" s="28">
        <v>1</v>
      </c>
    </row>
    <row r="101" spans="1:5" x14ac:dyDescent="0.3">
      <c r="A101" s="27" t="s">
        <v>52</v>
      </c>
      <c r="B101" s="28">
        <v>0.37517927504975701</v>
      </c>
      <c r="C101" s="28">
        <v>0.50303639477939388</v>
      </c>
      <c r="D101" s="28">
        <v>0.12178433017084922</v>
      </c>
      <c r="E101" s="28">
        <v>1</v>
      </c>
    </row>
    <row r="102" spans="1:5" x14ac:dyDescent="0.3">
      <c r="A102" s="27" t="s">
        <v>107</v>
      </c>
      <c r="B102" s="28">
        <v>0.24630994571500123</v>
      </c>
      <c r="C102" s="28">
        <v>0.65266622632977012</v>
      </c>
      <c r="D102" s="28">
        <v>0.10102382795522862</v>
      </c>
      <c r="E102" s="28">
        <v>1</v>
      </c>
    </row>
    <row r="103" spans="1:5" x14ac:dyDescent="0.3">
      <c r="A103" s="104" t="s">
        <v>182</v>
      </c>
      <c r="B103" s="28">
        <v>0.3614506629976269</v>
      </c>
      <c r="C103" s="28">
        <v>0.53595028497832053</v>
      </c>
      <c r="D103" s="28">
        <v>0.10259905202405259</v>
      </c>
      <c r="E103" s="28">
        <v>1</v>
      </c>
    </row>
    <row r="105" spans="1:5" x14ac:dyDescent="0.3">
      <c r="A105" s="103" t="s">
        <v>195</v>
      </c>
      <c r="B105" s="27" t="s">
        <v>196</v>
      </c>
    </row>
    <row r="106" spans="1:5" x14ac:dyDescent="0.3">
      <c r="B106" s="27"/>
    </row>
    <row r="107" spans="1:5" x14ac:dyDescent="0.3">
      <c r="A107" s="25" t="s">
        <v>2101</v>
      </c>
      <c r="B107" s="103" t="s">
        <v>235</v>
      </c>
      <c r="C107" s="27"/>
      <c r="D107" s="27"/>
      <c r="E107" s="27"/>
    </row>
    <row r="108" spans="1:5" ht="27.6" x14ac:dyDescent="0.3">
      <c r="A108" s="25" t="s">
        <v>30</v>
      </c>
      <c r="B108" s="104" t="s">
        <v>92</v>
      </c>
      <c r="C108" s="104" t="s">
        <v>47</v>
      </c>
      <c r="D108" s="104" t="s">
        <v>242</v>
      </c>
      <c r="E108" s="27" t="s">
        <v>182</v>
      </c>
    </row>
    <row r="109" spans="1:5" x14ac:dyDescent="0.3">
      <c r="A109" s="27" t="s">
        <v>54</v>
      </c>
      <c r="B109" s="28">
        <v>0.35523405073788916</v>
      </c>
      <c r="C109" s="28">
        <v>0.59522019445447572</v>
      </c>
      <c r="D109" s="28">
        <v>4.9545754807635102E-2</v>
      </c>
      <c r="E109" s="28">
        <v>1</v>
      </c>
    </row>
    <row r="110" spans="1:5" x14ac:dyDescent="0.3">
      <c r="A110" s="27" t="s">
        <v>445</v>
      </c>
      <c r="B110" s="28">
        <v>0.36800056650720997</v>
      </c>
      <c r="C110" s="28">
        <v>0.47350273768558993</v>
      </c>
      <c r="D110" s="28">
        <v>0.15849669580720019</v>
      </c>
      <c r="E110" s="28">
        <v>1</v>
      </c>
    </row>
    <row r="111" spans="1:5" x14ac:dyDescent="0.3">
      <c r="A111" s="104" t="s">
        <v>182</v>
      </c>
      <c r="B111" s="28">
        <v>0.3614506629976269</v>
      </c>
      <c r="C111" s="28">
        <v>0.53595028497832065</v>
      </c>
      <c r="D111" s="28">
        <v>0.1025990520240526</v>
      </c>
      <c r="E111" s="28">
        <v>1</v>
      </c>
    </row>
    <row r="112" spans="1:5" x14ac:dyDescent="0.3">
      <c r="A112"/>
      <c r="D112"/>
    </row>
    <row r="116" spans="1:5" x14ac:dyDescent="0.3">
      <c r="A116" s="103" t="s">
        <v>195</v>
      </c>
      <c r="B116" s="27" t="s">
        <v>196</v>
      </c>
    </row>
    <row r="117" spans="1:5" x14ac:dyDescent="0.3">
      <c r="B117" s="27"/>
    </row>
    <row r="118" spans="1:5" x14ac:dyDescent="0.3">
      <c r="A118" s="25" t="s">
        <v>2101</v>
      </c>
      <c r="B118" s="103" t="s">
        <v>235</v>
      </c>
      <c r="C118" s="27"/>
      <c r="D118" s="27"/>
      <c r="E118" s="27"/>
    </row>
    <row r="119" spans="1:5" x14ac:dyDescent="0.3">
      <c r="A119" s="25" t="s">
        <v>25</v>
      </c>
      <c r="B119" s="104" t="s">
        <v>92</v>
      </c>
      <c r="C119" s="104" t="s">
        <v>47</v>
      </c>
      <c r="D119" s="104" t="s">
        <v>242</v>
      </c>
      <c r="E119" s="27" t="s">
        <v>182</v>
      </c>
    </row>
    <row r="120" spans="1:5" x14ac:dyDescent="0.3">
      <c r="A120" s="27" t="s">
        <v>451</v>
      </c>
      <c r="B120" s="28">
        <v>0.42625908259627687</v>
      </c>
      <c r="C120" s="28">
        <v>0.43017103574473242</v>
      </c>
      <c r="D120" s="28">
        <v>0.14356988165899065</v>
      </c>
      <c r="E120" s="28">
        <v>1</v>
      </c>
    </row>
    <row r="121" spans="1:5" x14ac:dyDescent="0.3">
      <c r="A121" s="27" t="s">
        <v>62</v>
      </c>
      <c r="B121" s="28">
        <v>0.35422501387816197</v>
      </c>
      <c r="C121" s="28">
        <v>0.50522879543601484</v>
      </c>
      <c r="D121" s="28">
        <v>0.14054619068582314</v>
      </c>
      <c r="E121" s="28">
        <v>1</v>
      </c>
    </row>
    <row r="122" spans="1:5" x14ac:dyDescent="0.3">
      <c r="A122" s="27" t="s">
        <v>82</v>
      </c>
      <c r="B122" s="28">
        <v>0.23969067695925275</v>
      </c>
      <c r="C122" s="28">
        <v>0.7233919443318424</v>
      </c>
      <c r="D122" s="28">
        <v>3.6917378708904873E-2</v>
      </c>
      <c r="E122" s="28">
        <v>1</v>
      </c>
    </row>
    <row r="123" spans="1:5" x14ac:dyDescent="0.3">
      <c r="A123" s="27" t="s">
        <v>50</v>
      </c>
      <c r="B123" s="28">
        <v>0.30477586062258216</v>
      </c>
      <c r="C123" s="28">
        <v>0.64544979162469696</v>
      </c>
      <c r="D123" s="28">
        <v>4.9774347752720827E-2</v>
      </c>
      <c r="E123" s="28">
        <v>1</v>
      </c>
    </row>
    <row r="124" spans="1:5" x14ac:dyDescent="0.3">
      <c r="A124" s="27" t="s">
        <v>626</v>
      </c>
      <c r="B124" s="28">
        <v>0.31697033614367676</v>
      </c>
      <c r="C124" s="28">
        <v>0.5736552268694699</v>
      </c>
      <c r="D124" s="28">
        <v>0.10937443698685331</v>
      </c>
      <c r="E124" s="28">
        <v>1</v>
      </c>
    </row>
    <row r="125" spans="1:5" x14ac:dyDescent="0.3">
      <c r="A125" s="27" t="s">
        <v>75</v>
      </c>
      <c r="B125" s="28">
        <v>0.39252793226909444</v>
      </c>
      <c r="C125" s="28">
        <v>0.59555425735899414</v>
      </c>
      <c r="D125" s="28">
        <v>1.191781037191152E-2</v>
      </c>
      <c r="E125" s="28">
        <v>1</v>
      </c>
    </row>
    <row r="126" spans="1:5" x14ac:dyDescent="0.3">
      <c r="A126" s="27" t="s">
        <v>161</v>
      </c>
      <c r="B126" s="28">
        <v>0.25013372776292353</v>
      </c>
      <c r="C126" s="28">
        <v>0.55439604462728254</v>
      </c>
      <c r="D126" s="28">
        <v>0.19547022760979388</v>
      </c>
      <c r="E126" s="28">
        <v>1</v>
      </c>
    </row>
    <row r="127" spans="1:5" x14ac:dyDescent="0.3">
      <c r="A127" s="27" t="s">
        <v>170</v>
      </c>
      <c r="B127" s="28">
        <v>0.3263998436818088</v>
      </c>
      <c r="C127" s="28">
        <v>0.67360015631819115</v>
      </c>
      <c r="D127" s="28">
        <v>0</v>
      </c>
      <c r="E127" s="28">
        <v>1</v>
      </c>
    </row>
    <row r="128" spans="1:5" x14ac:dyDescent="0.3">
      <c r="A128" s="27" t="s">
        <v>925</v>
      </c>
      <c r="B128" s="28">
        <v>0.57434213818894675</v>
      </c>
      <c r="C128" s="28">
        <v>0.28144096307816829</v>
      </c>
      <c r="D128" s="28">
        <v>0.14421689873288496</v>
      </c>
      <c r="E128" s="28">
        <v>1</v>
      </c>
    </row>
    <row r="129" spans="1:5" x14ac:dyDescent="0.3">
      <c r="A129" s="104" t="s">
        <v>182</v>
      </c>
      <c r="B129" s="28">
        <v>0.36145066299762679</v>
      </c>
      <c r="C129" s="28">
        <v>0.53595028497832042</v>
      </c>
      <c r="D129" s="28">
        <v>0.10259905202405256</v>
      </c>
      <c r="E129" s="2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0F732-2EFC-4BCC-B4E2-F6A5A0114324}">
  <dimension ref="A1:P911"/>
  <sheetViews>
    <sheetView topLeftCell="E1" workbookViewId="0">
      <selection activeCell="L15" sqref="L15"/>
    </sheetView>
  </sheetViews>
  <sheetFormatPr defaultRowHeight="13.8" x14ac:dyDescent="0.3"/>
  <cols>
    <col min="1" max="1" width="154.3984375" style="27" hidden="1" customWidth="1"/>
    <col min="2" max="3" width="8.796875" style="27"/>
    <col min="4" max="4" width="69.796875" style="27" bestFit="1" customWidth="1"/>
    <col min="5" max="11" width="8.796875" style="27"/>
    <col min="12" max="12" width="33" style="27" customWidth="1"/>
    <col min="13" max="13" width="14.8984375" style="27" bestFit="1" customWidth="1"/>
    <col min="14" max="14" width="8.796875" style="29"/>
    <col min="15" max="16384" width="8.796875" style="27"/>
  </cols>
  <sheetData>
    <row r="1" spans="1:16" x14ac:dyDescent="0.3">
      <c r="A1" s="68" t="s">
        <v>18</v>
      </c>
      <c r="D1" s="68" t="s">
        <v>18</v>
      </c>
      <c r="L1" s="122" t="s">
        <v>5118</v>
      </c>
      <c r="M1" s="122" t="s">
        <v>5120</v>
      </c>
      <c r="N1" s="122" t="s">
        <v>5119</v>
      </c>
    </row>
    <row r="2" spans="1:16" x14ac:dyDescent="0.3">
      <c r="A2" s="27" t="s">
        <v>5040</v>
      </c>
      <c r="D2" s="27" t="s">
        <v>369</v>
      </c>
      <c r="E2" s="27" t="s">
        <v>5117</v>
      </c>
      <c r="F2" s="27" t="s">
        <v>320</v>
      </c>
      <c r="L2" s="82" t="s">
        <v>74</v>
      </c>
      <c r="M2" s="123">
        <f>N2/$N$9</f>
        <v>0.21164021164021163</v>
      </c>
      <c r="N2" s="44">
        <f t="shared" ref="N2:N8" si="0">COUNTIF(D:J,L2)</f>
        <v>640</v>
      </c>
    </row>
    <row r="3" spans="1:16" x14ac:dyDescent="0.3">
      <c r="A3" s="27" t="s">
        <v>5041</v>
      </c>
      <c r="D3" s="27" t="s">
        <v>296</v>
      </c>
      <c r="E3" s="27" t="s">
        <v>4997</v>
      </c>
      <c r="F3" s="27" t="s">
        <v>5117</v>
      </c>
      <c r="L3" s="82" t="s">
        <v>5117</v>
      </c>
      <c r="M3" s="123">
        <f t="shared" ref="M3:M8" si="1">N3/$N$9</f>
        <v>0.18783068783068782</v>
      </c>
      <c r="N3" s="44">
        <f t="shared" si="0"/>
        <v>568</v>
      </c>
    </row>
    <row r="4" spans="1:16" x14ac:dyDescent="0.3">
      <c r="A4" s="27" t="s">
        <v>74</v>
      </c>
      <c r="D4" s="27" t="s">
        <v>74</v>
      </c>
      <c r="L4" s="82" t="s">
        <v>296</v>
      </c>
      <c r="M4" s="123">
        <f t="shared" si="1"/>
        <v>0.16699735449735451</v>
      </c>
      <c r="N4" s="44">
        <f t="shared" si="0"/>
        <v>505</v>
      </c>
    </row>
    <row r="5" spans="1:16" x14ac:dyDescent="0.3">
      <c r="A5" s="27" t="s">
        <v>5042</v>
      </c>
      <c r="D5" s="27" t="s">
        <v>74</v>
      </c>
      <c r="E5" s="27" t="s">
        <v>296</v>
      </c>
      <c r="F5" s="27" t="s">
        <v>4997</v>
      </c>
      <c r="L5" s="82" t="s">
        <v>369</v>
      </c>
      <c r="M5" s="123">
        <f t="shared" si="1"/>
        <v>0.16435185185185186</v>
      </c>
      <c r="N5" s="44">
        <f t="shared" si="0"/>
        <v>497</v>
      </c>
    </row>
    <row r="6" spans="1:16" x14ac:dyDescent="0.3">
      <c r="A6" s="27" t="s">
        <v>5043</v>
      </c>
      <c r="D6" s="27" t="s">
        <v>296</v>
      </c>
      <c r="E6" s="27" t="s">
        <v>5117</v>
      </c>
      <c r="F6" s="27" t="s">
        <v>320</v>
      </c>
      <c r="L6" s="82" t="s">
        <v>5039</v>
      </c>
      <c r="M6" s="123">
        <f t="shared" si="1"/>
        <v>0.12003968253968254</v>
      </c>
      <c r="N6" s="44">
        <f t="shared" si="0"/>
        <v>363</v>
      </c>
    </row>
    <row r="7" spans="1:16" x14ac:dyDescent="0.3">
      <c r="A7" s="27" t="s">
        <v>5044</v>
      </c>
      <c r="D7" s="27" t="s">
        <v>296</v>
      </c>
      <c r="E7" s="27" t="s">
        <v>4997</v>
      </c>
      <c r="F7" s="27" t="s">
        <v>320</v>
      </c>
      <c r="L7" s="82" t="s">
        <v>320</v>
      </c>
      <c r="M7" s="123">
        <f t="shared" si="1"/>
        <v>7.6058201058201061E-2</v>
      </c>
      <c r="N7" s="44">
        <f t="shared" si="0"/>
        <v>230</v>
      </c>
    </row>
    <row r="8" spans="1:16" x14ac:dyDescent="0.3">
      <c r="A8" s="27" t="s">
        <v>5041</v>
      </c>
      <c r="D8" s="27" t="s">
        <v>296</v>
      </c>
      <c r="E8" s="27" t="s">
        <v>4997</v>
      </c>
      <c r="F8" s="27" t="s">
        <v>5117</v>
      </c>
      <c r="L8" s="82" t="s">
        <v>4997</v>
      </c>
      <c r="M8" s="123">
        <f t="shared" si="1"/>
        <v>7.3082010582010581E-2</v>
      </c>
      <c r="N8" s="44">
        <f t="shared" si="0"/>
        <v>221</v>
      </c>
    </row>
    <row r="9" spans="1:16" x14ac:dyDescent="0.3">
      <c r="A9" s="27" t="s">
        <v>5045</v>
      </c>
      <c r="D9" s="27" t="s">
        <v>4997</v>
      </c>
      <c r="E9" s="27" t="s">
        <v>5117</v>
      </c>
      <c r="F9" s="27" t="s">
        <v>320</v>
      </c>
      <c r="L9" s="82"/>
      <c r="M9" s="125">
        <f>SUM(M2:M8)</f>
        <v>1</v>
      </c>
      <c r="N9" s="126">
        <f>SUM(N2:N8)</f>
        <v>3024</v>
      </c>
    </row>
    <row r="10" spans="1:16" x14ac:dyDescent="0.3">
      <c r="A10" s="27" t="s">
        <v>5046</v>
      </c>
      <c r="D10" s="27" t="s">
        <v>74</v>
      </c>
      <c r="E10" s="27" t="s">
        <v>5117</v>
      </c>
      <c r="F10" s="27" t="s">
        <v>320</v>
      </c>
    </row>
    <row r="11" spans="1:16" x14ac:dyDescent="0.3">
      <c r="A11" s="27" t="s">
        <v>5043</v>
      </c>
      <c r="D11" s="27" t="s">
        <v>296</v>
      </c>
      <c r="E11" s="27" t="s">
        <v>5117</v>
      </c>
      <c r="F11" s="27" t="s">
        <v>320</v>
      </c>
    </row>
    <row r="12" spans="1:16" x14ac:dyDescent="0.3">
      <c r="A12" s="27" t="s">
        <v>5047</v>
      </c>
      <c r="D12" s="27" t="s">
        <v>74</v>
      </c>
      <c r="E12" s="27" t="s">
        <v>296</v>
      </c>
      <c r="F12" s="27" t="s">
        <v>320</v>
      </c>
    </row>
    <row r="13" spans="1:16" x14ac:dyDescent="0.3">
      <c r="A13" s="27" t="s">
        <v>5048</v>
      </c>
      <c r="D13" s="27" t="s">
        <v>74</v>
      </c>
      <c r="E13" s="27" t="s">
        <v>296</v>
      </c>
      <c r="F13" s="27" t="s">
        <v>5039</v>
      </c>
      <c r="G13" s="27" t="s">
        <v>320</v>
      </c>
    </row>
    <row r="14" spans="1:16" x14ac:dyDescent="0.3">
      <c r="A14" s="27" t="s">
        <v>5046</v>
      </c>
      <c r="D14" s="27" t="s">
        <v>74</v>
      </c>
      <c r="E14" s="27" t="s">
        <v>5117</v>
      </c>
      <c r="F14" s="27" t="s">
        <v>320</v>
      </c>
    </row>
    <row r="15" spans="1:16" ht="15.6" x14ac:dyDescent="0.3">
      <c r="A15" s="27" t="s">
        <v>5049</v>
      </c>
      <c r="D15" s="27" t="s">
        <v>296</v>
      </c>
      <c r="E15" s="27" t="s">
        <v>369</v>
      </c>
      <c r="F15" s="27" t="s">
        <v>5039</v>
      </c>
      <c r="L15" s="103" t="s">
        <v>195</v>
      </c>
      <c r="M15" s="27" t="s">
        <v>196</v>
      </c>
      <c r="N15"/>
      <c r="O15" s="104"/>
      <c r="P15"/>
    </row>
    <row r="16" spans="1:16" ht="15.6" x14ac:dyDescent="0.3">
      <c r="A16" s="27" t="s">
        <v>5049</v>
      </c>
      <c r="D16" s="27" t="s">
        <v>296</v>
      </c>
      <c r="E16" s="27" t="s">
        <v>369</v>
      </c>
      <c r="F16" s="27" t="s">
        <v>5039</v>
      </c>
      <c r="L16" s="104"/>
      <c r="N16"/>
      <c r="O16" s="104"/>
      <c r="P16"/>
    </row>
    <row r="17" spans="1:16" ht="15.6" x14ac:dyDescent="0.3">
      <c r="A17" s="27" t="s">
        <v>5043</v>
      </c>
      <c r="D17" s="27" t="s">
        <v>296</v>
      </c>
      <c r="E17" s="27" t="s">
        <v>5117</v>
      </c>
      <c r="F17" s="27" t="s">
        <v>320</v>
      </c>
      <c r="L17" s="124" t="s">
        <v>13</v>
      </c>
      <c r="M17" s="27" t="s">
        <v>2101</v>
      </c>
      <c r="N17"/>
      <c r="O17"/>
      <c r="P17"/>
    </row>
    <row r="18" spans="1:16" ht="15.6" x14ac:dyDescent="0.3">
      <c r="A18" s="27" t="s">
        <v>5050</v>
      </c>
      <c r="D18" s="27" t="s">
        <v>74</v>
      </c>
      <c r="E18" s="27" t="s">
        <v>296</v>
      </c>
      <c r="F18" s="27" t="s">
        <v>369</v>
      </c>
      <c r="L18" s="27" t="s">
        <v>61</v>
      </c>
      <c r="M18" s="28">
        <v>0.28013598524242816</v>
      </c>
      <c r="N18"/>
      <c r="O18"/>
      <c r="P18"/>
    </row>
    <row r="19" spans="1:16" ht="15.6" x14ac:dyDescent="0.3">
      <c r="A19" s="27" t="s">
        <v>5051</v>
      </c>
      <c r="D19" s="27" t="s">
        <v>74</v>
      </c>
      <c r="E19" s="27" t="s">
        <v>296</v>
      </c>
      <c r="F19" s="27" t="s">
        <v>5039</v>
      </c>
      <c r="L19" s="27" t="s">
        <v>132</v>
      </c>
      <c r="M19" s="28">
        <v>0.23516812794608502</v>
      </c>
      <c r="N19"/>
      <c r="O19"/>
      <c r="P19"/>
    </row>
    <row r="20" spans="1:16" ht="15.6" x14ac:dyDescent="0.3">
      <c r="A20" s="27" t="s">
        <v>369</v>
      </c>
      <c r="D20" s="27" t="s">
        <v>369</v>
      </c>
      <c r="L20" s="27" t="s">
        <v>73</v>
      </c>
      <c r="M20" s="28">
        <v>0.16802908903954264</v>
      </c>
      <c r="N20"/>
      <c r="O20"/>
      <c r="P20"/>
    </row>
    <row r="21" spans="1:16" ht="15.6" x14ac:dyDescent="0.3">
      <c r="A21" s="27" t="s">
        <v>5039</v>
      </c>
      <c r="D21" s="27" t="s">
        <v>5039</v>
      </c>
      <c r="L21" s="27" t="s">
        <v>139</v>
      </c>
      <c r="M21" s="28">
        <v>0.11237821469234882</v>
      </c>
      <c r="N21"/>
      <c r="O21"/>
      <c r="P21"/>
    </row>
    <row r="22" spans="1:16" x14ac:dyDescent="0.3">
      <c r="A22" s="27" t="s">
        <v>74</v>
      </c>
      <c r="D22" s="27" t="s">
        <v>74</v>
      </c>
      <c r="L22" s="27" t="s">
        <v>42</v>
      </c>
      <c r="M22" s="28">
        <v>1.7581160293332922E-2</v>
      </c>
    </row>
    <row r="23" spans="1:16" x14ac:dyDescent="0.3">
      <c r="A23" s="27" t="s">
        <v>296</v>
      </c>
      <c r="D23" s="27" t="s">
        <v>296</v>
      </c>
      <c r="L23" s="27" t="s">
        <v>2116</v>
      </c>
      <c r="M23" s="28">
        <v>0.18670742278626248</v>
      </c>
    </row>
    <row r="24" spans="1:16" x14ac:dyDescent="0.3">
      <c r="A24" s="27" t="s">
        <v>74</v>
      </c>
      <c r="D24" s="27" t="s">
        <v>74</v>
      </c>
      <c r="L24" s="104" t="s">
        <v>182</v>
      </c>
      <c r="M24" s="28">
        <v>1</v>
      </c>
    </row>
    <row r="25" spans="1:16" x14ac:dyDescent="0.3">
      <c r="A25" s="27" t="s">
        <v>74</v>
      </c>
      <c r="D25" s="27" t="s">
        <v>74</v>
      </c>
    </row>
    <row r="26" spans="1:16" x14ac:dyDescent="0.3">
      <c r="A26" s="27" t="s">
        <v>74</v>
      </c>
      <c r="D26" s="27" t="s">
        <v>74</v>
      </c>
    </row>
    <row r="27" spans="1:16" x14ac:dyDescent="0.3">
      <c r="A27" s="27" t="s">
        <v>74</v>
      </c>
      <c r="D27" s="27" t="s">
        <v>74</v>
      </c>
    </row>
    <row r="28" spans="1:16" x14ac:dyDescent="0.3">
      <c r="A28" s="27" t="s">
        <v>5052</v>
      </c>
      <c r="D28" s="27" t="s">
        <v>296</v>
      </c>
      <c r="E28" s="27" t="s">
        <v>369</v>
      </c>
    </row>
    <row r="29" spans="1:16" x14ac:dyDescent="0.3">
      <c r="A29" s="27" t="s">
        <v>5040</v>
      </c>
      <c r="D29" s="27" t="s">
        <v>369</v>
      </c>
      <c r="E29" s="27" t="s">
        <v>5117</v>
      </c>
      <c r="F29" s="27" t="s">
        <v>320</v>
      </c>
    </row>
    <row r="30" spans="1:16" x14ac:dyDescent="0.3">
      <c r="A30" s="27" t="s">
        <v>74</v>
      </c>
      <c r="D30" s="27" t="s">
        <v>74</v>
      </c>
    </row>
    <row r="31" spans="1:16" x14ac:dyDescent="0.3">
      <c r="A31" s="27" t="s">
        <v>296</v>
      </c>
      <c r="D31" s="27" t="s">
        <v>296</v>
      </c>
    </row>
    <row r="32" spans="1:16" x14ac:dyDescent="0.3">
      <c r="A32" s="27" t="s">
        <v>296</v>
      </c>
      <c r="D32" s="27" t="s">
        <v>296</v>
      </c>
    </row>
    <row r="33" spans="1:10" x14ac:dyDescent="0.3">
      <c r="A33" s="27" t="s">
        <v>74</v>
      </c>
      <c r="D33" s="27" t="s">
        <v>74</v>
      </c>
    </row>
    <row r="34" spans="1:10" x14ac:dyDescent="0.3">
      <c r="A34" s="27" t="s">
        <v>320</v>
      </c>
      <c r="D34" s="27" t="s">
        <v>320</v>
      </c>
    </row>
    <row r="35" spans="1:10" x14ac:dyDescent="0.3">
      <c r="A35" s="27" t="s">
        <v>5053</v>
      </c>
      <c r="D35" s="27" t="s">
        <v>4997</v>
      </c>
      <c r="E35" s="27" t="s">
        <v>369</v>
      </c>
    </row>
    <row r="36" spans="1:10" x14ac:dyDescent="0.3">
      <c r="A36" s="27" t="s">
        <v>296</v>
      </c>
      <c r="D36" s="27" t="s">
        <v>296</v>
      </c>
    </row>
    <row r="37" spans="1:10" x14ac:dyDescent="0.3">
      <c r="A37" s="27" t="s">
        <v>320</v>
      </c>
      <c r="D37" s="27" t="s">
        <v>320</v>
      </c>
    </row>
    <row r="38" spans="1:10" x14ac:dyDescent="0.3">
      <c r="A38" s="27" t="s">
        <v>296</v>
      </c>
      <c r="D38" s="27" t="s">
        <v>296</v>
      </c>
    </row>
    <row r="39" spans="1:10" x14ac:dyDescent="0.3">
      <c r="A39" s="27" t="s">
        <v>74</v>
      </c>
      <c r="D39" s="27" t="s">
        <v>74</v>
      </c>
    </row>
    <row r="40" spans="1:10" x14ac:dyDescent="0.3">
      <c r="A40" s="27" t="s">
        <v>5054</v>
      </c>
      <c r="D40" s="27" t="s">
        <v>74</v>
      </c>
      <c r="E40" s="27" t="s">
        <v>296</v>
      </c>
      <c r="F40" s="27" t="s">
        <v>4997</v>
      </c>
      <c r="G40" s="27" t="s">
        <v>369</v>
      </c>
      <c r="H40" s="27" t="s">
        <v>5117</v>
      </c>
      <c r="I40" s="27" t="s">
        <v>5039</v>
      </c>
      <c r="J40" s="27" t="s">
        <v>320</v>
      </c>
    </row>
    <row r="41" spans="1:10" x14ac:dyDescent="0.3">
      <c r="A41" s="27" t="s">
        <v>5041</v>
      </c>
      <c r="D41" s="27" t="s">
        <v>296</v>
      </c>
      <c r="E41" s="27" t="s">
        <v>4997</v>
      </c>
      <c r="F41" s="27" t="s">
        <v>5117</v>
      </c>
    </row>
    <row r="42" spans="1:10" x14ac:dyDescent="0.3">
      <c r="A42" s="27" t="s">
        <v>5039</v>
      </c>
      <c r="D42" s="27" t="s">
        <v>5039</v>
      </c>
    </row>
    <row r="43" spans="1:10" x14ac:dyDescent="0.3">
      <c r="A43" s="27" t="s">
        <v>5041</v>
      </c>
      <c r="D43" s="27" t="s">
        <v>296</v>
      </c>
      <c r="E43" s="27" t="s">
        <v>4997</v>
      </c>
      <c r="F43" s="27" t="s">
        <v>5117</v>
      </c>
    </row>
    <row r="44" spans="1:10" x14ac:dyDescent="0.3">
      <c r="A44" s="27" t="s">
        <v>296</v>
      </c>
      <c r="D44" s="27" t="s">
        <v>296</v>
      </c>
    </row>
    <row r="45" spans="1:10" x14ac:dyDescent="0.3">
      <c r="A45" s="27" t="s">
        <v>5055</v>
      </c>
      <c r="D45" s="27" t="s">
        <v>296</v>
      </c>
      <c r="E45" s="27" t="s">
        <v>369</v>
      </c>
      <c r="F45" s="27" t="s">
        <v>5117</v>
      </c>
    </row>
    <row r="46" spans="1:10" x14ac:dyDescent="0.3">
      <c r="A46" s="27" t="s">
        <v>369</v>
      </c>
      <c r="D46" s="27" t="s">
        <v>369</v>
      </c>
    </row>
    <row r="47" spans="1:10" x14ac:dyDescent="0.3">
      <c r="A47" s="27" t="s">
        <v>74</v>
      </c>
      <c r="D47" s="27" t="s">
        <v>74</v>
      </c>
    </row>
    <row r="48" spans="1:10" x14ac:dyDescent="0.3">
      <c r="A48" s="27" t="s">
        <v>74</v>
      </c>
      <c r="D48" s="27" t="s">
        <v>74</v>
      </c>
    </row>
    <row r="49" spans="1:6" x14ac:dyDescent="0.3">
      <c r="A49" s="27" t="s">
        <v>74</v>
      </c>
      <c r="D49" s="27" t="s">
        <v>74</v>
      </c>
    </row>
    <row r="50" spans="1:6" x14ac:dyDescent="0.3">
      <c r="A50" s="27" t="s">
        <v>296</v>
      </c>
      <c r="D50" s="27" t="s">
        <v>296</v>
      </c>
    </row>
    <row r="51" spans="1:6" x14ac:dyDescent="0.3">
      <c r="A51" s="27" t="s">
        <v>296</v>
      </c>
      <c r="D51" s="27" t="s">
        <v>296</v>
      </c>
    </row>
    <row r="52" spans="1:6" x14ac:dyDescent="0.3">
      <c r="A52" s="27" t="s">
        <v>5056</v>
      </c>
      <c r="D52" s="27" t="s">
        <v>74</v>
      </c>
      <c r="E52" s="27" t="s">
        <v>369</v>
      </c>
      <c r="F52" s="27" t="s">
        <v>5117</v>
      </c>
    </row>
    <row r="53" spans="1:6" x14ac:dyDescent="0.3">
      <c r="A53" s="27" t="s">
        <v>5050</v>
      </c>
      <c r="D53" s="27" t="s">
        <v>74</v>
      </c>
      <c r="E53" s="27" t="s">
        <v>296</v>
      </c>
      <c r="F53" s="27" t="s">
        <v>369</v>
      </c>
    </row>
    <row r="54" spans="1:6" x14ac:dyDescent="0.3">
      <c r="A54" s="27" t="s">
        <v>5057</v>
      </c>
      <c r="D54" s="27" t="s">
        <v>74</v>
      </c>
      <c r="E54" s="27" t="s">
        <v>5117</v>
      </c>
      <c r="F54" s="27" t="s">
        <v>5039</v>
      </c>
    </row>
    <row r="55" spans="1:6" x14ac:dyDescent="0.3">
      <c r="A55" s="27" t="s">
        <v>5058</v>
      </c>
      <c r="D55" s="27" t="s">
        <v>74</v>
      </c>
      <c r="E55" s="27" t="s">
        <v>296</v>
      </c>
      <c r="F55" s="27" t="s">
        <v>5117</v>
      </c>
    </row>
    <row r="56" spans="1:6" x14ac:dyDescent="0.3">
      <c r="A56" s="27" t="s">
        <v>5058</v>
      </c>
      <c r="D56" s="27" t="s">
        <v>74</v>
      </c>
      <c r="E56" s="27" t="s">
        <v>296</v>
      </c>
      <c r="F56" s="27" t="s">
        <v>5117</v>
      </c>
    </row>
    <row r="57" spans="1:6" x14ac:dyDescent="0.3">
      <c r="A57" s="27" t="s">
        <v>5050</v>
      </c>
      <c r="D57" s="27" t="s">
        <v>74</v>
      </c>
      <c r="E57" s="27" t="s">
        <v>296</v>
      </c>
      <c r="F57" s="27" t="s">
        <v>369</v>
      </c>
    </row>
    <row r="58" spans="1:6" x14ac:dyDescent="0.3">
      <c r="A58" s="27" t="s">
        <v>5059</v>
      </c>
      <c r="D58" s="27" t="s">
        <v>5117</v>
      </c>
      <c r="E58" s="27" t="s">
        <v>5039</v>
      </c>
      <c r="F58" s="27" t="s">
        <v>320</v>
      </c>
    </row>
    <row r="59" spans="1:6" x14ac:dyDescent="0.3">
      <c r="A59" s="27" t="s">
        <v>5059</v>
      </c>
      <c r="D59" s="27" t="s">
        <v>5117</v>
      </c>
      <c r="E59" s="27" t="s">
        <v>5039</v>
      </c>
      <c r="F59" s="27" t="s">
        <v>320</v>
      </c>
    </row>
    <row r="60" spans="1:6" x14ac:dyDescent="0.3">
      <c r="A60" s="27" t="s">
        <v>5060</v>
      </c>
      <c r="D60" s="27" t="s">
        <v>296</v>
      </c>
      <c r="E60" s="27" t="s">
        <v>5117</v>
      </c>
    </row>
    <row r="61" spans="1:6" x14ac:dyDescent="0.3">
      <c r="A61" s="27" t="s">
        <v>5061</v>
      </c>
      <c r="D61" s="27" t="s">
        <v>74</v>
      </c>
      <c r="E61" s="27" t="s">
        <v>296</v>
      </c>
    </row>
    <row r="62" spans="1:6" x14ac:dyDescent="0.3">
      <c r="A62" s="27" t="s">
        <v>5062</v>
      </c>
      <c r="D62" s="27" t="s">
        <v>296</v>
      </c>
      <c r="E62" s="27" t="s">
        <v>5117</v>
      </c>
      <c r="F62" s="27" t="s">
        <v>5039</v>
      </c>
    </row>
    <row r="63" spans="1:6" x14ac:dyDescent="0.3">
      <c r="A63" s="27" t="s">
        <v>5062</v>
      </c>
      <c r="D63" s="27" t="s">
        <v>296</v>
      </c>
      <c r="E63" s="27" t="s">
        <v>5117</v>
      </c>
      <c r="F63" s="27" t="s">
        <v>5039</v>
      </c>
    </row>
    <row r="64" spans="1:6" x14ac:dyDescent="0.3">
      <c r="A64" s="27" t="s">
        <v>5052</v>
      </c>
      <c r="D64" s="27" t="s">
        <v>296</v>
      </c>
      <c r="E64" s="27" t="s">
        <v>369</v>
      </c>
    </row>
    <row r="65" spans="1:10" x14ac:dyDescent="0.3">
      <c r="A65" s="27" t="s">
        <v>5063</v>
      </c>
      <c r="D65" s="27" t="s">
        <v>369</v>
      </c>
      <c r="E65" s="27" t="s">
        <v>5117</v>
      </c>
    </row>
    <row r="66" spans="1:10" x14ac:dyDescent="0.3">
      <c r="A66" s="27" t="s">
        <v>5056</v>
      </c>
      <c r="D66" s="27" t="s">
        <v>74</v>
      </c>
      <c r="E66" s="27" t="s">
        <v>369</v>
      </c>
      <c r="F66" s="27" t="s">
        <v>5117</v>
      </c>
    </row>
    <row r="67" spans="1:10" x14ac:dyDescent="0.3">
      <c r="A67" s="27" t="s">
        <v>5049</v>
      </c>
      <c r="D67" s="27" t="s">
        <v>296</v>
      </c>
      <c r="E67" s="27" t="s">
        <v>369</v>
      </c>
      <c r="F67" s="27" t="s">
        <v>5039</v>
      </c>
    </row>
    <row r="68" spans="1:10" x14ac:dyDescent="0.3">
      <c r="A68" s="27" t="s">
        <v>5064</v>
      </c>
      <c r="D68" s="27" t="s">
        <v>369</v>
      </c>
      <c r="E68" s="27" t="s">
        <v>5117</v>
      </c>
      <c r="F68" s="27" t="s">
        <v>5039</v>
      </c>
    </row>
    <row r="69" spans="1:10" x14ac:dyDescent="0.3">
      <c r="A69" s="27" t="s">
        <v>5064</v>
      </c>
      <c r="D69" s="27" t="s">
        <v>369</v>
      </c>
      <c r="E69" s="27" t="s">
        <v>5117</v>
      </c>
      <c r="F69" s="27" t="s">
        <v>5039</v>
      </c>
    </row>
    <row r="70" spans="1:10" x14ac:dyDescent="0.3">
      <c r="A70" s="27" t="s">
        <v>5065</v>
      </c>
      <c r="D70" s="27" t="s">
        <v>74</v>
      </c>
      <c r="E70" s="27" t="s">
        <v>296</v>
      </c>
      <c r="F70" s="27" t="s">
        <v>4997</v>
      </c>
      <c r="G70" s="27" t="s">
        <v>5039</v>
      </c>
    </row>
    <row r="71" spans="1:10" x14ac:dyDescent="0.3">
      <c r="A71" s="27" t="s">
        <v>5056</v>
      </c>
      <c r="D71" s="27" t="s">
        <v>74</v>
      </c>
      <c r="E71" s="27" t="s">
        <v>369</v>
      </c>
      <c r="F71" s="27" t="s">
        <v>5117</v>
      </c>
    </row>
    <row r="72" spans="1:10" x14ac:dyDescent="0.3">
      <c r="A72" s="27" t="s">
        <v>5041</v>
      </c>
      <c r="D72" s="27" t="s">
        <v>296</v>
      </c>
      <c r="E72" s="27" t="s">
        <v>4997</v>
      </c>
      <c r="F72" s="27" t="s">
        <v>5117</v>
      </c>
    </row>
    <row r="73" spans="1:10" x14ac:dyDescent="0.3">
      <c r="A73" s="27" t="s">
        <v>5055</v>
      </c>
      <c r="D73" s="27" t="s">
        <v>296</v>
      </c>
      <c r="E73" s="27" t="s">
        <v>369</v>
      </c>
      <c r="F73" s="27" t="s">
        <v>5117</v>
      </c>
    </row>
    <row r="74" spans="1:10" x14ac:dyDescent="0.3">
      <c r="A74" s="27" t="s">
        <v>5066</v>
      </c>
      <c r="D74" s="27" t="s">
        <v>369</v>
      </c>
      <c r="E74" s="27" t="s">
        <v>5039</v>
      </c>
    </row>
    <row r="75" spans="1:10" x14ac:dyDescent="0.3">
      <c r="A75" s="27" t="s">
        <v>5050</v>
      </c>
      <c r="D75" s="27" t="s">
        <v>74</v>
      </c>
      <c r="E75" s="27" t="s">
        <v>296</v>
      </c>
      <c r="F75" s="27" t="s">
        <v>369</v>
      </c>
    </row>
    <row r="76" spans="1:10" x14ac:dyDescent="0.3">
      <c r="A76" s="27" t="s">
        <v>5067</v>
      </c>
      <c r="D76" s="27" t="s">
        <v>74</v>
      </c>
      <c r="E76" s="27" t="s">
        <v>369</v>
      </c>
    </row>
    <row r="77" spans="1:10" x14ac:dyDescent="0.3">
      <c r="A77" s="27" t="s">
        <v>5054</v>
      </c>
      <c r="D77" s="27" t="s">
        <v>74</v>
      </c>
      <c r="E77" s="27" t="s">
        <v>296</v>
      </c>
      <c r="F77" s="27" t="s">
        <v>4997</v>
      </c>
      <c r="G77" s="27" t="s">
        <v>369</v>
      </c>
      <c r="H77" s="27" t="s">
        <v>5117</v>
      </c>
      <c r="I77" s="27" t="s">
        <v>5039</v>
      </c>
      <c r="J77" s="27" t="s">
        <v>320</v>
      </c>
    </row>
    <row r="78" spans="1:10" x14ac:dyDescent="0.3">
      <c r="A78" s="27" t="s">
        <v>5054</v>
      </c>
      <c r="D78" s="27" t="s">
        <v>74</v>
      </c>
      <c r="E78" s="27" t="s">
        <v>296</v>
      </c>
      <c r="F78" s="27" t="s">
        <v>4997</v>
      </c>
      <c r="G78" s="27" t="s">
        <v>369</v>
      </c>
      <c r="H78" s="27" t="s">
        <v>5117</v>
      </c>
      <c r="I78" s="27" t="s">
        <v>5039</v>
      </c>
      <c r="J78" s="27" t="s">
        <v>320</v>
      </c>
    </row>
    <row r="79" spans="1:10" x14ac:dyDescent="0.3">
      <c r="A79" s="27" t="s">
        <v>5054</v>
      </c>
      <c r="D79" s="27" t="s">
        <v>74</v>
      </c>
      <c r="E79" s="27" t="s">
        <v>296</v>
      </c>
      <c r="F79" s="27" t="s">
        <v>4997</v>
      </c>
      <c r="G79" s="27" t="s">
        <v>369</v>
      </c>
      <c r="H79" s="27" t="s">
        <v>5117</v>
      </c>
      <c r="I79" s="27" t="s">
        <v>5039</v>
      </c>
      <c r="J79" s="27" t="s">
        <v>320</v>
      </c>
    </row>
    <row r="80" spans="1:10" x14ac:dyDescent="0.3">
      <c r="A80" s="27" t="s">
        <v>5068</v>
      </c>
      <c r="D80" s="27" t="s">
        <v>74</v>
      </c>
      <c r="E80" s="27" t="s">
        <v>4997</v>
      </c>
      <c r="F80" s="27" t="s">
        <v>369</v>
      </c>
    </row>
    <row r="81" spans="1:9" x14ac:dyDescent="0.3">
      <c r="A81" s="27" t="s">
        <v>5069</v>
      </c>
      <c r="D81" s="27" t="s">
        <v>296</v>
      </c>
      <c r="E81" s="27" t="s">
        <v>4997</v>
      </c>
      <c r="F81" s="27" t="s">
        <v>369</v>
      </c>
    </row>
    <row r="82" spans="1:9" x14ac:dyDescent="0.3">
      <c r="A82" s="27" t="s">
        <v>5067</v>
      </c>
      <c r="D82" s="27" t="s">
        <v>74</v>
      </c>
      <c r="E82" s="27" t="s">
        <v>369</v>
      </c>
    </row>
    <row r="83" spans="1:9" x14ac:dyDescent="0.3">
      <c r="A83" s="27" t="s">
        <v>5053</v>
      </c>
      <c r="D83" s="27" t="s">
        <v>4997</v>
      </c>
      <c r="E83" s="27" t="s">
        <v>369</v>
      </c>
    </row>
    <row r="84" spans="1:9" x14ac:dyDescent="0.3">
      <c r="A84" s="27" t="s">
        <v>5069</v>
      </c>
      <c r="D84" s="27" t="s">
        <v>296</v>
      </c>
      <c r="E84" s="27" t="s">
        <v>4997</v>
      </c>
      <c r="F84" s="27" t="s">
        <v>369</v>
      </c>
    </row>
    <row r="85" spans="1:9" x14ac:dyDescent="0.3">
      <c r="A85" s="27" t="s">
        <v>5070</v>
      </c>
      <c r="D85" s="27" t="s">
        <v>74</v>
      </c>
      <c r="E85" s="27" t="s">
        <v>296</v>
      </c>
      <c r="F85" s="27" t="s">
        <v>4997</v>
      </c>
      <c r="G85" s="27" t="s">
        <v>369</v>
      </c>
      <c r="H85" s="27" t="s">
        <v>5117</v>
      </c>
      <c r="I85" s="27" t="s">
        <v>5039</v>
      </c>
    </row>
    <row r="86" spans="1:9" x14ac:dyDescent="0.3">
      <c r="A86" s="27" t="s">
        <v>5071</v>
      </c>
      <c r="D86" s="27" t="s">
        <v>74</v>
      </c>
      <c r="E86" s="27" t="s">
        <v>4997</v>
      </c>
    </row>
    <row r="87" spans="1:9" x14ac:dyDescent="0.3">
      <c r="A87" s="27" t="s">
        <v>5072</v>
      </c>
      <c r="D87" s="27" t="s">
        <v>5117</v>
      </c>
      <c r="E87" s="27" t="s">
        <v>5039</v>
      </c>
    </row>
    <row r="88" spans="1:9" x14ac:dyDescent="0.3">
      <c r="A88" s="27" t="s">
        <v>5073</v>
      </c>
      <c r="D88" s="27" t="s">
        <v>296</v>
      </c>
      <c r="E88" s="27" t="s">
        <v>4997</v>
      </c>
      <c r="F88" s="27" t="s">
        <v>5039</v>
      </c>
    </row>
    <row r="89" spans="1:9" x14ac:dyDescent="0.3">
      <c r="A89" s="27" t="s">
        <v>5057</v>
      </c>
      <c r="D89" s="27" t="s">
        <v>74</v>
      </c>
      <c r="E89" s="27" t="s">
        <v>5117</v>
      </c>
      <c r="F89" s="27" t="s">
        <v>5039</v>
      </c>
    </row>
    <row r="90" spans="1:9" x14ac:dyDescent="0.3">
      <c r="A90" s="27" t="s">
        <v>5069</v>
      </c>
      <c r="D90" s="27" t="s">
        <v>296</v>
      </c>
      <c r="E90" s="27" t="s">
        <v>4997</v>
      </c>
      <c r="F90" s="27" t="s">
        <v>369</v>
      </c>
    </row>
    <row r="91" spans="1:9" x14ac:dyDescent="0.3">
      <c r="A91" s="27" t="s">
        <v>5069</v>
      </c>
      <c r="D91" s="27" t="s">
        <v>296</v>
      </c>
      <c r="E91" s="27" t="s">
        <v>4997</v>
      </c>
      <c r="F91" s="27" t="s">
        <v>369</v>
      </c>
    </row>
    <row r="92" spans="1:9" x14ac:dyDescent="0.3">
      <c r="A92" s="27" t="s">
        <v>5064</v>
      </c>
      <c r="D92" s="27" t="s">
        <v>369</v>
      </c>
      <c r="E92" s="27" t="s">
        <v>5117</v>
      </c>
      <c r="F92" s="27" t="s">
        <v>5039</v>
      </c>
    </row>
    <row r="93" spans="1:9" x14ac:dyDescent="0.3">
      <c r="A93" s="27" t="s">
        <v>5074</v>
      </c>
      <c r="D93" s="27" t="s">
        <v>296</v>
      </c>
      <c r="E93" s="27" t="s">
        <v>5039</v>
      </c>
      <c r="F93" s="27" t="s">
        <v>320</v>
      </c>
    </row>
    <row r="94" spans="1:9" x14ac:dyDescent="0.3">
      <c r="A94" s="27" t="s">
        <v>5075</v>
      </c>
      <c r="D94" s="27" t="s">
        <v>74</v>
      </c>
      <c r="E94" s="27" t="s">
        <v>5039</v>
      </c>
    </row>
    <row r="95" spans="1:9" x14ac:dyDescent="0.3">
      <c r="A95" s="27" t="s">
        <v>5057</v>
      </c>
      <c r="D95" s="27" t="s">
        <v>74</v>
      </c>
      <c r="E95" s="27" t="s">
        <v>5117</v>
      </c>
      <c r="F95" s="27" t="s">
        <v>5039</v>
      </c>
    </row>
    <row r="96" spans="1:9" x14ac:dyDescent="0.3">
      <c r="A96" s="27" t="s">
        <v>5069</v>
      </c>
      <c r="D96" s="27" t="s">
        <v>296</v>
      </c>
      <c r="E96" s="27" t="s">
        <v>4997</v>
      </c>
      <c r="F96" s="27" t="s">
        <v>369</v>
      </c>
    </row>
    <row r="97" spans="1:7" x14ac:dyDescent="0.3">
      <c r="A97" s="27" t="s">
        <v>5072</v>
      </c>
      <c r="D97" s="27" t="s">
        <v>5117</v>
      </c>
      <c r="E97" s="27" t="s">
        <v>5039</v>
      </c>
    </row>
    <row r="98" spans="1:7" x14ac:dyDescent="0.3">
      <c r="A98" s="27" t="s">
        <v>5076</v>
      </c>
      <c r="D98" s="27" t="s">
        <v>369</v>
      </c>
      <c r="E98" s="27" t="s">
        <v>320</v>
      </c>
    </row>
    <row r="99" spans="1:7" x14ac:dyDescent="0.3">
      <c r="A99" s="27" t="s">
        <v>5041</v>
      </c>
      <c r="D99" s="27" t="s">
        <v>296</v>
      </c>
      <c r="E99" s="27" t="s">
        <v>4997</v>
      </c>
      <c r="F99" s="27" t="s">
        <v>5117</v>
      </c>
    </row>
    <row r="100" spans="1:7" x14ac:dyDescent="0.3">
      <c r="A100" s="27" t="s">
        <v>5057</v>
      </c>
      <c r="D100" s="27" t="s">
        <v>74</v>
      </c>
      <c r="E100" s="27" t="s">
        <v>5117</v>
      </c>
      <c r="F100" s="27" t="s">
        <v>5039</v>
      </c>
    </row>
    <row r="101" spans="1:7" x14ac:dyDescent="0.3">
      <c r="A101" s="27" t="s">
        <v>5069</v>
      </c>
      <c r="D101" s="27" t="s">
        <v>296</v>
      </c>
      <c r="E101" s="27" t="s">
        <v>4997</v>
      </c>
      <c r="F101" s="27" t="s">
        <v>369</v>
      </c>
    </row>
    <row r="102" spans="1:7" x14ac:dyDescent="0.3">
      <c r="A102" s="27" t="s">
        <v>5060</v>
      </c>
      <c r="D102" s="27" t="s">
        <v>296</v>
      </c>
      <c r="E102" s="27" t="s">
        <v>5117</v>
      </c>
    </row>
    <row r="103" spans="1:7" x14ac:dyDescent="0.3">
      <c r="A103" s="27" t="s">
        <v>5075</v>
      </c>
      <c r="D103" s="27" t="s">
        <v>74</v>
      </c>
      <c r="E103" s="27" t="s">
        <v>5039</v>
      </c>
    </row>
    <row r="104" spans="1:7" x14ac:dyDescent="0.3">
      <c r="A104" s="27" t="s">
        <v>5069</v>
      </c>
      <c r="D104" s="27" t="s">
        <v>296</v>
      </c>
      <c r="E104" s="27" t="s">
        <v>4997</v>
      </c>
      <c r="F104" s="27" t="s">
        <v>369</v>
      </c>
    </row>
    <row r="105" spans="1:7" x14ac:dyDescent="0.3">
      <c r="A105" s="27" t="s">
        <v>5075</v>
      </c>
      <c r="D105" s="27" t="s">
        <v>74</v>
      </c>
      <c r="E105" s="27" t="s">
        <v>5039</v>
      </c>
    </row>
    <row r="106" spans="1:7" x14ac:dyDescent="0.3">
      <c r="A106" s="27" t="s">
        <v>5055</v>
      </c>
      <c r="D106" s="27" t="s">
        <v>296</v>
      </c>
      <c r="E106" s="27" t="s">
        <v>369</v>
      </c>
      <c r="F106" s="27" t="s">
        <v>5117</v>
      </c>
    </row>
    <row r="107" spans="1:7" x14ac:dyDescent="0.3">
      <c r="A107" s="27" t="s">
        <v>5041</v>
      </c>
      <c r="D107" s="27" t="s">
        <v>296</v>
      </c>
      <c r="E107" s="27" t="s">
        <v>4997</v>
      </c>
      <c r="F107" s="27" t="s">
        <v>5117</v>
      </c>
    </row>
    <row r="108" spans="1:7" x14ac:dyDescent="0.3">
      <c r="A108" s="27" t="s">
        <v>5075</v>
      </c>
      <c r="D108" s="27" t="s">
        <v>74</v>
      </c>
      <c r="E108" s="27" t="s">
        <v>5039</v>
      </c>
    </row>
    <row r="109" spans="1:7" x14ac:dyDescent="0.3">
      <c r="A109" s="27" t="s">
        <v>5055</v>
      </c>
      <c r="D109" s="27" t="s">
        <v>296</v>
      </c>
      <c r="E109" s="27" t="s">
        <v>369</v>
      </c>
      <c r="F109" s="27" t="s">
        <v>5117</v>
      </c>
    </row>
    <row r="110" spans="1:7" x14ac:dyDescent="0.3">
      <c r="A110" s="27" t="s">
        <v>5077</v>
      </c>
      <c r="D110" s="27" t="s">
        <v>74</v>
      </c>
      <c r="E110" s="27" t="s">
        <v>296</v>
      </c>
      <c r="F110" s="27" t="s">
        <v>5117</v>
      </c>
      <c r="G110" s="27" t="s">
        <v>5039</v>
      </c>
    </row>
    <row r="111" spans="1:7" x14ac:dyDescent="0.3">
      <c r="A111" s="27" t="s">
        <v>5072</v>
      </c>
      <c r="D111" s="27" t="s">
        <v>5117</v>
      </c>
      <c r="E111" s="27" t="s">
        <v>5039</v>
      </c>
    </row>
    <row r="112" spans="1:7" x14ac:dyDescent="0.3">
      <c r="A112" s="27" t="s">
        <v>5078</v>
      </c>
      <c r="D112" s="27" t="s">
        <v>74</v>
      </c>
      <c r="E112" s="27" t="s">
        <v>296</v>
      </c>
      <c r="F112" s="27" t="s">
        <v>369</v>
      </c>
      <c r="G112" s="27" t="s">
        <v>5117</v>
      </c>
    </row>
    <row r="113" spans="1:10" x14ac:dyDescent="0.3">
      <c r="A113" s="27" t="s">
        <v>5079</v>
      </c>
      <c r="D113" s="27" t="s">
        <v>74</v>
      </c>
      <c r="E113" s="27" t="s">
        <v>369</v>
      </c>
      <c r="F113" s="27" t="s">
        <v>5117</v>
      </c>
      <c r="G113" s="27" t="s">
        <v>5039</v>
      </c>
    </row>
    <row r="114" spans="1:10" x14ac:dyDescent="0.3">
      <c r="A114" s="27" t="s">
        <v>5054</v>
      </c>
      <c r="D114" s="27" t="s">
        <v>74</v>
      </c>
      <c r="E114" s="27" t="s">
        <v>296</v>
      </c>
      <c r="F114" s="27" t="s">
        <v>4997</v>
      </c>
      <c r="G114" s="27" t="s">
        <v>369</v>
      </c>
      <c r="H114" s="27" t="s">
        <v>5117</v>
      </c>
      <c r="I114" s="27" t="s">
        <v>5039</v>
      </c>
      <c r="J114" s="27" t="s">
        <v>320</v>
      </c>
    </row>
    <row r="115" spans="1:10" x14ac:dyDescent="0.3">
      <c r="A115" s="27" t="s">
        <v>5057</v>
      </c>
      <c r="D115" s="27" t="s">
        <v>74</v>
      </c>
      <c r="E115" s="27" t="s">
        <v>5117</v>
      </c>
      <c r="F115" s="27" t="s">
        <v>5039</v>
      </c>
    </row>
    <row r="116" spans="1:10" x14ac:dyDescent="0.3">
      <c r="A116" s="27" t="s">
        <v>5057</v>
      </c>
      <c r="D116" s="27" t="s">
        <v>74</v>
      </c>
      <c r="E116" s="27" t="s">
        <v>5117</v>
      </c>
      <c r="F116" s="27" t="s">
        <v>5039</v>
      </c>
    </row>
    <row r="117" spans="1:10" x14ac:dyDescent="0.3">
      <c r="A117" s="27" t="s">
        <v>5080</v>
      </c>
      <c r="D117" s="27" t="s">
        <v>74</v>
      </c>
      <c r="E117" s="27" t="s">
        <v>369</v>
      </c>
      <c r="F117" s="27" t="s">
        <v>320</v>
      </c>
    </row>
    <row r="118" spans="1:10" x14ac:dyDescent="0.3">
      <c r="A118" s="27" t="s">
        <v>5081</v>
      </c>
      <c r="D118" s="27" t="s">
        <v>74</v>
      </c>
      <c r="E118" s="27" t="s">
        <v>296</v>
      </c>
      <c r="F118" s="27" t="s">
        <v>4997</v>
      </c>
      <c r="G118" s="27" t="s">
        <v>369</v>
      </c>
    </row>
    <row r="119" spans="1:10" x14ac:dyDescent="0.3">
      <c r="A119" s="27" t="s">
        <v>5057</v>
      </c>
      <c r="D119" s="27" t="s">
        <v>74</v>
      </c>
      <c r="E119" s="27" t="s">
        <v>5117</v>
      </c>
      <c r="F119" s="27" t="s">
        <v>5039</v>
      </c>
    </row>
    <row r="120" spans="1:10" x14ac:dyDescent="0.3">
      <c r="A120" s="27" t="s">
        <v>5059</v>
      </c>
      <c r="D120" s="27" t="s">
        <v>5117</v>
      </c>
      <c r="E120" s="27" t="s">
        <v>5039</v>
      </c>
      <c r="F120" s="27" t="s">
        <v>320</v>
      </c>
    </row>
    <row r="121" spans="1:10" x14ac:dyDescent="0.3">
      <c r="A121" s="27" t="s">
        <v>5050</v>
      </c>
      <c r="D121" s="27" t="s">
        <v>74</v>
      </c>
      <c r="E121" s="27" t="s">
        <v>296</v>
      </c>
      <c r="F121" s="27" t="s">
        <v>369</v>
      </c>
    </row>
    <row r="122" spans="1:10" x14ac:dyDescent="0.3">
      <c r="A122" s="27" t="s">
        <v>5073</v>
      </c>
      <c r="D122" s="27" t="s">
        <v>296</v>
      </c>
      <c r="E122" s="27" t="s">
        <v>4997</v>
      </c>
      <c r="F122" s="27" t="s">
        <v>5039</v>
      </c>
    </row>
    <row r="123" spans="1:10" x14ac:dyDescent="0.3">
      <c r="A123" s="27" t="s">
        <v>5082</v>
      </c>
      <c r="D123" s="27" t="s">
        <v>74</v>
      </c>
      <c r="E123" s="27" t="s">
        <v>369</v>
      </c>
      <c r="F123" s="27" t="s">
        <v>5117</v>
      </c>
      <c r="G123" s="27" t="s">
        <v>320</v>
      </c>
    </row>
    <row r="124" spans="1:10" x14ac:dyDescent="0.3">
      <c r="A124" s="27" t="s">
        <v>5050</v>
      </c>
      <c r="D124" s="27" t="s">
        <v>74</v>
      </c>
      <c r="E124" s="27" t="s">
        <v>296</v>
      </c>
      <c r="F124" s="27" t="s">
        <v>369</v>
      </c>
    </row>
    <row r="125" spans="1:10" x14ac:dyDescent="0.3">
      <c r="A125" s="27" t="s">
        <v>5041</v>
      </c>
      <c r="D125" s="27" t="s">
        <v>296</v>
      </c>
      <c r="E125" s="27" t="s">
        <v>4997</v>
      </c>
      <c r="F125" s="27" t="s">
        <v>5117</v>
      </c>
    </row>
    <row r="126" spans="1:10" x14ac:dyDescent="0.3">
      <c r="A126" s="27" t="s">
        <v>5041</v>
      </c>
      <c r="D126" s="27" t="s">
        <v>296</v>
      </c>
      <c r="E126" s="27" t="s">
        <v>4997</v>
      </c>
      <c r="F126" s="27" t="s">
        <v>5117</v>
      </c>
    </row>
    <row r="127" spans="1:10" x14ac:dyDescent="0.3">
      <c r="A127" s="27" t="s">
        <v>5041</v>
      </c>
      <c r="D127" s="27" t="s">
        <v>296</v>
      </c>
      <c r="E127" s="27" t="s">
        <v>4997</v>
      </c>
      <c r="F127" s="27" t="s">
        <v>5117</v>
      </c>
    </row>
    <row r="128" spans="1:10" x14ac:dyDescent="0.3">
      <c r="A128" s="27" t="s">
        <v>5083</v>
      </c>
      <c r="D128" s="27" t="s">
        <v>74</v>
      </c>
      <c r="E128" s="27" t="s">
        <v>5117</v>
      </c>
    </row>
    <row r="129" spans="1:6" x14ac:dyDescent="0.3">
      <c r="A129" s="27" t="s">
        <v>5075</v>
      </c>
      <c r="D129" s="27" t="s">
        <v>74</v>
      </c>
      <c r="E129" s="27" t="s">
        <v>5039</v>
      </c>
    </row>
    <row r="130" spans="1:6" x14ac:dyDescent="0.3">
      <c r="A130" s="27" t="s">
        <v>5075</v>
      </c>
      <c r="D130" s="27" t="s">
        <v>74</v>
      </c>
      <c r="E130" s="27" t="s">
        <v>5039</v>
      </c>
    </row>
    <row r="131" spans="1:6" x14ac:dyDescent="0.3">
      <c r="A131" s="27" t="s">
        <v>5050</v>
      </c>
      <c r="D131" s="27" t="s">
        <v>74</v>
      </c>
      <c r="E131" s="27" t="s">
        <v>296</v>
      </c>
      <c r="F131" s="27" t="s">
        <v>369</v>
      </c>
    </row>
    <row r="132" spans="1:6" x14ac:dyDescent="0.3">
      <c r="A132" s="27" t="s">
        <v>5075</v>
      </c>
      <c r="D132" s="27" t="s">
        <v>74</v>
      </c>
      <c r="E132" s="27" t="s">
        <v>5039</v>
      </c>
    </row>
    <row r="133" spans="1:6" x14ac:dyDescent="0.3">
      <c r="A133" s="27" t="s">
        <v>5075</v>
      </c>
      <c r="D133" s="27" t="s">
        <v>74</v>
      </c>
      <c r="E133" s="27" t="s">
        <v>5039</v>
      </c>
    </row>
    <row r="134" spans="1:6" x14ac:dyDescent="0.3">
      <c r="A134" s="27" t="s">
        <v>5050</v>
      </c>
      <c r="D134" s="27" t="s">
        <v>74</v>
      </c>
      <c r="E134" s="27" t="s">
        <v>296</v>
      </c>
      <c r="F134" s="27" t="s">
        <v>369</v>
      </c>
    </row>
    <row r="135" spans="1:6" x14ac:dyDescent="0.3">
      <c r="A135" s="27" t="s">
        <v>5057</v>
      </c>
      <c r="D135" s="27" t="s">
        <v>74</v>
      </c>
      <c r="E135" s="27" t="s">
        <v>5117</v>
      </c>
      <c r="F135" s="27" t="s">
        <v>5039</v>
      </c>
    </row>
    <row r="136" spans="1:6" x14ac:dyDescent="0.3">
      <c r="A136" s="27" t="s">
        <v>5084</v>
      </c>
      <c r="D136" s="27" t="s">
        <v>74</v>
      </c>
      <c r="E136" s="27" t="s">
        <v>320</v>
      </c>
    </row>
    <row r="137" spans="1:6" x14ac:dyDescent="0.3">
      <c r="A137" s="27" t="s">
        <v>5084</v>
      </c>
      <c r="D137" s="27" t="s">
        <v>74</v>
      </c>
      <c r="E137" s="27" t="s">
        <v>320</v>
      </c>
    </row>
    <row r="138" spans="1:6" x14ac:dyDescent="0.3">
      <c r="A138" s="27" t="s">
        <v>5084</v>
      </c>
      <c r="D138" s="27" t="s">
        <v>74</v>
      </c>
      <c r="E138" s="27" t="s">
        <v>320</v>
      </c>
    </row>
    <row r="139" spans="1:6" x14ac:dyDescent="0.3">
      <c r="A139" s="27" t="s">
        <v>5047</v>
      </c>
      <c r="D139" s="27" t="s">
        <v>74</v>
      </c>
      <c r="E139" s="27" t="s">
        <v>296</v>
      </c>
      <c r="F139" s="27" t="s">
        <v>320</v>
      </c>
    </row>
    <row r="140" spans="1:6" x14ac:dyDescent="0.3">
      <c r="A140" s="27" t="s">
        <v>5085</v>
      </c>
      <c r="D140" s="27" t="s">
        <v>74</v>
      </c>
      <c r="E140" s="27" t="s">
        <v>5039</v>
      </c>
      <c r="F140" s="27" t="s">
        <v>320</v>
      </c>
    </row>
    <row r="141" spans="1:6" x14ac:dyDescent="0.3">
      <c r="A141" s="27" t="s">
        <v>5085</v>
      </c>
      <c r="D141" s="27" t="s">
        <v>74</v>
      </c>
      <c r="E141" s="27" t="s">
        <v>5039</v>
      </c>
      <c r="F141" s="27" t="s">
        <v>320</v>
      </c>
    </row>
    <row r="142" spans="1:6" x14ac:dyDescent="0.3">
      <c r="A142" s="27" t="s">
        <v>5085</v>
      </c>
      <c r="D142" s="27" t="s">
        <v>74</v>
      </c>
      <c r="E142" s="27" t="s">
        <v>5039</v>
      </c>
      <c r="F142" s="27" t="s">
        <v>320</v>
      </c>
    </row>
    <row r="143" spans="1:6" x14ac:dyDescent="0.3">
      <c r="A143" s="27" t="s">
        <v>296</v>
      </c>
      <c r="D143" s="27" t="s">
        <v>296</v>
      </c>
    </row>
    <row r="144" spans="1:6" x14ac:dyDescent="0.3">
      <c r="A144" s="27" t="s">
        <v>5047</v>
      </c>
      <c r="D144" s="27" t="s">
        <v>74</v>
      </c>
      <c r="E144" s="27" t="s">
        <v>296</v>
      </c>
      <c r="F144" s="27" t="s">
        <v>320</v>
      </c>
    </row>
    <row r="145" spans="1:10" x14ac:dyDescent="0.3">
      <c r="A145" s="27" t="s">
        <v>5064</v>
      </c>
      <c r="D145" s="27" t="s">
        <v>369</v>
      </c>
      <c r="E145" s="27" t="s">
        <v>5117</v>
      </c>
      <c r="F145" s="27" t="s">
        <v>5039</v>
      </c>
    </row>
    <row r="146" spans="1:10" x14ac:dyDescent="0.3">
      <c r="A146" s="27" t="s">
        <v>5086</v>
      </c>
      <c r="D146" s="27" t="s">
        <v>74</v>
      </c>
      <c r="E146" s="27" t="s">
        <v>296</v>
      </c>
      <c r="F146" s="27" t="s">
        <v>4997</v>
      </c>
      <c r="G146" s="27" t="s">
        <v>5117</v>
      </c>
    </row>
    <row r="147" spans="1:10" x14ac:dyDescent="0.3">
      <c r="A147" s="27" t="s">
        <v>5080</v>
      </c>
      <c r="D147" s="27" t="s">
        <v>74</v>
      </c>
      <c r="E147" s="27" t="s">
        <v>369</v>
      </c>
      <c r="F147" s="27" t="s">
        <v>320</v>
      </c>
    </row>
    <row r="148" spans="1:10" x14ac:dyDescent="0.3">
      <c r="A148" s="27" t="s">
        <v>5087</v>
      </c>
      <c r="D148" s="27" t="s">
        <v>74</v>
      </c>
      <c r="E148" s="27" t="s">
        <v>369</v>
      </c>
      <c r="F148" s="27" t="s">
        <v>5039</v>
      </c>
    </row>
    <row r="149" spans="1:10" x14ac:dyDescent="0.3">
      <c r="A149" s="27" t="s">
        <v>5088</v>
      </c>
      <c r="D149" s="27" t="s">
        <v>296</v>
      </c>
      <c r="E149" s="27" t="s">
        <v>4997</v>
      </c>
      <c r="F149" s="27" t="s">
        <v>369</v>
      </c>
      <c r="G149" s="27" t="s">
        <v>5117</v>
      </c>
      <c r="H149" s="27" t="s">
        <v>5039</v>
      </c>
    </row>
    <row r="150" spans="1:10" x14ac:dyDescent="0.3">
      <c r="A150" s="27" t="s">
        <v>5085</v>
      </c>
      <c r="D150" s="27" t="s">
        <v>74</v>
      </c>
      <c r="E150" s="27" t="s">
        <v>5039</v>
      </c>
      <c r="F150" s="27" t="s">
        <v>320</v>
      </c>
    </row>
    <row r="151" spans="1:10" x14ac:dyDescent="0.3">
      <c r="A151" s="27" t="s">
        <v>5069</v>
      </c>
      <c r="D151" s="27" t="s">
        <v>296</v>
      </c>
      <c r="E151" s="27" t="s">
        <v>4997</v>
      </c>
      <c r="F151" s="27" t="s">
        <v>369</v>
      </c>
    </row>
    <row r="152" spans="1:10" x14ac:dyDescent="0.3">
      <c r="A152" s="27" t="s">
        <v>5084</v>
      </c>
      <c r="D152" s="27" t="s">
        <v>74</v>
      </c>
      <c r="E152" s="27" t="s">
        <v>320</v>
      </c>
    </row>
    <row r="153" spans="1:10" x14ac:dyDescent="0.3">
      <c r="A153" s="27" t="s">
        <v>5055</v>
      </c>
      <c r="D153" s="27" t="s">
        <v>296</v>
      </c>
      <c r="E153" s="27" t="s">
        <v>369</v>
      </c>
      <c r="F153" s="27" t="s">
        <v>5117</v>
      </c>
    </row>
    <row r="154" spans="1:10" x14ac:dyDescent="0.3">
      <c r="A154" s="27" t="s">
        <v>5084</v>
      </c>
      <c r="D154" s="27" t="s">
        <v>74</v>
      </c>
      <c r="E154" s="27" t="s">
        <v>320</v>
      </c>
    </row>
    <row r="155" spans="1:10" x14ac:dyDescent="0.3">
      <c r="A155" s="27" t="s">
        <v>5054</v>
      </c>
      <c r="D155" s="27" t="s">
        <v>74</v>
      </c>
      <c r="E155" s="27" t="s">
        <v>296</v>
      </c>
      <c r="F155" s="27" t="s">
        <v>4997</v>
      </c>
      <c r="G155" s="27" t="s">
        <v>369</v>
      </c>
      <c r="H155" s="27" t="s">
        <v>5117</v>
      </c>
      <c r="I155" s="27" t="s">
        <v>5039</v>
      </c>
      <c r="J155" s="27" t="s">
        <v>320</v>
      </c>
    </row>
    <row r="156" spans="1:10" x14ac:dyDescent="0.3">
      <c r="A156" s="27" t="s">
        <v>296</v>
      </c>
      <c r="D156" s="27" t="s">
        <v>296</v>
      </c>
    </row>
    <row r="157" spans="1:10" x14ac:dyDescent="0.3">
      <c r="A157" s="27" t="s">
        <v>74</v>
      </c>
      <c r="D157" s="27" t="s">
        <v>74</v>
      </c>
    </row>
    <row r="158" spans="1:10" x14ac:dyDescent="0.3">
      <c r="A158" s="27" t="s">
        <v>74</v>
      </c>
      <c r="D158" s="27" t="s">
        <v>74</v>
      </c>
    </row>
    <row r="159" spans="1:10" x14ac:dyDescent="0.3">
      <c r="A159" s="27" t="s">
        <v>74</v>
      </c>
      <c r="D159" s="27" t="s">
        <v>74</v>
      </c>
    </row>
    <row r="160" spans="1:10" x14ac:dyDescent="0.3">
      <c r="A160" s="27" t="s">
        <v>5084</v>
      </c>
      <c r="D160" s="27" t="s">
        <v>74</v>
      </c>
      <c r="E160" s="27" t="s">
        <v>320</v>
      </c>
    </row>
    <row r="161" spans="1:8" x14ac:dyDescent="0.3">
      <c r="A161" s="27" t="s">
        <v>5088</v>
      </c>
      <c r="D161" s="27" t="s">
        <v>296</v>
      </c>
      <c r="E161" s="27" t="s">
        <v>4997</v>
      </c>
      <c r="F161" s="27" t="s">
        <v>369</v>
      </c>
      <c r="G161" s="27" t="s">
        <v>5117</v>
      </c>
      <c r="H161" s="27" t="s">
        <v>5039</v>
      </c>
    </row>
    <row r="162" spans="1:8" x14ac:dyDescent="0.3">
      <c r="A162" s="27" t="s">
        <v>5072</v>
      </c>
      <c r="D162" s="27" t="s">
        <v>5117</v>
      </c>
      <c r="E162" s="27" t="s">
        <v>5039</v>
      </c>
    </row>
    <row r="163" spans="1:8" x14ac:dyDescent="0.3">
      <c r="A163" s="27" t="s">
        <v>5084</v>
      </c>
      <c r="D163" s="27" t="s">
        <v>74</v>
      </c>
      <c r="E163" s="27" t="s">
        <v>320</v>
      </c>
    </row>
    <row r="164" spans="1:8" x14ac:dyDescent="0.3">
      <c r="A164" s="27" t="s">
        <v>5089</v>
      </c>
      <c r="D164" s="27" t="s">
        <v>296</v>
      </c>
      <c r="E164" s="27" t="s">
        <v>369</v>
      </c>
      <c r="F164" s="27" t="s">
        <v>5117</v>
      </c>
      <c r="G164" s="27" t="s">
        <v>5039</v>
      </c>
    </row>
    <row r="165" spans="1:8" x14ac:dyDescent="0.3">
      <c r="A165" s="27" t="s">
        <v>5090</v>
      </c>
      <c r="D165" s="27" t="s">
        <v>296</v>
      </c>
      <c r="E165" s="27" t="s">
        <v>4997</v>
      </c>
      <c r="F165" s="27" t="s">
        <v>369</v>
      </c>
      <c r="G165" s="27" t="s">
        <v>5117</v>
      </c>
    </row>
    <row r="166" spans="1:8" x14ac:dyDescent="0.3">
      <c r="A166" s="27" t="s">
        <v>5052</v>
      </c>
      <c r="D166" s="27" t="s">
        <v>296</v>
      </c>
      <c r="E166" s="27" t="s">
        <v>369</v>
      </c>
    </row>
    <row r="167" spans="1:8" x14ac:dyDescent="0.3">
      <c r="A167" s="27" t="s">
        <v>5069</v>
      </c>
      <c r="D167" s="27" t="s">
        <v>296</v>
      </c>
      <c r="E167" s="27" t="s">
        <v>4997</v>
      </c>
      <c r="F167" s="27" t="s">
        <v>369</v>
      </c>
    </row>
    <row r="168" spans="1:8" x14ac:dyDescent="0.3">
      <c r="A168" s="27" t="s">
        <v>5069</v>
      </c>
      <c r="D168" s="27" t="s">
        <v>296</v>
      </c>
      <c r="E168" s="27" t="s">
        <v>4997</v>
      </c>
      <c r="F168" s="27" t="s">
        <v>369</v>
      </c>
    </row>
    <row r="169" spans="1:8" x14ac:dyDescent="0.3">
      <c r="A169" s="27" t="s">
        <v>5069</v>
      </c>
      <c r="D169" s="27" t="s">
        <v>296</v>
      </c>
      <c r="E169" s="27" t="s">
        <v>4997</v>
      </c>
      <c r="F169" s="27" t="s">
        <v>369</v>
      </c>
    </row>
    <row r="170" spans="1:8" x14ac:dyDescent="0.3">
      <c r="A170" s="27" t="s">
        <v>5064</v>
      </c>
      <c r="D170" s="27" t="s">
        <v>369</v>
      </c>
      <c r="E170" s="27" t="s">
        <v>5117</v>
      </c>
      <c r="F170" s="27" t="s">
        <v>5039</v>
      </c>
    </row>
    <row r="171" spans="1:8" x14ac:dyDescent="0.3">
      <c r="A171" s="27" t="s">
        <v>5064</v>
      </c>
      <c r="D171" s="27" t="s">
        <v>369</v>
      </c>
      <c r="E171" s="27" t="s">
        <v>5117</v>
      </c>
      <c r="F171" s="27" t="s">
        <v>5039</v>
      </c>
    </row>
    <row r="172" spans="1:8" x14ac:dyDescent="0.3">
      <c r="A172" s="27" t="s">
        <v>5064</v>
      </c>
      <c r="D172" s="27" t="s">
        <v>369</v>
      </c>
      <c r="E172" s="27" t="s">
        <v>5117</v>
      </c>
      <c r="F172" s="27" t="s">
        <v>5039</v>
      </c>
    </row>
    <row r="173" spans="1:8" x14ac:dyDescent="0.3">
      <c r="A173" s="27" t="s">
        <v>5064</v>
      </c>
      <c r="D173" s="27" t="s">
        <v>369</v>
      </c>
      <c r="E173" s="27" t="s">
        <v>5117</v>
      </c>
      <c r="F173" s="27" t="s">
        <v>5039</v>
      </c>
    </row>
    <row r="174" spans="1:8" x14ac:dyDescent="0.3">
      <c r="A174" s="27" t="s">
        <v>5064</v>
      </c>
      <c r="D174" s="27" t="s">
        <v>369</v>
      </c>
      <c r="E174" s="27" t="s">
        <v>5117</v>
      </c>
      <c r="F174" s="27" t="s">
        <v>5039</v>
      </c>
    </row>
    <row r="175" spans="1:8" x14ac:dyDescent="0.3">
      <c r="A175" s="27" t="s">
        <v>5064</v>
      </c>
      <c r="D175" s="27" t="s">
        <v>369</v>
      </c>
      <c r="E175" s="27" t="s">
        <v>5117</v>
      </c>
      <c r="F175" s="27" t="s">
        <v>5039</v>
      </c>
    </row>
    <row r="176" spans="1:8" x14ac:dyDescent="0.3">
      <c r="A176" s="27" t="s">
        <v>74</v>
      </c>
      <c r="D176" s="27" t="s">
        <v>74</v>
      </c>
    </row>
    <row r="177" spans="1:7" x14ac:dyDescent="0.3">
      <c r="A177" s="27" t="s">
        <v>5091</v>
      </c>
      <c r="D177" s="27" t="s">
        <v>4997</v>
      </c>
      <c r="E177" s="27" t="s">
        <v>5117</v>
      </c>
      <c r="F177" s="27" t="s">
        <v>5039</v>
      </c>
    </row>
    <row r="178" spans="1:7" x14ac:dyDescent="0.3">
      <c r="A178" s="27" t="s">
        <v>5069</v>
      </c>
      <c r="D178" s="27" t="s">
        <v>296</v>
      </c>
      <c r="E178" s="27" t="s">
        <v>4997</v>
      </c>
      <c r="F178" s="27" t="s">
        <v>369</v>
      </c>
    </row>
    <row r="179" spans="1:7" x14ac:dyDescent="0.3">
      <c r="A179" s="27" t="s">
        <v>5069</v>
      </c>
      <c r="D179" s="27" t="s">
        <v>296</v>
      </c>
      <c r="E179" s="27" t="s">
        <v>4997</v>
      </c>
      <c r="F179" s="27" t="s">
        <v>369</v>
      </c>
    </row>
    <row r="180" spans="1:7" x14ac:dyDescent="0.3">
      <c r="A180" s="27" t="s">
        <v>5069</v>
      </c>
      <c r="D180" s="27" t="s">
        <v>296</v>
      </c>
      <c r="E180" s="27" t="s">
        <v>4997</v>
      </c>
      <c r="F180" s="27" t="s">
        <v>369</v>
      </c>
    </row>
    <row r="181" spans="1:7" x14ac:dyDescent="0.3">
      <c r="A181" s="27" t="s">
        <v>5092</v>
      </c>
      <c r="D181" s="27" t="s">
        <v>4997</v>
      </c>
      <c r="E181" s="27" t="s">
        <v>5117</v>
      </c>
    </row>
    <row r="182" spans="1:7" x14ac:dyDescent="0.3">
      <c r="A182" s="27" t="s">
        <v>5051</v>
      </c>
      <c r="D182" s="27" t="s">
        <v>74</v>
      </c>
      <c r="E182" s="27" t="s">
        <v>296</v>
      </c>
      <c r="F182" s="27" t="s">
        <v>5039</v>
      </c>
    </row>
    <row r="183" spans="1:7" x14ac:dyDescent="0.3">
      <c r="A183" s="27" t="s">
        <v>5056</v>
      </c>
      <c r="D183" s="27" t="s">
        <v>74</v>
      </c>
      <c r="E183" s="27" t="s">
        <v>369</v>
      </c>
      <c r="F183" s="27" t="s">
        <v>5117</v>
      </c>
    </row>
    <row r="184" spans="1:7" x14ac:dyDescent="0.3">
      <c r="A184" s="27" t="s">
        <v>5064</v>
      </c>
      <c r="D184" s="27" t="s">
        <v>369</v>
      </c>
      <c r="E184" s="27" t="s">
        <v>5117</v>
      </c>
      <c r="F184" s="27" t="s">
        <v>5039</v>
      </c>
    </row>
    <row r="185" spans="1:7" x14ac:dyDescent="0.3">
      <c r="A185" s="27" t="s">
        <v>5049</v>
      </c>
      <c r="D185" s="27" t="s">
        <v>296</v>
      </c>
      <c r="E185" s="27" t="s">
        <v>369</v>
      </c>
      <c r="F185" s="27" t="s">
        <v>5039</v>
      </c>
    </row>
    <row r="186" spans="1:7" x14ac:dyDescent="0.3">
      <c r="A186" s="27" t="s">
        <v>5089</v>
      </c>
      <c r="D186" s="27" t="s">
        <v>296</v>
      </c>
      <c r="E186" s="27" t="s">
        <v>369</v>
      </c>
      <c r="F186" s="27" t="s">
        <v>5117</v>
      </c>
      <c r="G186" s="27" t="s">
        <v>5039</v>
      </c>
    </row>
    <row r="187" spans="1:7" x14ac:dyDescent="0.3">
      <c r="A187" s="27" t="s">
        <v>5064</v>
      </c>
      <c r="D187" s="27" t="s">
        <v>369</v>
      </c>
      <c r="E187" s="27" t="s">
        <v>5117</v>
      </c>
      <c r="F187" s="27" t="s">
        <v>5039</v>
      </c>
    </row>
    <row r="188" spans="1:7" x14ac:dyDescent="0.3">
      <c r="A188" s="27" t="s">
        <v>5062</v>
      </c>
      <c r="D188" s="27" t="s">
        <v>296</v>
      </c>
      <c r="E188" s="27" t="s">
        <v>5117</v>
      </c>
      <c r="F188" s="27" t="s">
        <v>5039</v>
      </c>
    </row>
    <row r="189" spans="1:7" x14ac:dyDescent="0.3">
      <c r="A189" s="27" t="s">
        <v>5042</v>
      </c>
      <c r="D189" s="27" t="s">
        <v>74</v>
      </c>
      <c r="E189" s="27" t="s">
        <v>296</v>
      </c>
      <c r="F189" s="27" t="s">
        <v>4997</v>
      </c>
    </row>
    <row r="190" spans="1:7" x14ac:dyDescent="0.3">
      <c r="A190" s="27" t="s">
        <v>5042</v>
      </c>
      <c r="D190" s="27" t="s">
        <v>74</v>
      </c>
      <c r="E190" s="27" t="s">
        <v>296</v>
      </c>
      <c r="F190" s="27" t="s">
        <v>4997</v>
      </c>
    </row>
    <row r="191" spans="1:7" x14ac:dyDescent="0.3">
      <c r="A191" s="27" t="s">
        <v>5042</v>
      </c>
      <c r="D191" s="27" t="s">
        <v>74</v>
      </c>
      <c r="E191" s="27" t="s">
        <v>296</v>
      </c>
      <c r="F191" s="27" t="s">
        <v>4997</v>
      </c>
    </row>
    <row r="192" spans="1:7" x14ac:dyDescent="0.3">
      <c r="A192" s="27" t="s">
        <v>5049</v>
      </c>
      <c r="D192" s="27" t="s">
        <v>296</v>
      </c>
      <c r="E192" s="27" t="s">
        <v>369</v>
      </c>
      <c r="F192" s="27" t="s">
        <v>5039</v>
      </c>
    </row>
    <row r="193" spans="1:6" x14ac:dyDescent="0.3">
      <c r="A193" s="27" t="s">
        <v>5057</v>
      </c>
      <c r="D193" s="27" t="s">
        <v>74</v>
      </c>
      <c r="E193" s="27" t="s">
        <v>5117</v>
      </c>
      <c r="F193" s="27" t="s">
        <v>5039</v>
      </c>
    </row>
    <row r="194" spans="1:6" x14ac:dyDescent="0.3">
      <c r="A194" s="27" t="s">
        <v>5047</v>
      </c>
      <c r="D194" s="27" t="s">
        <v>74</v>
      </c>
      <c r="E194" s="27" t="s">
        <v>296</v>
      </c>
      <c r="F194" s="27" t="s">
        <v>320</v>
      </c>
    </row>
    <row r="195" spans="1:6" x14ac:dyDescent="0.3">
      <c r="A195" s="27" t="s">
        <v>5055</v>
      </c>
      <c r="D195" s="27" t="s">
        <v>296</v>
      </c>
      <c r="E195" s="27" t="s">
        <v>369</v>
      </c>
      <c r="F195" s="27" t="s">
        <v>5117</v>
      </c>
    </row>
    <row r="196" spans="1:6" x14ac:dyDescent="0.3">
      <c r="A196" s="27" t="s">
        <v>5055</v>
      </c>
      <c r="D196" s="27" t="s">
        <v>296</v>
      </c>
      <c r="E196" s="27" t="s">
        <v>369</v>
      </c>
      <c r="F196" s="27" t="s">
        <v>5117</v>
      </c>
    </row>
    <row r="197" spans="1:6" x14ac:dyDescent="0.3">
      <c r="A197" s="27" t="s">
        <v>5061</v>
      </c>
      <c r="D197" s="27" t="s">
        <v>74</v>
      </c>
      <c r="E197" s="27" t="s">
        <v>296</v>
      </c>
    </row>
    <row r="198" spans="1:6" x14ac:dyDescent="0.3">
      <c r="A198" s="27" t="s">
        <v>5058</v>
      </c>
      <c r="D198" s="27" t="s">
        <v>74</v>
      </c>
      <c r="E198" s="27" t="s">
        <v>296</v>
      </c>
      <c r="F198" s="27" t="s">
        <v>5117</v>
      </c>
    </row>
    <row r="199" spans="1:6" x14ac:dyDescent="0.3">
      <c r="A199" s="27" t="s">
        <v>5055</v>
      </c>
      <c r="D199" s="27" t="s">
        <v>296</v>
      </c>
      <c r="E199" s="27" t="s">
        <v>369</v>
      </c>
      <c r="F199" s="27" t="s">
        <v>5117</v>
      </c>
    </row>
    <row r="200" spans="1:6" x14ac:dyDescent="0.3">
      <c r="A200" s="27" t="s">
        <v>5069</v>
      </c>
      <c r="D200" s="27" t="s">
        <v>296</v>
      </c>
      <c r="E200" s="27" t="s">
        <v>4997</v>
      </c>
      <c r="F200" s="27" t="s">
        <v>369</v>
      </c>
    </row>
    <row r="201" spans="1:6" x14ac:dyDescent="0.3">
      <c r="A201" s="27" t="s">
        <v>5047</v>
      </c>
      <c r="D201" s="27" t="s">
        <v>74</v>
      </c>
      <c r="E201" s="27" t="s">
        <v>296</v>
      </c>
      <c r="F201" s="27" t="s">
        <v>320</v>
      </c>
    </row>
    <row r="202" spans="1:6" x14ac:dyDescent="0.3">
      <c r="A202" s="27" t="s">
        <v>5050</v>
      </c>
      <c r="D202" s="27" t="s">
        <v>74</v>
      </c>
      <c r="E202" s="27" t="s">
        <v>296</v>
      </c>
      <c r="F202" s="27" t="s">
        <v>369</v>
      </c>
    </row>
    <row r="203" spans="1:6" x14ac:dyDescent="0.3">
      <c r="A203" s="27" t="s">
        <v>5084</v>
      </c>
      <c r="D203" s="27" t="s">
        <v>74</v>
      </c>
      <c r="E203" s="27" t="s">
        <v>320</v>
      </c>
    </row>
    <row r="204" spans="1:6" x14ac:dyDescent="0.3">
      <c r="A204" s="27" t="s">
        <v>5083</v>
      </c>
      <c r="D204" s="27" t="s">
        <v>74</v>
      </c>
      <c r="E204" s="27" t="s">
        <v>5117</v>
      </c>
    </row>
    <row r="205" spans="1:6" x14ac:dyDescent="0.3">
      <c r="A205" s="27" t="s">
        <v>5084</v>
      </c>
      <c r="D205" s="27" t="s">
        <v>74</v>
      </c>
      <c r="E205" s="27" t="s">
        <v>320</v>
      </c>
    </row>
    <row r="206" spans="1:6" x14ac:dyDescent="0.3">
      <c r="A206" s="27" t="s">
        <v>5084</v>
      </c>
      <c r="D206" s="27" t="s">
        <v>74</v>
      </c>
      <c r="E206" s="27" t="s">
        <v>320</v>
      </c>
    </row>
    <row r="207" spans="1:6" x14ac:dyDescent="0.3">
      <c r="A207" s="27" t="s">
        <v>5056</v>
      </c>
      <c r="D207" s="27" t="s">
        <v>74</v>
      </c>
      <c r="E207" s="27" t="s">
        <v>369</v>
      </c>
      <c r="F207" s="27" t="s">
        <v>5117</v>
      </c>
    </row>
    <row r="208" spans="1:6" x14ac:dyDescent="0.3">
      <c r="A208" s="27" t="s">
        <v>5083</v>
      </c>
      <c r="D208" s="27" t="s">
        <v>74</v>
      </c>
      <c r="E208" s="27" t="s">
        <v>5117</v>
      </c>
    </row>
    <row r="209" spans="1:7" x14ac:dyDescent="0.3">
      <c r="A209" s="27" t="s">
        <v>5062</v>
      </c>
      <c r="D209" s="27" t="s">
        <v>296</v>
      </c>
      <c r="E209" s="27" t="s">
        <v>5117</v>
      </c>
      <c r="F209" s="27" t="s">
        <v>5039</v>
      </c>
    </row>
    <row r="210" spans="1:7" x14ac:dyDescent="0.3">
      <c r="A210" s="27" t="s">
        <v>5062</v>
      </c>
      <c r="D210" s="27" t="s">
        <v>296</v>
      </c>
      <c r="E210" s="27" t="s">
        <v>5117</v>
      </c>
      <c r="F210" s="27" t="s">
        <v>5039</v>
      </c>
    </row>
    <row r="211" spans="1:7" x14ac:dyDescent="0.3">
      <c r="A211" s="27" t="s">
        <v>5058</v>
      </c>
      <c r="D211" s="27" t="s">
        <v>74</v>
      </c>
      <c r="E211" s="27" t="s">
        <v>296</v>
      </c>
      <c r="F211" s="27" t="s">
        <v>5117</v>
      </c>
    </row>
    <row r="212" spans="1:7" x14ac:dyDescent="0.3">
      <c r="A212" s="27" t="s">
        <v>5046</v>
      </c>
      <c r="D212" s="27" t="s">
        <v>74</v>
      </c>
      <c r="E212" s="27" t="s">
        <v>5117</v>
      </c>
      <c r="F212" s="27" t="s">
        <v>320</v>
      </c>
    </row>
    <row r="213" spans="1:7" x14ac:dyDescent="0.3">
      <c r="A213" s="27" t="s">
        <v>5062</v>
      </c>
      <c r="D213" s="27" t="s">
        <v>296</v>
      </c>
      <c r="E213" s="27" t="s">
        <v>5117</v>
      </c>
      <c r="F213" s="27" t="s">
        <v>5039</v>
      </c>
    </row>
    <row r="214" spans="1:7" x14ac:dyDescent="0.3">
      <c r="A214" s="27" t="s">
        <v>5090</v>
      </c>
      <c r="D214" s="27" t="s">
        <v>296</v>
      </c>
      <c r="E214" s="27" t="s">
        <v>4997</v>
      </c>
      <c r="F214" s="27" t="s">
        <v>369</v>
      </c>
      <c r="G214" s="27" t="s">
        <v>5117</v>
      </c>
    </row>
    <row r="215" spans="1:7" x14ac:dyDescent="0.3">
      <c r="A215" s="27" t="s">
        <v>5056</v>
      </c>
      <c r="D215" s="27" t="s">
        <v>74</v>
      </c>
      <c r="E215" s="27" t="s">
        <v>369</v>
      </c>
      <c r="F215" s="27" t="s">
        <v>5117</v>
      </c>
    </row>
    <row r="216" spans="1:7" x14ac:dyDescent="0.3">
      <c r="A216" s="27" t="s">
        <v>5056</v>
      </c>
      <c r="D216" s="27" t="s">
        <v>74</v>
      </c>
      <c r="E216" s="27" t="s">
        <v>369</v>
      </c>
      <c r="F216" s="27" t="s">
        <v>5117</v>
      </c>
    </row>
    <row r="217" spans="1:7" x14ac:dyDescent="0.3">
      <c r="A217" s="27" t="s">
        <v>5080</v>
      </c>
      <c r="D217" s="27" t="s">
        <v>74</v>
      </c>
      <c r="E217" s="27" t="s">
        <v>369</v>
      </c>
      <c r="F217" s="27" t="s">
        <v>320</v>
      </c>
    </row>
    <row r="218" spans="1:7" x14ac:dyDescent="0.3">
      <c r="A218" s="27" t="s">
        <v>5050</v>
      </c>
      <c r="D218" s="27" t="s">
        <v>74</v>
      </c>
      <c r="E218" s="27" t="s">
        <v>296</v>
      </c>
      <c r="F218" s="27" t="s">
        <v>369</v>
      </c>
    </row>
    <row r="219" spans="1:7" x14ac:dyDescent="0.3">
      <c r="A219" s="27" t="s">
        <v>5058</v>
      </c>
      <c r="D219" s="27" t="s">
        <v>74</v>
      </c>
      <c r="E219" s="27" t="s">
        <v>296</v>
      </c>
      <c r="F219" s="27" t="s">
        <v>5117</v>
      </c>
    </row>
    <row r="220" spans="1:7" x14ac:dyDescent="0.3">
      <c r="A220" s="27" t="s">
        <v>5056</v>
      </c>
      <c r="D220" s="27" t="s">
        <v>74</v>
      </c>
      <c r="E220" s="27" t="s">
        <v>369</v>
      </c>
      <c r="F220" s="27" t="s">
        <v>5117</v>
      </c>
    </row>
    <row r="221" spans="1:7" x14ac:dyDescent="0.3">
      <c r="A221" s="27" t="s">
        <v>5093</v>
      </c>
      <c r="D221" s="27" t="s">
        <v>74</v>
      </c>
      <c r="E221" s="27" t="s">
        <v>4997</v>
      </c>
      <c r="F221" s="27" t="s">
        <v>5039</v>
      </c>
    </row>
    <row r="222" spans="1:7" x14ac:dyDescent="0.3">
      <c r="A222" s="27" t="s">
        <v>5087</v>
      </c>
      <c r="D222" s="27" t="s">
        <v>74</v>
      </c>
      <c r="E222" s="27" t="s">
        <v>369</v>
      </c>
      <c r="F222" s="27" t="s">
        <v>5039</v>
      </c>
    </row>
    <row r="223" spans="1:7" x14ac:dyDescent="0.3">
      <c r="A223" s="27" t="s">
        <v>5078</v>
      </c>
      <c r="D223" s="27" t="s">
        <v>74</v>
      </c>
      <c r="E223" s="27" t="s">
        <v>296</v>
      </c>
      <c r="F223" s="27" t="s">
        <v>369</v>
      </c>
      <c r="G223" s="27" t="s">
        <v>5117</v>
      </c>
    </row>
    <row r="224" spans="1:7" x14ac:dyDescent="0.3">
      <c r="A224" s="27" t="s">
        <v>5078</v>
      </c>
      <c r="D224" s="27" t="s">
        <v>74</v>
      </c>
      <c r="E224" s="27" t="s">
        <v>296</v>
      </c>
      <c r="F224" s="27" t="s">
        <v>369</v>
      </c>
      <c r="G224" s="27" t="s">
        <v>5117</v>
      </c>
    </row>
    <row r="225" spans="1:7" x14ac:dyDescent="0.3">
      <c r="A225" s="27" t="s">
        <v>5078</v>
      </c>
      <c r="D225" s="27" t="s">
        <v>74</v>
      </c>
      <c r="E225" s="27" t="s">
        <v>296</v>
      </c>
      <c r="F225" s="27" t="s">
        <v>369</v>
      </c>
      <c r="G225" s="27" t="s">
        <v>5117</v>
      </c>
    </row>
    <row r="226" spans="1:7" x14ac:dyDescent="0.3">
      <c r="A226" s="27" t="s">
        <v>5056</v>
      </c>
      <c r="D226" s="27" t="s">
        <v>74</v>
      </c>
      <c r="E226" s="27" t="s">
        <v>369</v>
      </c>
      <c r="F226" s="27" t="s">
        <v>5117</v>
      </c>
    </row>
    <row r="227" spans="1:7" x14ac:dyDescent="0.3">
      <c r="A227" s="27" t="s">
        <v>5050</v>
      </c>
      <c r="D227" s="27" t="s">
        <v>74</v>
      </c>
      <c r="E227" s="27" t="s">
        <v>296</v>
      </c>
      <c r="F227" s="27" t="s">
        <v>369</v>
      </c>
    </row>
    <row r="228" spans="1:7" x14ac:dyDescent="0.3">
      <c r="A228" s="27" t="s">
        <v>5057</v>
      </c>
      <c r="D228" s="27" t="s">
        <v>74</v>
      </c>
      <c r="E228" s="27" t="s">
        <v>5117</v>
      </c>
      <c r="F228" s="27" t="s">
        <v>5039</v>
      </c>
    </row>
    <row r="229" spans="1:7" x14ac:dyDescent="0.3">
      <c r="A229" s="27" t="s">
        <v>74</v>
      </c>
      <c r="D229" s="27" t="s">
        <v>74</v>
      </c>
    </row>
    <row r="230" spans="1:7" x14ac:dyDescent="0.3">
      <c r="A230" s="27" t="s">
        <v>5084</v>
      </c>
      <c r="D230" s="27" t="s">
        <v>74</v>
      </c>
      <c r="E230" s="27" t="s">
        <v>320</v>
      </c>
    </row>
    <row r="231" spans="1:7" x14ac:dyDescent="0.3">
      <c r="A231" s="27" t="s">
        <v>5051</v>
      </c>
      <c r="D231" s="27" t="s">
        <v>74</v>
      </c>
      <c r="E231" s="27" t="s">
        <v>296</v>
      </c>
      <c r="F231" s="27" t="s">
        <v>5039</v>
      </c>
    </row>
    <row r="232" spans="1:7" x14ac:dyDescent="0.3">
      <c r="A232" s="27" t="s">
        <v>5094</v>
      </c>
      <c r="D232" s="27" t="s">
        <v>74</v>
      </c>
      <c r="E232" s="27" t="s">
        <v>296</v>
      </c>
      <c r="F232" s="27" t="s">
        <v>369</v>
      </c>
      <c r="G232" s="27" t="s">
        <v>320</v>
      </c>
    </row>
    <row r="233" spans="1:7" x14ac:dyDescent="0.3">
      <c r="A233" s="27" t="s">
        <v>5067</v>
      </c>
      <c r="D233" s="27" t="s">
        <v>74</v>
      </c>
      <c r="E233" s="27" t="s">
        <v>369</v>
      </c>
    </row>
    <row r="234" spans="1:7" x14ac:dyDescent="0.3">
      <c r="A234" s="27" t="s">
        <v>5058</v>
      </c>
      <c r="D234" s="27" t="s">
        <v>74</v>
      </c>
      <c r="E234" s="27" t="s">
        <v>296</v>
      </c>
      <c r="F234" s="27" t="s">
        <v>5117</v>
      </c>
    </row>
    <row r="235" spans="1:7" x14ac:dyDescent="0.3">
      <c r="A235" s="27" t="s">
        <v>5051</v>
      </c>
      <c r="D235" s="27" t="s">
        <v>74</v>
      </c>
      <c r="E235" s="27" t="s">
        <v>296</v>
      </c>
      <c r="F235" s="27" t="s">
        <v>5039</v>
      </c>
    </row>
    <row r="236" spans="1:7" x14ac:dyDescent="0.3">
      <c r="A236" s="27" t="s">
        <v>5057</v>
      </c>
      <c r="D236" s="27" t="s">
        <v>74</v>
      </c>
      <c r="E236" s="27" t="s">
        <v>5117</v>
      </c>
      <c r="F236" s="27" t="s">
        <v>5039</v>
      </c>
    </row>
    <row r="237" spans="1:7" x14ac:dyDescent="0.3">
      <c r="A237" s="27" t="s">
        <v>5042</v>
      </c>
      <c r="D237" s="27" t="s">
        <v>74</v>
      </c>
      <c r="E237" s="27" t="s">
        <v>296</v>
      </c>
      <c r="F237" s="27" t="s">
        <v>4997</v>
      </c>
    </row>
    <row r="238" spans="1:7" x14ac:dyDescent="0.3">
      <c r="A238" s="27" t="s">
        <v>5049</v>
      </c>
      <c r="D238" s="27" t="s">
        <v>296</v>
      </c>
      <c r="E238" s="27" t="s">
        <v>369</v>
      </c>
      <c r="F238" s="27" t="s">
        <v>5039</v>
      </c>
    </row>
    <row r="239" spans="1:7" x14ac:dyDescent="0.3">
      <c r="A239" s="27" t="s">
        <v>5068</v>
      </c>
      <c r="D239" s="27" t="s">
        <v>74</v>
      </c>
      <c r="E239" s="27" t="s">
        <v>4997</v>
      </c>
      <c r="F239" s="27" t="s">
        <v>369</v>
      </c>
    </row>
    <row r="240" spans="1:7" x14ac:dyDescent="0.3">
      <c r="A240" s="27" t="s">
        <v>5068</v>
      </c>
      <c r="D240" s="27" t="s">
        <v>74</v>
      </c>
      <c r="E240" s="27" t="s">
        <v>4997</v>
      </c>
      <c r="F240" s="27" t="s">
        <v>369</v>
      </c>
    </row>
    <row r="241" spans="1:8" x14ac:dyDescent="0.3">
      <c r="A241" s="27" t="s">
        <v>5058</v>
      </c>
      <c r="D241" s="27" t="s">
        <v>74</v>
      </c>
      <c r="E241" s="27" t="s">
        <v>296</v>
      </c>
      <c r="F241" s="27" t="s">
        <v>5117</v>
      </c>
    </row>
    <row r="242" spans="1:8" x14ac:dyDescent="0.3">
      <c r="A242" s="27" t="s">
        <v>5058</v>
      </c>
      <c r="D242" s="27" t="s">
        <v>74</v>
      </c>
      <c r="E242" s="27" t="s">
        <v>296</v>
      </c>
      <c r="F242" s="27" t="s">
        <v>5117</v>
      </c>
    </row>
    <row r="243" spans="1:8" x14ac:dyDescent="0.3">
      <c r="A243" s="27" t="s">
        <v>5058</v>
      </c>
      <c r="D243" s="27" t="s">
        <v>74</v>
      </c>
      <c r="E243" s="27" t="s">
        <v>296</v>
      </c>
      <c r="F243" s="27" t="s">
        <v>5117</v>
      </c>
    </row>
    <row r="244" spans="1:8" x14ac:dyDescent="0.3">
      <c r="A244" s="27" t="s">
        <v>5055</v>
      </c>
      <c r="D244" s="27" t="s">
        <v>296</v>
      </c>
      <c r="E244" s="27" t="s">
        <v>369</v>
      </c>
      <c r="F244" s="27" t="s">
        <v>5117</v>
      </c>
    </row>
    <row r="245" spans="1:8" x14ac:dyDescent="0.3">
      <c r="A245" s="27" t="s">
        <v>5058</v>
      </c>
      <c r="D245" s="27" t="s">
        <v>74</v>
      </c>
      <c r="E245" s="27" t="s">
        <v>296</v>
      </c>
      <c r="F245" s="27" t="s">
        <v>5117</v>
      </c>
    </row>
    <row r="246" spans="1:8" x14ac:dyDescent="0.3">
      <c r="A246" s="27" t="s">
        <v>74</v>
      </c>
      <c r="D246" s="27" t="s">
        <v>74</v>
      </c>
    </row>
    <row r="247" spans="1:8" x14ac:dyDescent="0.3">
      <c r="A247" s="27" t="s">
        <v>5061</v>
      </c>
      <c r="D247" s="27" t="s">
        <v>74</v>
      </c>
      <c r="E247" s="27" t="s">
        <v>296</v>
      </c>
    </row>
    <row r="248" spans="1:8" x14ac:dyDescent="0.3">
      <c r="A248" s="27" t="s">
        <v>5057</v>
      </c>
      <c r="D248" s="27" t="s">
        <v>74</v>
      </c>
      <c r="E248" s="27" t="s">
        <v>5117</v>
      </c>
      <c r="F248" s="27" t="s">
        <v>5039</v>
      </c>
    </row>
    <row r="249" spans="1:8" x14ac:dyDescent="0.3">
      <c r="A249" s="27" t="s">
        <v>5091</v>
      </c>
      <c r="D249" s="27" t="s">
        <v>4997</v>
      </c>
      <c r="E249" s="27" t="s">
        <v>5117</v>
      </c>
      <c r="F249" s="27" t="s">
        <v>5039</v>
      </c>
    </row>
    <row r="250" spans="1:8" x14ac:dyDescent="0.3">
      <c r="A250" s="27" t="s">
        <v>5058</v>
      </c>
      <c r="D250" s="27" t="s">
        <v>74</v>
      </c>
      <c r="E250" s="27" t="s">
        <v>296</v>
      </c>
      <c r="F250" s="27" t="s">
        <v>5117</v>
      </c>
    </row>
    <row r="251" spans="1:8" x14ac:dyDescent="0.3">
      <c r="A251" s="27" t="s">
        <v>5064</v>
      </c>
      <c r="D251" s="27" t="s">
        <v>369</v>
      </c>
      <c r="E251" s="27" t="s">
        <v>5117</v>
      </c>
      <c r="F251" s="27" t="s">
        <v>5039</v>
      </c>
    </row>
    <row r="252" spans="1:8" x14ac:dyDescent="0.3">
      <c r="A252" s="27" t="s">
        <v>5087</v>
      </c>
      <c r="D252" s="27" t="s">
        <v>74</v>
      </c>
      <c r="E252" s="27" t="s">
        <v>369</v>
      </c>
      <c r="F252" s="27" t="s">
        <v>5039</v>
      </c>
    </row>
    <row r="253" spans="1:8" x14ac:dyDescent="0.3">
      <c r="A253" s="27" t="s">
        <v>5095</v>
      </c>
      <c r="D253" s="27" t="s">
        <v>74</v>
      </c>
      <c r="E253" s="27" t="s">
        <v>296</v>
      </c>
      <c r="F253" s="27" t="s">
        <v>369</v>
      </c>
      <c r="G253" s="27" t="s">
        <v>5117</v>
      </c>
      <c r="H253" s="27" t="s">
        <v>320</v>
      </c>
    </row>
    <row r="254" spans="1:8" x14ac:dyDescent="0.3">
      <c r="A254" s="27" t="s">
        <v>5084</v>
      </c>
      <c r="D254" s="27" t="s">
        <v>74</v>
      </c>
      <c r="E254" s="27" t="s">
        <v>320</v>
      </c>
    </row>
    <row r="255" spans="1:8" x14ac:dyDescent="0.3">
      <c r="A255" s="27" t="s">
        <v>5080</v>
      </c>
      <c r="D255" s="27" t="s">
        <v>74</v>
      </c>
      <c r="E255" s="27" t="s">
        <v>369</v>
      </c>
      <c r="F255" s="27" t="s">
        <v>320</v>
      </c>
    </row>
    <row r="256" spans="1:8" x14ac:dyDescent="0.3">
      <c r="A256" s="27" t="s">
        <v>5087</v>
      </c>
      <c r="D256" s="27" t="s">
        <v>74</v>
      </c>
      <c r="E256" s="27" t="s">
        <v>369</v>
      </c>
      <c r="F256" s="27" t="s">
        <v>5039</v>
      </c>
    </row>
    <row r="257" spans="1:10" x14ac:dyDescent="0.3">
      <c r="A257" s="27" t="s">
        <v>5062</v>
      </c>
      <c r="D257" s="27" t="s">
        <v>296</v>
      </c>
      <c r="E257" s="27" t="s">
        <v>5117</v>
      </c>
      <c r="F257" s="27" t="s">
        <v>5039</v>
      </c>
    </row>
    <row r="258" spans="1:10" x14ac:dyDescent="0.3">
      <c r="A258" s="27" t="s">
        <v>5078</v>
      </c>
      <c r="D258" s="27" t="s">
        <v>74</v>
      </c>
      <c r="E258" s="27" t="s">
        <v>296</v>
      </c>
      <c r="F258" s="27" t="s">
        <v>369</v>
      </c>
      <c r="G258" s="27" t="s">
        <v>5117</v>
      </c>
    </row>
    <row r="259" spans="1:10" x14ac:dyDescent="0.3">
      <c r="A259" s="27" t="s">
        <v>5064</v>
      </c>
      <c r="D259" s="27" t="s">
        <v>369</v>
      </c>
      <c r="E259" s="27" t="s">
        <v>5117</v>
      </c>
      <c r="F259" s="27" t="s">
        <v>5039</v>
      </c>
    </row>
    <row r="260" spans="1:10" x14ac:dyDescent="0.3">
      <c r="A260" s="27" t="s">
        <v>5062</v>
      </c>
      <c r="D260" s="27" t="s">
        <v>296</v>
      </c>
      <c r="E260" s="27" t="s">
        <v>5117</v>
      </c>
      <c r="F260" s="27" t="s">
        <v>5039</v>
      </c>
    </row>
    <row r="261" spans="1:10" x14ac:dyDescent="0.3">
      <c r="A261" s="27" t="s">
        <v>5084</v>
      </c>
      <c r="D261" s="27" t="s">
        <v>74</v>
      </c>
      <c r="E261" s="27" t="s">
        <v>320</v>
      </c>
    </row>
    <row r="262" spans="1:10" x14ac:dyDescent="0.3">
      <c r="A262" s="27" t="s">
        <v>5049</v>
      </c>
      <c r="D262" s="27" t="s">
        <v>296</v>
      </c>
      <c r="E262" s="27" t="s">
        <v>369</v>
      </c>
      <c r="F262" s="27" t="s">
        <v>5039</v>
      </c>
    </row>
    <row r="263" spans="1:10" x14ac:dyDescent="0.3">
      <c r="A263" s="27" t="s">
        <v>5054</v>
      </c>
      <c r="D263" s="27" t="s">
        <v>74</v>
      </c>
      <c r="E263" s="27" t="s">
        <v>296</v>
      </c>
      <c r="F263" s="27" t="s">
        <v>4997</v>
      </c>
      <c r="G263" s="27" t="s">
        <v>369</v>
      </c>
      <c r="H263" s="27" t="s">
        <v>5117</v>
      </c>
      <c r="I263" s="27" t="s">
        <v>5039</v>
      </c>
      <c r="J263" s="27" t="s">
        <v>320</v>
      </c>
    </row>
    <row r="264" spans="1:10" x14ac:dyDescent="0.3">
      <c r="A264" s="27" t="s">
        <v>74</v>
      </c>
      <c r="D264" s="27" t="s">
        <v>74</v>
      </c>
    </row>
    <row r="265" spans="1:10" x14ac:dyDescent="0.3">
      <c r="A265" s="27" t="s">
        <v>5058</v>
      </c>
      <c r="D265" s="27" t="s">
        <v>74</v>
      </c>
      <c r="E265" s="27" t="s">
        <v>296</v>
      </c>
      <c r="F265" s="27" t="s">
        <v>5117</v>
      </c>
    </row>
    <row r="266" spans="1:10" x14ac:dyDescent="0.3">
      <c r="A266" s="27" t="s">
        <v>5058</v>
      </c>
      <c r="D266" s="27" t="s">
        <v>74</v>
      </c>
      <c r="E266" s="27" t="s">
        <v>296</v>
      </c>
      <c r="F266" s="27" t="s">
        <v>5117</v>
      </c>
    </row>
    <row r="267" spans="1:10" x14ac:dyDescent="0.3">
      <c r="A267" s="27" t="s">
        <v>5067</v>
      </c>
      <c r="D267" s="27" t="s">
        <v>74</v>
      </c>
      <c r="E267" s="27" t="s">
        <v>369</v>
      </c>
    </row>
    <row r="268" spans="1:10" x14ac:dyDescent="0.3">
      <c r="A268" s="27" t="s">
        <v>5087</v>
      </c>
      <c r="D268" s="27" t="s">
        <v>74</v>
      </c>
      <c r="E268" s="27" t="s">
        <v>369</v>
      </c>
      <c r="F268" s="27" t="s">
        <v>5039</v>
      </c>
    </row>
    <row r="269" spans="1:10" x14ac:dyDescent="0.3">
      <c r="A269" s="27" t="s">
        <v>5087</v>
      </c>
      <c r="D269" s="27" t="s">
        <v>74</v>
      </c>
      <c r="E269" s="27" t="s">
        <v>369</v>
      </c>
      <c r="F269" s="27" t="s">
        <v>5039</v>
      </c>
    </row>
    <row r="270" spans="1:10" x14ac:dyDescent="0.3">
      <c r="A270" s="27" t="s">
        <v>5084</v>
      </c>
      <c r="D270" s="27" t="s">
        <v>74</v>
      </c>
      <c r="E270" s="27" t="s">
        <v>320</v>
      </c>
    </row>
    <row r="271" spans="1:10" x14ac:dyDescent="0.3">
      <c r="A271" s="27" t="s">
        <v>74</v>
      </c>
      <c r="D271" s="27" t="s">
        <v>74</v>
      </c>
    </row>
    <row r="272" spans="1:10" x14ac:dyDescent="0.3">
      <c r="A272" s="27" t="s">
        <v>5054</v>
      </c>
      <c r="D272" s="27" t="s">
        <v>74</v>
      </c>
      <c r="E272" s="27" t="s">
        <v>296</v>
      </c>
      <c r="F272" s="27" t="s">
        <v>4997</v>
      </c>
      <c r="G272" s="27" t="s">
        <v>369</v>
      </c>
      <c r="H272" s="27" t="s">
        <v>5117</v>
      </c>
      <c r="I272" s="27" t="s">
        <v>5039</v>
      </c>
      <c r="J272" s="27" t="s">
        <v>320</v>
      </c>
    </row>
    <row r="273" spans="1:6" x14ac:dyDescent="0.3">
      <c r="A273" s="27" t="s">
        <v>5067</v>
      </c>
      <c r="D273" s="27" t="s">
        <v>74</v>
      </c>
      <c r="E273" s="27" t="s">
        <v>369</v>
      </c>
    </row>
    <row r="274" spans="1:6" x14ac:dyDescent="0.3">
      <c r="A274" s="27" t="s">
        <v>5056</v>
      </c>
      <c r="D274" s="27" t="s">
        <v>74</v>
      </c>
      <c r="E274" s="27" t="s">
        <v>369</v>
      </c>
      <c r="F274" s="27" t="s">
        <v>5117</v>
      </c>
    </row>
    <row r="275" spans="1:6" x14ac:dyDescent="0.3">
      <c r="A275" s="27" t="s">
        <v>5087</v>
      </c>
      <c r="D275" s="27" t="s">
        <v>74</v>
      </c>
      <c r="E275" s="27" t="s">
        <v>369</v>
      </c>
      <c r="F275" s="27" t="s">
        <v>5039</v>
      </c>
    </row>
    <row r="276" spans="1:6" x14ac:dyDescent="0.3">
      <c r="A276" s="27" t="s">
        <v>5049</v>
      </c>
      <c r="D276" s="27" t="s">
        <v>296</v>
      </c>
      <c r="E276" s="27" t="s">
        <v>369</v>
      </c>
      <c r="F276" s="27" t="s">
        <v>5039</v>
      </c>
    </row>
    <row r="277" spans="1:6" x14ac:dyDescent="0.3">
      <c r="A277" s="27" t="s">
        <v>5093</v>
      </c>
      <c r="D277" s="27" t="s">
        <v>74</v>
      </c>
      <c r="E277" s="27" t="s">
        <v>4997</v>
      </c>
      <c r="F277" s="27" t="s">
        <v>5039</v>
      </c>
    </row>
    <row r="278" spans="1:6" x14ac:dyDescent="0.3">
      <c r="A278" s="27" t="s">
        <v>5096</v>
      </c>
      <c r="D278" s="27" t="s">
        <v>4997</v>
      </c>
      <c r="E278" s="27" t="s">
        <v>369</v>
      </c>
      <c r="F278" s="27" t="s">
        <v>5117</v>
      </c>
    </row>
    <row r="279" spans="1:6" x14ac:dyDescent="0.3">
      <c r="A279" s="27" t="s">
        <v>5085</v>
      </c>
      <c r="D279" s="27" t="s">
        <v>74</v>
      </c>
      <c r="E279" s="27" t="s">
        <v>5039</v>
      </c>
      <c r="F279" s="27" t="s">
        <v>320</v>
      </c>
    </row>
    <row r="280" spans="1:6" x14ac:dyDescent="0.3">
      <c r="A280" s="27" t="s">
        <v>5056</v>
      </c>
      <c r="D280" s="27" t="s">
        <v>74</v>
      </c>
      <c r="E280" s="27" t="s">
        <v>369</v>
      </c>
      <c r="F280" s="27" t="s">
        <v>5117</v>
      </c>
    </row>
    <row r="281" spans="1:6" x14ac:dyDescent="0.3">
      <c r="A281" s="27" t="s">
        <v>5056</v>
      </c>
      <c r="D281" s="27" t="s">
        <v>74</v>
      </c>
      <c r="E281" s="27" t="s">
        <v>369</v>
      </c>
      <c r="F281" s="27" t="s">
        <v>5117</v>
      </c>
    </row>
    <row r="282" spans="1:6" x14ac:dyDescent="0.3">
      <c r="A282" s="27" t="s">
        <v>5055</v>
      </c>
      <c r="D282" s="27" t="s">
        <v>296</v>
      </c>
      <c r="E282" s="27" t="s">
        <v>369</v>
      </c>
      <c r="F282" s="27" t="s">
        <v>5117</v>
      </c>
    </row>
    <row r="283" spans="1:6" x14ac:dyDescent="0.3">
      <c r="A283" s="27" t="s">
        <v>5042</v>
      </c>
      <c r="D283" s="27" t="s">
        <v>74</v>
      </c>
      <c r="E283" s="27" t="s">
        <v>296</v>
      </c>
      <c r="F283" s="27" t="s">
        <v>4997</v>
      </c>
    </row>
    <row r="284" spans="1:6" x14ac:dyDescent="0.3">
      <c r="A284" s="27" t="s">
        <v>5087</v>
      </c>
      <c r="D284" s="27" t="s">
        <v>74</v>
      </c>
      <c r="E284" s="27" t="s">
        <v>369</v>
      </c>
      <c r="F284" s="27" t="s">
        <v>5039</v>
      </c>
    </row>
    <row r="285" spans="1:6" x14ac:dyDescent="0.3">
      <c r="A285" s="27" t="s">
        <v>5096</v>
      </c>
      <c r="D285" s="27" t="s">
        <v>4997</v>
      </c>
      <c r="E285" s="27" t="s">
        <v>369</v>
      </c>
      <c r="F285" s="27" t="s">
        <v>5117</v>
      </c>
    </row>
    <row r="286" spans="1:6" x14ac:dyDescent="0.3">
      <c r="A286" s="27" t="s">
        <v>5062</v>
      </c>
      <c r="D286" s="27" t="s">
        <v>296</v>
      </c>
      <c r="E286" s="27" t="s">
        <v>5117</v>
      </c>
      <c r="F286" s="27" t="s">
        <v>5039</v>
      </c>
    </row>
    <row r="287" spans="1:6" x14ac:dyDescent="0.3">
      <c r="A287" s="27" t="s">
        <v>5067</v>
      </c>
      <c r="D287" s="27" t="s">
        <v>74</v>
      </c>
      <c r="E287" s="27" t="s">
        <v>369</v>
      </c>
    </row>
    <row r="288" spans="1:6" x14ac:dyDescent="0.3">
      <c r="A288" s="27" t="s">
        <v>5055</v>
      </c>
      <c r="D288" s="27" t="s">
        <v>296</v>
      </c>
      <c r="E288" s="27" t="s">
        <v>369</v>
      </c>
      <c r="F288" s="27" t="s">
        <v>5117</v>
      </c>
    </row>
    <row r="289" spans="1:6" x14ac:dyDescent="0.3">
      <c r="A289" s="27" t="s">
        <v>5055</v>
      </c>
      <c r="D289" s="27" t="s">
        <v>296</v>
      </c>
      <c r="E289" s="27" t="s">
        <v>369</v>
      </c>
      <c r="F289" s="27" t="s">
        <v>5117</v>
      </c>
    </row>
    <row r="290" spans="1:6" x14ac:dyDescent="0.3">
      <c r="A290" s="27" t="s">
        <v>5085</v>
      </c>
      <c r="D290" s="27" t="s">
        <v>74</v>
      </c>
      <c r="E290" s="27" t="s">
        <v>5039</v>
      </c>
      <c r="F290" s="27" t="s">
        <v>320</v>
      </c>
    </row>
    <row r="291" spans="1:6" x14ac:dyDescent="0.3">
      <c r="A291" s="27" t="s">
        <v>5062</v>
      </c>
      <c r="D291" s="27" t="s">
        <v>296</v>
      </c>
      <c r="E291" s="27" t="s">
        <v>5117</v>
      </c>
      <c r="F291" s="27" t="s">
        <v>5039</v>
      </c>
    </row>
    <row r="292" spans="1:6" x14ac:dyDescent="0.3">
      <c r="A292" s="27" t="s">
        <v>5062</v>
      </c>
      <c r="D292" s="27" t="s">
        <v>296</v>
      </c>
      <c r="E292" s="27" t="s">
        <v>5117</v>
      </c>
      <c r="F292" s="27" t="s">
        <v>5039</v>
      </c>
    </row>
    <row r="293" spans="1:6" x14ac:dyDescent="0.3">
      <c r="A293" s="27" t="s">
        <v>5049</v>
      </c>
      <c r="D293" s="27" t="s">
        <v>296</v>
      </c>
      <c r="E293" s="27" t="s">
        <v>369</v>
      </c>
      <c r="F293" s="27" t="s">
        <v>5039</v>
      </c>
    </row>
    <row r="294" spans="1:6" x14ac:dyDescent="0.3">
      <c r="A294" s="27" t="s">
        <v>5084</v>
      </c>
      <c r="D294" s="27" t="s">
        <v>74</v>
      </c>
      <c r="E294" s="27" t="s">
        <v>320</v>
      </c>
    </row>
    <row r="295" spans="1:6" x14ac:dyDescent="0.3">
      <c r="A295" s="27" t="s">
        <v>5087</v>
      </c>
      <c r="D295" s="27" t="s">
        <v>74</v>
      </c>
      <c r="E295" s="27" t="s">
        <v>369</v>
      </c>
      <c r="F295" s="27" t="s">
        <v>5039</v>
      </c>
    </row>
    <row r="296" spans="1:6" x14ac:dyDescent="0.3">
      <c r="A296" s="27" t="s">
        <v>5051</v>
      </c>
      <c r="D296" s="27" t="s">
        <v>74</v>
      </c>
      <c r="E296" s="27" t="s">
        <v>296</v>
      </c>
      <c r="F296" s="27" t="s">
        <v>5039</v>
      </c>
    </row>
    <row r="297" spans="1:6" x14ac:dyDescent="0.3">
      <c r="A297" s="27" t="s">
        <v>5058</v>
      </c>
      <c r="D297" s="27" t="s">
        <v>74</v>
      </c>
      <c r="E297" s="27" t="s">
        <v>296</v>
      </c>
      <c r="F297" s="27" t="s">
        <v>5117</v>
      </c>
    </row>
    <row r="298" spans="1:6" x14ac:dyDescent="0.3">
      <c r="A298" s="27" t="s">
        <v>5085</v>
      </c>
      <c r="D298" s="27" t="s">
        <v>74</v>
      </c>
      <c r="E298" s="27" t="s">
        <v>5039</v>
      </c>
      <c r="F298" s="27" t="s">
        <v>320</v>
      </c>
    </row>
    <row r="299" spans="1:6" x14ac:dyDescent="0.3">
      <c r="A299" s="27" t="s">
        <v>5067</v>
      </c>
      <c r="D299" s="27" t="s">
        <v>74</v>
      </c>
      <c r="E299" s="27" t="s">
        <v>369</v>
      </c>
    </row>
    <row r="300" spans="1:6" x14ac:dyDescent="0.3">
      <c r="A300" s="27" t="s">
        <v>5061</v>
      </c>
      <c r="D300" s="27" t="s">
        <v>74</v>
      </c>
      <c r="E300" s="27" t="s">
        <v>296</v>
      </c>
    </row>
    <row r="301" spans="1:6" x14ac:dyDescent="0.3">
      <c r="A301" s="27" t="s">
        <v>5080</v>
      </c>
      <c r="D301" s="27" t="s">
        <v>74</v>
      </c>
      <c r="E301" s="27" t="s">
        <v>369</v>
      </c>
      <c r="F301" s="27" t="s">
        <v>320</v>
      </c>
    </row>
    <row r="302" spans="1:6" x14ac:dyDescent="0.3">
      <c r="A302" s="27" t="s">
        <v>5062</v>
      </c>
      <c r="D302" s="27" t="s">
        <v>296</v>
      </c>
      <c r="E302" s="27" t="s">
        <v>5117</v>
      </c>
      <c r="F302" s="27" t="s">
        <v>5039</v>
      </c>
    </row>
    <row r="303" spans="1:6" x14ac:dyDescent="0.3">
      <c r="A303" s="27" t="s">
        <v>74</v>
      </c>
      <c r="D303" s="27" t="s">
        <v>74</v>
      </c>
    </row>
    <row r="304" spans="1:6" x14ac:dyDescent="0.3">
      <c r="A304" s="27" t="s">
        <v>5041</v>
      </c>
      <c r="D304" s="27" t="s">
        <v>296</v>
      </c>
      <c r="E304" s="27" t="s">
        <v>4997</v>
      </c>
      <c r="F304" s="27" t="s">
        <v>5117</v>
      </c>
    </row>
    <row r="305" spans="1:6" x14ac:dyDescent="0.3">
      <c r="A305" s="27" t="s">
        <v>5057</v>
      </c>
      <c r="D305" s="27" t="s">
        <v>74</v>
      </c>
      <c r="E305" s="27" t="s">
        <v>5117</v>
      </c>
      <c r="F305" s="27" t="s">
        <v>5039</v>
      </c>
    </row>
    <row r="306" spans="1:6" x14ac:dyDescent="0.3">
      <c r="A306" s="27" t="s">
        <v>5055</v>
      </c>
      <c r="D306" s="27" t="s">
        <v>296</v>
      </c>
      <c r="E306" s="27" t="s">
        <v>369</v>
      </c>
      <c r="F306" s="27" t="s">
        <v>5117</v>
      </c>
    </row>
    <row r="307" spans="1:6" x14ac:dyDescent="0.3">
      <c r="A307" s="27" t="s">
        <v>5057</v>
      </c>
      <c r="D307" s="27" t="s">
        <v>74</v>
      </c>
      <c r="E307" s="27" t="s">
        <v>5117</v>
      </c>
      <c r="F307" s="27" t="s">
        <v>5039</v>
      </c>
    </row>
    <row r="308" spans="1:6" x14ac:dyDescent="0.3">
      <c r="A308" s="27" t="s">
        <v>5057</v>
      </c>
      <c r="D308" s="27" t="s">
        <v>74</v>
      </c>
      <c r="E308" s="27" t="s">
        <v>5117</v>
      </c>
      <c r="F308" s="27" t="s">
        <v>5039</v>
      </c>
    </row>
    <row r="309" spans="1:6" x14ac:dyDescent="0.3">
      <c r="A309" s="27" t="s">
        <v>5085</v>
      </c>
      <c r="D309" s="27" t="s">
        <v>74</v>
      </c>
      <c r="E309" s="27" t="s">
        <v>5039</v>
      </c>
      <c r="F309" s="27" t="s">
        <v>320</v>
      </c>
    </row>
    <row r="310" spans="1:6" x14ac:dyDescent="0.3">
      <c r="A310" s="27" t="s">
        <v>5085</v>
      </c>
      <c r="D310" s="27" t="s">
        <v>74</v>
      </c>
      <c r="E310" s="27" t="s">
        <v>5039</v>
      </c>
      <c r="F310" s="27" t="s">
        <v>320</v>
      </c>
    </row>
    <row r="311" spans="1:6" x14ac:dyDescent="0.3">
      <c r="A311" s="27" t="s">
        <v>5050</v>
      </c>
      <c r="D311" s="27" t="s">
        <v>74</v>
      </c>
      <c r="E311" s="27" t="s">
        <v>296</v>
      </c>
      <c r="F311" s="27" t="s">
        <v>369</v>
      </c>
    </row>
    <row r="312" spans="1:6" x14ac:dyDescent="0.3">
      <c r="A312" s="27" t="s">
        <v>5087</v>
      </c>
      <c r="D312" s="27" t="s">
        <v>74</v>
      </c>
      <c r="E312" s="27" t="s">
        <v>369</v>
      </c>
      <c r="F312" s="27" t="s">
        <v>5039</v>
      </c>
    </row>
    <row r="313" spans="1:6" x14ac:dyDescent="0.3">
      <c r="A313" s="27" t="s">
        <v>5085</v>
      </c>
      <c r="D313" s="27" t="s">
        <v>74</v>
      </c>
      <c r="E313" s="27" t="s">
        <v>5039</v>
      </c>
      <c r="F313" s="27" t="s">
        <v>320</v>
      </c>
    </row>
    <row r="314" spans="1:6" x14ac:dyDescent="0.3">
      <c r="A314" s="27" t="s">
        <v>5058</v>
      </c>
      <c r="D314" s="27" t="s">
        <v>74</v>
      </c>
      <c r="E314" s="27" t="s">
        <v>296</v>
      </c>
      <c r="F314" s="27" t="s">
        <v>5117</v>
      </c>
    </row>
    <row r="315" spans="1:6" x14ac:dyDescent="0.3">
      <c r="A315" s="27" t="s">
        <v>5084</v>
      </c>
      <c r="D315" s="27" t="s">
        <v>74</v>
      </c>
      <c r="E315" s="27" t="s">
        <v>320</v>
      </c>
    </row>
    <row r="316" spans="1:6" x14ac:dyDescent="0.3">
      <c r="A316" s="27" t="s">
        <v>5084</v>
      </c>
      <c r="D316" s="27" t="s">
        <v>74</v>
      </c>
      <c r="E316" s="27" t="s">
        <v>320</v>
      </c>
    </row>
    <row r="317" spans="1:6" x14ac:dyDescent="0.3">
      <c r="A317" s="27" t="s">
        <v>5096</v>
      </c>
      <c r="D317" s="27" t="s">
        <v>4997</v>
      </c>
      <c r="E317" s="27" t="s">
        <v>369</v>
      </c>
      <c r="F317" s="27" t="s">
        <v>5117</v>
      </c>
    </row>
    <row r="318" spans="1:6" x14ac:dyDescent="0.3">
      <c r="A318" s="27" t="s">
        <v>5096</v>
      </c>
      <c r="D318" s="27" t="s">
        <v>4997</v>
      </c>
      <c r="E318" s="27" t="s">
        <v>369</v>
      </c>
      <c r="F318" s="27" t="s">
        <v>5117</v>
      </c>
    </row>
    <row r="319" spans="1:6" x14ac:dyDescent="0.3">
      <c r="A319" s="27" t="s">
        <v>5084</v>
      </c>
      <c r="D319" s="27" t="s">
        <v>74</v>
      </c>
      <c r="E319" s="27" t="s">
        <v>320</v>
      </c>
    </row>
    <row r="320" spans="1:6" x14ac:dyDescent="0.3">
      <c r="A320" s="27" t="s">
        <v>5083</v>
      </c>
      <c r="D320" s="27" t="s">
        <v>74</v>
      </c>
      <c r="E320" s="27" t="s">
        <v>5117</v>
      </c>
    </row>
    <row r="321" spans="1:7" x14ac:dyDescent="0.3">
      <c r="A321" s="27" t="s">
        <v>5085</v>
      </c>
      <c r="D321" s="27" t="s">
        <v>74</v>
      </c>
      <c r="E321" s="27" t="s">
        <v>5039</v>
      </c>
      <c r="F321" s="27" t="s">
        <v>320</v>
      </c>
    </row>
    <row r="322" spans="1:7" x14ac:dyDescent="0.3">
      <c r="A322" s="27" t="s">
        <v>5085</v>
      </c>
      <c r="D322" s="27" t="s">
        <v>74</v>
      </c>
      <c r="E322" s="27" t="s">
        <v>5039</v>
      </c>
      <c r="F322" s="27" t="s">
        <v>320</v>
      </c>
    </row>
    <row r="323" spans="1:7" x14ac:dyDescent="0.3">
      <c r="A323" s="27" t="s">
        <v>5055</v>
      </c>
      <c r="D323" s="27" t="s">
        <v>296</v>
      </c>
      <c r="E323" s="27" t="s">
        <v>369</v>
      </c>
      <c r="F323" s="27" t="s">
        <v>5117</v>
      </c>
    </row>
    <row r="324" spans="1:7" x14ac:dyDescent="0.3">
      <c r="A324" s="27" t="s">
        <v>74</v>
      </c>
      <c r="D324" s="27" t="s">
        <v>74</v>
      </c>
    </row>
    <row r="325" spans="1:7" x14ac:dyDescent="0.3">
      <c r="A325" s="27" t="s">
        <v>5062</v>
      </c>
      <c r="D325" s="27" t="s">
        <v>296</v>
      </c>
      <c r="E325" s="27" t="s">
        <v>5117</v>
      </c>
      <c r="F325" s="27" t="s">
        <v>5039</v>
      </c>
    </row>
    <row r="326" spans="1:7" x14ac:dyDescent="0.3">
      <c r="A326" s="27" t="s">
        <v>5055</v>
      </c>
      <c r="D326" s="27" t="s">
        <v>296</v>
      </c>
      <c r="E326" s="27" t="s">
        <v>369</v>
      </c>
      <c r="F326" s="27" t="s">
        <v>5117</v>
      </c>
    </row>
    <row r="327" spans="1:7" x14ac:dyDescent="0.3">
      <c r="A327" s="27" t="s">
        <v>5055</v>
      </c>
      <c r="D327" s="27" t="s">
        <v>296</v>
      </c>
      <c r="E327" s="27" t="s">
        <v>369</v>
      </c>
      <c r="F327" s="27" t="s">
        <v>5117</v>
      </c>
    </row>
    <row r="328" spans="1:7" x14ac:dyDescent="0.3">
      <c r="A328" s="27" t="s">
        <v>5084</v>
      </c>
      <c r="D328" s="27" t="s">
        <v>74</v>
      </c>
      <c r="E328" s="27" t="s">
        <v>320</v>
      </c>
    </row>
    <row r="329" spans="1:7" x14ac:dyDescent="0.3">
      <c r="A329" s="27" t="s">
        <v>5085</v>
      </c>
      <c r="D329" s="27" t="s">
        <v>74</v>
      </c>
      <c r="E329" s="27" t="s">
        <v>5039</v>
      </c>
      <c r="F329" s="27" t="s">
        <v>320</v>
      </c>
    </row>
    <row r="330" spans="1:7" x14ac:dyDescent="0.3">
      <c r="A330" s="27" t="s">
        <v>5085</v>
      </c>
      <c r="D330" s="27" t="s">
        <v>74</v>
      </c>
      <c r="E330" s="27" t="s">
        <v>5039</v>
      </c>
      <c r="F330" s="27" t="s">
        <v>320</v>
      </c>
    </row>
    <row r="331" spans="1:7" x14ac:dyDescent="0.3">
      <c r="A331" s="27" t="s">
        <v>5085</v>
      </c>
      <c r="D331" s="27" t="s">
        <v>74</v>
      </c>
      <c r="E331" s="27" t="s">
        <v>5039</v>
      </c>
      <c r="F331" s="27" t="s">
        <v>320</v>
      </c>
    </row>
    <row r="332" spans="1:7" x14ac:dyDescent="0.3">
      <c r="A332" s="27" t="s">
        <v>5050</v>
      </c>
      <c r="D332" s="27" t="s">
        <v>74</v>
      </c>
      <c r="E332" s="27" t="s">
        <v>296</v>
      </c>
      <c r="F332" s="27" t="s">
        <v>369</v>
      </c>
    </row>
    <row r="333" spans="1:7" x14ac:dyDescent="0.3">
      <c r="A333" s="27" t="s">
        <v>5084</v>
      </c>
      <c r="D333" s="27" t="s">
        <v>74</v>
      </c>
      <c r="E333" s="27" t="s">
        <v>320</v>
      </c>
    </row>
    <row r="334" spans="1:7" x14ac:dyDescent="0.3">
      <c r="A334" s="27" t="s">
        <v>5040</v>
      </c>
      <c r="D334" s="27" t="s">
        <v>369</v>
      </c>
      <c r="E334" s="27" t="s">
        <v>5117</v>
      </c>
      <c r="F334" s="27" t="s">
        <v>320</v>
      </c>
    </row>
    <row r="335" spans="1:7" x14ac:dyDescent="0.3">
      <c r="A335" s="27" t="s">
        <v>5093</v>
      </c>
      <c r="D335" s="27" t="s">
        <v>74</v>
      </c>
      <c r="E335" s="27" t="s">
        <v>4997</v>
      </c>
      <c r="F335" s="27" t="s">
        <v>5039</v>
      </c>
    </row>
    <row r="336" spans="1:7" x14ac:dyDescent="0.3">
      <c r="A336" s="27" t="s">
        <v>5078</v>
      </c>
      <c r="D336" s="27" t="s">
        <v>74</v>
      </c>
      <c r="E336" s="27" t="s">
        <v>296</v>
      </c>
      <c r="F336" s="27" t="s">
        <v>369</v>
      </c>
      <c r="G336" s="27" t="s">
        <v>5117</v>
      </c>
    </row>
    <row r="337" spans="1:6" x14ac:dyDescent="0.3">
      <c r="A337" s="27" t="s">
        <v>5080</v>
      </c>
      <c r="D337" s="27" t="s">
        <v>74</v>
      </c>
      <c r="E337" s="27" t="s">
        <v>369</v>
      </c>
      <c r="F337" s="27" t="s">
        <v>320</v>
      </c>
    </row>
    <row r="338" spans="1:6" x14ac:dyDescent="0.3">
      <c r="A338" s="27" t="s">
        <v>5046</v>
      </c>
      <c r="D338" s="27" t="s">
        <v>74</v>
      </c>
      <c r="E338" s="27" t="s">
        <v>5117</v>
      </c>
      <c r="F338" s="27" t="s">
        <v>320</v>
      </c>
    </row>
    <row r="339" spans="1:6" x14ac:dyDescent="0.3">
      <c r="A339" s="27" t="s">
        <v>5075</v>
      </c>
      <c r="D339" s="27" t="s">
        <v>74</v>
      </c>
      <c r="E339" s="27" t="s">
        <v>5039</v>
      </c>
    </row>
    <row r="340" spans="1:6" x14ac:dyDescent="0.3">
      <c r="A340" s="27" t="s">
        <v>5085</v>
      </c>
      <c r="D340" s="27" t="s">
        <v>74</v>
      </c>
      <c r="E340" s="27" t="s">
        <v>5039</v>
      </c>
      <c r="F340" s="27" t="s">
        <v>320</v>
      </c>
    </row>
    <row r="341" spans="1:6" x14ac:dyDescent="0.3">
      <c r="A341" s="27" t="s">
        <v>5061</v>
      </c>
      <c r="D341" s="27" t="s">
        <v>74</v>
      </c>
      <c r="E341" s="27" t="s">
        <v>296</v>
      </c>
    </row>
    <row r="342" spans="1:6" x14ac:dyDescent="0.3">
      <c r="A342" s="27" t="s">
        <v>5047</v>
      </c>
      <c r="D342" s="27" t="s">
        <v>74</v>
      </c>
      <c r="E342" s="27" t="s">
        <v>296</v>
      </c>
      <c r="F342" s="27" t="s">
        <v>320</v>
      </c>
    </row>
    <row r="343" spans="1:6" x14ac:dyDescent="0.3">
      <c r="A343" s="27" t="s">
        <v>5087</v>
      </c>
      <c r="D343" s="27" t="s">
        <v>74</v>
      </c>
      <c r="E343" s="27" t="s">
        <v>369</v>
      </c>
      <c r="F343" s="27" t="s">
        <v>5039</v>
      </c>
    </row>
    <row r="344" spans="1:6" x14ac:dyDescent="0.3">
      <c r="A344" s="27" t="s">
        <v>5080</v>
      </c>
      <c r="D344" s="27" t="s">
        <v>74</v>
      </c>
      <c r="E344" s="27" t="s">
        <v>369</v>
      </c>
      <c r="F344" s="27" t="s">
        <v>320</v>
      </c>
    </row>
    <row r="345" spans="1:6" x14ac:dyDescent="0.3">
      <c r="A345" s="27" t="s">
        <v>5056</v>
      </c>
      <c r="D345" s="27" t="s">
        <v>74</v>
      </c>
      <c r="E345" s="27" t="s">
        <v>369</v>
      </c>
      <c r="F345" s="27" t="s">
        <v>5117</v>
      </c>
    </row>
    <row r="346" spans="1:6" x14ac:dyDescent="0.3">
      <c r="A346" s="27" t="s">
        <v>5046</v>
      </c>
      <c r="D346" s="27" t="s">
        <v>74</v>
      </c>
      <c r="E346" s="27" t="s">
        <v>5117</v>
      </c>
      <c r="F346" s="27" t="s">
        <v>320</v>
      </c>
    </row>
    <row r="347" spans="1:6" x14ac:dyDescent="0.3">
      <c r="A347" s="27" t="s">
        <v>5056</v>
      </c>
      <c r="D347" s="27" t="s">
        <v>74</v>
      </c>
      <c r="E347" s="27" t="s">
        <v>369</v>
      </c>
      <c r="F347" s="27" t="s">
        <v>5117</v>
      </c>
    </row>
    <row r="348" spans="1:6" x14ac:dyDescent="0.3">
      <c r="A348" s="27" t="s">
        <v>5050</v>
      </c>
      <c r="D348" s="27" t="s">
        <v>74</v>
      </c>
      <c r="E348" s="27" t="s">
        <v>296</v>
      </c>
      <c r="F348" s="27" t="s">
        <v>369</v>
      </c>
    </row>
    <row r="349" spans="1:6" x14ac:dyDescent="0.3">
      <c r="A349" s="27" t="s">
        <v>5087</v>
      </c>
      <c r="D349" s="27" t="s">
        <v>74</v>
      </c>
      <c r="E349" s="27" t="s">
        <v>369</v>
      </c>
      <c r="F349" s="27" t="s">
        <v>5039</v>
      </c>
    </row>
    <row r="350" spans="1:6" x14ac:dyDescent="0.3">
      <c r="A350" s="27" t="s">
        <v>5064</v>
      </c>
      <c r="D350" s="27" t="s">
        <v>369</v>
      </c>
      <c r="E350" s="27" t="s">
        <v>5117</v>
      </c>
      <c r="F350" s="27" t="s">
        <v>5039</v>
      </c>
    </row>
    <row r="351" spans="1:6" x14ac:dyDescent="0.3">
      <c r="A351" s="27" t="s">
        <v>5056</v>
      </c>
      <c r="D351" s="27" t="s">
        <v>74</v>
      </c>
      <c r="E351" s="27" t="s">
        <v>369</v>
      </c>
      <c r="F351" s="27" t="s">
        <v>5117</v>
      </c>
    </row>
    <row r="352" spans="1:6" x14ac:dyDescent="0.3">
      <c r="A352" s="27" t="s">
        <v>5055</v>
      </c>
      <c r="D352" s="27" t="s">
        <v>296</v>
      </c>
      <c r="E352" s="27" t="s">
        <v>369</v>
      </c>
      <c r="F352" s="27" t="s">
        <v>5117</v>
      </c>
    </row>
    <row r="353" spans="1:7" x14ac:dyDescent="0.3">
      <c r="A353" s="27" t="s">
        <v>5046</v>
      </c>
      <c r="D353" s="27" t="s">
        <v>74</v>
      </c>
      <c r="E353" s="27" t="s">
        <v>5117</v>
      </c>
      <c r="F353" s="27" t="s">
        <v>320</v>
      </c>
    </row>
    <row r="354" spans="1:7" x14ac:dyDescent="0.3">
      <c r="A354" s="27" t="s">
        <v>5055</v>
      </c>
      <c r="D354" s="27" t="s">
        <v>296</v>
      </c>
      <c r="E354" s="27" t="s">
        <v>369</v>
      </c>
      <c r="F354" s="27" t="s">
        <v>5117</v>
      </c>
    </row>
    <row r="355" spans="1:7" x14ac:dyDescent="0.3">
      <c r="A355" s="27" t="s">
        <v>5058</v>
      </c>
      <c r="D355" s="27" t="s">
        <v>74</v>
      </c>
      <c r="E355" s="27" t="s">
        <v>296</v>
      </c>
      <c r="F355" s="27" t="s">
        <v>5117</v>
      </c>
    </row>
    <row r="356" spans="1:7" x14ac:dyDescent="0.3">
      <c r="A356" s="27" t="s">
        <v>5073</v>
      </c>
      <c r="D356" s="27" t="s">
        <v>296</v>
      </c>
      <c r="E356" s="27" t="s">
        <v>4997</v>
      </c>
      <c r="F356" s="27" t="s">
        <v>5039</v>
      </c>
    </row>
    <row r="357" spans="1:7" x14ac:dyDescent="0.3">
      <c r="A357" s="27" t="s">
        <v>5055</v>
      </c>
      <c r="D357" s="27" t="s">
        <v>296</v>
      </c>
      <c r="E357" s="27" t="s">
        <v>369</v>
      </c>
      <c r="F357" s="27" t="s">
        <v>5117</v>
      </c>
    </row>
    <row r="358" spans="1:7" x14ac:dyDescent="0.3">
      <c r="A358" s="27" t="s">
        <v>5073</v>
      </c>
      <c r="D358" s="27" t="s">
        <v>296</v>
      </c>
      <c r="E358" s="27" t="s">
        <v>4997</v>
      </c>
      <c r="F358" s="27" t="s">
        <v>5039</v>
      </c>
    </row>
    <row r="359" spans="1:7" x14ac:dyDescent="0.3">
      <c r="A359" s="27" t="s">
        <v>5091</v>
      </c>
      <c r="D359" s="27" t="s">
        <v>4997</v>
      </c>
      <c r="E359" s="27" t="s">
        <v>5117</v>
      </c>
      <c r="F359" s="27" t="s">
        <v>5039</v>
      </c>
    </row>
    <row r="360" spans="1:7" x14ac:dyDescent="0.3">
      <c r="A360" s="27" t="s">
        <v>5080</v>
      </c>
      <c r="D360" s="27" t="s">
        <v>74</v>
      </c>
      <c r="E360" s="27" t="s">
        <v>369</v>
      </c>
      <c r="F360" s="27" t="s">
        <v>320</v>
      </c>
    </row>
    <row r="361" spans="1:7" x14ac:dyDescent="0.3">
      <c r="A361" s="27" t="s">
        <v>5097</v>
      </c>
      <c r="D361" s="27" t="s">
        <v>74</v>
      </c>
      <c r="E361" s="27" t="s">
        <v>4997</v>
      </c>
      <c r="F361" s="27" t="s">
        <v>369</v>
      </c>
      <c r="G361" s="27" t="s">
        <v>5117</v>
      </c>
    </row>
    <row r="362" spans="1:7" x14ac:dyDescent="0.3">
      <c r="A362" s="27" t="s">
        <v>5080</v>
      </c>
      <c r="D362" s="27" t="s">
        <v>74</v>
      </c>
      <c r="E362" s="27" t="s">
        <v>369</v>
      </c>
      <c r="F362" s="27" t="s">
        <v>320</v>
      </c>
    </row>
    <row r="363" spans="1:7" x14ac:dyDescent="0.3">
      <c r="A363" s="27" t="s">
        <v>5080</v>
      </c>
      <c r="D363" s="27" t="s">
        <v>74</v>
      </c>
      <c r="E363" s="27" t="s">
        <v>369</v>
      </c>
      <c r="F363" s="27" t="s">
        <v>320</v>
      </c>
    </row>
    <row r="364" spans="1:7" x14ac:dyDescent="0.3">
      <c r="A364" s="27" t="s">
        <v>5087</v>
      </c>
      <c r="D364" s="27" t="s">
        <v>74</v>
      </c>
      <c r="E364" s="27" t="s">
        <v>369</v>
      </c>
      <c r="F364" s="27" t="s">
        <v>5039</v>
      </c>
    </row>
    <row r="365" spans="1:7" x14ac:dyDescent="0.3">
      <c r="A365" s="27" t="s">
        <v>5046</v>
      </c>
      <c r="D365" s="27" t="s">
        <v>74</v>
      </c>
      <c r="E365" s="27" t="s">
        <v>5117</v>
      </c>
      <c r="F365" s="27" t="s">
        <v>320</v>
      </c>
    </row>
    <row r="366" spans="1:7" x14ac:dyDescent="0.3">
      <c r="A366" s="27" t="s">
        <v>5058</v>
      </c>
      <c r="D366" s="27" t="s">
        <v>74</v>
      </c>
      <c r="E366" s="27" t="s">
        <v>296</v>
      </c>
      <c r="F366" s="27" t="s">
        <v>5117</v>
      </c>
    </row>
    <row r="367" spans="1:7" x14ac:dyDescent="0.3">
      <c r="A367" s="27" t="s">
        <v>5056</v>
      </c>
      <c r="D367" s="27" t="s">
        <v>74</v>
      </c>
      <c r="E367" s="27" t="s">
        <v>369</v>
      </c>
      <c r="F367" s="27" t="s">
        <v>5117</v>
      </c>
    </row>
    <row r="368" spans="1:7" x14ac:dyDescent="0.3">
      <c r="A368" s="27" t="s">
        <v>5056</v>
      </c>
      <c r="D368" s="27" t="s">
        <v>74</v>
      </c>
      <c r="E368" s="27" t="s">
        <v>369</v>
      </c>
      <c r="F368" s="27" t="s">
        <v>5117</v>
      </c>
    </row>
    <row r="369" spans="1:6" x14ac:dyDescent="0.3">
      <c r="A369" s="27" t="s">
        <v>5056</v>
      </c>
      <c r="D369" s="27" t="s">
        <v>74</v>
      </c>
      <c r="E369" s="27" t="s">
        <v>369</v>
      </c>
      <c r="F369" s="27" t="s">
        <v>5117</v>
      </c>
    </row>
    <row r="370" spans="1:6" x14ac:dyDescent="0.3">
      <c r="A370" s="27" t="s">
        <v>5075</v>
      </c>
      <c r="D370" s="27" t="s">
        <v>74</v>
      </c>
      <c r="E370" s="27" t="s">
        <v>5039</v>
      </c>
    </row>
    <row r="371" spans="1:6" x14ac:dyDescent="0.3">
      <c r="A371" s="27" t="s">
        <v>5046</v>
      </c>
      <c r="D371" s="27" t="s">
        <v>74</v>
      </c>
      <c r="E371" s="27" t="s">
        <v>5117</v>
      </c>
      <c r="F371" s="27" t="s">
        <v>320</v>
      </c>
    </row>
    <row r="372" spans="1:6" x14ac:dyDescent="0.3">
      <c r="A372" s="27" t="s">
        <v>5057</v>
      </c>
      <c r="D372" s="27" t="s">
        <v>74</v>
      </c>
      <c r="E372" s="27" t="s">
        <v>5117</v>
      </c>
      <c r="F372" s="27" t="s">
        <v>5039</v>
      </c>
    </row>
    <row r="373" spans="1:6" x14ac:dyDescent="0.3">
      <c r="A373" s="27" t="s">
        <v>5069</v>
      </c>
      <c r="D373" s="27" t="s">
        <v>296</v>
      </c>
      <c r="E373" s="27" t="s">
        <v>4997</v>
      </c>
      <c r="F373" s="27" t="s">
        <v>369</v>
      </c>
    </row>
    <row r="374" spans="1:6" x14ac:dyDescent="0.3">
      <c r="A374" s="27" t="s">
        <v>5085</v>
      </c>
      <c r="D374" s="27" t="s">
        <v>74</v>
      </c>
      <c r="E374" s="27" t="s">
        <v>5039</v>
      </c>
      <c r="F374" s="27" t="s">
        <v>320</v>
      </c>
    </row>
    <row r="375" spans="1:6" x14ac:dyDescent="0.3">
      <c r="A375" s="27" t="s">
        <v>5049</v>
      </c>
      <c r="D375" s="27" t="s">
        <v>296</v>
      </c>
      <c r="E375" s="27" t="s">
        <v>369</v>
      </c>
      <c r="F375" s="27" t="s">
        <v>5039</v>
      </c>
    </row>
    <row r="376" spans="1:6" x14ac:dyDescent="0.3">
      <c r="A376" s="27" t="s">
        <v>5083</v>
      </c>
      <c r="D376" s="27" t="s">
        <v>74</v>
      </c>
      <c r="E376" s="27" t="s">
        <v>5117</v>
      </c>
    </row>
    <row r="377" spans="1:6" x14ac:dyDescent="0.3">
      <c r="A377" s="27" t="s">
        <v>5047</v>
      </c>
      <c r="D377" s="27" t="s">
        <v>74</v>
      </c>
      <c r="E377" s="27" t="s">
        <v>296</v>
      </c>
      <c r="F377" s="27" t="s">
        <v>320</v>
      </c>
    </row>
    <row r="378" spans="1:6" x14ac:dyDescent="0.3">
      <c r="A378" s="27" t="s">
        <v>5055</v>
      </c>
      <c r="D378" s="27" t="s">
        <v>296</v>
      </c>
      <c r="E378" s="27" t="s">
        <v>369</v>
      </c>
      <c r="F378" s="27" t="s">
        <v>5117</v>
      </c>
    </row>
    <row r="379" spans="1:6" x14ac:dyDescent="0.3">
      <c r="A379" s="27" t="s">
        <v>5056</v>
      </c>
      <c r="D379" s="27" t="s">
        <v>74</v>
      </c>
      <c r="E379" s="27" t="s">
        <v>369</v>
      </c>
      <c r="F379" s="27" t="s">
        <v>5117</v>
      </c>
    </row>
    <row r="380" spans="1:6" x14ac:dyDescent="0.3">
      <c r="A380" s="27" t="s">
        <v>5085</v>
      </c>
      <c r="D380" s="27" t="s">
        <v>74</v>
      </c>
      <c r="E380" s="27" t="s">
        <v>5039</v>
      </c>
      <c r="F380" s="27" t="s">
        <v>320</v>
      </c>
    </row>
    <row r="381" spans="1:6" x14ac:dyDescent="0.3">
      <c r="A381" s="27" t="s">
        <v>5056</v>
      </c>
      <c r="D381" s="27" t="s">
        <v>74</v>
      </c>
      <c r="E381" s="27" t="s">
        <v>369</v>
      </c>
      <c r="F381" s="27" t="s">
        <v>5117</v>
      </c>
    </row>
    <row r="382" spans="1:6" x14ac:dyDescent="0.3">
      <c r="A382" s="27" t="s">
        <v>5084</v>
      </c>
      <c r="D382" s="27" t="s">
        <v>74</v>
      </c>
      <c r="E382" s="27" t="s">
        <v>320</v>
      </c>
    </row>
    <row r="383" spans="1:6" x14ac:dyDescent="0.3">
      <c r="A383" s="27" t="s">
        <v>5098</v>
      </c>
      <c r="D383" s="27" t="s">
        <v>4997</v>
      </c>
      <c r="E383" s="27" t="s">
        <v>369</v>
      </c>
      <c r="F383" s="27" t="s">
        <v>5039</v>
      </c>
    </row>
    <row r="384" spans="1:6" x14ac:dyDescent="0.3">
      <c r="A384" s="27" t="s">
        <v>5055</v>
      </c>
      <c r="D384" s="27" t="s">
        <v>296</v>
      </c>
      <c r="E384" s="27" t="s">
        <v>369</v>
      </c>
      <c r="F384" s="27" t="s">
        <v>5117</v>
      </c>
    </row>
    <row r="385" spans="1:6" x14ac:dyDescent="0.3">
      <c r="A385" s="27" t="s">
        <v>5056</v>
      </c>
      <c r="D385" s="27" t="s">
        <v>74</v>
      </c>
      <c r="E385" s="27" t="s">
        <v>369</v>
      </c>
      <c r="F385" s="27" t="s">
        <v>5117</v>
      </c>
    </row>
    <row r="386" spans="1:6" x14ac:dyDescent="0.3">
      <c r="A386" s="27" t="s">
        <v>5055</v>
      </c>
      <c r="D386" s="27" t="s">
        <v>296</v>
      </c>
      <c r="E386" s="27" t="s">
        <v>369</v>
      </c>
      <c r="F386" s="27" t="s">
        <v>5117</v>
      </c>
    </row>
    <row r="387" spans="1:6" x14ac:dyDescent="0.3">
      <c r="A387" s="27" t="s">
        <v>5055</v>
      </c>
      <c r="D387" s="27" t="s">
        <v>296</v>
      </c>
      <c r="E387" s="27" t="s">
        <v>369</v>
      </c>
      <c r="F387" s="27" t="s">
        <v>5117</v>
      </c>
    </row>
    <row r="388" spans="1:6" x14ac:dyDescent="0.3">
      <c r="A388" s="27" t="s">
        <v>5055</v>
      </c>
      <c r="D388" s="27" t="s">
        <v>296</v>
      </c>
      <c r="E388" s="27" t="s">
        <v>369</v>
      </c>
      <c r="F388" s="27" t="s">
        <v>5117</v>
      </c>
    </row>
    <row r="389" spans="1:6" x14ac:dyDescent="0.3">
      <c r="A389" s="27" t="s">
        <v>5046</v>
      </c>
      <c r="D389" s="27" t="s">
        <v>74</v>
      </c>
      <c r="E389" s="27" t="s">
        <v>5117</v>
      </c>
      <c r="F389" s="27" t="s">
        <v>320</v>
      </c>
    </row>
    <row r="390" spans="1:6" x14ac:dyDescent="0.3">
      <c r="A390" s="27" t="s">
        <v>5046</v>
      </c>
      <c r="D390" s="27" t="s">
        <v>74</v>
      </c>
      <c r="E390" s="27" t="s">
        <v>5117</v>
      </c>
      <c r="F390" s="27" t="s">
        <v>320</v>
      </c>
    </row>
    <row r="391" spans="1:6" x14ac:dyDescent="0.3">
      <c r="A391" s="27" t="s">
        <v>5056</v>
      </c>
      <c r="D391" s="27" t="s">
        <v>74</v>
      </c>
      <c r="E391" s="27" t="s">
        <v>369</v>
      </c>
      <c r="F391" s="27" t="s">
        <v>5117</v>
      </c>
    </row>
    <row r="392" spans="1:6" x14ac:dyDescent="0.3">
      <c r="A392" s="27" t="s">
        <v>5055</v>
      </c>
      <c r="D392" s="27" t="s">
        <v>296</v>
      </c>
      <c r="E392" s="27" t="s">
        <v>369</v>
      </c>
      <c r="F392" s="27" t="s">
        <v>5117</v>
      </c>
    </row>
    <row r="393" spans="1:6" x14ac:dyDescent="0.3">
      <c r="A393" s="27" t="s">
        <v>5040</v>
      </c>
      <c r="D393" s="27" t="s">
        <v>369</v>
      </c>
      <c r="E393" s="27" t="s">
        <v>5117</v>
      </c>
      <c r="F393" s="27" t="s">
        <v>320</v>
      </c>
    </row>
    <row r="394" spans="1:6" x14ac:dyDescent="0.3">
      <c r="A394" s="27" t="s">
        <v>5055</v>
      </c>
      <c r="D394" s="27" t="s">
        <v>296</v>
      </c>
      <c r="E394" s="27" t="s">
        <v>369</v>
      </c>
      <c r="F394" s="27" t="s">
        <v>5117</v>
      </c>
    </row>
    <row r="395" spans="1:6" x14ac:dyDescent="0.3">
      <c r="A395" s="27" t="s">
        <v>5050</v>
      </c>
      <c r="D395" s="27" t="s">
        <v>74</v>
      </c>
      <c r="E395" s="27" t="s">
        <v>296</v>
      </c>
      <c r="F395" s="27" t="s">
        <v>369</v>
      </c>
    </row>
    <row r="396" spans="1:6" x14ac:dyDescent="0.3">
      <c r="A396" s="27" t="s">
        <v>5056</v>
      </c>
      <c r="D396" s="27" t="s">
        <v>74</v>
      </c>
      <c r="E396" s="27" t="s">
        <v>369</v>
      </c>
      <c r="F396" s="27" t="s">
        <v>5117</v>
      </c>
    </row>
    <row r="397" spans="1:6" x14ac:dyDescent="0.3">
      <c r="A397" s="27" t="s">
        <v>5046</v>
      </c>
      <c r="D397" s="27" t="s">
        <v>74</v>
      </c>
      <c r="E397" s="27" t="s">
        <v>5117</v>
      </c>
      <c r="F397" s="27" t="s">
        <v>320</v>
      </c>
    </row>
    <row r="398" spans="1:6" x14ac:dyDescent="0.3">
      <c r="A398" s="27" t="s">
        <v>5055</v>
      </c>
      <c r="D398" s="27" t="s">
        <v>296</v>
      </c>
      <c r="E398" s="27" t="s">
        <v>369</v>
      </c>
      <c r="F398" s="27" t="s">
        <v>5117</v>
      </c>
    </row>
    <row r="399" spans="1:6" x14ac:dyDescent="0.3">
      <c r="A399" s="27" t="s">
        <v>5046</v>
      </c>
      <c r="D399" s="27" t="s">
        <v>74</v>
      </c>
      <c r="E399" s="27" t="s">
        <v>5117</v>
      </c>
      <c r="F399" s="27" t="s">
        <v>320</v>
      </c>
    </row>
    <row r="400" spans="1:6" x14ac:dyDescent="0.3">
      <c r="A400" s="27" t="s">
        <v>5058</v>
      </c>
      <c r="D400" s="27" t="s">
        <v>74</v>
      </c>
      <c r="E400" s="27" t="s">
        <v>296</v>
      </c>
      <c r="F400" s="27" t="s">
        <v>5117</v>
      </c>
    </row>
    <row r="401" spans="1:7" x14ac:dyDescent="0.3">
      <c r="A401" s="27" t="s">
        <v>5083</v>
      </c>
      <c r="D401" s="27" t="s">
        <v>74</v>
      </c>
      <c r="E401" s="27" t="s">
        <v>5117</v>
      </c>
    </row>
    <row r="402" spans="1:7" x14ac:dyDescent="0.3">
      <c r="A402" s="27" t="s">
        <v>5056</v>
      </c>
      <c r="D402" s="27" t="s">
        <v>74</v>
      </c>
      <c r="E402" s="27" t="s">
        <v>369</v>
      </c>
      <c r="F402" s="27" t="s">
        <v>5117</v>
      </c>
    </row>
    <row r="403" spans="1:7" x14ac:dyDescent="0.3">
      <c r="A403" s="27" t="s">
        <v>5049</v>
      </c>
      <c r="D403" s="27" t="s">
        <v>296</v>
      </c>
      <c r="E403" s="27" t="s">
        <v>369</v>
      </c>
      <c r="F403" s="27" t="s">
        <v>5039</v>
      </c>
    </row>
    <row r="404" spans="1:7" x14ac:dyDescent="0.3">
      <c r="A404" s="27" t="s">
        <v>5055</v>
      </c>
      <c r="D404" s="27" t="s">
        <v>296</v>
      </c>
      <c r="E404" s="27" t="s">
        <v>369</v>
      </c>
      <c r="F404" s="27" t="s">
        <v>5117</v>
      </c>
    </row>
    <row r="405" spans="1:7" x14ac:dyDescent="0.3">
      <c r="A405" s="27" t="s">
        <v>5055</v>
      </c>
      <c r="D405" s="27" t="s">
        <v>296</v>
      </c>
      <c r="E405" s="27" t="s">
        <v>369</v>
      </c>
      <c r="F405" s="27" t="s">
        <v>5117</v>
      </c>
    </row>
    <row r="406" spans="1:7" x14ac:dyDescent="0.3">
      <c r="A406" s="27" t="s">
        <v>5055</v>
      </c>
      <c r="D406" s="27" t="s">
        <v>296</v>
      </c>
      <c r="E406" s="27" t="s">
        <v>369</v>
      </c>
      <c r="F406" s="27" t="s">
        <v>5117</v>
      </c>
    </row>
    <row r="407" spans="1:7" x14ac:dyDescent="0.3">
      <c r="A407" s="27" t="s">
        <v>5056</v>
      </c>
      <c r="D407" s="27" t="s">
        <v>74</v>
      </c>
      <c r="E407" s="27" t="s">
        <v>369</v>
      </c>
      <c r="F407" s="27" t="s">
        <v>5117</v>
      </c>
    </row>
    <row r="408" spans="1:7" x14ac:dyDescent="0.3">
      <c r="A408" s="27" t="s">
        <v>5079</v>
      </c>
      <c r="D408" s="27" t="s">
        <v>74</v>
      </c>
      <c r="E408" s="27" t="s">
        <v>369</v>
      </c>
      <c r="F408" s="27" t="s">
        <v>5117</v>
      </c>
      <c r="G408" s="27" t="s">
        <v>5039</v>
      </c>
    </row>
    <row r="409" spans="1:7" x14ac:dyDescent="0.3">
      <c r="A409" s="27" t="s">
        <v>5058</v>
      </c>
      <c r="D409" s="27" t="s">
        <v>74</v>
      </c>
      <c r="E409" s="27" t="s">
        <v>296</v>
      </c>
      <c r="F409" s="27" t="s">
        <v>5117</v>
      </c>
    </row>
    <row r="410" spans="1:7" x14ac:dyDescent="0.3">
      <c r="A410" s="27" t="s">
        <v>5080</v>
      </c>
      <c r="D410" s="27" t="s">
        <v>74</v>
      </c>
      <c r="E410" s="27" t="s">
        <v>369</v>
      </c>
      <c r="F410" s="27" t="s">
        <v>320</v>
      </c>
    </row>
    <row r="411" spans="1:7" x14ac:dyDescent="0.3">
      <c r="A411" s="27" t="s">
        <v>5058</v>
      </c>
      <c r="D411" s="27" t="s">
        <v>74</v>
      </c>
      <c r="E411" s="27" t="s">
        <v>296</v>
      </c>
      <c r="F411" s="27" t="s">
        <v>5117</v>
      </c>
    </row>
    <row r="412" spans="1:7" x14ac:dyDescent="0.3">
      <c r="A412" s="27" t="s">
        <v>5056</v>
      </c>
      <c r="D412" s="27" t="s">
        <v>74</v>
      </c>
      <c r="E412" s="27" t="s">
        <v>369</v>
      </c>
      <c r="F412" s="27" t="s">
        <v>5117</v>
      </c>
    </row>
    <row r="413" spans="1:7" x14ac:dyDescent="0.3">
      <c r="A413" s="27" t="s">
        <v>5042</v>
      </c>
      <c r="D413" s="27" t="s">
        <v>74</v>
      </c>
      <c r="E413" s="27" t="s">
        <v>296</v>
      </c>
      <c r="F413" s="27" t="s">
        <v>4997</v>
      </c>
    </row>
    <row r="414" spans="1:7" x14ac:dyDescent="0.3">
      <c r="A414" s="27" t="s">
        <v>5058</v>
      </c>
      <c r="D414" s="27" t="s">
        <v>74</v>
      </c>
      <c r="E414" s="27" t="s">
        <v>296</v>
      </c>
      <c r="F414" s="27" t="s">
        <v>5117</v>
      </c>
    </row>
    <row r="415" spans="1:7" x14ac:dyDescent="0.3">
      <c r="A415" s="27" t="s">
        <v>5099</v>
      </c>
      <c r="D415" s="27" t="s">
        <v>74</v>
      </c>
      <c r="E415" s="27" t="s">
        <v>4997</v>
      </c>
      <c r="F415" s="27" t="s">
        <v>5117</v>
      </c>
    </row>
    <row r="416" spans="1:7" x14ac:dyDescent="0.3">
      <c r="A416" s="27" t="s">
        <v>5056</v>
      </c>
      <c r="D416" s="27" t="s">
        <v>74</v>
      </c>
      <c r="E416" s="27" t="s">
        <v>369</v>
      </c>
      <c r="F416" s="27" t="s">
        <v>5117</v>
      </c>
    </row>
    <row r="417" spans="1:10" x14ac:dyDescent="0.3">
      <c r="A417" s="27" t="s">
        <v>5056</v>
      </c>
      <c r="D417" s="27" t="s">
        <v>74</v>
      </c>
      <c r="E417" s="27" t="s">
        <v>369</v>
      </c>
      <c r="F417" s="27" t="s">
        <v>5117</v>
      </c>
    </row>
    <row r="418" spans="1:10" x14ac:dyDescent="0.3">
      <c r="A418" s="27" t="s">
        <v>5057</v>
      </c>
      <c r="D418" s="27" t="s">
        <v>74</v>
      </c>
      <c r="E418" s="27" t="s">
        <v>5117</v>
      </c>
      <c r="F418" s="27" t="s">
        <v>5039</v>
      </c>
    </row>
    <row r="419" spans="1:10" x14ac:dyDescent="0.3">
      <c r="A419" s="27" t="s">
        <v>5087</v>
      </c>
      <c r="D419" s="27" t="s">
        <v>74</v>
      </c>
      <c r="E419" s="27" t="s">
        <v>369</v>
      </c>
      <c r="F419" s="27" t="s">
        <v>5039</v>
      </c>
    </row>
    <row r="420" spans="1:10" x14ac:dyDescent="0.3">
      <c r="A420" s="27" t="s">
        <v>5057</v>
      </c>
      <c r="D420" s="27" t="s">
        <v>74</v>
      </c>
      <c r="E420" s="27" t="s">
        <v>5117</v>
      </c>
      <c r="F420" s="27" t="s">
        <v>5039</v>
      </c>
    </row>
    <row r="421" spans="1:10" x14ac:dyDescent="0.3">
      <c r="A421" s="27" t="s">
        <v>5056</v>
      </c>
      <c r="D421" s="27" t="s">
        <v>74</v>
      </c>
      <c r="E421" s="27" t="s">
        <v>369</v>
      </c>
      <c r="F421" s="27" t="s">
        <v>5117</v>
      </c>
    </row>
    <row r="422" spans="1:10" x14ac:dyDescent="0.3">
      <c r="A422" s="27" t="s">
        <v>5087</v>
      </c>
      <c r="D422" s="27" t="s">
        <v>74</v>
      </c>
      <c r="E422" s="27" t="s">
        <v>369</v>
      </c>
      <c r="F422" s="27" t="s">
        <v>5039</v>
      </c>
    </row>
    <row r="423" spans="1:10" x14ac:dyDescent="0.3">
      <c r="A423" s="27" t="s">
        <v>5042</v>
      </c>
      <c r="D423" s="27" t="s">
        <v>74</v>
      </c>
      <c r="E423" s="27" t="s">
        <v>296</v>
      </c>
      <c r="F423" s="27" t="s">
        <v>4997</v>
      </c>
    </row>
    <row r="424" spans="1:10" x14ac:dyDescent="0.3">
      <c r="A424" s="27" t="s">
        <v>5058</v>
      </c>
      <c r="D424" s="27" t="s">
        <v>74</v>
      </c>
      <c r="E424" s="27" t="s">
        <v>296</v>
      </c>
      <c r="F424" s="27" t="s">
        <v>5117</v>
      </c>
    </row>
    <row r="425" spans="1:10" x14ac:dyDescent="0.3">
      <c r="A425" s="27" t="s">
        <v>5054</v>
      </c>
      <c r="D425" s="27" t="s">
        <v>74</v>
      </c>
      <c r="E425" s="27" t="s">
        <v>296</v>
      </c>
      <c r="F425" s="27" t="s">
        <v>4997</v>
      </c>
      <c r="G425" s="27" t="s">
        <v>369</v>
      </c>
      <c r="H425" s="27" t="s">
        <v>5117</v>
      </c>
      <c r="I425" s="27" t="s">
        <v>5039</v>
      </c>
      <c r="J425" s="27" t="s">
        <v>320</v>
      </c>
    </row>
    <row r="426" spans="1:10" x14ac:dyDescent="0.3">
      <c r="A426" s="27" t="s">
        <v>5041</v>
      </c>
      <c r="D426" s="27" t="s">
        <v>296</v>
      </c>
      <c r="E426" s="27" t="s">
        <v>4997</v>
      </c>
      <c r="F426" s="27" t="s">
        <v>5117</v>
      </c>
    </row>
    <row r="427" spans="1:10" x14ac:dyDescent="0.3">
      <c r="A427" s="27" t="s">
        <v>5085</v>
      </c>
      <c r="D427" s="27" t="s">
        <v>74</v>
      </c>
      <c r="E427" s="27" t="s">
        <v>5039</v>
      </c>
      <c r="F427" s="27" t="s">
        <v>320</v>
      </c>
    </row>
    <row r="428" spans="1:10" x14ac:dyDescent="0.3">
      <c r="A428" s="27" t="s">
        <v>5055</v>
      </c>
      <c r="D428" s="27" t="s">
        <v>296</v>
      </c>
      <c r="E428" s="27" t="s">
        <v>369</v>
      </c>
      <c r="F428" s="27" t="s">
        <v>5117</v>
      </c>
    </row>
    <row r="429" spans="1:10" x14ac:dyDescent="0.3">
      <c r="A429" s="27" t="s">
        <v>5051</v>
      </c>
      <c r="D429" s="27" t="s">
        <v>74</v>
      </c>
      <c r="E429" s="27" t="s">
        <v>296</v>
      </c>
      <c r="F429" s="27" t="s">
        <v>5039</v>
      </c>
    </row>
    <row r="430" spans="1:10" x14ac:dyDescent="0.3">
      <c r="A430" s="27" t="s">
        <v>5099</v>
      </c>
      <c r="D430" s="27" t="s">
        <v>74</v>
      </c>
      <c r="E430" s="27" t="s">
        <v>4997</v>
      </c>
      <c r="F430" s="27" t="s">
        <v>5117</v>
      </c>
    </row>
    <row r="431" spans="1:10" x14ac:dyDescent="0.3">
      <c r="A431" s="27" t="s">
        <v>5080</v>
      </c>
      <c r="D431" s="27" t="s">
        <v>74</v>
      </c>
      <c r="E431" s="27" t="s">
        <v>369</v>
      </c>
      <c r="F431" s="27" t="s">
        <v>320</v>
      </c>
    </row>
    <row r="432" spans="1:10" x14ac:dyDescent="0.3">
      <c r="A432" s="27" t="s">
        <v>5087</v>
      </c>
      <c r="D432" s="27" t="s">
        <v>74</v>
      </c>
      <c r="E432" s="27" t="s">
        <v>369</v>
      </c>
      <c r="F432" s="27" t="s">
        <v>5039</v>
      </c>
    </row>
    <row r="433" spans="1:7" x14ac:dyDescent="0.3">
      <c r="A433" s="27" t="s">
        <v>5056</v>
      </c>
      <c r="D433" s="27" t="s">
        <v>74</v>
      </c>
      <c r="E433" s="27" t="s">
        <v>369</v>
      </c>
      <c r="F433" s="27" t="s">
        <v>5117</v>
      </c>
    </row>
    <row r="434" spans="1:7" x14ac:dyDescent="0.3">
      <c r="A434" s="27" t="s">
        <v>5083</v>
      </c>
      <c r="D434" s="27" t="s">
        <v>74</v>
      </c>
      <c r="E434" s="27" t="s">
        <v>5117</v>
      </c>
    </row>
    <row r="435" spans="1:7" x14ac:dyDescent="0.3">
      <c r="A435" s="27" t="s">
        <v>5087</v>
      </c>
      <c r="D435" s="27" t="s">
        <v>74</v>
      </c>
      <c r="E435" s="27" t="s">
        <v>369</v>
      </c>
      <c r="F435" s="27" t="s">
        <v>5039</v>
      </c>
    </row>
    <row r="436" spans="1:7" x14ac:dyDescent="0.3">
      <c r="A436" s="27" t="s">
        <v>5061</v>
      </c>
      <c r="D436" s="27" t="s">
        <v>74</v>
      </c>
      <c r="E436" s="27" t="s">
        <v>296</v>
      </c>
    </row>
    <row r="437" spans="1:7" x14ac:dyDescent="0.3">
      <c r="A437" s="27" t="s">
        <v>5058</v>
      </c>
      <c r="D437" s="27" t="s">
        <v>74</v>
      </c>
      <c r="E437" s="27" t="s">
        <v>296</v>
      </c>
      <c r="F437" s="27" t="s">
        <v>5117</v>
      </c>
    </row>
    <row r="438" spans="1:7" x14ac:dyDescent="0.3">
      <c r="A438" s="27" t="s">
        <v>5062</v>
      </c>
      <c r="D438" s="27" t="s">
        <v>296</v>
      </c>
      <c r="E438" s="27" t="s">
        <v>5117</v>
      </c>
      <c r="F438" s="27" t="s">
        <v>5039</v>
      </c>
    </row>
    <row r="439" spans="1:7" x14ac:dyDescent="0.3">
      <c r="A439" s="27" t="s">
        <v>5057</v>
      </c>
      <c r="D439" s="27" t="s">
        <v>74</v>
      </c>
      <c r="E439" s="27" t="s">
        <v>5117</v>
      </c>
      <c r="F439" s="27" t="s">
        <v>5039</v>
      </c>
    </row>
    <row r="440" spans="1:7" x14ac:dyDescent="0.3">
      <c r="A440" s="27" t="s">
        <v>5056</v>
      </c>
      <c r="D440" s="27" t="s">
        <v>74</v>
      </c>
      <c r="E440" s="27" t="s">
        <v>369</v>
      </c>
      <c r="F440" s="27" t="s">
        <v>5117</v>
      </c>
    </row>
    <row r="441" spans="1:7" x14ac:dyDescent="0.3">
      <c r="A441" s="27" t="s">
        <v>5078</v>
      </c>
      <c r="D441" s="27" t="s">
        <v>74</v>
      </c>
      <c r="E441" s="27" t="s">
        <v>296</v>
      </c>
      <c r="F441" s="27" t="s">
        <v>369</v>
      </c>
      <c r="G441" s="27" t="s">
        <v>5117</v>
      </c>
    </row>
    <row r="442" spans="1:7" x14ac:dyDescent="0.3">
      <c r="A442" s="27" t="s">
        <v>5064</v>
      </c>
      <c r="D442" s="27" t="s">
        <v>369</v>
      </c>
      <c r="E442" s="27" t="s">
        <v>5117</v>
      </c>
      <c r="F442" s="27" t="s">
        <v>5039</v>
      </c>
    </row>
    <row r="443" spans="1:7" x14ac:dyDescent="0.3">
      <c r="A443" s="27" t="s">
        <v>5056</v>
      </c>
      <c r="D443" s="27" t="s">
        <v>74</v>
      </c>
      <c r="E443" s="27" t="s">
        <v>369</v>
      </c>
      <c r="F443" s="27" t="s">
        <v>5117</v>
      </c>
    </row>
    <row r="444" spans="1:7" x14ac:dyDescent="0.3">
      <c r="A444" s="27" t="s">
        <v>5057</v>
      </c>
      <c r="D444" s="27" t="s">
        <v>74</v>
      </c>
      <c r="E444" s="27" t="s">
        <v>5117</v>
      </c>
      <c r="F444" s="27" t="s">
        <v>5039</v>
      </c>
    </row>
    <row r="445" spans="1:7" x14ac:dyDescent="0.3">
      <c r="A445" s="27" t="s">
        <v>5069</v>
      </c>
      <c r="D445" s="27" t="s">
        <v>296</v>
      </c>
      <c r="E445" s="27" t="s">
        <v>4997</v>
      </c>
      <c r="F445" s="27" t="s">
        <v>369</v>
      </c>
    </row>
    <row r="446" spans="1:7" x14ac:dyDescent="0.3">
      <c r="A446" s="27" t="s">
        <v>5077</v>
      </c>
      <c r="D446" s="27" t="s">
        <v>74</v>
      </c>
      <c r="E446" s="27" t="s">
        <v>296</v>
      </c>
      <c r="F446" s="27" t="s">
        <v>5117</v>
      </c>
      <c r="G446" s="27" t="s">
        <v>5039</v>
      </c>
    </row>
    <row r="447" spans="1:7" x14ac:dyDescent="0.3">
      <c r="A447" s="27" t="s">
        <v>5080</v>
      </c>
      <c r="D447" s="27" t="s">
        <v>74</v>
      </c>
      <c r="E447" s="27" t="s">
        <v>369</v>
      </c>
      <c r="F447" s="27" t="s">
        <v>320</v>
      </c>
    </row>
    <row r="448" spans="1:7" x14ac:dyDescent="0.3">
      <c r="A448" s="27" t="s">
        <v>5080</v>
      </c>
      <c r="D448" s="27" t="s">
        <v>74</v>
      </c>
      <c r="E448" s="27" t="s">
        <v>369</v>
      </c>
      <c r="F448" s="27" t="s">
        <v>320</v>
      </c>
    </row>
    <row r="449" spans="1:9" x14ac:dyDescent="0.3">
      <c r="A449" s="27" t="s">
        <v>5057</v>
      </c>
      <c r="D449" s="27" t="s">
        <v>74</v>
      </c>
      <c r="E449" s="27" t="s">
        <v>5117</v>
      </c>
      <c r="F449" s="27" t="s">
        <v>5039</v>
      </c>
    </row>
    <row r="450" spans="1:9" x14ac:dyDescent="0.3">
      <c r="A450" s="27" t="s">
        <v>5057</v>
      </c>
      <c r="D450" s="27" t="s">
        <v>74</v>
      </c>
      <c r="E450" s="27" t="s">
        <v>5117</v>
      </c>
      <c r="F450" s="27" t="s">
        <v>5039</v>
      </c>
    </row>
    <row r="451" spans="1:9" x14ac:dyDescent="0.3">
      <c r="A451" s="27" t="s">
        <v>5064</v>
      </c>
      <c r="D451" s="27" t="s">
        <v>369</v>
      </c>
      <c r="E451" s="27" t="s">
        <v>5117</v>
      </c>
      <c r="F451" s="27" t="s">
        <v>5039</v>
      </c>
    </row>
    <row r="452" spans="1:9" x14ac:dyDescent="0.3">
      <c r="A452" s="27" t="s">
        <v>5042</v>
      </c>
      <c r="D452" s="27" t="s">
        <v>74</v>
      </c>
      <c r="E452" s="27" t="s">
        <v>296</v>
      </c>
      <c r="F452" s="27" t="s">
        <v>4997</v>
      </c>
    </row>
    <row r="453" spans="1:9" x14ac:dyDescent="0.3">
      <c r="A453" s="27" t="s">
        <v>5080</v>
      </c>
      <c r="D453" s="27" t="s">
        <v>74</v>
      </c>
      <c r="E453" s="27" t="s">
        <v>369</v>
      </c>
      <c r="F453" s="27" t="s">
        <v>320</v>
      </c>
    </row>
    <row r="454" spans="1:9" x14ac:dyDescent="0.3">
      <c r="A454" s="27" t="s">
        <v>5083</v>
      </c>
      <c r="D454" s="27" t="s">
        <v>74</v>
      </c>
      <c r="E454" s="27" t="s">
        <v>5117</v>
      </c>
    </row>
    <row r="455" spans="1:9" x14ac:dyDescent="0.3">
      <c r="A455" s="27" t="s">
        <v>5089</v>
      </c>
      <c r="D455" s="27" t="s">
        <v>296</v>
      </c>
      <c r="E455" s="27" t="s">
        <v>369</v>
      </c>
      <c r="F455" s="27" t="s">
        <v>5117</v>
      </c>
      <c r="G455" s="27" t="s">
        <v>5039</v>
      </c>
    </row>
    <row r="456" spans="1:9" x14ac:dyDescent="0.3">
      <c r="A456" s="27" t="s">
        <v>5100</v>
      </c>
      <c r="D456" s="27" t="s">
        <v>74</v>
      </c>
      <c r="E456" s="27" t="s">
        <v>296</v>
      </c>
      <c r="F456" s="27" t="s">
        <v>369</v>
      </c>
      <c r="G456" s="27" t="s">
        <v>5117</v>
      </c>
      <c r="H456" s="27" t="s">
        <v>5039</v>
      </c>
      <c r="I456" s="27" t="s">
        <v>320</v>
      </c>
    </row>
    <row r="457" spans="1:9" x14ac:dyDescent="0.3">
      <c r="A457" s="27" t="s">
        <v>5100</v>
      </c>
      <c r="D457" s="27" t="s">
        <v>74</v>
      </c>
      <c r="E457" s="27" t="s">
        <v>296</v>
      </c>
      <c r="F457" s="27" t="s">
        <v>369</v>
      </c>
      <c r="G457" s="27" t="s">
        <v>5117</v>
      </c>
      <c r="H457" s="27" t="s">
        <v>5039</v>
      </c>
      <c r="I457" s="27" t="s">
        <v>320</v>
      </c>
    </row>
    <row r="458" spans="1:9" x14ac:dyDescent="0.3">
      <c r="A458" s="27" t="s">
        <v>5057</v>
      </c>
      <c r="D458" s="27" t="s">
        <v>74</v>
      </c>
      <c r="E458" s="27" t="s">
        <v>5117</v>
      </c>
      <c r="F458" s="27" t="s">
        <v>5039</v>
      </c>
    </row>
    <row r="459" spans="1:9" x14ac:dyDescent="0.3">
      <c r="A459" s="27" t="s">
        <v>5057</v>
      </c>
      <c r="D459" s="27" t="s">
        <v>74</v>
      </c>
      <c r="E459" s="27" t="s">
        <v>5117</v>
      </c>
      <c r="F459" s="27" t="s">
        <v>5039</v>
      </c>
    </row>
    <row r="460" spans="1:9" x14ac:dyDescent="0.3">
      <c r="A460" s="27" t="s">
        <v>5056</v>
      </c>
      <c r="D460" s="27" t="s">
        <v>74</v>
      </c>
      <c r="E460" s="27" t="s">
        <v>369</v>
      </c>
      <c r="F460" s="27" t="s">
        <v>5117</v>
      </c>
    </row>
    <row r="461" spans="1:9" x14ac:dyDescent="0.3">
      <c r="A461" s="27" t="s">
        <v>5064</v>
      </c>
      <c r="D461" s="27" t="s">
        <v>369</v>
      </c>
      <c r="E461" s="27" t="s">
        <v>5117</v>
      </c>
      <c r="F461" s="27" t="s">
        <v>5039</v>
      </c>
    </row>
    <row r="462" spans="1:9" x14ac:dyDescent="0.3">
      <c r="A462" s="27" t="s">
        <v>5046</v>
      </c>
      <c r="D462" s="27" t="s">
        <v>74</v>
      </c>
      <c r="E462" s="27" t="s">
        <v>5117</v>
      </c>
      <c r="F462" s="27" t="s">
        <v>320</v>
      </c>
    </row>
    <row r="463" spans="1:9" x14ac:dyDescent="0.3">
      <c r="A463" s="27" t="s">
        <v>5079</v>
      </c>
      <c r="D463" s="27" t="s">
        <v>74</v>
      </c>
      <c r="E463" s="27" t="s">
        <v>369</v>
      </c>
      <c r="F463" s="27" t="s">
        <v>5117</v>
      </c>
      <c r="G463" s="27" t="s">
        <v>5039</v>
      </c>
    </row>
    <row r="464" spans="1:9" x14ac:dyDescent="0.3">
      <c r="A464" s="27" t="s">
        <v>5056</v>
      </c>
      <c r="D464" s="27" t="s">
        <v>74</v>
      </c>
      <c r="E464" s="27" t="s">
        <v>369</v>
      </c>
      <c r="F464" s="27" t="s">
        <v>5117</v>
      </c>
    </row>
    <row r="465" spans="1:7" x14ac:dyDescent="0.3">
      <c r="A465" s="27" t="s">
        <v>5078</v>
      </c>
      <c r="D465" s="27" t="s">
        <v>74</v>
      </c>
      <c r="E465" s="27" t="s">
        <v>296</v>
      </c>
      <c r="F465" s="27" t="s">
        <v>369</v>
      </c>
      <c r="G465" s="27" t="s">
        <v>5117</v>
      </c>
    </row>
    <row r="466" spans="1:7" x14ac:dyDescent="0.3">
      <c r="A466" s="27" t="s">
        <v>5051</v>
      </c>
      <c r="D466" s="27" t="s">
        <v>74</v>
      </c>
      <c r="E466" s="27" t="s">
        <v>296</v>
      </c>
      <c r="F466" s="27" t="s">
        <v>5039</v>
      </c>
    </row>
    <row r="467" spans="1:7" x14ac:dyDescent="0.3">
      <c r="A467" s="27" t="s">
        <v>5056</v>
      </c>
      <c r="D467" s="27" t="s">
        <v>74</v>
      </c>
      <c r="E467" s="27" t="s">
        <v>369</v>
      </c>
      <c r="F467" s="27" t="s">
        <v>5117</v>
      </c>
    </row>
    <row r="468" spans="1:7" x14ac:dyDescent="0.3">
      <c r="A468" s="27" t="s">
        <v>5057</v>
      </c>
      <c r="D468" s="27" t="s">
        <v>74</v>
      </c>
      <c r="E468" s="27" t="s">
        <v>5117</v>
      </c>
      <c r="F468" s="27" t="s">
        <v>5039</v>
      </c>
    </row>
    <row r="469" spans="1:7" x14ac:dyDescent="0.3">
      <c r="A469" s="27" t="s">
        <v>5083</v>
      </c>
      <c r="D469" s="27" t="s">
        <v>74</v>
      </c>
      <c r="E469" s="27" t="s">
        <v>5117</v>
      </c>
    </row>
    <row r="470" spans="1:7" x14ac:dyDescent="0.3">
      <c r="A470" s="27" t="s">
        <v>5078</v>
      </c>
      <c r="D470" s="27" t="s">
        <v>74</v>
      </c>
      <c r="E470" s="27" t="s">
        <v>296</v>
      </c>
      <c r="F470" s="27" t="s">
        <v>369</v>
      </c>
      <c r="G470" s="27" t="s">
        <v>5117</v>
      </c>
    </row>
    <row r="471" spans="1:7" x14ac:dyDescent="0.3">
      <c r="A471" s="27" t="s">
        <v>5058</v>
      </c>
      <c r="D471" s="27" t="s">
        <v>74</v>
      </c>
      <c r="E471" s="27" t="s">
        <v>296</v>
      </c>
      <c r="F471" s="27" t="s">
        <v>5117</v>
      </c>
    </row>
    <row r="472" spans="1:7" x14ac:dyDescent="0.3">
      <c r="A472" s="27" t="s">
        <v>5087</v>
      </c>
      <c r="D472" s="27" t="s">
        <v>74</v>
      </c>
      <c r="E472" s="27" t="s">
        <v>369</v>
      </c>
      <c r="F472" s="27" t="s">
        <v>5039</v>
      </c>
    </row>
    <row r="473" spans="1:7" x14ac:dyDescent="0.3">
      <c r="A473" s="27" t="s">
        <v>5055</v>
      </c>
      <c r="D473" s="27" t="s">
        <v>296</v>
      </c>
      <c r="E473" s="27" t="s">
        <v>369</v>
      </c>
      <c r="F473" s="27" t="s">
        <v>5117</v>
      </c>
    </row>
    <row r="474" spans="1:7" x14ac:dyDescent="0.3">
      <c r="A474" s="27" t="s">
        <v>5061</v>
      </c>
      <c r="D474" s="27" t="s">
        <v>74</v>
      </c>
      <c r="E474" s="27" t="s">
        <v>296</v>
      </c>
    </row>
    <row r="475" spans="1:7" x14ac:dyDescent="0.3">
      <c r="A475" s="27" t="s">
        <v>5078</v>
      </c>
      <c r="D475" s="27" t="s">
        <v>74</v>
      </c>
      <c r="E475" s="27" t="s">
        <v>296</v>
      </c>
      <c r="F475" s="27" t="s">
        <v>369</v>
      </c>
      <c r="G475" s="27" t="s">
        <v>5117</v>
      </c>
    </row>
    <row r="476" spans="1:7" x14ac:dyDescent="0.3">
      <c r="A476" s="27" t="s">
        <v>5055</v>
      </c>
      <c r="D476" s="27" t="s">
        <v>296</v>
      </c>
      <c r="E476" s="27" t="s">
        <v>369</v>
      </c>
      <c r="F476" s="27" t="s">
        <v>5117</v>
      </c>
    </row>
    <row r="477" spans="1:7" x14ac:dyDescent="0.3">
      <c r="A477" s="27" t="s">
        <v>5064</v>
      </c>
      <c r="D477" s="27" t="s">
        <v>369</v>
      </c>
      <c r="E477" s="27" t="s">
        <v>5117</v>
      </c>
      <c r="F477" s="27" t="s">
        <v>5039</v>
      </c>
    </row>
    <row r="478" spans="1:7" x14ac:dyDescent="0.3">
      <c r="A478" s="27" t="s">
        <v>5064</v>
      </c>
      <c r="D478" s="27" t="s">
        <v>369</v>
      </c>
      <c r="E478" s="27" t="s">
        <v>5117</v>
      </c>
      <c r="F478" s="27" t="s">
        <v>5039</v>
      </c>
    </row>
    <row r="479" spans="1:7" x14ac:dyDescent="0.3">
      <c r="A479" s="27" t="s">
        <v>5056</v>
      </c>
      <c r="D479" s="27" t="s">
        <v>74</v>
      </c>
      <c r="E479" s="27" t="s">
        <v>369</v>
      </c>
      <c r="F479" s="27" t="s">
        <v>5117</v>
      </c>
    </row>
    <row r="480" spans="1:7" x14ac:dyDescent="0.3">
      <c r="A480" s="27" t="s">
        <v>5087</v>
      </c>
      <c r="D480" s="27" t="s">
        <v>74</v>
      </c>
      <c r="E480" s="27" t="s">
        <v>369</v>
      </c>
      <c r="F480" s="27" t="s">
        <v>5039</v>
      </c>
    </row>
    <row r="481" spans="1:7" x14ac:dyDescent="0.3">
      <c r="A481" s="27" t="s">
        <v>5078</v>
      </c>
      <c r="D481" s="27" t="s">
        <v>74</v>
      </c>
      <c r="E481" s="27" t="s">
        <v>296</v>
      </c>
      <c r="F481" s="27" t="s">
        <v>369</v>
      </c>
      <c r="G481" s="27" t="s">
        <v>5117</v>
      </c>
    </row>
    <row r="482" spans="1:7" x14ac:dyDescent="0.3">
      <c r="A482" s="27" t="s">
        <v>5050</v>
      </c>
      <c r="D482" s="27" t="s">
        <v>74</v>
      </c>
      <c r="E482" s="27" t="s">
        <v>296</v>
      </c>
      <c r="F482" s="27" t="s">
        <v>369</v>
      </c>
    </row>
    <row r="483" spans="1:7" x14ac:dyDescent="0.3">
      <c r="A483" s="27" t="s">
        <v>5096</v>
      </c>
      <c r="D483" s="27" t="s">
        <v>4997</v>
      </c>
      <c r="E483" s="27" t="s">
        <v>369</v>
      </c>
      <c r="F483" s="27" t="s">
        <v>5117</v>
      </c>
    </row>
    <row r="484" spans="1:7" x14ac:dyDescent="0.3">
      <c r="A484" s="27" t="s">
        <v>5057</v>
      </c>
      <c r="D484" s="27" t="s">
        <v>74</v>
      </c>
      <c r="E484" s="27" t="s">
        <v>5117</v>
      </c>
      <c r="F484" s="27" t="s">
        <v>5039</v>
      </c>
    </row>
    <row r="485" spans="1:7" x14ac:dyDescent="0.3">
      <c r="A485" s="27" t="s">
        <v>5055</v>
      </c>
      <c r="D485" s="27" t="s">
        <v>296</v>
      </c>
      <c r="E485" s="27" t="s">
        <v>369</v>
      </c>
      <c r="F485" s="27" t="s">
        <v>5117</v>
      </c>
    </row>
    <row r="486" spans="1:7" x14ac:dyDescent="0.3">
      <c r="A486" s="27" t="s">
        <v>5046</v>
      </c>
      <c r="D486" s="27" t="s">
        <v>74</v>
      </c>
      <c r="E486" s="27" t="s">
        <v>5117</v>
      </c>
      <c r="F486" s="27" t="s">
        <v>320</v>
      </c>
    </row>
    <row r="487" spans="1:7" x14ac:dyDescent="0.3">
      <c r="A487" s="27" t="s">
        <v>5077</v>
      </c>
      <c r="D487" s="27" t="s">
        <v>74</v>
      </c>
      <c r="E487" s="27" t="s">
        <v>296</v>
      </c>
      <c r="F487" s="27" t="s">
        <v>5117</v>
      </c>
      <c r="G487" s="27" t="s">
        <v>5039</v>
      </c>
    </row>
    <row r="488" spans="1:7" x14ac:dyDescent="0.3">
      <c r="A488" s="27" t="s">
        <v>5046</v>
      </c>
      <c r="D488" s="27" t="s">
        <v>74</v>
      </c>
      <c r="E488" s="27" t="s">
        <v>5117</v>
      </c>
      <c r="F488" s="27" t="s">
        <v>320</v>
      </c>
    </row>
    <row r="489" spans="1:7" x14ac:dyDescent="0.3">
      <c r="A489" s="27" t="s">
        <v>5087</v>
      </c>
      <c r="D489" s="27" t="s">
        <v>74</v>
      </c>
      <c r="E489" s="27" t="s">
        <v>369</v>
      </c>
      <c r="F489" s="27" t="s">
        <v>5039</v>
      </c>
    </row>
    <row r="490" spans="1:7" x14ac:dyDescent="0.3">
      <c r="A490" s="27" t="s">
        <v>5057</v>
      </c>
      <c r="D490" s="27" t="s">
        <v>74</v>
      </c>
      <c r="E490" s="27" t="s">
        <v>5117</v>
      </c>
      <c r="F490" s="27" t="s">
        <v>5039</v>
      </c>
    </row>
    <row r="491" spans="1:7" x14ac:dyDescent="0.3">
      <c r="A491" s="27" t="s">
        <v>5046</v>
      </c>
      <c r="D491" s="27" t="s">
        <v>74</v>
      </c>
      <c r="E491" s="27" t="s">
        <v>5117</v>
      </c>
      <c r="F491" s="27" t="s">
        <v>320</v>
      </c>
    </row>
    <row r="492" spans="1:7" x14ac:dyDescent="0.3">
      <c r="A492" s="27" t="s">
        <v>5055</v>
      </c>
      <c r="D492" s="27" t="s">
        <v>296</v>
      </c>
      <c r="E492" s="27" t="s">
        <v>369</v>
      </c>
      <c r="F492" s="27" t="s">
        <v>5117</v>
      </c>
    </row>
    <row r="493" spans="1:7" x14ac:dyDescent="0.3">
      <c r="A493" s="27" t="s">
        <v>5046</v>
      </c>
      <c r="D493" s="27" t="s">
        <v>74</v>
      </c>
      <c r="E493" s="27" t="s">
        <v>5117</v>
      </c>
      <c r="F493" s="27" t="s">
        <v>320</v>
      </c>
    </row>
    <row r="494" spans="1:7" x14ac:dyDescent="0.3">
      <c r="A494" s="27" t="s">
        <v>5056</v>
      </c>
      <c r="D494" s="27" t="s">
        <v>74</v>
      </c>
      <c r="E494" s="27" t="s">
        <v>369</v>
      </c>
      <c r="F494" s="27" t="s">
        <v>5117</v>
      </c>
    </row>
    <row r="495" spans="1:7" x14ac:dyDescent="0.3">
      <c r="A495" s="27" t="s">
        <v>5056</v>
      </c>
      <c r="D495" s="27" t="s">
        <v>74</v>
      </c>
      <c r="E495" s="27" t="s">
        <v>369</v>
      </c>
      <c r="F495" s="27" t="s">
        <v>5117</v>
      </c>
    </row>
    <row r="496" spans="1:7" x14ac:dyDescent="0.3">
      <c r="A496" s="27" t="s">
        <v>5055</v>
      </c>
      <c r="D496" s="27" t="s">
        <v>296</v>
      </c>
      <c r="E496" s="27" t="s">
        <v>369</v>
      </c>
      <c r="F496" s="27" t="s">
        <v>5117</v>
      </c>
    </row>
    <row r="497" spans="1:7" x14ac:dyDescent="0.3">
      <c r="A497" s="27" t="s">
        <v>5056</v>
      </c>
      <c r="D497" s="27" t="s">
        <v>74</v>
      </c>
      <c r="E497" s="27" t="s">
        <v>369</v>
      </c>
      <c r="F497" s="27" t="s">
        <v>5117</v>
      </c>
    </row>
    <row r="498" spans="1:7" x14ac:dyDescent="0.3">
      <c r="A498" s="27" t="s">
        <v>5084</v>
      </c>
      <c r="D498" s="27" t="s">
        <v>74</v>
      </c>
      <c r="E498" s="27" t="s">
        <v>320</v>
      </c>
    </row>
    <row r="499" spans="1:7" x14ac:dyDescent="0.3">
      <c r="A499" s="27" t="s">
        <v>5056</v>
      </c>
      <c r="D499" s="27" t="s">
        <v>74</v>
      </c>
      <c r="E499" s="27" t="s">
        <v>369</v>
      </c>
      <c r="F499" s="27" t="s">
        <v>5117</v>
      </c>
    </row>
    <row r="500" spans="1:7" x14ac:dyDescent="0.3">
      <c r="A500" s="27" t="s">
        <v>5067</v>
      </c>
      <c r="D500" s="27" t="s">
        <v>74</v>
      </c>
      <c r="E500" s="27" t="s">
        <v>369</v>
      </c>
    </row>
    <row r="501" spans="1:7" x14ac:dyDescent="0.3">
      <c r="A501" s="27" t="s">
        <v>5047</v>
      </c>
      <c r="D501" s="27" t="s">
        <v>74</v>
      </c>
      <c r="E501" s="27" t="s">
        <v>296</v>
      </c>
      <c r="F501" s="27" t="s">
        <v>320</v>
      </c>
    </row>
    <row r="502" spans="1:7" x14ac:dyDescent="0.3">
      <c r="A502" s="27" t="s">
        <v>5046</v>
      </c>
      <c r="D502" s="27" t="s">
        <v>74</v>
      </c>
      <c r="E502" s="27" t="s">
        <v>5117</v>
      </c>
      <c r="F502" s="27" t="s">
        <v>320</v>
      </c>
    </row>
    <row r="503" spans="1:7" x14ac:dyDescent="0.3">
      <c r="A503" s="27" t="s">
        <v>5097</v>
      </c>
      <c r="D503" s="27" t="s">
        <v>74</v>
      </c>
      <c r="E503" s="27" t="s">
        <v>4997</v>
      </c>
      <c r="F503" s="27" t="s">
        <v>369</v>
      </c>
      <c r="G503" s="27" t="s">
        <v>5117</v>
      </c>
    </row>
    <row r="504" spans="1:7" x14ac:dyDescent="0.3">
      <c r="A504" s="27" t="s">
        <v>5058</v>
      </c>
      <c r="D504" s="27" t="s">
        <v>74</v>
      </c>
      <c r="E504" s="27" t="s">
        <v>296</v>
      </c>
      <c r="F504" s="27" t="s">
        <v>5117</v>
      </c>
    </row>
    <row r="505" spans="1:7" x14ac:dyDescent="0.3">
      <c r="A505" s="27" t="s">
        <v>5093</v>
      </c>
      <c r="D505" s="27" t="s">
        <v>74</v>
      </c>
      <c r="E505" s="27" t="s">
        <v>4997</v>
      </c>
      <c r="F505" s="27" t="s">
        <v>5039</v>
      </c>
    </row>
    <row r="506" spans="1:7" x14ac:dyDescent="0.3">
      <c r="A506" s="27" t="s">
        <v>5062</v>
      </c>
      <c r="D506" s="27" t="s">
        <v>296</v>
      </c>
      <c r="E506" s="27" t="s">
        <v>5117</v>
      </c>
      <c r="F506" s="27" t="s">
        <v>5039</v>
      </c>
    </row>
    <row r="507" spans="1:7" x14ac:dyDescent="0.3">
      <c r="A507" s="27" t="s">
        <v>5062</v>
      </c>
      <c r="D507" s="27" t="s">
        <v>296</v>
      </c>
      <c r="E507" s="27" t="s">
        <v>5117</v>
      </c>
      <c r="F507" s="27" t="s">
        <v>5039</v>
      </c>
    </row>
    <row r="508" spans="1:7" x14ac:dyDescent="0.3">
      <c r="A508" s="27" t="s">
        <v>74</v>
      </c>
      <c r="D508" s="27" t="s">
        <v>74</v>
      </c>
    </row>
    <row r="509" spans="1:7" x14ac:dyDescent="0.3">
      <c r="A509" s="27" t="s">
        <v>5057</v>
      </c>
      <c r="D509" s="27" t="s">
        <v>74</v>
      </c>
      <c r="E509" s="27" t="s">
        <v>5117</v>
      </c>
      <c r="F509" s="27" t="s">
        <v>5039</v>
      </c>
    </row>
    <row r="510" spans="1:7" x14ac:dyDescent="0.3">
      <c r="A510" s="27" t="s">
        <v>5056</v>
      </c>
      <c r="D510" s="27" t="s">
        <v>74</v>
      </c>
      <c r="E510" s="27" t="s">
        <v>369</v>
      </c>
      <c r="F510" s="27" t="s">
        <v>5117</v>
      </c>
    </row>
    <row r="511" spans="1:7" x14ac:dyDescent="0.3">
      <c r="A511" s="27" t="s">
        <v>5055</v>
      </c>
      <c r="D511" s="27" t="s">
        <v>296</v>
      </c>
      <c r="E511" s="27" t="s">
        <v>369</v>
      </c>
      <c r="F511" s="27" t="s">
        <v>5117</v>
      </c>
    </row>
    <row r="512" spans="1:7" x14ac:dyDescent="0.3">
      <c r="A512" s="27" t="s">
        <v>5056</v>
      </c>
      <c r="D512" s="27" t="s">
        <v>74</v>
      </c>
      <c r="E512" s="27" t="s">
        <v>369</v>
      </c>
      <c r="F512" s="27" t="s">
        <v>5117</v>
      </c>
    </row>
    <row r="513" spans="1:9" x14ac:dyDescent="0.3">
      <c r="A513" s="27" t="s">
        <v>5058</v>
      </c>
      <c r="D513" s="27" t="s">
        <v>74</v>
      </c>
      <c r="E513" s="27" t="s">
        <v>296</v>
      </c>
      <c r="F513" s="27" t="s">
        <v>5117</v>
      </c>
    </row>
    <row r="514" spans="1:9" x14ac:dyDescent="0.3">
      <c r="A514" s="27" t="s">
        <v>5078</v>
      </c>
      <c r="D514" s="27" t="s">
        <v>74</v>
      </c>
      <c r="E514" s="27" t="s">
        <v>296</v>
      </c>
      <c r="F514" s="27" t="s">
        <v>369</v>
      </c>
      <c r="G514" s="27" t="s">
        <v>5117</v>
      </c>
    </row>
    <row r="515" spans="1:9" x14ac:dyDescent="0.3">
      <c r="A515" s="27" t="s">
        <v>5087</v>
      </c>
      <c r="D515" s="27" t="s">
        <v>74</v>
      </c>
      <c r="E515" s="27" t="s">
        <v>369</v>
      </c>
      <c r="F515" s="27" t="s">
        <v>5039</v>
      </c>
    </row>
    <row r="516" spans="1:9" x14ac:dyDescent="0.3">
      <c r="A516" s="27" t="s">
        <v>5080</v>
      </c>
      <c r="D516" s="27" t="s">
        <v>74</v>
      </c>
      <c r="E516" s="27" t="s">
        <v>369</v>
      </c>
      <c r="F516" s="27" t="s">
        <v>320</v>
      </c>
    </row>
    <row r="517" spans="1:9" x14ac:dyDescent="0.3">
      <c r="A517" s="27" t="s">
        <v>5056</v>
      </c>
      <c r="D517" s="27" t="s">
        <v>74</v>
      </c>
      <c r="E517" s="27" t="s">
        <v>369</v>
      </c>
      <c r="F517" s="27" t="s">
        <v>5117</v>
      </c>
    </row>
    <row r="518" spans="1:9" x14ac:dyDescent="0.3">
      <c r="A518" s="27" t="s">
        <v>5056</v>
      </c>
      <c r="D518" s="27" t="s">
        <v>74</v>
      </c>
      <c r="E518" s="27" t="s">
        <v>369</v>
      </c>
      <c r="F518" s="27" t="s">
        <v>5117</v>
      </c>
    </row>
    <row r="519" spans="1:9" x14ac:dyDescent="0.3">
      <c r="A519" s="27" t="s">
        <v>5056</v>
      </c>
      <c r="D519" s="27" t="s">
        <v>74</v>
      </c>
      <c r="E519" s="27" t="s">
        <v>369</v>
      </c>
      <c r="F519" s="27" t="s">
        <v>5117</v>
      </c>
    </row>
    <row r="520" spans="1:9" x14ac:dyDescent="0.3">
      <c r="A520" s="27" t="s">
        <v>5100</v>
      </c>
      <c r="D520" s="27" t="s">
        <v>74</v>
      </c>
      <c r="E520" s="27" t="s">
        <v>296</v>
      </c>
      <c r="F520" s="27" t="s">
        <v>369</v>
      </c>
      <c r="G520" s="27" t="s">
        <v>5117</v>
      </c>
      <c r="H520" s="27" t="s">
        <v>5039</v>
      </c>
      <c r="I520" s="27" t="s">
        <v>320</v>
      </c>
    </row>
    <row r="521" spans="1:9" x14ac:dyDescent="0.3">
      <c r="A521" s="27" t="s">
        <v>5087</v>
      </c>
      <c r="D521" s="27" t="s">
        <v>74</v>
      </c>
      <c r="E521" s="27" t="s">
        <v>369</v>
      </c>
      <c r="F521" s="27" t="s">
        <v>5039</v>
      </c>
    </row>
    <row r="522" spans="1:9" x14ac:dyDescent="0.3">
      <c r="A522" s="27" t="s">
        <v>5101</v>
      </c>
      <c r="D522" s="27" t="s">
        <v>74</v>
      </c>
      <c r="E522" s="27" t="s">
        <v>296</v>
      </c>
      <c r="F522" s="27" t="s">
        <v>369</v>
      </c>
      <c r="G522" s="27" t="s">
        <v>5117</v>
      </c>
      <c r="H522" s="27" t="s">
        <v>5039</v>
      </c>
    </row>
    <row r="523" spans="1:9" x14ac:dyDescent="0.3">
      <c r="A523" s="27" t="s">
        <v>5100</v>
      </c>
      <c r="D523" s="27" t="s">
        <v>74</v>
      </c>
      <c r="E523" s="27" t="s">
        <v>296</v>
      </c>
      <c r="F523" s="27" t="s">
        <v>369</v>
      </c>
      <c r="G523" s="27" t="s">
        <v>5117</v>
      </c>
      <c r="H523" s="27" t="s">
        <v>5039</v>
      </c>
      <c r="I523" s="27" t="s">
        <v>320</v>
      </c>
    </row>
    <row r="524" spans="1:9" x14ac:dyDescent="0.3">
      <c r="A524" s="27" t="s">
        <v>5070</v>
      </c>
      <c r="D524" s="27" t="s">
        <v>74</v>
      </c>
      <c r="E524" s="27" t="s">
        <v>296</v>
      </c>
      <c r="F524" s="27" t="s">
        <v>4997</v>
      </c>
      <c r="G524" s="27" t="s">
        <v>369</v>
      </c>
      <c r="H524" s="27" t="s">
        <v>5117</v>
      </c>
      <c r="I524" s="27" t="s">
        <v>5039</v>
      </c>
    </row>
    <row r="525" spans="1:9" x14ac:dyDescent="0.3">
      <c r="A525" s="27" t="s">
        <v>5087</v>
      </c>
      <c r="D525" s="27" t="s">
        <v>74</v>
      </c>
      <c r="E525" s="27" t="s">
        <v>369</v>
      </c>
      <c r="F525" s="27" t="s">
        <v>5039</v>
      </c>
    </row>
    <row r="526" spans="1:9" x14ac:dyDescent="0.3">
      <c r="A526" s="27" t="s">
        <v>5057</v>
      </c>
      <c r="D526" s="27" t="s">
        <v>74</v>
      </c>
      <c r="E526" s="27" t="s">
        <v>5117</v>
      </c>
      <c r="F526" s="27" t="s">
        <v>5039</v>
      </c>
    </row>
    <row r="527" spans="1:9" x14ac:dyDescent="0.3">
      <c r="A527" s="27" t="s">
        <v>5101</v>
      </c>
      <c r="D527" s="27" t="s">
        <v>74</v>
      </c>
      <c r="E527" s="27" t="s">
        <v>296</v>
      </c>
      <c r="F527" s="27" t="s">
        <v>369</v>
      </c>
      <c r="G527" s="27" t="s">
        <v>5117</v>
      </c>
      <c r="H527" s="27" t="s">
        <v>5039</v>
      </c>
    </row>
    <row r="528" spans="1:9" x14ac:dyDescent="0.3">
      <c r="A528" s="27" t="s">
        <v>5056</v>
      </c>
      <c r="D528" s="27" t="s">
        <v>74</v>
      </c>
      <c r="E528" s="27" t="s">
        <v>369</v>
      </c>
      <c r="F528" s="27" t="s">
        <v>5117</v>
      </c>
    </row>
    <row r="529" spans="1:9" x14ac:dyDescent="0.3">
      <c r="A529" s="27" t="s">
        <v>5077</v>
      </c>
      <c r="D529" s="27" t="s">
        <v>74</v>
      </c>
      <c r="E529" s="27" t="s">
        <v>296</v>
      </c>
      <c r="F529" s="27" t="s">
        <v>5117</v>
      </c>
      <c r="G529" s="27" t="s">
        <v>5039</v>
      </c>
    </row>
    <row r="530" spans="1:9" x14ac:dyDescent="0.3">
      <c r="A530" s="27" t="s">
        <v>5056</v>
      </c>
      <c r="D530" s="27" t="s">
        <v>74</v>
      </c>
      <c r="E530" s="27" t="s">
        <v>369</v>
      </c>
      <c r="F530" s="27" t="s">
        <v>5117</v>
      </c>
    </row>
    <row r="531" spans="1:9" x14ac:dyDescent="0.3">
      <c r="A531" s="27" t="s">
        <v>5058</v>
      </c>
      <c r="D531" s="27" t="s">
        <v>74</v>
      </c>
      <c r="E531" s="27" t="s">
        <v>296</v>
      </c>
      <c r="F531" s="27" t="s">
        <v>5117</v>
      </c>
    </row>
    <row r="532" spans="1:9" x14ac:dyDescent="0.3">
      <c r="A532" s="27" t="s">
        <v>5056</v>
      </c>
      <c r="D532" s="27" t="s">
        <v>74</v>
      </c>
      <c r="E532" s="27" t="s">
        <v>369</v>
      </c>
      <c r="F532" s="27" t="s">
        <v>5117</v>
      </c>
    </row>
    <row r="533" spans="1:9" x14ac:dyDescent="0.3">
      <c r="A533" s="27" t="s">
        <v>5057</v>
      </c>
      <c r="D533" s="27" t="s">
        <v>74</v>
      </c>
      <c r="E533" s="27" t="s">
        <v>5117</v>
      </c>
      <c r="F533" s="27" t="s">
        <v>5039</v>
      </c>
    </row>
    <row r="534" spans="1:9" x14ac:dyDescent="0.3">
      <c r="A534" s="27" t="s">
        <v>5057</v>
      </c>
      <c r="D534" s="27" t="s">
        <v>74</v>
      </c>
      <c r="E534" s="27" t="s">
        <v>5117</v>
      </c>
      <c r="F534" s="27" t="s">
        <v>5039</v>
      </c>
    </row>
    <row r="535" spans="1:9" x14ac:dyDescent="0.3">
      <c r="A535" s="27" t="s">
        <v>5056</v>
      </c>
      <c r="D535" s="27" t="s">
        <v>74</v>
      </c>
      <c r="E535" s="27" t="s">
        <v>369</v>
      </c>
      <c r="F535" s="27" t="s">
        <v>5117</v>
      </c>
    </row>
    <row r="536" spans="1:9" x14ac:dyDescent="0.3">
      <c r="A536" s="27" t="s">
        <v>5056</v>
      </c>
      <c r="D536" s="27" t="s">
        <v>74</v>
      </c>
      <c r="E536" s="27" t="s">
        <v>369</v>
      </c>
      <c r="F536" s="27" t="s">
        <v>5117</v>
      </c>
    </row>
    <row r="537" spans="1:9" x14ac:dyDescent="0.3">
      <c r="A537" s="27" t="s">
        <v>5057</v>
      </c>
      <c r="D537" s="27" t="s">
        <v>74</v>
      </c>
      <c r="E537" s="27" t="s">
        <v>5117</v>
      </c>
      <c r="F537" s="27" t="s">
        <v>5039</v>
      </c>
    </row>
    <row r="538" spans="1:9" x14ac:dyDescent="0.3">
      <c r="A538" s="27" t="s">
        <v>5056</v>
      </c>
      <c r="D538" s="27" t="s">
        <v>74</v>
      </c>
      <c r="E538" s="27" t="s">
        <v>369</v>
      </c>
      <c r="F538" s="27" t="s">
        <v>5117</v>
      </c>
    </row>
    <row r="539" spans="1:9" x14ac:dyDescent="0.3">
      <c r="A539" s="27" t="s">
        <v>5100</v>
      </c>
      <c r="D539" s="27" t="s">
        <v>74</v>
      </c>
      <c r="E539" s="27" t="s">
        <v>296</v>
      </c>
      <c r="F539" s="27" t="s">
        <v>369</v>
      </c>
      <c r="G539" s="27" t="s">
        <v>5117</v>
      </c>
      <c r="H539" s="27" t="s">
        <v>5039</v>
      </c>
      <c r="I539" s="27" t="s">
        <v>320</v>
      </c>
    </row>
    <row r="540" spans="1:9" x14ac:dyDescent="0.3">
      <c r="A540" s="27" t="s">
        <v>5056</v>
      </c>
      <c r="D540" s="27" t="s">
        <v>74</v>
      </c>
      <c r="E540" s="27" t="s">
        <v>369</v>
      </c>
      <c r="F540" s="27" t="s">
        <v>5117</v>
      </c>
    </row>
    <row r="541" spans="1:9" x14ac:dyDescent="0.3">
      <c r="A541" s="27" t="s">
        <v>5046</v>
      </c>
      <c r="D541" s="27" t="s">
        <v>74</v>
      </c>
      <c r="E541" s="27" t="s">
        <v>5117</v>
      </c>
      <c r="F541" s="27" t="s">
        <v>320</v>
      </c>
    </row>
    <row r="542" spans="1:9" x14ac:dyDescent="0.3">
      <c r="A542" s="27" t="s">
        <v>5046</v>
      </c>
      <c r="D542" s="27" t="s">
        <v>74</v>
      </c>
      <c r="E542" s="27" t="s">
        <v>5117</v>
      </c>
      <c r="F542" s="27" t="s">
        <v>320</v>
      </c>
    </row>
    <row r="543" spans="1:9" x14ac:dyDescent="0.3">
      <c r="A543" s="27" t="s">
        <v>74</v>
      </c>
      <c r="D543" s="27" t="s">
        <v>74</v>
      </c>
    </row>
    <row r="544" spans="1:9" x14ac:dyDescent="0.3">
      <c r="A544" s="27" t="s">
        <v>5046</v>
      </c>
      <c r="D544" s="27" t="s">
        <v>74</v>
      </c>
      <c r="E544" s="27" t="s">
        <v>5117</v>
      </c>
      <c r="F544" s="27" t="s">
        <v>320</v>
      </c>
    </row>
    <row r="545" spans="1:10" x14ac:dyDescent="0.3">
      <c r="A545" s="27" t="s">
        <v>5055</v>
      </c>
      <c r="D545" s="27" t="s">
        <v>296</v>
      </c>
      <c r="E545" s="27" t="s">
        <v>369</v>
      </c>
      <c r="F545" s="27" t="s">
        <v>5117</v>
      </c>
    </row>
    <row r="546" spans="1:10" x14ac:dyDescent="0.3">
      <c r="A546" s="27" t="s">
        <v>5046</v>
      </c>
      <c r="D546" s="27" t="s">
        <v>74</v>
      </c>
      <c r="E546" s="27" t="s">
        <v>5117</v>
      </c>
      <c r="F546" s="27" t="s">
        <v>320</v>
      </c>
    </row>
    <row r="547" spans="1:10" x14ac:dyDescent="0.3">
      <c r="A547" s="27" t="s">
        <v>5058</v>
      </c>
      <c r="D547" s="27" t="s">
        <v>74</v>
      </c>
      <c r="E547" s="27" t="s">
        <v>296</v>
      </c>
      <c r="F547" s="27" t="s">
        <v>5117</v>
      </c>
    </row>
    <row r="548" spans="1:10" x14ac:dyDescent="0.3">
      <c r="A548" s="27" t="s">
        <v>5079</v>
      </c>
      <c r="D548" s="27" t="s">
        <v>74</v>
      </c>
      <c r="E548" s="27" t="s">
        <v>369</v>
      </c>
      <c r="F548" s="27" t="s">
        <v>5117</v>
      </c>
      <c r="G548" s="27" t="s">
        <v>5039</v>
      </c>
    </row>
    <row r="549" spans="1:10" x14ac:dyDescent="0.3">
      <c r="A549" s="27" t="s">
        <v>5055</v>
      </c>
      <c r="D549" s="27" t="s">
        <v>296</v>
      </c>
      <c r="E549" s="27" t="s">
        <v>369</v>
      </c>
      <c r="F549" s="27" t="s">
        <v>5117</v>
      </c>
    </row>
    <row r="550" spans="1:10" x14ac:dyDescent="0.3">
      <c r="A550" s="27" t="s">
        <v>5079</v>
      </c>
      <c r="D550" s="27" t="s">
        <v>74</v>
      </c>
      <c r="E550" s="27" t="s">
        <v>369</v>
      </c>
      <c r="F550" s="27" t="s">
        <v>5117</v>
      </c>
      <c r="G550" s="27" t="s">
        <v>5039</v>
      </c>
    </row>
    <row r="551" spans="1:10" x14ac:dyDescent="0.3">
      <c r="A551" s="27" t="s">
        <v>5056</v>
      </c>
      <c r="D551" s="27" t="s">
        <v>74</v>
      </c>
      <c r="E551" s="27" t="s">
        <v>369</v>
      </c>
      <c r="F551" s="27" t="s">
        <v>5117</v>
      </c>
    </row>
    <row r="552" spans="1:10" x14ac:dyDescent="0.3">
      <c r="A552" s="27" t="s">
        <v>5054</v>
      </c>
      <c r="D552" s="27" t="s">
        <v>74</v>
      </c>
      <c r="E552" s="27" t="s">
        <v>296</v>
      </c>
      <c r="F552" s="27" t="s">
        <v>4997</v>
      </c>
      <c r="G552" s="27" t="s">
        <v>369</v>
      </c>
      <c r="H552" s="27" t="s">
        <v>5117</v>
      </c>
      <c r="I552" s="27" t="s">
        <v>5039</v>
      </c>
      <c r="J552" s="27" t="s">
        <v>320</v>
      </c>
    </row>
    <row r="553" spans="1:10" x14ac:dyDescent="0.3">
      <c r="A553" s="27" t="s">
        <v>5057</v>
      </c>
      <c r="D553" s="27" t="s">
        <v>74</v>
      </c>
      <c r="E553" s="27" t="s">
        <v>5117</v>
      </c>
      <c r="F553" s="27" t="s">
        <v>5039</v>
      </c>
    </row>
    <row r="554" spans="1:10" x14ac:dyDescent="0.3">
      <c r="A554" s="27" t="s">
        <v>5094</v>
      </c>
      <c r="D554" s="27" t="s">
        <v>74</v>
      </c>
      <c r="E554" s="27" t="s">
        <v>296</v>
      </c>
      <c r="F554" s="27" t="s">
        <v>369</v>
      </c>
      <c r="G554" s="27" t="s">
        <v>320</v>
      </c>
    </row>
    <row r="555" spans="1:10" x14ac:dyDescent="0.3">
      <c r="A555" s="27" t="s">
        <v>5056</v>
      </c>
      <c r="D555" s="27" t="s">
        <v>74</v>
      </c>
      <c r="E555" s="27" t="s">
        <v>369</v>
      </c>
      <c r="F555" s="27" t="s">
        <v>5117</v>
      </c>
    </row>
    <row r="556" spans="1:10" x14ac:dyDescent="0.3">
      <c r="A556" s="27" t="s">
        <v>5087</v>
      </c>
      <c r="D556" s="27" t="s">
        <v>74</v>
      </c>
      <c r="E556" s="27" t="s">
        <v>369</v>
      </c>
      <c r="F556" s="27" t="s">
        <v>5039</v>
      </c>
    </row>
    <row r="557" spans="1:10" x14ac:dyDescent="0.3">
      <c r="A557" s="27" t="s">
        <v>5102</v>
      </c>
      <c r="D557" s="27" t="s">
        <v>74</v>
      </c>
      <c r="E557" s="27" t="s">
        <v>296</v>
      </c>
      <c r="F557" s="27" t="s">
        <v>4997</v>
      </c>
      <c r="G557" s="27" t="s">
        <v>369</v>
      </c>
      <c r="H557" s="27" t="s">
        <v>5117</v>
      </c>
    </row>
    <row r="558" spans="1:10" x14ac:dyDescent="0.3">
      <c r="A558" s="27" t="s">
        <v>5055</v>
      </c>
      <c r="D558" s="27" t="s">
        <v>296</v>
      </c>
      <c r="E558" s="27" t="s">
        <v>369</v>
      </c>
      <c r="F558" s="27" t="s">
        <v>5117</v>
      </c>
    </row>
    <row r="559" spans="1:10" x14ac:dyDescent="0.3">
      <c r="A559" s="27" t="s">
        <v>5078</v>
      </c>
      <c r="D559" s="27" t="s">
        <v>74</v>
      </c>
      <c r="E559" s="27" t="s">
        <v>296</v>
      </c>
      <c r="F559" s="27" t="s">
        <v>369</v>
      </c>
      <c r="G559" s="27" t="s">
        <v>5117</v>
      </c>
    </row>
    <row r="560" spans="1:10" x14ac:dyDescent="0.3">
      <c r="A560" s="27" t="s">
        <v>5103</v>
      </c>
      <c r="D560" s="27" t="s">
        <v>296</v>
      </c>
      <c r="E560" s="27" t="s">
        <v>4997</v>
      </c>
      <c r="F560" s="27" t="s">
        <v>5117</v>
      </c>
      <c r="G560" s="27" t="s">
        <v>5039</v>
      </c>
    </row>
    <row r="561" spans="1:7" x14ac:dyDescent="0.3">
      <c r="A561" s="27" t="s">
        <v>5046</v>
      </c>
      <c r="D561" s="27" t="s">
        <v>74</v>
      </c>
      <c r="E561" s="27" t="s">
        <v>5117</v>
      </c>
      <c r="F561" s="27" t="s">
        <v>320</v>
      </c>
    </row>
    <row r="562" spans="1:7" x14ac:dyDescent="0.3">
      <c r="A562" s="27" t="s">
        <v>5058</v>
      </c>
      <c r="D562" s="27" t="s">
        <v>74</v>
      </c>
      <c r="E562" s="27" t="s">
        <v>296</v>
      </c>
      <c r="F562" s="27" t="s">
        <v>5117</v>
      </c>
    </row>
    <row r="563" spans="1:7" x14ac:dyDescent="0.3">
      <c r="A563" s="27" t="s">
        <v>5055</v>
      </c>
      <c r="D563" s="27" t="s">
        <v>296</v>
      </c>
      <c r="E563" s="27" t="s">
        <v>369</v>
      </c>
      <c r="F563" s="27" t="s">
        <v>5117</v>
      </c>
    </row>
    <row r="564" spans="1:7" x14ac:dyDescent="0.3">
      <c r="A564" s="27" t="s">
        <v>5067</v>
      </c>
      <c r="D564" s="27" t="s">
        <v>74</v>
      </c>
      <c r="E564" s="27" t="s">
        <v>369</v>
      </c>
    </row>
    <row r="565" spans="1:7" x14ac:dyDescent="0.3">
      <c r="A565" s="27" t="s">
        <v>5055</v>
      </c>
      <c r="D565" s="27" t="s">
        <v>296</v>
      </c>
      <c r="E565" s="27" t="s">
        <v>369</v>
      </c>
      <c r="F565" s="27" t="s">
        <v>5117</v>
      </c>
    </row>
    <row r="566" spans="1:7" x14ac:dyDescent="0.3">
      <c r="A566" s="27" t="s">
        <v>5090</v>
      </c>
      <c r="D566" s="27" t="s">
        <v>296</v>
      </c>
      <c r="E566" s="27" t="s">
        <v>4997</v>
      </c>
      <c r="F566" s="27" t="s">
        <v>369</v>
      </c>
      <c r="G566" s="27" t="s">
        <v>5117</v>
      </c>
    </row>
    <row r="567" spans="1:7" x14ac:dyDescent="0.3">
      <c r="A567" s="27" t="s">
        <v>5056</v>
      </c>
      <c r="D567" s="27" t="s">
        <v>74</v>
      </c>
      <c r="E567" s="27" t="s">
        <v>369</v>
      </c>
      <c r="F567" s="27" t="s">
        <v>5117</v>
      </c>
    </row>
    <row r="568" spans="1:7" x14ac:dyDescent="0.3">
      <c r="A568" s="27" t="s">
        <v>5055</v>
      </c>
      <c r="D568" s="27" t="s">
        <v>296</v>
      </c>
      <c r="E568" s="27" t="s">
        <v>369</v>
      </c>
      <c r="F568" s="27" t="s">
        <v>5117</v>
      </c>
    </row>
    <row r="569" spans="1:7" x14ac:dyDescent="0.3">
      <c r="A569" s="27" t="s">
        <v>5055</v>
      </c>
      <c r="D569" s="27" t="s">
        <v>296</v>
      </c>
      <c r="E569" s="27" t="s">
        <v>369</v>
      </c>
      <c r="F569" s="27" t="s">
        <v>5117</v>
      </c>
    </row>
    <row r="570" spans="1:7" x14ac:dyDescent="0.3">
      <c r="A570" s="27" t="s">
        <v>5058</v>
      </c>
      <c r="D570" s="27" t="s">
        <v>74</v>
      </c>
      <c r="E570" s="27" t="s">
        <v>296</v>
      </c>
      <c r="F570" s="27" t="s">
        <v>5117</v>
      </c>
    </row>
    <row r="571" spans="1:7" x14ac:dyDescent="0.3">
      <c r="A571" s="27" t="s">
        <v>5078</v>
      </c>
      <c r="D571" s="27" t="s">
        <v>74</v>
      </c>
      <c r="E571" s="27" t="s">
        <v>296</v>
      </c>
      <c r="F571" s="27" t="s">
        <v>369</v>
      </c>
      <c r="G571" s="27" t="s">
        <v>5117</v>
      </c>
    </row>
    <row r="572" spans="1:7" x14ac:dyDescent="0.3">
      <c r="A572" s="27" t="s">
        <v>5058</v>
      </c>
      <c r="D572" s="27" t="s">
        <v>74</v>
      </c>
      <c r="E572" s="27" t="s">
        <v>296</v>
      </c>
      <c r="F572" s="27" t="s">
        <v>5117</v>
      </c>
    </row>
    <row r="573" spans="1:7" x14ac:dyDescent="0.3">
      <c r="A573" s="27" t="s">
        <v>5051</v>
      </c>
      <c r="D573" s="27" t="s">
        <v>74</v>
      </c>
      <c r="E573" s="27" t="s">
        <v>296</v>
      </c>
      <c r="F573" s="27" t="s">
        <v>5039</v>
      </c>
    </row>
    <row r="574" spans="1:7" x14ac:dyDescent="0.3">
      <c r="A574" s="27" t="s">
        <v>5056</v>
      </c>
      <c r="D574" s="27" t="s">
        <v>74</v>
      </c>
      <c r="E574" s="27" t="s">
        <v>369</v>
      </c>
      <c r="F574" s="27" t="s">
        <v>5117</v>
      </c>
    </row>
    <row r="575" spans="1:7" x14ac:dyDescent="0.3">
      <c r="A575" s="27" t="s">
        <v>5055</v>
      </c>
      <c r="D575" s="27" t="s">
        <v>296</v>
      </c>
      <c r="E575" s="27" t="s">
        <v>369</v>
      </c>
      <c r="F575" s="27" t="s">
        <v>5117</v>
      </c>
    </row>
    <row r="576" spans="1:7" x14ac:dyDescent="0.3">
      <c r="A576" s="27" t="s">
        <v>5051</v>
      </c>
      <c r="D576" s="27" t="s">
        <v>74</v>
      </c>
      <c r="E576" s="27" t="s">
        <v>296</v>
      </c>
      <c r="F576" s="27" t="s">
        <v>5039</v>
      </c>
    </row>
    <row r="577" spans="1:10" x14ac:dyDescent="0.3">
      <c r="A577" s="27" t="s">
        <v>5069</v>
      </c>
      <c r="D577" s="27" t="s">
        <v>296</v>
      </c>
      <c r="E577" s="27" t="s">
        <v>4997</v>
      </c>
      <c r="F577" s="27" t="s">
        <v>369</v>
      </c>
    </row>
    <row r="578" spans="1:10" x14ac:dyDescent="0.3">
      <c r="A578" s="27" t="s">
        <v>5078</v>
      </c>
      <c r="D578" s="27" t="s">
        <v>74</v>
      </c>
      <c r="E578" s="27" t="s">
        <v>296</v>
      </c>
      <c r="F578" s="27" t="s">
        <v>369</v>
      </c>
      <c r="G578" s="27" t="s">
        <v>5117</v>
      </c>
    </row>
    <row r="579" spans="1:10" x14ac:dyDescent="0.3">
      <c r="A579" s="27" t="s">
        <v>5051</v>
      </c>
      <c r="D579" s="27" t="s">
        <v>74</v>
      </c>
      <c r="E579" s="27" t="s">
        <v>296</v>
      </c>
      <c r="F579" s="27" t="s">
        <v>5039</v>
      </c>
    </row>
    <row r="580" spans="1:10" x14ac:dyDescent="0.3">
      <c r="A580" s="27" t="s">
        <v>5104</v>
      </c>
      <c r="D580" s="27" t="s">
        <v>74</v>
      </c>
      <c r="E580" s="27" t="s">
        <v>296</v>
      </c>
      <c r="F580" s="27" t="s">
        <v>4997</v>
      </c>
      <c r="G580" s="27" t="s">
        <v>369</v>
      </c>
      <c r="H580" s="27" t="s">
        <v>5117</v>
      </c>
      <c r="I580" s="27" t="s">
        <v>320</v>
      </c>
    </row>
    <row r="581" spans="1:10" x14ac:dyDescent="0.3">
      <c r="A581" s="27" t="s">
        <v>5051</v>
      </c>
      <c r="D581" s="27" t="s">
        <v>74</v>
      </c>
      <c r="E581" s="27" t="s">
        <v>296</v>
      </c>
      <c r="F581" s="27" t="s">
        <v>5039</v>
      </c>
    </row>
    <row r="582" spans="1:10" x14ac:dyDescent="0.3">
      <c r="A582" s="27" t="s">
        <v>5105</v>
      </c>
      <c r="D582" s="27" t="s">
        <v>74</v>
      </c>
      <c r="E582" s="27" t="s">
        <v>296</v>
      </c>
      <c r="F582" s="27" t="s">
        <v>369</v>
      </c>
      <c r="G582" s="27" t="s">
        <v>5039</v>
      </c>
    </row>
    <row r="583" spans="1:10" x14ac:dyDescent="0.3">
      <c r="A583" s="27" t="s">
        <v>5042</v>
      </c>
      <c r="D583" s="27" t="s">
        <v>74</v>
      </c>
      <c r="E583" s="27" t="s">
        <v>296</v>
      </c>
      <c r="F583" s="27" t="s">
        <v>4997</v>
      </c>
    </row>
    <row r="584" spans="1:10" x14ac:dyDescent="0.3">
      <c r="A584" s="27" t="s">
        <v>5102</v>
      </c>
      <c r="D584" s="27" t="s">
        <v>74</v>
      </c>
      <c r="E584" s="27" t="s">
        <v>296</v>
      </c>
      <c r="F584" s="27" t="s">
        <v>4997</v>
      </c>
      <c r="G584" s="27" t="s">
        <v>369</v>
      </c>
      <c r="H584" s="27" t="s">
        <v>5117</v>
      </c>
    </row>
    <row r="585" spans="1:10" x14ac:dyDescent="0.3">
      <c r="A585" s="27" t="s">
        <v>5050</v>
      </c>
      <c r="D585" s="27" t="s">
        <v>74</v>
      </c>
      <c r="E585" s="27" t="s">
        <v>296</v>
      </c>
      <c r="F585" s="27" t="s">
        <v>369</v>
      </c>
    </row>
    <row r="586" spans="1:10" x14ac:dyDescent="0.3">
      <c r="A586" s="27" t="s">
        <v>5087</v>
      </c>
      <c r="D586" s="27" t="s">
        <v>74</v>
      </c>
      <c r="E586" s="27" t="s">
        <v>369</v>
      </c>
      <c r="F586" s="27" t="s">
        <v>5039</v>
      </c>
    </row>
    <row r="587" spans="1:10" x14ac:dyDescent="0.3">
      <c r="A587" s="27" t="s">
        <v>5047</v>
      </c>
      <c r="D587" s="27" t="s">
        <v>74</v>
      </c>
      <c r="E587" s="27" t="s">
        <v>296</v>
      </c>
      <c r="F587" s="27" t="s">
        <v>320</v>
      </c>
    </row>
    <row r="588" spans="1:10" x14ac:dyDescent="0.3">
      <c r="A588" s="27" t="s">
        <v>5087</v>
      </c>
      <c r="D588" s="27" t="s">
        <v>74</v>
      </c>
      <c r="E588" s="27" t="s">
        <v>369</v>
      </c>
      <c r="F588" s="27" t="s">
        <v>5039</v>
      </c>
    </row>
    <row r="589" spans="1:10" x14ac:dyDescent="0.3">
      <c r="A589" s="27" t="s">
        <v>5105</v>
      </c>
      <c r="D589" s="27" t="s">
        <v>74</v>
      </c>
      <c r="E589" s="27" t="s">
        <v>296</v>
      </c>
      <c r="F589" s="27" t="s">
        <v>369</v>
      </c>
      <c r="G589" s="27" t="s">
        <v>5039</v>
      </c>
    </row>
    <row r="590" spans="1:10" x14ac:dyDescent="0.3">
      <c r="A590" s="27" t="s">
        <v>5058</v>
      </c>
      <c r="D590" s="27" t="s">
        <v>74</v>
      </c>
      <c r="E590" s="27" t="s">
        <v>296</v>
      </c>
      <c r="F590" s="27" t="s">
        <v>5117</v>
      </c>
    </row>
    <row r="591" spans="1:10" x14ac:dyDescent="0.3">
      <c r="A591" s="27" t="s">
        <v>5083</v>
      </c>
      <c r="D591" s="27" t="s">
        <v>74</v>
      </c>
      <c r="E591" s="27" t="s">
        <v>5117</v>
      </c>
    </row>
    <row r="592" spans="1:10" x14ac:dyDescent="0.3">
      <c r="A592" s="27" t="s">
        <v>5054</v>
      </c>
      <c r="D592" s="27" t="s">
        <v>74</v>
      </c>
      <c r="E592" s="27" t="s">
        <v>296</v>
      </c>
      <c r="F592" s="27" t="s">
        <v>4997</v>
      </c>
      <c r="G592" s="27" t="s">
        <v>369</v>
      </c>
      <c r="H592" s="27" t="s">
        <v>5117</v>
      </c>
      <c r="I592" s="27" t="s">
        <v>5039</v>
      </c>
      <c r="J592" s="27" t="s">
        <v>320</v>
      </c>
    </row>
    <row r="593" spans="1:10" x14ac:dyDescent="0.3">
      <c r="A593" s="27" t="s">
        <v>5050</v>
      </c>
      <c r="D593" s="27" t="s">
        <v>74</v>
      </c>
      <c r="E593" s="27" t="s">
        <v>296</v>
      </c>
      <c r="F593" s="27" t="s">
        <v>369</v>
      </c>
    </row>
    <row r="594" spans="1:10" x14ac:dyDescent="0.3">
      <c r="A594" s="27" t="s">
        <v>5061</v>
      </c>
      <c r="D594" s="27" t="s">
        <v>74</v>
      </c>
      <c r="E594" s="27" t="s">
        <v>296</v>
      </c>
    </row>
    <row r="595" spans="1:10" x14ac:dyDescent="0.3">
      <c r="A595" s="27" t="s">
        <v>5095</v>
      </c>
      <c r="D595" s="27" t="s">
        <v>74</v>
      </c>
      <c r="E595" s="27" t="s">
        <v>296</v>
      </c>
      <c r="F595" s="27" t="s">
        <v>369</v>
      </c>
      <c r="G595" s="27" t="s">
        <v>5117</v>
      </c>
      <c r="H595" s="27" t="s">
        <v>320</v>
      </c>
    </row>
    <row r="596" spans="1:10" x14ac:dyDescent="0.3">
      <c r="A596" s="27" t="s">
        <v>5056</v>
      </c>
      <c r="D596" s="27" t="s">
        <v>74</v>
      </c>
      <c r="E596" s="27" t="s">
        <v>369</v>
      </c>
      <c r="F596" s="27" t="s">
        <v>5117</v>
      </c>
    </row>
    <row r="597" spans="1:10" x14ac:dyDescent="0.3">
      <c r="A597" s="27" t="s">
        <v>5056</v>
      </c>
      <c r="D597" s="27" t="s">
        <v>74</v>
      </c>
      <c r="E597" s="27" t="s">
        <v>369</v>
      </c>
      <c r="F597" s="27" t="s">
        <v>5117</v>
      </c>
    </row>
    <row r="598" spans="1:10" x14ac:dyDescent="0.3">
      <c r="A598" s="27" t="s">
        <v>5061</v>
      </c>
      <c r="D598" s="27" t="s">
        <v>74</v>
      </c>
      <c r="E598" s="27" t="s">
        <v>296</v>
      </c>
    </row>
    <row r="599" spans="1:10" x14ac:dyDescent="0.3">
      <c r="A599" s="27" t="s">
        <v>5061</v>
      </c>
      <c r="D599" s="27" t="s">
        <v>74</v>
      </c>
      <c r="E599" s="27" t="s">
        <v>296</v>
      </c>
    </row>
    <row r="600" spans="1:10" x14ac:dyDescent="0.3">
      <c r="A600" s="27" t="s">
        <v>5090</v>
      </c>
      <c r="D600" s="27" t="s">
        <v>296</v>
      </c>
      <c r="E600" s="27" t="s">
        <v>4997</v>
      </c>
      <c r="F600" s="27" t="s">
        <v>369</v>
      </c>
      <c r="G600" s="27" t="s">
        <v>5117</v>
      </c>
    </row>
    <row r="601" spans="1:10" x14ac:dyDescent="0.3">
      <c r="A601" s="27" t="s">
        <v>5046</v>
      </c>
      <c r="D601" s="27" t="s">
        <v>74</v>
      </c>
      <c r="E601" s="27" t="s">
        <v>5117</v>
      </c>
      <c r="F601" s="27" t="s">
        <v>320</v>
      </c>
    </row>
    <row r="602" spans="1:10" x14ac:dyDescent="0.3">
      <c r="A602" s="27" t="s">
        <v>5058</v>
      </c>
      <c r="D602" s="27" t="s">
        <v>74</v>
      </c>
      <c r="E602" s="27" t="s">
        <v>296</v>
      </c>
      <c r="F602" s="27" t="s">
        <v>5117</v>
      </c>
    </row>
    <row r="603" spans="1:10" x14ac:dyDescent="0.3">
      <c r="A603" s="27" t="s">
        <v>5042</v>
      </c>
      <c r="D603" s="27" t="s">
        <v>74</v>
      </c>
      <c r="E603" s="27" t="s">
        <v>296</v>
      </c>
      <c r="F603" s="27" t="s">
        <v>4997</v>
      </c>
    </row>
    <row r="604" spans="1:10" x14ac:dyDescent="0.3">
      <c r="A604" s="27" t="s">
        <v>5056</v>
      </c>
      <c r="D604" s="27" t="s">
        <v>74</v>
      </c>
      <c r="E604" s="27" t="s">
        <v>369</v>
      </c>
      <c r="F604" s="27" t="s">
        <v>5117</v>
      </c>
    </row>
    <row r="605" spans="1:10" x14ac:dyDescent="0.3">
      <c r="A605" s="27" t="s">
        <v>5081</v>
      </c>
      <c r="D605" s="27" t="s">
        <v>74</v>
      </c>
      <c r="E605" s="27" t="s">
        <v>296</v>
      </c>
      <c r="F605" s="27" t="s">
        <v>4997</v>
      </c>
      <c r="G605" s="27" t="s">
        <v>369</v>
      </c>
    </row>
    <row r="606" spans="1:10" x14ac:dyDescent="0.3">
      <c r="A606" s="27" t="s">
        <v>5054</v>
      </c>
      <c r="D606" s="27" t="s">
        <v>74</v>
      </c>
      <c r="E606" s="27" t="s">
        <v>296</v>
      </c>
      <c r="F606" s="27" t="s">
        <v>4997</v>
      </c>
      <c r="G606" s="27" t="s">
        <v>369</v>
      </c>
      <c r="H606" s="27" t="s">
        <v>5117</v>
      </c>
      <c r="I606" s="27" t="s">
        <v>5039</v>
      </c>
      <c r="J606" s="27" t="s">
        <v>320</v>
      </c>
    </row>
    <row r="607" spans="1:10" x14ac:dyDescent="0.3">
      <c r="A607" s="27" t="s">
        <v>5061</v>
      </c>
      <c r="D607" s="27" t="s">
        <v>74</v>
      </c>
      <c r="E607" s="27" t="s">
        <v>296</v>
      </c>
    </row>
    <row r="608" spans="1:10" x14ac:dyDescent="0.3">
      <c r="A608" s="27" t="s">
        <v>5058</v>
      </c>
      <c r="D608" s="27" t="s">
        <v>74</v>
      </c>
      <c r="E608" s="27" t="s">
        <v>296</v>
      </c>
      <c r="F608" s="27" t="s">
        <v>5117</v>
      </c>
    </row>
    <row r="609" spans="1:8" x14ac:dyDescent="0.3">
      <c r="A609" s="27" t="s">
        <v>5056</v>
      </c>
      <c r="D609" s="27" t="s">
        <v>74</v>
      </c>
      <c r="E609" s="27" t="s">
        <v>369</v>
      </c>
      <c r="F609" s="27" t="s">
        <v>5117</v>
      </c>
    </row>
    <row r="610" spans="1:8" x14ac:dyDescent="0.3">
      <c r="A610" s="27" t="s">
        <v>5056</v>
      </c>
      <c r="D610" s="27" t="s">
        <v>74</v>
      </c>
      <c r="E610" s="27" t="s">
        <v>369</v>
      </c>
      <c r="F610" s="27" t="s">
        <v>5117</v>
      </c>
    </row>
    <row r="611" spans="1:8" x14ac:dyDescent="0.3">
      <c r="A611" s="27" t="s">
        <v>5106</v>
      </c>
      <c r="D611" s="27" t="s">
        <v>74</v>
      </c>
      <c r="E611" s="27" t="s">
        <v>4997</v>
      </c>
      <c r="F611" s="27" t="s">
        <v>369</v>
      </c>
      <c r="G611" s="27" t="s">
        <v>5117</v>
      </c>
      <c r="H611" s="27" t="s">
        <v>5039</v>
      </c>
    </row>
    <row r="612" spans="1:8" x14ac:dyDescent="0.3">
      <c r="A612" s="27" t="s">
        <v>5057</v>
      </c>
      <c r="D612" s="27" t="s">
        <v>74</v>
      </c>
      <c r="E612" s="27" t="s">
        <v>5117</v>
      </c>
      <c r="F612" s="27" t="s">
        <v>5039</v>
      </c>
    </row>
    <row r="613" spans="1:8" x14ac:dyDescent="0.3">
      <c r="A613" s="27" t="s">
        <v>5057</v>
      </c>
      <c r="D613" s="27" t="s">
        <v>74</v>
      </c>
      <c r="E613" s="27" t="s">
        <v>5117</v>
      </c>
      <c r="F613" s="27" t="s">
        <v>5039</v>
      </c>
    </row>
    <row r="614" spans="1:8" x14ac:dyDescent="0.3">
      <c r="A614" s="27" t="s">
        <v>5097</v>
      </c>
      <c r="D614" s="27" t="s">
        <v>74</v>
      </c>
      <c r="E614" s="27" t="s">
        <v>4997</v>
      </c>
      <c r="F614" s="27" t="s">
        <v>369</v>
      </c>
      <c r="G614" s="27" t="s">
        <v>5117</v>
      </c>
    </row>
    <row r="615" spans="1:8" x14ac:dyDescent="0.3">
      <c r="A615" s="27" t="s">
        <v>5107</v>
      </c>
      <c r="D615" s="27" t="s">
        <v>296</v>
      </c>
      <c r="E615" s="27" t="s">
        <v>5117</v>
      </c>
      <c r="F615" s="27" t="s">
        <v>5039</v>
      </c>
      <c r="G615" s="27" t="s">
        <v>320</v>
      </c>
    </row>
    <row r="616" spans="1:8" x14ac:dyDescent="0.3">
      <c r="A616" s="27" t="s">
        <v>5081</v>
      </c>
      <c r="D616" s="27" t="s">
        <v>74</v>
      </c>
      <c r="E616" s="27" t="s">
        <v>296</v>
      </c>
      <c r="F616" s="27" t="s">
        <v>4997</v>
      </c>
      <c r="G616" s="27" t="s">
        <v>369</v>
      </c>
    </row>
    <row r="617" spans="1:8" x14ac:dyDescent="0.3">
      <c r="A617" s="27" t="s">
        <v>5079</v>
      </c>
      <c r="D617" s="27" t="s">
        <v>74</v>
      </c>
      <c r="E617" s="27" t="s">
        <v>369</v>
      </c>
      <c r="F617" s="27" t="s">
        <v>5117</v>
      </c>
      <c r="G617" s="27" t="s">
        <v>5039</v>
      </c>
    </row>
    <row r="618" spans="1:8" x14ac:dyDescent="0.3">
      <c r="A618" s="27" t="s">
        <v>5042</v>
      </c>
      <c r="D618" s="27" t="s">
        <v>74</v>
      </c>
      <c r="E618" s="27" t="s">
        <v>296</v>
      </c>
      <c r="F618" s="27" t="s">
        <v>4997</v>
      </c>
    </row>
    <row r="619" spans="1:8" x14ac:dyDescent="0.3">
      <c r="A619" s="27" t="s">
        <v>5087</v>
      </c>
      <c r="D619" s="27" t="s">
        <v>74</v>
      </c>
      <c r="E619" s="27" t="s">
        <v>369</v>
      </c>
      <c r="F619" s="27" t="s">
        <v>5039</v>
      </c>
    </row>
    <row r="620" spans="1:8" x14ac:dyDescent="0.3">
      <c r="A620" s="27" t="s">
        <v>5056</v>
      </c>
      <c r="D620" s="27" t="s">
        <v>74</v>
      </c>
      <c r="E620" s="27" t="s">
        <v>369</v>
      </c>
      <c r="F620" s="27" t="s">
        <v>5117</v>
      </c>
    </row>
    <row r="621" spans="1:8" x14ac:dyDescent="0.3">
      <c r="A621" s="27" t="s">
        <v>5087</v>
      </c>
      <c r="D621" s="27" t="s">
        <v>74</v>
      </c>
      <c r="E621" s="27" t="s">
        <v>369</v>
      </c>
      <c r="F621" s="27" t="s">
        <v>5039</v>
      </c>
    </row>
    <row r="622" spans="1:8" x14ac:dyDescent="0.3">
      <c r="A622" s="27" t="s">
        <v>5101</v>
      </c>
      <c r="D622" s="27" t="s">
        <v>74</v>
      </c>
      <c r="E622" s="27" t="s">
        <v>296</v>
      </c>
      <c r="F622" s="27" t="s">
        <v>369</v>
      </c>
      <c r="G622" s="27" t="s">
        <v>5117</v>
      </c>
      <c r="H622" s="27" t="s">
        <v>5039</v>
      </c>
    </row>
    <row r="623" spans="1:8" x14ac:dyDescent="0.3">
      <c r="A623" s="27" t="s">
        <v>5096</v>
      </c>
      <c r="D623" s="27" t="s">
        <v>4997</v>
      </c>
      <c r="E623" s="27" t="s">
        <v>369</v>
      </c>
      <c r="F623" s="27" t="s">
        <v>5117</v>
      </c>
    </row>
    <row r="624" spans="1:8" x14ac:dyDescent="0.3">
      <c r="A624" s="27" t="s">
        <v>5055</v>
      </c>
      <c r="D624" s="27" t="s">
        <v>296</v>
      </c>
      <c r="E624" s="27" t="s">
        <v>369</v>
      </c>
      <c r="F624" s="27" t="s">
        <v>5117</v>
      </c>
    </row>
    <row r="625" spans="1:9" x14ac:dyDescent="0.3">
      <c r="A625" s="27" t="s">
        <v>5055</v>
      </c>
      <c r="D625" s="27" t="s">
        <v>296</v>
      </c>
      <c r="E625" s="27" t="s">
        <v>369</v>
      </c>
      <c r="F625" s="27" t="s">
        <v>5117</v>
      </c>
    </row>
    <row r="626" spans="1:9" x14ac:dyDescent="0.3">
      <c r="A626" s="27" t="s">
        <v>5055</v>
      </c>
      <c r="D626" s="27" t="s">
        <v>296</v>
      </c>
      <c r="E626" s="27" t="s">
        <v>369</v>
      </c>
      <c r="F626" s="27" t="s">
        <v>5117</v>
      </c>
    </row>
    <row r="627" spans="1:9" x14ac:dyDescent="0.3">
      <c r="A627" s="27" t="s">
        <v>5085</v>
      </c>
      <c r="D627" s="27" t="s">
        <v>74</v>
      </c>
      <c r="E627" s="27" t="s">
        <v>5039</v>
      </c>
      <c r="F627" s="27" t="s">
        <v>320</v>
      </c>
    </row>
    <row r="628" spans="1:9" x14ac:dyDescent="0.3">
      <c r="A628" s="27" t="s">
        <v>5050</v>
      </c>
      <c r="D628" s="27" t="s">
        <v>74</v>
      </c>
      <c r="E628" s="27" t="s">
        <v>296</v>
      </c>
      <c r="F628" s="27" t="s">
        <v>369</v>
      </c>
    </row>
    <row r="629" spans="1:9" x14ac:dyDescent="0.3">
      <c r="A629" s="27" t="s">
        <v>5079</v>
      </c>
      <c r="D629" s="27" t="s">
        <v>74</v>
      </c>
      <c r="E629" s="27" t="s">
        <v>369</v>
      </c>
      <c r="F629" s="27" t="s">
        <v>5117</v>
      </c>
      <c r="G629" s="27" t="s">
        <v>5039</v>
      </c>
    </row>
    <row r="630" spans="1:9" x14ac:dyDescent="0.3">
      <c r="A630" s="27" t="s">
        <v>5051</v>
      </c>
      <c r="D630" s="27" t="s">
        <v>74</v>
      </c>
      <c r="E630" s="27" t="s">
        <v>296</v>
      </c>
      <c r="F630" s="27" t="s">
        <v>5039</v>
      </c>
    </row>
    <row r="631" spans="1:9" x14ac:dyDescent="0.3">
      <c r="A631" s="27" t="s">
        <v>5062</v>
      </c>
      <c r="D631" s="27" t="s">
        <v>296</v>
      </c>
      <c r="E631" s="27" t="s">
        <v>5117</v>
      </c>
      <c r="F631" s="27" t="s">
        <v>5039</v>
      </c>
    </row>
    <row r="632" spans="1:9" x14ac:dyDescent="0.3">
      <c r="A632" s="27" t="s">
        <v>5050</v>
      </c>
      <c r="D632" s="27" t="s">
        <v>74</v>
      </c>
      <c r="E632" s="27" t="s">
        <v>296</v>
      </c>
      <c r="F632" s="27" t="s">
        <v>369</v>
      </c>
    </row>
    <row r="633" spans="1:9" x14ac:dyDescent="0.3">
      <c r="A633" s="27" t="s">
        <v>5085</v>
      </c>
      <c r="D633" s="27" t="s">
        <v>74</v>
      </c>
      <c r="E633" s="27" t="s">
        <v>5039</v>
      </c>
      <c r="F633" s="27" t="s">
        <v>320</v>
      </c>
    </row>
    <row r="634" spans="1:9" x14ac:dyDescent="0.3">
      <c r="A634" s="27" t="s">
        <v>5085</v>
      </c>
      <c r="D634" s="27" t="s">
        <v>74</v>
      </c>
      <c r="E634" s="27" t="s">
        <v>5039</v>
      </c>
      <c r="F634" s="27" t="s">
        <v>320</v>
      </c>
    </row>
    <row r="635" spans="1:9" x14ac:dyDescent="0.3">
      <c r="A635" s="27" t="s">
        <v>5056</v>
      </c>
      <c r="D635" s="27" t="s">
        <v>74</v>
      </c>
      <c r="E635" s="27" t="s">
        <v>369</v>
      </c>
      <c r="F635" s="27" t="s">
        <v>5117</v>
      </c>
    </row>
    <row r="636" spans="1:9" x14ac:dyDescent="0.3">
      <c r="A636" s="27" t="s">
        <v>5050</v>
      </c>
      <c r="D636" s="27" t="s">
        <v>74</v>
      </c>
      <c r="E636" s="27" t="s">
        <v>296</v>
      </c>
      <c r="F636" s="27" t="s">
        <v>369</v>
      </c>
    </row>
    <row r="637" spans="1:9" x14ac:dyDescent="0.3">
      <c r="A637" s="27" t="s">
        <v>5050</v>
      </c>
      <c r="D637" s="27" t="s">
        <v>74</v>
      </c>
      <c r="E637" s="27" t="s">
        <v>296</v>
      </c>
      <c r="F637" s="27" t="s">
        <v>369</v>
      </c>
    </row>
    <row r="638" spans="1:9" x14ac:dyDescent="0.3">
      <c r="A638" s="27" t="s">
        <v>5070</v>
      </c>
      <c r="D638" s="27" t="s">
        <v>74</v>
      </c>
      <c r="E638" s="27" t="s">
        <v>296</v>
      </c>
      <c r="F638" s="27" t="s">
        <v>4997</v>
      </c>
      <c r="G638" s="27" t="s">
        <v>369</v>
      </c>
      <c r="H638" s="27" t="s">
        <v>5117</v>
      </c>
      <c r="I638" s="27" t="s">
        <v>5039</v>
      </c>
    </row>
    <row r="639" spans="1:9" x14ac:dyDescent="0.3">
      <c r="A639" s="27" t="s">
        <v>5070</v>
      </c>
      <c r="D639" s="27" t="s">
        <v>74</v>
      </c>
      <c r="E639" s="27" t="s">
        <v>296</v>
      </c>
      <c r="F639" s="27" t="s">
        <v>4997</v>
      </c>
      <c r="G639" s="27" t="s">
        <v>369</v>
      </c>
      <c r="H639" s="27" t="s">
        <v>5117</v>
      </c>
      <c r="I639" s="27" t="s">
        <v>5039</v>
      </c>
    </row>
    <row r="640" spans="1:9" x14ac:dyDescent="0.3">
      <c r="A640" s="27" t="s">
        <v>5068</v>
      </c>
      <c r="D640" s="27" t="s">
        <v>74</v>
      </c>
      <c r="E640" s="27" t="s">
        <v>4997</v>
      </c>
      <c r="F640" s="27" t="s">
        <v>369</v>
      </c>
    </row>
    <row r="641" spans="1:10" x14ac:dyDescent="0.3">
      <c r="A641" s="27" t="s">
        <v>5056</v>
      </c>
      <c r="D641" s="27" t="s">
        <v>74</v>
      </c>
      <c r="E641" s="27" t="s">
        <v>369</v>
      </c>
      <c r="F641" s="27" t="s">
        <v>5117</v>
      </c>
    </row>
    <row r="642" spans="1:10" x14ac:dyDescent="0.3">
      <c r="A642" s="27" t="s">
        <v>5054</v>
      </c>
      <c r="D642" s="27" t="s">
        <v>74</v>
      </c>
      <c r="E642" s="27" t="s">
        <v>296</v>
      </c>
      <c r="F642" s="27" t="s">
        <v>4997</v>
      </c>
      <c r="G642" s="27" t="s">
        <v>369</v>
      </c>
      <c r="H642" s="27" t="s">
        <v>5117</v>
      </c>
      <c r="I642" s="27" t="s">
        <v>5039</v>
      </c>
      <c r="J642" s="27" t="s">
        <v>320</v>
      </c>
    </row>
    <row r="643" spans="1:10" x14ac:dyDescent="0.3">
      <c r="A643" s="27" t="s">
        <v>5057</v>
      </c>
      <c r="D643" s="27" t="s">
        <v>74</v>
      </c>
      <c r="E643" s="27" t="s">
        <v>5117</v>
      </c>
      <c r="F643" s="27" t="s">
        <v>5039</v>
      </c>
    </row>
    <row r="644" spans="1:10" x14ac:dyDescent="0.3">
      <c r="A644" s="27" t="s">
        <v>5108</v>
      </c>
      <c r="D644" s="27" t="s">
        <v>74</v>
      </c>
      <c r="E644" s="27" t="s">
        <v>296</v>
      </c>
      <c r="F644" s="27" t="s">
        <v>4997</v>
      </c>
      <c r="G644" s="27" t="s">
        <v>5117</v>
      </c>
      <c r="H644" s="27" t="s">
        <v>5039</v>
      </c>
      <c r="I644" s="27" t="s">
        <v>320</v>
      </c>
    </row>
    <row r="645" spans="1:10" x14ac:dyDescent="0.3">
      <c r="A645" s="27" t="s">
        <v>5096</v>
      </c>
      <c r="D645" s="27" t="s">
        <v>4997</v>
      </c>
      <c r="E645" s="27" t="s">
        <v>369</v>
      </c>
      <c r="F645" s="27" t="s">
        <v>5117</v>
      </c>
    </row>
    <row r="646" spans="1:10" x14ac:dyDescent="0.3">
      <c r="A646" s="27" t="s">
        <v>5077</v>
      </c>
      <c r="D646" s="27" t="s">
        <v>74</v>
      </c>
      <c r="E646" s="27" t="s">
        <v>296</v>
      </c>
      <c r="F646" s="27" t="s">
        <v>5117</v>
      </c>
      <c r="G646" s="27" t="s">
        <v>5039</v>
      </c>
    </row>
    <row r="647" spans="1:10" x14ac:dyDescent="0.3">
      <c r="A647" s="27" t="s">
        <v>5054</v>
      </c>
      <c r="D647" s="27" t="s">
        <v>74</v>
      </c>
      <c r="E647" s="27" t="s">
        <v>296</v>
      </c>
      <c r="F647" s="27" t="s">
        <v>4997</v>
      </c>
      <c r="G647" s="27" t="s">
        <v>369</v>
      </c>
      <c r="H647" s="27" t="s">
        <v>5117</v>
      </c>
      <c r="I647" s="27" t="s">
        <v>5039</v>
      </c>
      <c r="J647" s="27" t="s">
        <v>320</v>
      </c>
    </row>
    <row r="648" spans="1:10" x14ac:dyDescent="0.3">
      <c r="A648" s="27" t="s">
        <v>5087</v>
      </c>
      <c r="D648" s="27" t="s">
        <v>74</v>
      </c>
      <c r="E648" s="27" t="s">
        <v>369</v>
      </c>
      <c r="F648" s="27" t="s">
        <v>5039</v>
      </c>
    </row>
    <row r="649" spans="1:10" x14ac:dyDescent="0.3">
      <c r="A649" s="27" t="s">
        <v>5054</v>
      </c>
      <c r="D649" s="27" t="s">
        <v>74</v>
      </c>
      <c r="E649" s="27" t="s">
        <v>296</v>
      </c>
      <c r="F649" s="27" t="s">
        <v>4997</v>
      </c>
      <c r="G649" s="27" t="s">
        <v>369</v>
      </c>
      <c r="H649" s="27" t="s">
        <v>5117</v>
      </c>
      <c r="I649" s="27" t="s">
        <v>5039</v>
      </c>
      <c r="J649" s="27" t="s">
        <v>320</v>
      </c>
    </row>
    <row r="650" spans="1:10" x14ac:dyDescent="0.3">
      <c r="A650" s="27" t="s">
        <v>5079</v>
      </c>
      <c r="D650" s="27" t="s">
        <v>74</v>
      </c>
      <c r="E650" s="27" t="s">
        <v>369</v>
      </c>
      <c r="F650" s="27" t="s">
        <v>5117</v>
      </c>
      <c r="G650" s="27" t="s">
        <v>5039</v>
      </c>
    </row>
    <row r="651" spans="1:10" x14ac:dyDescent="0.3">
      <c r="A651" s="27" t="s">
        <v>5090</v>
      </c>
      <c r="D651" s="27" t="s">
        <v>296</v>
      </c>
      <c r="E651" s="27" t="s">
        <v>4997</v>
      </c>
      <c r="F651" s="27" t="s">
        <v>369</v>
      </c>
      <c r="G651" s="27" t="s">
        <v>5117</v>
      </c>
    </row>
    <row r="652" spans="1:10" x14ac:dyDescent="0.3">
      <c r="A652" s="27" t="s">
        <v>5085</v>
      </c>
      <c r="D652" s="27" t="s">
        <v>74</v>
      </c>
      <c r="E652" s="27" t="s">
        <v>5039</v>
      </c>
      <c r="F652" s="27" t="s">
        <v>320</v>
      </c>
    </row>
    <row r="653" spans="1:10" x14ac:dyDescent="0.3">
      <c r="A653" s="27" t="s">
        <v>5085</v>
      </c>
      <c r="D653" s="27" t="s">
        <v>74</v>
      </c>
      <c r="E653" s="27" t="s">
        <v>5039</v>
      </c>
      <c r="F653" s="27" t="s">
        <v>320</v>
      </c>
    </row>
    <row r="654" spans="1:10" x14ac:dyDescent="0.3">
      <c r="A654" s="27" t="s">
        <v>5063</v>
      </c>
      <c r="D654" s="27" t="s">
        <v>369</v>
      </c>
      <c r="E654" s="27" t="s">
        <v>5117</v>
      </c>
    </row>
    <row r="655" spans="1:10" x14ac:dyDescent="0.3">
      <c r="A655" s="27" t="s">
        <v>5089</v>
      </c>
      <c r="D655" s="27" t="s">
        <v>296</v>
      </c>
      <c r="E655" s="27" t="s">
        <v>369</v>
      </c>
      <c r="F655" s="27" t="s">
        <v>5117</v>
      </c>
      <c r="G655" s="27" t="s">
        <v>5039</v>
      </c>
    </row>
    <row r="656" spans="1:10" x14ac:dyDescent="0.3">
      <c r="A656" s="27" t="s">
        <v>5078</v>
      </c>
      <c r="D656" s="27" t="s">
        <v>74</v>
      </c>
      <c r="E656" s="27" t="s">
        <v>296</v>
      </c>
      <c r="F656" s="27" t="s">
        <v>369</v>
      </c>
      <c r="G656" s="27" t="s">
        <v>5117</v>
      </c>
    </row>
    <row r="657" spans="1:10" x14ac:dyDescent="0.3">
      <c r="A657" s="27" t="s">
        <v>5069</v>
      </c>
      <c r="D657" s="27" t="s">
        <v>296</v>
      </c>
      <c r="E657" s="27" t="s">
        <v>4997</v>
      </c>
      <c r="F657" s="27" t="s">
        <v>369</v>
      </c>
    </row>
    <row r="658" spans="1:10" x14ac:dyDescent="0.3">
      <c r="A658" s="27" t="s">
        <v>5081</v>
      </c>
      <c r="D658" s="27" t="s">
        <v>74</v>
      </c>
      <c r="E658" s="27" t="s">
        <v>296</v>
      </c>
      <c r="F658" s="27" t="s">
        <v>4997</v>
      </c>
      <c r="G658" s="27" t="s">
        <v>369</v>
      </c>
    </row>
    <row r="659" spans="1:10" x14ac:dyDescent="0.3">
      <c r="A659" s="27" t="s">
        <v>5085</v>
      </c>
      <c r="D659" s="27" t="s">
        <v>74</v>
      </c>
      <c r="E659" s="27" t="s">
        <v>5039</v>
      </c>
      <c r="F659" s="27" t="s">
        <v>320</v>
      </c>
    </row>
    <row r="660" spans="1:10" x14ac:dyDescent="0.3">
      <c r="A660" s="27" t="s">
        <v>5056</v>
      </c>
      <c r="D660" s="27" t="s">
        <v>74</v>
      </c>
      <c r="E660" s="27" t="s">
        <v>369</v>
      </c>
      <c r="F660" s="27" t="s">
        <v>5117</v>
      </c>
    </row>
    <row r="661" spans="1:10" x14ac:dyDescent="0.3">
      <c r="A661" s="27" t="s">
        <v>5109</v>
      </c>
      <c r="D661" s="27" t="s">
        <v>74</v>
      </c>
      <c r="E661" s="27" t="s">
        <v>296</v>
      </c>
      <c r="F661" s="27" t="s">
        <v>4997</v>
      </c>
      <c r="G661" s="27" t="s">
        <v>369</v>
      </c>
      <c r="H661" s="27" t="s">
        <v>5039</v>
      </c>
    </row>
    <row r="662" spans="1:10" x14ac:dyDescent="0.3">
      <c r="A662" s="27" t="s">
        <v>5046</v>
      </c>
      <c r="D662" s="27" t="s">
        <v>74</v>
      </c>
      <c r="E662" s="27" t="s">
        <v>5117</v>
      </c>
      <c r="F662" s="27" t="s">
        <v>320</v>
      </c>
    </row>
    <row r="663" spans="1:10" x14ac:dyDescent="0.3">
      <c r="A663" s="27" t="s">
        <v>5101</v>
      </c>
      <c r="D663" s="27" t="s">
        <v>74</v>
      </c>
      <c r="E663" s="27" t="s">
        <v>296</v>
      </c>
      <c r="F663" s="27" t="s">
        <v>369</v>
      </c>
      <c r="G663" s="27" t="s">
        <v>5117</v>
      </c>
      <c r="H663" s="27" t="s">
        <v>5039</v>
      </c>
    </row>
    <row r="664" spans="1:10" x14ac:dyDescent="0.3">
      <c r="A664" s="27" t="s">
        <v>5046</v>
      </c>
      <c r="D664" s="27" t="s">
        <v>74</v>
      </c>
      <c r="E664" s="27" t="s">
        <v>5117</v>
      </c>
      <c r="F664" s="27" t="s">
        <v>320</v>
      </c>
    </row>
    <row r="665" spans="1:10" x14ac:dyDescent="0.3">
      <c r="A665" s="27" t="s">
        <v>5088</v>
      </c>
      <c r="D665" s="27" t="s">
        <v>296</v>
      </c>
      <c r="E665" s="27" t="s">
        <v>4997</v>
      </c>
      <c r="F665" s="27" t="s">
        <v>369</v>
      </c>
      <c r="G665" s="27" t="s">
        <v>5117</v>
      </c>
      <c r="H665" s="27" t="s">
        <v>5039</v>
      </c>
    </row>
    <row r="666" spans="1:10" x14ac:dyDescent="0.3">
      <c r="A666" s="27" t="s">
        <v>5054</v>
      </c>
      <c r="D666" s="27" t="s">
        <v>74</v>
      </c>
      <c r="E666" s="27" t="s">
        <v>296</v>
      </c>
      <c r="F666" s="27" t="s">
        <v>4997</v>
      </c>
      <c r="G666" s="27" t="s">
        <v>369</v>
      </c>
      <c r="H666" s="27" t="s">
        <v>5117</v>
      </c>
      <c r="I666" s="27" t="s">
        <v>5039</v>
      </c>
      <c r="J666" s="27" t="s">
        <v>320</v>
      </c>
    </row>
    <row r="667" spans="1:10" x14ac:dyDescent="0.3">
      <c r="A667" s="27" t="s">
        <v>5056</v>
      </c>
      <c r="D667" s="27" t="s">
        <v>74</v>
      </c>
      <c r="E667" s="27" t="s">
        <v>369</v>
      </c>
      <c r="F667" s="27" t="s">
        <v>5117</v>
      </c>
    </row>
    <row r="668" spans="1:10" x14ac:dyDescent="0.3">
      <c r="A668" s="27" t="s">
        <v>5107</v>
      </c>
      <c r="D668" s="27" t="s">
        <v>296</v>
      </c>
      <c r="E668" s="27" t="s">
        <v>5117</v>
      </c>
      <c r="F668" s="27" t="s">
        <v>5039</v>
      </c>
      <c r="G668" s="27" t="s">
        <v>320</v>
      </c>
    </row>
    <row r="669" spans="1:10" x14ac:dyDescent="0.3">
      <c r="A669" s="27" t="s">
        <v>5049</v>
      </c>
      <c r="D669" s="27" t="s">
        <v>296</v>
      </c>
      <c r="E669" s="27" t="s">
        <v>369</v>
      </c>
      <c r="F669" s="27" t="s">
        <v>5039</v>
      </c>
    </row>
    <row r="670" spans="1:10" x14ac:dyDescent="0.3">
      <c r="A670" s="27" t="s">
        <v>5049</v>
      </c>
      <c r="D670" s="27" t="s">
        <v>296</v>
      </c>
      <c r="E670" s="27" t="s">
        <v>369</v>
      </c>
      <c r="F670" s="27" t="s">
        <v>5039</v>
      </c>
    </row>
    <row r="671" spans="1:10" x14ac:dyDescent="0.3">
      <c r="A671" s="27" t="s">
        <v>5049</v>
      </c>
      <c r="D671" s="27" t="s">
        <v>296</v>
      </c>
      <c r="E671" s="27" t="s">
        <v>369</v>
      </c>
      <c r="F671" s="27" t="s">
        <v>5039</v>
      </c>
    </row>
    <row r="672" spans="1:10" x14ac:dyDescent="0.3">
      <c r="A672" s="27" t="s">
        <v>5057</v>
      </c>
      <c r="D672" s="27" t="s">
        <v>74</v>
      </c>
      <c r="E672" s="27" t="s">
        <v>5117</v>
      </c>
      <c r="F672" s="27" t="s">
        <v>5039</v>
      </c>
    </row>
    <row r="673" spans="1:10" x14ac:dyDescent="0.3">
      <c r="A673" s="27" t="s">
        <v>5056</v>
      </c>
      <c r="D673" s="27" t="s">
        <v>74</v>
      </c>
      <c r="E673" s="27" t="s">
        <v>369</v>
      </c>
      <c r="F673" s="27" t="s">
        <v>5117</v>
      </c>
    </row>
    <row r="674" spans="1:10" x14ac:dyDescent="0.3">
      <c r="A674" s="27" t="s">
        <v>5100</v>
      </c>
      <c r="D674" s="27" t="s">
        <v>74</v>
      </c>
      <c r="E674" s="27" t="s">
        <v>296</v>
      </c>
      <c r="F674" s="27" t="s">
        <v>369</v>
      </c>
      <c r="G674" s="27" t="s">
        <v>5117</v>
      </c>
      <c r="H674" s="27" t="s">
        <v>5039</v>
      </c>
      <c r="I674" s="27" t="s">
        <v>320</v>
      </c>
    </row>
    <row r="675" spans="1:10" x14ac:dyDescent="0.3">
      <c r="A675" s="27" t="s">
        <v>5057</v>
      </c>
      <c r="D675" s="27" t="s">
        <v>74</v>
      </c>
      <c r="E675" s="27" t="s">
        <v>5117</v>
      </c>
      <c r="F675" s="27" t="s">
        <v>5039</v>
      </c>
    </row>
    <row r="676" spans="1:10" x14ac:dyDescent="0.3">
      <c r="A676" s="27" t="s">
        <v>5050</v>
      </c>
      <c r="D676" s="27" t="s">
        <v>74</v>
      </c>
      <c r="E676" s="27" t="s">
        <v>296</v>
      </c>
      <c r="F676" s="27" t="s">
        <v>369</v>
      </c>
    </row>
    <row r="677" spans="1:10" x14ac:dyDescent="0.3">
      <c r="A677" s="27" t="s">
        <v>5054</v>
      </c>
      <c r="D677" s="27" t="s">
        <v>74</v>
      </c>
      <c r="E677" s="27" t="s">
        <v>296</v>
      </c>
      <c r="F677" s="27" t="s">
        <v>4997</v>
      </c>
      <c r="G677" s="27" t="s">
        <v>369</v>
      </c>
      <c r="H677" s="27" t="s">
        <v>5117</v>
      </c>
      <c r="I677" s="27" t="s">
        <v>5039</v>
      </c>
      <c r="J677" s="27" t="s">
        <v>320</v>
      </c>
    </row>
    <row r="678" spans="1:10" x14ac:dyDescent="0.3">
      <c r="A678" s="27" t="s">
        <v>5077</v>
      </c>
      <c r="D678" s="27" t="s">
        <v>74</v>
      </c>
      <c r="E678" s="27" t="s">
        <v>296</v>
      </c>
      <c r="F678" s="27" t="s">
        <v>5117</v>
      </c>
      <c r="G678" s="27" t="s">
        <v>5039</v>
      </c>
    </row>
    <row r="679" spans="1:10" x14ac:dyDescent="0.3">
      <c r="A679" s="27" t="s">
        <v>5050</v>
      </c>
      <c r="D679" s="27" t="s">
        <v>74</v>
      </c>
      <c r="E679" s="27" t="s">
        <v>296</v>
      </c>
      <c r="F679" s="27" t="s">
        <v>369</v>
      </c>
    </row>
    <row r="680" spans="1:10" x14ac:dyDescent="0.3">
      <c r="A680" s="27" t="s">
        <v>5056</v>
      </c>
      <c r="D680" s="27" t="s">
        <v>74</v>
      </c>
      <c r="E680" s="27" t="s">
        <v>369</v>
      </c>
      <c r="F680" s="27" t="s">
        <v>5117</v>
      </c>
    </row>
    <row r="681" spans="1:10" x14ac:dyDescent="0.3">
      <c r="A681" s="27" t="s">
        <v>5079</v>
      </c>
      <c r="D681" s="27" t="s">
        <v>74</v>
      </c>
      <c r="E681" s="27" t="s">
        <v>369</v>
      </c>
      <c r="F681" s="27" t="s">
        <v>5117</v>
      </c>
      <c r="G681" s="27" t="s">
        <v>5039</v>
      </c>
    </row>
    <row r="682" spans="1:10" x14ac:dyDescent="0.3">
      <c r="A682" s="27" t="s">
        <v>5054</v>
      </c>
      <c r="D682" s="27" t="s">
        <v>74</v>
      </c>
      <c r="E682" s="27" t="s">
        <v>296</v>
      </c>
      <c r="F682" s="27" t="s">
        <v>4997</v>
      </c>
      <c r="G682" s="27" t="s">
        <v>369</v>
      </c>
      <c r="H682" s="27" t="s">
        <v>5117</v>
      </c>
      <c r="I682" s="27" t="s">
        <v>5039</v>
      </c>
      <c r="J682" s="27" t="s">
        <v>320</v>
      </c>
    </row>
    <row r="683" spans="1:10" x14ac:dyDescent="0.3">
      <c r="A683" s="27" t="s">
        <v>5056</v>
      </c>
      <c r="D683" s="27" t="s">
        <v>74</v>
      </c>
      <c r="E683" s="27" t="s">
        <v>369</v>
      </c>
      <c r="F683" s="27" t="s">
        <v>5117</v>
      </c>
    </row>
    <row r="684" spans="1:10" x14ac:dyDescent="0.3">
      <c r="A684" s="27" t="s">
        <v>5102</v>
      </c>
      <c r="D684" s="27" t="s">
        <v>74</v>
      </c>
      <c r="E684" s="27" t="s">
        <v>296</v>
      </c>
      <c r="F684" s="27" t="s">
        <v>4997</v>
      </c>
      <c r="G684" s="27" t="s">
        <v>369</v>
      </c>
      <c r="H684" s="27" t="s">
        <v>5117</v>
      </c>
    </row>
    <row r="685" spans="1:10" x14ac:dyDescent="0.3">
      <c r="A685" s="27" t="s">
        <v>5042</v>
      </c>
      <c r="D685" s="27" t="s">
        <v>74</v>
      </c>
      <c r="E685" s="27" t="s">
        <v>296</v>
      </c>
      <c r="F685" s="27" t="s">
        <v>4997</v>
      </c>
    </row>
    <row r="686" spans="1:10" x14ac:dyDescent="0.3">
      <c r="A686" s="27" t="s">
        <v>5043</v>
      </c>
      <c r="D686" s="27" t="s">
        <v>296</v>
      </c>
      <c r="E686" s="27" t="s">
        <v>5117</v>
      </c>
      <c r="F686" s="27" t="s">
        <v>320</v>
      </c>
    </row>
    <row r="687" spans="1:10" x14ac:dyDescent="0.3">
      <c r="A687" s="27" t="s">
        <v>5102</v>
      </c>
      <c r="D687" s="27" t="s">
        <v>74</v>
      </c>
      <c r="E687" s="27" t="s">
        <v>296</v>
      </c>
      <c r="F687" s="27" t="s">
        <v>4997</v>
      </c>
      <c r="G687" s="27" t="s">
        <v>369</v>
      </c>
      <c r="H687" s="27" t="s">
        <v>5117</v>
      </c>
    </row>
    <row r="688" spans="1:10" x14ac:dyDescent="0.3">
      <c r="A688" s="27" t="s">
        <v>5102</v>
      </c>
      <c r="D688" s="27" t="s">
        <v>74</v>
      </c>
      <c r="E688" s="27" t="s">
        <v>296</v>
      </c>
      <c r="F688" s="27" t="s">
        <v>4997</v>
      </c>
      <c r="G688" s="27" t="s">
        <v>369</v>
      </c>
      <c r="H688" s="27" t="s">
        <v>5117</v>
      </c>
    </row>
    <row r="689" spans="1:10" x14ac:dyDescent="0.3">
      <c r="A689" s="27" t="s">
        <v>5054</v>
      </c>
      <c r="D689" s="27" t="s">
        <v>74</v>
      </c>
      <c r="E689" s="27" t="s">
        <v>296</v>
      </c>
      <c r="F689" s="27" t="s">
        <v>4997</v>
      </c>
      <c r="G689" s="27" t="s">
        <v>369</v>
      </c>
      <c r="H689" s="27" t="s">
        <v>5117</v>
      </c>
      <c r="I689" s="27" t="s">
        <v>5039</v>
      </c>
      <c r="J689" s="27" t="s">
        <v>320</v>
      </c>
    </row>
    <row r="690" spans="1:10" x14ac:dyDescent="0.3">
      <c r="A690" s="27" t="s">
        <v>5064</v>
      </c>
      <c r="D690" s="27" t="s">
        <v>369</v>
      </c>
      <c r="E690" s="27" t="s">
        <v>5117</v>
      </c>
      <c r="F690" s="27" t="s">
        <v>5039</v>
      </c>
    </row>
    <row r="691" spans="1:10" x14ac:dyDescent="0.3">
      <c r="A691" s="27" t="s">
        <v>5079</v>
      </c>
      <c r="D691" s="27" t="s">
        <v>74</v>
      </c>
      <c r="E691" s="27" t="s">
        <v>369</v>
      </c>
      <c r="F691" s="27" t="s">
        <v>5117</v>
      </c>
      <c r="G691" s="27" t="s">
        <v>5039</v>
      </c>
    </row>
    <row r="692" spans="1:10" x14ac:dyDescent="0.3">
      <c r="A692" s="27" t="s">
        <v>5057</v>
      </c>
      <c r="D692" s="27" t="s">
        <v>74</v>
      </c>
      <c r="E692" s="27" t="s">
        <v>5117</v>
      </c>
      <c r="F692" s="27" t="s">
        <v>5039</v>
      </c>
    </row>
    <row r="693" spans="1:10" x14ac:dyDescent="0.3">
      <c r="A693" s="27" t="s">
        <v>5046</v>
      </c>
      <c r="D693" s="27" t="s">
        <v>74</v>
      </c>
      <c r="E693" s="27" t="s">
        <v>5117</v>
      </c>
      <c r="F693" s="27" t="s">
        <v>320</v>
      </c>
    </row>
    <row r="694" spans="1:10" x14ac:dyDescent="0.3">
      <c r="A694" s="27" t="s">
        <v>5042</v>
      </c>
      <c r="D694" s="27" t="s">
        <v>74</v>
      </c>
      <c r="E694" s="27" t="s">
        <v>296</v>
      </c>
      <c r="F694" s="27" t="s">
        <v>4997</v>
      </c>
    </row>
    <row r="695" spans="1:10" x14ac:dyDescent="0.3">
      <c r="A695" s="27" t="s">
        <v>5054</v>
      </c>
      <c r="D695" s="27" t="s">
        <v>74</v>
      </c>
      <c r="E695" s="27" t="s">
        <v>296</v>
      </c>
      <c r="F695" s="27" t="s">
        <v>4997</v>
      </c>
      <c r="G695" s="27" t="s">
        <v>369</v>
      </c>
      <c r="H695" s="27" t="s">
        <v>5117</v>
      </c>
      <c r="I695" s="27" t="s">
        <v>5039</v>
      </c>
      <c r="J695" s="27" t="s">
        <v>320</v>
      </c>
    </row>
    <row r="696" spans="1:10" x14ac:dyDescent="0.3">
      <c r="A696" s="27" t="s">
        <v>5056</v>
      </c>
      <c r="D696" s="27" t="s">
        <v>74</v>
      </c>
      <c r="E696" s="27" t="s">
        <v>369</v>
      </c>
      <c r="F696" s="27" t="s">
        <v>5117</v>
      </c>
    </row>
    <row r="697" spans="1:10" x14ac:dyDescent="0.3">
      <c r="A697" s="27" t="s">
        <v>5107</v>
      </c>
      <c r="D697" s="27" t="s">
        <v>296</v>
      </c>
      <c r="E697" s="27" t="s">
        <v>5117</v>
      </c>
      <c r="F697" s="27" t="s">
        <v>5039</v>
      </c>
      <c r="G697" s="27" t="s">
        <v>320</v>
      </c>
    </row>
    <row r="698" spans="1:10" x14ac:dyDescent="0.3">
      <c r="A698" s="27" t="s">
        <v>5054</v>
      </c>
      <c r="D698" s="27" t="s">
        <v>74</v>
      </c>
      <c r="E698" s="27" t="s">
        <v>296</v>
      </c>
      <c r="F698" s="27" t="s">
        <v>4997</v>
      </c>
      <c r="G698" s="27" t="s">
        <v>369</v>
      </c>
      <c r="H698" s="27" t="s">
        <v>5117</v>
      </c>
      <c r="I698" s="27" t="s">
        <v>5039</v>
      </c>
      <c r="J698" s="27" t="s">
        <v>320</v>
      </c>
    </row>
    <row r="699" spans="1:10" x14ac:dyDescent="0.3">
      <c r="A699" s="27" t="s">
        <v>5057</v>
      </c>
      <c r="D699" s="27" t="s">
        <v>74</v>
      </c>
      <c r="E699" s="27" t="s">
        <v>5117</v>
      </c>
      <c r="F699" s="27" t="s">
        <v>5039</v>
      </c>
    </row>
    <row r="700" spans="1:10" x14ac:dyDescent="0.3">
      <c r="A700" s="27" t="s">
        <v>296</v>
      </c>
      <c r="D700" s="27" t="s">
        <v>296</v>
      </c>
    </row>
    <row r="701" spans="1:10" x14ac:dyDescent="0.3">
      <c r="A701" s="27" t="s">
        <v>5110</v>
      </c>
      <c r="D701" s="27" t="s">
        <v>74</v>
      </c>
      <c r="E701" s="27" t="s">
        <v>296</v>
      </c>
      <c r="F701" s="27" t="s">
        <v>5117</v>
      </c>
      <c r="G701" s="27" t="s">
        <v>5039</v>
      </c>
      <c r="H701" s="27" t="s">
        <v>320</v>
      </c>
    </row>
    <row r="702" spans="1:10" x14ac:dyDescent="0.3">
      <c r="A702" s="27" t="s">
        <v>5058</v>
      </c>
      <c r="D702" s="27" t="s">
        <v>74</v>
      </c>
      <c r="E702" s="27" t="s">
        <v>296</v>
      </c>
      <c r="F702" s="27" t="s">
        <v>5117</v>
      </c>
    </row>
    <row r="703" spans="1:10" x14ac:dyDescent="0.3">
      <c r="A703" s="27" t="s">
        <v>5058</v>
      </c>
      <c r="D703" s="27" t="s">
        <v>74</v>
      </c>
      <c r="E703" s="27" t="s">
        <v>296</v>
      </c>
      <c r="F703" s="27" t="s">
        <v>5117</v>
      </c>
    </row>
    <row r="704" spans="1:10" x14ac:dyDescent="0.3">
      <c r="A704" s="27" t="s">
        <v>5048</v>
      </c>
      <c r="D704" s="27" t="s">
        <v>74</v>
      </c>
      <c r="E704" s="27" t="s">
        <v>296</v>
      </c>
      <c r="F704" s="27" t="s">
        <v>5039</v>
      </c>
      <c r="G704" s="27" t="s">
        <v>320</v>
      </c>
    </row>
    <row r="705" spans="1:10" x14ac:dyDescent="0.3">
      <c r="A705" s="27" t="s">
        <v>5046</v>
      </c>
      <c r="D705" s="27" t="s">
        <v>74</v>
      </c>
      <c r="E705" s="27" t="s">
        <v>5117</v>
      </c>
      <c r="F705" s="27" t="s">
        <v>320</v>
      </c>
    </row>
    <row r="706" spans="1:10" x14ac:dyDescent="0.3">
      <c r="A706" s="27" t="s">
        <v>5102</v>
      </c>
      <c r="D706" s="27" t="s">
        <v>74</v>
      </c>
      <c r="E706" s="27" t="s">
        <v>296</v>
      </c>
      <c r="F706" s="27" t="s">
        <v>4997</v>
      </c>
      <c r="G706" s="27" t="s">
        <v>369</v>
      </c>
      <c r="H706" s="27" t="s">
        <v>5117</v>
      </c>
    </row>
    <row r="707" spans="1:10" x14ac:dyDescent="0.3">
      <c r="A707" s="27" t="s">
        <v>5056</v>
      </c>
      <c r="D707" s="27" t="s">
        <v>74</v>
      </c>
      <c r="E707" s="27" t="s">
        <v>369</v>
      </c>
      <c r="F707" s="27" t="s">
        <v>5117</v>
      </c>
    </row>
    <row r="708" spans="1:10" x14ac:dyDescent="0.3">
      <c r="A708" s="27" t="s">
        <v>5094</v>
      </c>
      <c r="D708" s="27" t="s">
        <v>74</v>
      </c>
      <c r="E708" s="27" t="s">
        <v>296</v>
      </c>
      <c r="F708" s="27" t="s">
        <v>369</v>
      </c>
      <c r="G708" s="27" t="s">
        <v>320</v>
      </c>
    </row>
    <row r="709" spans="1:10" x14ac:dyDescent="0.3">
      <c r="A709" s="27" t="s">
        <v>5111</v>
      </c>
      <c r="D709" s="27" t="s">
        <v>74</v>
      </c>
      <c r="E709" s="27" t="s">
        <v>296</v>
      </c>
      <c r="F709" s="27" t="s">
        <v>5117</v>
      </c>
      <c r="G709" s="27" t="s">
        <v>320</v>
      </c>
    </row>
    <row r="710" spans="1:10" x14ac:dyDescent="0.3">
      <c r="A710" s="27" t="s">
        <v>5111</v>
      </c>
      <c r="D710" s="27" t="s">
        <v>74</v>
      </c>
      <c r="E710" s="27" t="s">
        <v>296</v>
      </c>
      <c r="F710" s="27" t="s">
        <v>5117</v>
      </c>
      <c r="G710" s="27" t="s">
        <v>320</v>
      </c>
    </row>
    <row r="711" spans="1:10" x14ac:dyDescent="0.3">
      <c r="A711" s="27" t="s">
        <v>5056</v>
      </c>
      <c r="D711" s="27" t="s">
        <v>74</v>
      </c>
      <c r="E711" s="27" t="s">
        <v>369</v>
      </c>
      <c r="F711" s="27" t="s">
        <v>5117</v>
      </c>
    </row>
    <row r="712" spans="1:10" x14ac:dyDescent="0.3">
      <c r="A712" s="27" t="s">
        <v>5055</v>
      </c>
      <c r="D712" s="27" t="s">
        <v>296</v>
      </c>
      <c r="E712" s="27" t="s">
        <v>369</v>
      </c>
      <c r="F712" s="27" t="s">
        <v>5117</v>
      </c>
    </row>
    <row r="713" spans="1:10" x14ac:dyDescent="0.3">
      <c r="A713" s="27" t="s">
        <v>5054</v>
      </c>
      <c r="D713" s="27" t="s">
        <v>74</v>
      </c>
      <c r="E713" s="27" t="s">
        <v>296</v>
      </c>
      <c r="F713" s="27" t="s">
        <v>4997</v>
      </c>
      <c r="G713" s="27" t="s">
        <v>369</v>
      </c>
      <c r="H713" s="27" t="s">
        <v>5117</v>
      </c>
      <c r="I713" s="27" t="s">
        <v>5039</v>
      </c>
      <c r="J713" s="27" t="s">
        <v>320</v>
      </c>
    </row>
    <row r="714" spans="1:10" x14ac:dyDescent="0.3">
      <c r="A714" s="27" t="s">
        <v>5087</v>
      </c>
      <c r="D714" s="27" t="s">
        <v>74</v>
      </c>
      <c r="E714" s="27" t="s">
        <v>369</v>
      </c>
      <c r="F714" s="27" t="s">
        <v>5039</v>
      </c>
    </row>
    <row r="715" spans="1:10" x14ac:dyDescent="0.3">
      <c r="A715" s="27" t="s">
        <v>5064</v>
      </c>
      <c r="D715" s="27" t="s">
        <v>369</v>
      </c>
      <c r="E715" s="27" t="s">
        <v>5117</v>
      </c>
      <c r="F715" s="27" t="s">
        <v>5039</v>
      </c>
    </row>
    <row r="716" spans="1:10" x14ac:dyDescent="0.3">
      <c r="A716" s="27" t="s">
        <v>5078</v>
      </c>
      <c r="D716" s="27" t="s">
        <v>74</v>
      </c>
      <c r="E716" s="27" t="s">
        <v>296</v>
      </c>
      <c r="F716" s="27" t="s">
        <v>369</v>
      </c>
      <c r="G716" s="27" t="s">
        <v>5117</v>
      </c>
    </row>
    <row r="717" spans="1:10" x14ac:dyDescent="0.3">
      <c r="A717" s="27" t="s">
        <v>5057</v>
      </c>
      <c r="D717" s="27" t="s">
        <v>74</v>
      </c>
      <c r="E717" s="27" t="s">
        <v>5117</v>
      </c>
      <c r="F717" s="27" t="s">
        <v>5039</v>
      </c>
    </row>
    <row r="718" spans="1:10" x14ac:dyDescent="0.3">
      <c r="A718" s="27" t="s">
        <v>5047</v>
      </c>
      <c r="D718" s="27" t="s">
        <v>74</v>
      </c>
      <c r="E718" s="27" t="s">
        <v>296</v>
      </c>
      <c r="F718" s="27" t="s">
        <v>320</v>
      </c>
    </row>
    <row r="719" spans="1:10" x14ac:dyDescent="0.3">
      <c r="A719" s="27" t="s">
        <v>5047</v>
      </c>
      <c r="D719" s="27" t="s">
        <v>74</v>
      </c>
      <c r="E719" s="27" t="s">
        <v>296</v>
      </c>
      <c r="F719" s="27" t="s">
        <v>320</v>
      </c>
    </row>
    <row r="720" spans="1:10" x14ac:dyDescent="0.3">
      <c r="A720" s="27" t="s">
        <v>5087</v>
      </c>
      <c r="D720" s="27" t="s">
        <v>74</v>
      </c>
      <c r="E720" s="27" t="s">
        <v>369</v>
      </c>
      <c r="F720" s="27" t="s">
        <v>5039</v>
      </c>
    </row>
    <row r="721" spans="1:10" x14ac:dyDescent="0.3">
      <c r="A721" s="27" t="s">
        <v>5050</v>
      </c>
      <c r="D721" s="27" t="s">
        <v>74</v>
      </c>
      <c r="E721" s="27" t="s">
        <v>296</v>
      </c>
      <c r="F721" s="27" t="s">
        <v>369</v>
      </c>
    </row>
    <row r="722" spans="1:10" x14ac:dyDescent="0.3">
      <c r="A722" s="27" t="s">
        <v>5087</v>
      </c>
      <c r="D722" s="27" t="s">
        <v>74</v>
      </c>
      <c r="E722" s="27" t="s">
        <v>369</v>
      </c>
      <c r="F722" s="27" t="s">
        <v>5039</v>
      </c>
    </row>
    <row r="723" spans="1:10" x14ac:dyDescent="0.3">
      <c r="A723" s="27" t="s">
        <v>5062</v>
      </c>
      <c r="D723" s="27" t="s">
        <v>296</v>
      </c>
      <c r="E723" s="27" t="s">
        <v>5117</v>
      </c>
      <c r="F723" s="27" t="s">
        <v>5039</v>
      </c>
    </row>
    <row r="724" spans="1:10" x14ac:dyDescent="0.3">
      <c r="A724" s="27" t="s">
        <v>5043</v>
      </c>
      <c r="D724" s="27" t="s">
        <v>296</v>
      </c>
      <c r="E724" s="27" t="s">
        <v>5117</v>
      </c>
      <c r="F724" s="27" t="s">
        <v>320</v>
      </c>
    </row>
    <row r="725" spans="1:10" x14ac:dyDescent="0.3">
      <c r="A725" s="27" t="s">
        <v>5058</v>
      </c>
      <c r="D725" s="27" t="s">
        <v>74</v>
      </c>
      <c r="E725" s="27" t="s">
        <v>296</v>
      </c>
      <c r="F725" s="27" t="s">
        <v>5117</v>
      </c>
    </row>
    <row r="726" spans="1:10" x14ac:dyDescent="0.3">
      <c r="A726" s="27" t="s">
        <v>5058</v>
      </c>
      <c r="D726" s="27" t="s">
        <v>74</v>
      </c>
      <c r="E726" s="27" t="s">
        <v>296</v>
      </c>
      <c r="F726" s="27" t="s">
        <v>5117</v>
      </c>
    </row>
    <row r="727" spans="1:10" x14ac:dyDescent="0.3">
      <c r="A727" s="27" t="s">
        <v>5093</v>
      </c>
      <c r="D727" s="27" t="s">
        <v>74</v>
      </c>
      <c r="E727" s="27" t="s">
        <v>4997</v>
      </c>
      <c r="F727" s="27" t="s">
        <v>5039</v>
      </c>
    </row>
    <row r="728" spans="1:10" x14ac:dyDescent="0.3">
      <c r="A728" s="27" t="s">
        <v>5059</v>
      </c>
      <c r="D728" s="27" t="s">
        <v>5117</v>
      </c>
      <c r="E728" s="27" t="s">
        <v>5039</v>
      </c>
      <c r="F728" s="27" t="s">
        <v>320</v>
      </c>
    </row>
    <row r="729" spans="1:10" x14ac:dyDescent="0.3">
      <c r="A729" s="27" t="s">
        <v>5054</v>
      </c>
      <c r="D729" s="27" t="s">
        <v>74</v>
      </c>
      <c r="E729" s="27" t="s">
        <v>296</v>
      </c>
      <c r="F729" s="27" t="s">
        <v>4997</v>
      </c>
      <c r="G729" s="27" t="s">
        <v>369</v>
      </c>
      <c r="H729" s="27" t="s">
        <v>5117</v>
      </c>
      <c r="I729" s="27" t="s">
        <v>5039</v>
      </c>
      <c r="J729" s="27" t="s">
        <v>320</v>
      </c>
    </row>
    <row r="730" spans="1:10" x14ac:dyDescent="0.3">
      <c r="A730" s="27" t="s">
        <v>5040</v>
      </c>
      <c r="D730" s="27" t="s">
        <v>369</v>
      </c>
      <c r="E730" s="27" t="s">
        <v>5117</v>
      </c>
      <c r="F730" s="27" t="s">
        <v>320</v>
      </c>
    </row>
    <row r="731" spans="1:10" x14ac:dyDescent="0.3">
      <c r="A731" s="27" t="s">
        <v>5082</v>
      </c>
      <c r="D731" s="27" t="s">
        <v>74</v>
      </c>
      <c r="E731" s="27" t="s">
        <v>369</v>
      </c>
      <c r="F731" s="27" t="s">
        <v>5117</v>
      </c>
      <c r="G731" s="27" t="s">
        <v>320</v>
      </c>
    </row>
    <row r="732" spans="1:10" x14ac:dyDescent="0.3">
      <c r="A732" s="27" t="s">
        <v>5111</v>
      </c>
      <c r="D732" s="27" t="s">
        <v>74</v>
      </c>
      <c r="E732" s="27" t="s">
        <v>296</v>
      </c>
      <c r="F732" s="27" t="s">
        <v>5117</v>
      </c>
      <c r="G732" s="27" t="s">
        <v>320</v>
      </c>
    </row>
    <row r="733" spans="1:10" x14ac:dyDescent="0.3">
      <c r="A733" s="27" t="s">
        <v>5051</v>
      </c>
      <c r="D733" s="27" t="s">
        <v>74</v>
      </c>
      <c r="E733" s="27" t="s">
        <v>296</v>
      </c>
      <c r="F733" s="27" t="s">
        <v>5039</v>
      </c>
    </row>
    <row r="734" spans="1:10" x14ac:dyDescent="0.3">
      <c r="A734" s="27" t="s">
        <v>5054</v>
      </c>
      <c r="D734" s="27" t="s">
        <v>74</v>
      </c>
      <c r="E734" s="27" t="s">
        <v>296</v>
      </c>
      <c r="F734" s="27" t="s">
        <v>4997</v>
      </c>
      <c r="G734" s="27" t="s">
        <v>369</v>
      </c>
      <c r="H734" s="27" t="s">
        <v>5117</v>
      </c>
      <c r="I734" s="27" t="s">
        <v>5039</v>
      </c>
      <c r="J734" s="27" t="s">
        <v>320</v>
      </c>
    </row>
    <row r="735" spans="1:10" x14ac:dyDescent="0.3">
      <c r="A735" s="27" t="s">
        <v>5043</v>
      </c>
      <c r="D735" s="27" t="s">
        <v>296</v>
      </c>
      <c r="E735" s="27" t="s">
        <v>5117</v>
      </c>
      <c r="F735" s="27" t="s">
        <v>320</v>
      </c>
    </row>
    <row r="736" spans="1:10" x14ac:dyDescent="0.3">
      <c r="A736" s="27" t="s">
        <v>5088</v>
      </c>
      <c r="D736" s="27" t="s">
        <v>296</v>
      </c>
      <c r="E736" s="27" t="s">
        <v>4997</v>
      </c>
      <c r="F736" s="27" t="s">
        <v>369</v>
      </c>
      <c r="G736" s="27" t="s">
        <v>5117</v>
      </c>
      <c r="H736" s="27" t="s">
        <v>5039</v>
      </c>
    </row>
    <row r="737" spans="1:10" x14ac:dyDescent="0.3">
      <c r="A737" s="27" t="s">
        <v>5046</v>
      </c>
      <c r="D737" s="27" t="s">
        <v>74</v>
      </c>
      <c r="E737" s="27" t="s">
        <v>5117</v>
      </c>
      <c r="F737" s="27" t="s">
        <v>320</v>
      </c>
    </row>
    <row r="738" spans="1:10" x14ac:dyDescent="0.3">
      <c r="A738" s="27" t="s">
        <v>5110</v>
      </c>
      <c r="D738" s="27" t="s">
        <v>74</v>
      </c>
      <c r="E738" s="27" t="s">
        <v>296</v>
      </c>
      <c r="F738" s="27" t="s">
        <v>5117</v>
      </c>
      <c r="G738" s="27" t="s">
        <v>5039</v>
      </c>
      <c r="H738" s="27" t="s">
        <v>320</v>
      </c>
    </row>
    <row r="739" spans="1:10" x14ac:dyDescent="0.3">
      <c r="A739" s="27" t="s">
        <v>5054</v>
      </c>
      <c r="D739" s="27" t="s">
        <v>74</v>
      </c>
      <c r="E739" s="27" t="s">
        <v>296</v>
      </c>
      <c r="F739" s="27" t="s">
        <v>4997</v>
      </c>
      <c r="G739" s="27" t="s">
        <v>369</v>
      </c>
      <c r="H739" s="27" t="s">
        <v>5117</v>
      </c>
      <c r="I739" s="27" t="s">
        <v>5039</v>
      </c>
      <c r="J739" s="27" t="s">
        <v>320</v>
      </c>
    </row>
    <row r="740" spans="1:10" x14ac:dyDescent="0.3">
      <c r="A740" s="27" t="s">
        <v>5051</v>
      </c>
      <c r="D740" s="27" t="s">
        <v>74</v>
      </c>
      <c r="E740" s="27" t="s">
        <v>296</v>
      </c>
      <c r="F740" s="27" t="s">
        <v>5039</v>
      </c>
    </row>
    <row r="741" spans="1:10" x14ac:dyDescent="0.3">
      <c r="A741" s="27" t="s">
        <v>5059</v>
      </c>
      <c r="D741" s="27" t="s">
        <v>5117</v>
      </c>
      <c r="E741" s="27" t="s">
        <v>5039</v>
      </c>
      <c r="F741" s="27" t="s">
        <v>320</v>
      </c>
    </row>
    <row r="742" spans="1:10" x14ac:dyDescent="0.3">
      <c r="A742" s="27" t="s">
        <v>5110</v>
      </c>
      <c r="D742" s="27" t="s">
        <v>74</v>
      </c>
      <c r="E742" s="27" t="s">
        <v>296</v>
      </c>
      <c r="F742" s="27" t="s">
        <v>5117</v>
      </c>
      <c r="G742" s="27" t="s">
        <v>5039</v>
      </c>
      <c r="H742" s="27" t="s">
        <v>320</v>
      </c>
    </row>
    <row r="743" spans="1:10" x14ac:dyDescent="0.3">
      <c r="A743" s="27" t="s">
        <v>5062</v>
      </c>
      <c r="D743" s="27" t="s">
        <v>296</v>
      </c>
      <c r="E743" s="27" t="s">
        <v>5117</v>
      </c>
      <c r="F743" s="27" t="s">
        <v>5039</v>
      </c>
    </row>
    <row r="744" spans="1:10" x14ac:dyDescent="0.3">
      <c r="A744" s="27" t="s">
        <v>5054</v>
      </c>
      <c r="D744" s="27" t="s">
        <v>74</v>
      </c>
      <c r="E744" s="27" t="s">
        <v>296</v>
      </c>
      <c r="F744" s="27" t="s">
        <v>4997</v>
      </c>
      <c r="G744" s="27" t="s">
        <v>369</v>
      </c>
      <c r="H744" s="27" t="s">
        <v>5117</v>
      </c>
      <c r="I744" s="27" t="s">
        <v>5039</v>
      </c>
      <c r="J744" s="27" t="s">
        <v>320</v>
      </c>
    </row>
    <row r="745" spans="1:10" x14ac:dyDescent="0.3">
      <c r="A745" s="27" t="s">
        <v>5069</v>
      </c>
      <c r="D745" s="27" t="s">
        <v>296</v>
      </c>
      <c r="E745" s="27" t="s">
        <v>4997</v>
      </c>
      <c r="F745" s="27" t="s">
        <v>369</v>
      </c>
    </row>
    <row r="746" spans="1:10" x14ac:dyDescent="0.3">
      <c r="A746" s="27" t="s">
        <v>5107</v>
      </c>
      <c r="D746" s="27" t="s">
        <v>296</v>
      </c>
      <c r="E746" s="27" t="s">
        <v>5117</v>
      </c>
      <c r="F746" s="27" t="s">
        <v>5039</v>
      </c>
      <c r="G746" s="27" t="s">
        <v>320</v>
      </c>
    </row>
    <row r="747" spans="1:10" x14ac:dyDescent="0.3">
      <c r="A747" s="27" t="s">
        <v>5058</v>
      </c>
      <c r="D747" s="27" t="s">
        <v>74</v>
      </c>
      <c r="E747" s="27" t="s">
        <v>296</v>
      </c>
      <c r="F747" s="27" t="s">
        <v>5117</v>
      </c>
    </row>
    <row r="748" spans="1:10" x14ac:dyDescent="0.3">
      <c r="A748" s="27" t="s">
        <v>5055</v>
      </c>
      <c r="D748" s="27" t="s">
        <v>296</v>
      </c>
      <c r="E748" s="27" t="s">
        <v>369</v>
      </c>
      <c r="F748" s="27" t="s">
        <v>5117</v>
      </c>
    </row>
    <row r="749" spans="1:10" x14ac:dyDescent="0.3">
      <c r="A749" s="27" t="s">
        <v>5069</v>
      </c>
      <c r="D749" s="27" t="s">
        <v>296</v>
      </c>
      <c r="E749" s="27" t="s">
        <v>4997</v>
      </c>
      <c r="F749" s="27" t="s">
        <v>369</v>
      </c>
    </row>
    <row r="750" spans="1:10" x14ac:dyDescent="0.3">
      <c r="A750" s="27" t="s">
        <v>5062</v>
      </c>
      <c r="D750" s="27" t="s">
        <v>296</v>
      </c>
      <c r="E750" s="27" t="s">
        <v>5117</v>
      </c>
      <c r="F750" s="27" t="s">
        <v>5039</v>
      </c>
    </row>
    <row r="751" spans="1:10" x14ac:dyDescent="0.3">
      <c r="A751" s="27" t="s">
        <v>5112</v>
      </c>
      <c r="D751" s="27" t="s">
        <v>296</v>
      </c>
      <c r="E751" s="27" t="s">
        <v>4997</v>
      </c>
      <c r="F751" s="27" t="s">
        <v>369</v>
      </c>
      <c r="G751" s="27" t="s">
        <v>5039</v>
      </c>
    </row>
    <row r="752" spans="1:10" x14ac:dyDescent="0.3">
      <c r="A752" s="27" t="s">
        <v>5055</v>
      </c>
      <c r="D752" s="27" t="s">
        <v>296</v>
      </c>
      <c r="E752" s="27" t="s">
        <v>369</v>
      </c>
      <c r="F752" s="27" t="s">
        <v>5117</v>
      </c>
    </row>
    <row r="753" spans="1:10" x14ac:dyDescent="0.3">
      <c r="A753" s="27" t="s">
        <v>5112</v>
      </c>
      <c r="D753" s="27" t="s">
        <v>296</v>
      </c>
      <c r="E753" s="27" t="s">
        <v>4997</v>
      </c>
      <c r="F753" s="27" t="s">
        <v>369</v>
      </c>
      <c r="G753" s="27" t="s">
        <v>5039</v>
      </c>
    </row>
    <row r="754" spans="1:10" x14ac:dyDescent="0.3">
      <c r="A754" s="27" t="s">
        <v>5090</v>
      </c>
      <c r="D754" s="27" t="s">
        <v>296</v>
      </c>
      <c r="E754" s="27" t="s">
        <v>4997</v>
      </c>
      <c r="F754" s="27" t="s">
        <v>369</v>
      </c>
      <c r="G754" s="27" t="s">
        <v>5117</v>
      </c>
    </row>
    <row r="755" spans="1:10" x14ac:dyDescent="0.3">
      <c r="A755" s="27" t="s">
        <v>5057</v>
      </c>
      <c r="D755" s="27" t="s">
        <v>74</v>
      </c>
      <c r="E755" s="27" t="s">
        <v>5117</v>
      </c>
      <c r="F755" s="27" t="s">
        <v>5039</v>
      </c>
    </row>
    <row r="756" spans="1:10" x14ac:dyDescent="0.3">
      <c r="A756" s="27" t="s">
        <v>5057</v>
      </c>
      <c r="D756" s="27" t="s">
        <v>74</v>
      </c>
      <c r="E756" s="27" t="s">
        <v>5117</v>
      </c>
      <c r="F756" s="27" t="s">
        <v>5039</v>
      </c>
    </row>
    <row r="757" spans="1:10" x14ac:dyDescent="0.3">
      <c r="A757" s="27" t="s">
        <v>5057</v>
      </c>
      <c r="D757" s="27" t="s">
        <v>74</v>
      </c>
      <c r="E757" s="27" t="s">
        <v>5117</v>
      </c>
      <c r="F757" s="27" t="s">
        <v>5039</v>
      </c>
    </row>
    <row r="758" spans="1:10" x14ac:dyDescent="0.3">
      <c r="A758" s="27" t="s">
        <v>5057</v>
      </c>
      <c r="D758" s="27" t="s">
        <v>74</v>
      </c>
      <c r="E758" s="27" t="s">
        <v>5117</v>
      </c>
      <c r="F758" s="27" t="s">
        <v>5039</v>
      </c>
    </row>
    <row r="759" spans="1:10" x14ac:dyDescent="0.3">
      <c r="A759" s="27" t="s">
        <v>5057</v>
      </c>
      <c r="D759" s="27" t="s">
        <v>74</v>
      </c>
      <c r="E759" s="27" t="s">
        <v>5117</v>
      </c>
      <c r="F759" s="27" t="s">
        <v>5039</v>
      </c>
    </row>
    <row r="760" spans="1:10" x14ac:dyDescent="0.3">
      <c r="A760" s="27" t="s">
        <v>5054</v>
      </c>
      <c r="D760" s="27" t="s">
        <v>74</v>
      </c>
      <c r="E760" s="27" t="s">
        <v>296</v>
      </c>
      <c r="F760" s="27" t="s">
        <v>4997</v>
      </c>
      <c r="G760" s="27" t="s">
        <v>369</v>
      </c>
      <c r="H760" s="27" t="s">
        <v>5117</v>
      </c>
      <c r="I760" s="27" t="s">
        <v>5039</v>
      </c>
      <c r="J760" s="27" t="s">
        <v>320</v>
      </c>
    </row>
    <row r="761" spans="1:10" x14ac:dyDescent="0.3">
      <c r="A761" s="27" t="s">
        <v>5050</v>
      </c>
      <c r="D761" s="27" t="s">
        <v>74</v>
      </c>
      <c r="E761" s="27" t="s">
        <v>296</v>
      </c>
      <c r="F761" s="27" t="s">
        <v>369</v>
      </c>
    </row>
    <row r="762" spans="1:10" x14ac:dyDescent="0.3">
      <c r="A762" s="27" t="s">
        <v>5051</v>
      </c>
      <c r="D762" s="27" t="s">
        <v>74</v>
      </c>
      <c r="E762" s="27" t="s">
        <v>296</v>
      </c>
      <c r="F762" s="27" t="s">
        <v>5039</v>
      </c>
    </row>
    <row r="763" spans="1:10" x14ac:dyDescent="0.3">
      <c r="A763" s="27" t="s">
        <v>5107</v>
      </c>
      <c r="D763" s="27" t="s">
        <v>296</v>
      </c>
      <c r="E763" s="27" t="s">
        <v>5117</v>
      </c>
      <c r="F763" s="27" t="s">
        <v>5039</v>
      </c>
      <c r="G763" s="27" t="s">
        <v>320</v>
      </c>
    </row>
    <row r="764" spans="1:10" x14ac:dyDescent="0.3">
      <c r="A764" s="27" t="s">
        <v>5090</v>
      </c>
      <c r="D764" s="27" t="s">
        <v>296</v>
      </c>
      <c r="E764" s="27" t="s">
        <v>4997</v>
      </c>
      <c r="F764" s="27" t="s">
        <v>369</v>
      </c>
      <c r="G764" s="27" t="s">
        <v>5117</v>
      </c>
    </row>
    <row r="765" spans="1:10" x14ac:dyDescent="0.3">
      <c r="A765" s="27" t="s">
        <v>5113</v>
      </c>
      <c r="D765" s="27" t="s">
        <v>74</v>
      </c>
      <c r="E765" s="27" t="s">
        <v>4997</v>
      </c>
      <c r="F765" s="27" t="s">
        <v>5117</v>
      </c>
      <c r="G765" s="27" t="s">
        <v>5039</v>
      </c>
      <c r="H765" s="27" t="s">
        <v>320</v>
      </c>
    </row>
    <row r="766" spans="1:10" x14ac:dyDescent="0.3">
      <c r="A766" s="27" t="s">
        <v>5043</v>
      </c>
      <c r="D766" s="27" t="s">
        <v>296</v>
      </c>
      <c r="E766" s="27" t="s">
        <v>5117</v>
      </c>
      <c r="F766" s="27" t="s">
        <v>320</v>
      </c>
    </row>
    <row r="767" spans="1:10" x14ac:dyDescent="0.3">
      <c r="A767" s="27" t="s">
        <v>5056</v>
      </c>
      <c r="D767" s="27" t="s">
        <v>74</v>
      </c>
      <c r="E767" s="27" t="s">
        <v>369</v>
      </c>
      <c r="F767" s="27" t="s">
        <v>5117</v>
      </c>
    </row>
    <row r="768" spans="1:10" x14ac:dyDescent="0.3">
      <c r="A768" s="27" t="s">
        <v>5054</v>
      </c>
      <c r="D768" s="27" t="s">
        <v>74</v>
      </c>
      <c r="E768" s="27" t="s">
        <v>296</v>
      </c>
      <c r="F768" s="27" t="s">
        <v>4997</v>
      </c>
      <c r="G768" s="27" t="s">
        <v>369</v>
      </c>
      <c r="H768" s="27" t="s">
        <v>5117</v>
      </c>
      <c r="I768" s="27" t="s">
        <v>5039</v>
      </c>
      <c r="J768" s="27" t="s">
        <v>320</v>
      </c>
    </row>
    <row r="769" spans="1:10" x14ac:dyDescent="0.3">
      <c r="A769" s="27" t="s">
        <v>5100</v>
      </c>
      <c r="D769" s="27" t="s">
        <v>74</v>
      </c>
      <c r="E769" s="27" t="s">
        <v>296</v>
      </c>
      <c r="F769" s="27" t="s">
        <v>369</v>
      </c>
      <c r="G769" s="27" t="s">
        <v>5117</v>
      </c>
      <c r="H769" s="27" t="s">
        <v>5039</v>
      </c>
      <c r="I769" s="27" t="s">
        <v>320</v>
      </c>
    </row>
    <row r="770" spans="1:10" x14ac:dyDescent="0.3">
      <c r="A770" s="27" t="s">
        <v>5114</v>
      </c>
      <c r="D770" s="27" t="s">
        <v>74</v>
      </c>
      <c r="E770" s="27" t="s">
        <v>296</v>
      </c>
      <c r="F770" s="27" t="s">
        <v>4997</v>
      </c>
      <c r="G770" s="27" t="s">
        <v>5117</v>
      </c>
      <c r="H770" s="27" t="s">
        <v>5039</v>
      </c>
    </row>
    <row r="771" spans="1:10" x14ac:dyDescent="0.3">
      <c r="A771" s="27" t="s">
        <v>5059</v>
      </c>
      <c r="D771" s="27" t="s">
        <v>5117</v>
      </c>
      <c r="E771" s="27" t="s">
        <v>5039</v>
      </c>
      <c r="F771" s="27" t="s">
        <v>320</v>
      </c>
    </row>
    <row r="772" spans="1:10" x14ac:dyDescent="0.3">
      <c r="A772" s="27" t="s">
        <v>5062</v>
      </c>
      <c r="D772" s="27" t="s">
        <v>296</v>
      </c>
      <c r="E772" s="27" t="s">
        <v>5117</v>
      </c>
      <c r="F772" s="27" t="s">
        <v>5039</v>
      </c>
    </row>
    <row r="773" spans="1:10" x14ac:dyDescent="0.3">
      <c r="A773" s="27" t="s">
        <v>5086</v>
      </c>
      <c r="D773" s="27" t="s">
        <v>74</v>
      </c>
      <c r="E773" s="27" t="s">
        <v>296</v>
      </c>
      <c r="F773" s="27" t="s">
        <v>4997</v>
      </c>
      <c r="G773" s="27" t="s">
        <v>5117</v>
      </c>
    </row>
    <row r="774" spans="1:10" x14ac:dyDescent="0.3">
      <c r="A774" s="27" t="s">
        <v>5054</v>
      </c>
      <c r="D774" s="27" t="s">
        <v>74</v>
      </c>
      <c r="E774" s="27" t="s">
        <v>296</v>
      </c>
      <c r="F774" s="27" t="s">
        <v>4997</v>
      </c>
      <c r="G774" s="27" t="s">
        <v>369</v>
      </c>
      <c r="H774" s="27" t="s">
        <v>5117</v>
      </c>
      <c r="I774" s="27" t="s">
        <v>5039</v>
      </c>
      <c r="J774" s="27" t="s">
        <v>320</v>
      </c>
    </row>
    <row r="775" spans="1:10" x14ac:dyDescent="0.3">
      <c r="A775" s="27" t="s">
        <v>5058</v>
      </c>
      <c r="D775" s="27" t="s">
        <v>74</v>
      </c>
      <c r="E775" s="27" t="s">
        <v>296</v>
      </c>
      <c r="F775" s="27" t="s">
        <v>5117</v>
      </c>
    </row>
    <row r="776" spans="1:10" x14ac:dyDescent="0.3">
      <c r="A776" s="27" t="s">
        <v>5101</v>
      </c>
      <c r="D776" s="27" t="s">
        <v>74</v>
      </c>
      <c r="E776" s="27" t="s">
        <v>296</v>
      </c>
      <c r="F776" s="27" t="s">
        <v>369</v>
      </c>
      <c r="G776" s="27" t="s">
        <v>5117</v>
      </c>
      <c r="H776" s="27" t="s">
        <v>5039</v>
      </c>
    </row>
    <row r="777" spans="1:10" x14ac:dyDescent="0.3">
      <c r="A777" s="27" t="s">
        <v>5100</v>
      </c>
      <c r="D777" s="27" t="s">
        <v>74</v>
      </c>
      <c r="E777" s="27" t="s">
        <v>296</v>
      </c>
      <c r="F777" s="27" t="s">
        <v>369</v>
      </c>
      <c r="G777" s="27" t="s">
        <v>5117</v>
      </c>
      <c r="H777" s="27" t="s">
        <v>5039</v>
      </c>
      <c r="I777" s="27" t="s">
        <v>320</v>
      </c>
    </row>
    <row r="778" spans="1:10" x14ac:dyDescent="0.3">
      <c r="A778" s="27" t="s">
        <v>5054</v>
      </c>
      <c r="D778" s="27" t="s">
        <v>74</v>
      </c>
      <c r="E778" s="27" t="s">
        <v>296</v>
      </c>
      <c r="F778" s="27" t="s">
        <v>4997</v>
      </c>
      <c r="G778" s="27" t="s">
        <v>369</v>
      </c>
      <c r="H778" s="27" t="s">
        <v>5117</v>
      </c>
      <c r="I778" s="27" t="s">
        <v>5039</v>
      </c>
      <c r="J778" s="27" t="s">
        <v>320</v>
      </c>
    </row>
    <row r="779" spans="1:10" x14ac:dyDescent="0.3">
      <c r="A779" s="27" t="s">
        <v>5115</v>
      </c>
      <c r="D779" s="27" t="s">
        <v>74</v>
      </c>
      <c r="E779" s="27" t="s">
        <v>4997</v>
      </c>
      <c r="F779" s="27" t="s">
        <v>369</v>
      </c>
      <c r="G779" s="27" t="s">
        <v>5117</v>
      </c>
      <c r="H779" s="27" t="s">
        <v>5039</v>
      </c>
      <c r="I779" s="27" t="s">
        <v>320</v>
      </c>
    </row>
    <row r="780" spans="1:10" x14ac:dyDescent="0.3">
      <c r="A780" s="27" t="s">
        <v>5054</v>
      </c>
      <c r="D780" s="27" t="s">
        <v>74</v>
      </c>
      <c r="E780" s="27" t="s">
        <v>296</v>
      </c>
      <c r="F780" s="27" t="s">
        <v>4997</v>
      </c>
      <c r="G780" s="27" t="s">
        <v>369</v>
      </c>
      <c r="H780" s="27" t="s">
        <v>5117</v>
      </c>
      <c r="I780" s="27" t="s">
        <v>5039</v>
      </c>
      <c r="J780" s="27" t="s">
        <v>320</v>
      </c>
    </row>
    <row r="781" spans="1:10" x14ac:dyDescent="0.3">
      <c r="A781" s="27" t="s">
        <v>5077</v>
      </c>
      <c r="D781" s="27" t="s">
        <v>74</v>
      </c>
      <c r="E781" s="27" t="s">
        <v>296</v>
      </c>
      <c r="F781" s="27" t="s">
        <v>5117</v>
      </c>
      <c r="G781" s="27" t="s">
        <v>5039</v>
      </c>
    </row>
    <row r="782" spans="1:10" x14ac:dyDescent="0.3">
      <c r="A782" s="27" t="s">
        <v>5057</v>
      </c>
      <c r="D782" s="27" t="s">
        <v>74</v>
      </c>
      <c r="E782" s="27" t="s">
        <v>5117</v>
      </c>
      <c r="F782" s="27" t="s">
        <v>5039</v>
      </c>
    </row>
    <row r="783" spans="1:10" x14ac:dyDescent="0.3">
      <c r="A783" s="27" t="s">
        <v>5043</v>
      </c>
      <c r="D783" s="27" t="s">
        <v>296</v>
      </c>
      <c r="E783" s="27" t="s">
        <v>5117</v>
      </c>
      <c r="F783" s="27" t="s">
        <v>320</v>
      </c>
    </row>
    <row r="784" spans="1:10" x14ac:dyDescent="0.3">
      <c r="A784" s="27" t="s">
        <v>5062</v>
      </c>
      <c r="D784" s="27" t="s">
        <v>296</v>
      </c>
      <c r="E784" s="27" t="s">
        <v>5117</v>
      </c>
      <c r="F784" s="27" t="s">
        <v>5039</v>
      </c>
    </row>
    <row r="785" spans="1:10" x14ac:dyDescent="0.3">
      <c r="A785" s="27" t="s">
        <v>5116</v>
      </c>
      <c r="D785" s="27" t="s">
        <v>296</v>
      </c>
      <c r="E785" s="27" t="s">
        <v>369</v>
      </c>
      <c r="F785" s="27" t="s">
        <v>5117</v>
      </c>
      <c r="G785" s="27" t="s">
        <v>5039</v>
      </c>
      <c r="H785" s="27" t="s">
        <v>320</v>
      </c>
    </row>
    <row r="786" spans="1:10" x14ac:dyDescent="0.3">
      <c r="A786" s="27" t="s">
        <v>5043</v>
      </c>
      <c r="D786" s="27" t="s">
        <v>296</v>
      </c>
      <c r="E786" s="27" t="s">
        <v>5117</v>
      </c>
      <c r="F786" s="27" t="s">
        <v>320</v>
      </c>
    </row>
    <row r="787" spans="1:10" x14ac:dyDescent="0.3">
      <c r="A787" s="27" t="s">
        <v>5054</v>
      </c>
      <c r="D787" s="27" t="s">
        <v>74</v>
      </c>
      <c r="E787" s="27" t="s">
        <v>296</v>
      </c>
      <c r="F787" s="27" t="s">
        <v>4997</v>
      </c>
      <c r="G787" s="27" t="s">
        <v>369</v>
      </c>
      <c r="H787" s="27" t="s">
        <v>5117</v>
      </c>
      <c r="I787" s="27" t="s">
        <v>5039</v>
      </c>
      <c r="J787" s="27" t="s">
        <v>320</v>
      </c>
    </row>
    <row r="788" spans="1:10" x14ac:dyDescent="0.3">
      <c r="A788" s="27" t="s">
        <v>5042</v>
      </c>
      <c r="D788" s="27" t="s">
        <v>74</v>
      </c>
      <c r="E788" s="27" t="s">
        <v>296</v>
      </c>
      <c r="F788" s="27" t="s">
        <v>4997</v>
      </c>
    </row>
    <row r="789" spans="1:10" x14ac:dyDescent="0.3">
      <c r="A789" s="27" t="s">
        <v>5058</v>
      </c>
      <c r="D789" s="27" t="s">
        <v>74</v>
      </c>
      <c r="E789" s="27" t="s">
        <v>296</v>
      </c>
      <c r="F789" s="27" t="s">
        <v>5117</v>
      </c>
    </row>
    <row r="790" spans="1:10" x14ac:dyDescent="0.3">
      <c r="A790" s="27" t="s">
        <v>5062</v>
      </c>
      <c r="D790" s="27" t="s">
        <v>296</v>
      </c>
      <c r="E790" s="27" t="s">
        <v>5117</v>
      </c>
      <c r="F790" s="27" t="s">
        <v>5039</v>
      </c>
    </row>
    <row r="791" spans="1:10" x14ac:dyDescent="0.3">
      <c r="A791" s="27" t="s">
        <v>5114</v>
      </c>
      <c r="D791" s="27" t="s">
        <v>74</v>
      </c>
      <c r="E791" s="27" t="s">
        <v>296</v>
      </c>
      <c r="F791" s="27" t="s">
        <v>4997</v>
      </c>
      <c r="G791" s="27" t="s">
        <v>5117</v>
      </c>
      <c r="H791" s="27" t="s">
        <v>5039</v>
      </c>
    </row>
    <row r="792" spans="1:10" x14ac:dyDescent="0.3">
      <c r="A792" s="27" t="s">
        <v>5054</v>
      </c>
      <c r="D792" s="27" t="s">
        <v>74</v>
      </c>
      <c r="E792" s="27" t="s">
        <v>296</v>
      </c>
      <c r="F792" s="27" t="s">
        <v>4997</v>
      </c>
      <c r="G792" s="27" t="s">
        <v>369</v>
      </c>
      <c r="H792" s="27" t="s">
        <v>5117</v>
      </c>
      <c r="I792" s="27" t="s">
        <v>5039</v>
      </c>
      <c r="J792" s="27" t="s">
        <v>320</v>
      </c>
    </row>
    <row r="793" spans="1:10" x14ac:dyDescent="0.3">
      <c r="A793" s="27" t="s">
        <v>5058</v>
      </c>
      <c r="D793" s="27" t="s">
        <v>74</v>
      </c>
      <c r="E793" s="27" t="s">
        <v>296</v>
      </c>
      <c r="F793" s="27" t="s">
        <v>5117</v>
      </c>
    </row>
    <row r="794" spans="1:10" x14ac:dyDescent="0.3">
      <c r="A794" s="27" t="s">
        <v>5104</v>
      </c>
      <c r="D794" s="27" t="s">
        <v>74</v>
      </c>
      <c r="E794" s="27" t="s">
        <v>296</v>
      </c>
      <c r="F794" s="27" t="s">
        <v>4997</v>
      </c>
      <c r="G794" s="27" t="s">
        <v>369</v>
      </c>
      <c r="H794" s="27" t="s">
        <v>5117</v>
      </c>
      <c r="I794" s="27" t="s">
        <v>320</v>
      </c>
    </row>
    <row r="795" spans="1:10" x14ac:dyDescent="0.3">
      <c r="A795" s="27" t="s">
        <v>5054</v>
      </c>
      <c r="D795" s="27" t="s">
        <v>74</v>
      </c>
      <c r="E795" s="27" t="s">
        <v>296</v>
      </c>
      <c r="F795" s="27" t="s">
        <v>4997</v>
      </c>
      <c r="G795" s="27" t="s">
        <v>369</v>
      </c>
      <c r="H795" s="27" t="s">
        <v>5117</v>
      </c>
      <c r="I795" s="27" t="s">
        <v>5039</v>
      </c>
      <c r="J795" s="27" t="s">
        <v>320</v>
      </c>
    </row>
    <row r="796" spans="1:10" x14ac:dyDescent="0.3">
      <c r="A796" s="27" t="s">
        <v>5089</v>
      </c>
      <c r="D796" s="27" t="s">
        <v>296</v>
      </c>
      <c r="E796" s="27" t="s">
        <v>369</v>
      </c>
      <c r="F796" s="27" t="s">
        <v>5117</v>
      </c>
      <c r="G796" s="27" t="s">
        <v>5039</v>
      </c>
    </row>
    <row r="797" spans="1:10" x14ac:dyDescent="0.3">
      <c r="A797" s="27" t="s">
        <v>5089</v>
      </c>
      <c r="D797" s="27" t="s">
        <v>296</v>
      </c>
      <c r="E797" s="27" t="s">
        <v>369</v>
      </c>
      <c r="F797" s="27" t="s">
        <v>5117</v>
      </c>
      <c r="G797" s="27" t="s">
        <v>5039</v>
      </c>
    </row>
    <row r="798" spans="1:10" x14ac:dyDescent="0.3">
      <c r="A798" s="27" t="s">
        <v>5056</v>
      </c>
      <c r="D798" s="27" t="s">
        <v>74</v>
      </c>
      <c r="E798" s="27" t="s">
        <v>369</v>
      </c>
      <c r="F798" s="27" t="s">
        <v>5117</v>
      </c>
    </row>
    <row r="799" spans="1:10" x14ac:dyDescent="0.3">
      <c r="A799" s="27" t="s">
        <v>5058</v>
      </c>
      <c r="D799" s="27" t="s">
        <v>74</v>
      </c>
      <c r="E799" s="27" t="s">
        <v>296</v>
      </c>
      <c r="F799" s="27" t="s">
        <v>5117</v>
      </c>
    </row>
    <row r="800" spans="1:10" x14ac:dyDescent="0.3">
      <c r="A800" s="27" t="s">
        <v>5081</v>
      </c>
      <c r="D800" s="27" t="s">
        <v>74</v>
      </c>
      <c r="E800" s="27" t="s">
        <v>296</v>
      </c>
      <c r="F800" s="27" t="s">
        <v>4997</v>
      </c>
      <c r="G800" s="27" t="s">
        <v>369</v>
      </c>
    </row>
    <row r="801" spans="1:10" x14ac:dyDescent="0.3">
      <c r="A801" s="27" t="s">
        <v>5054</v>
      </c>
      <c r="D801" s="27" t="s">
        <v>74</v>
      </c>
      <c r="E801" s="27" t="s">
        <v>296</v>
      </c>
      <c r="F801" s="27" t="s">
        <v>4997</v>
      </c>
      <c r="G801" s="27" t="s">
        <v>369</v>
      </c>
      <c r="H801" s="27" t="s">
        <v>5117</v>
      </c>
      <c r="I801" s="27" t="s">
        <v>5039</v>
      </c>
      <c r="J801" s="27" t="s">
        <v>320</v>
      </c>
    </row>
    <row r="802" spans="1:10" x14ac:dyDescent="0.3">
      <c r="A802" s="27" t="s">
        <v>5054</v>
      </c>
      <c r="D802" s="27" t="s">
        <v>74</v>
      </c>
      <c r="E802" s="27" t="s">
        <v>296</v>
      </c>
      <c r="F802" s="27" t="s">
        <v>4997</v>
      </c>
      <c r="G802" s="27" t="s">
        <v>369</v>
      </c>
      <c r="H802" s="27" t="s">
        <v>5117</v>
      </c>
      <c r="I802" s="27" t="s">
        <v>5039</v>
      </c>
      <c r="J802" s="27" t="s">
        <v>320</v>
      </c>
    </row>
    <row r="803" spans="1:10" x14ac:dyDescent="0.3">
      <c r="A803" s="27" t="s">
        <v>5054</v>
      </c>
      <c r="D803" s="27" t="s">
        <v>74</v>
      </c>
      <c r="E803" s="27" t="s">
        <v>296</v>
      </c>
      <c r="F803" s="27" t="s">
        <v>4997</v>
      </c>
      <c r="G803" s="27" t="s">
        <v>369</v>
      </c>
      <c r="H803" s="27" t="s">
        <v>5117</v>
      </c>
      <c r="I803" s="27" t="s">
        <v>5039</v>
      </c>
      <c r="J803" s="27" t="s">
        <v>320</v>
      </c>
    </row>
    <row r="804" spans="1:10" x14ac:dyDescent="0.3">
      <c r="A804" s="27" t="s">
        <v>5054</v>
      </c>
      <c r="D804" s="27" t="s">
        <v>74</v>
      </c>
      <c r="E804" s="27" t="s">
        <v>296</v>
      </c>
      <c r="F804" s="27" t="s">
        <v>4997</v>
      </c>
      <c r="G804" s="27" t="s">
        <v>369</v>
      </c>
      <c r="H804" s="27" t="s">
        <v>5117</v>
      </c>
      <c r="I804" s="27" t="s">
        <v>5039</v>
      </c>
      <c r="J804" s="27" t="s">
        <v>320</v>
      </c>
    </row>
    <row r="805" spans="1:10" x14ac:dyDescent="0.3">
      <c r="A805" s="27" t="s">
        <v>5054</v>
      </c>
      <c r="D805" s="27" t="s">
        <v>74</v>
      </c>
      <c r="E805" s="27" t="s">
        <v>296</v>
      </c>
      <c r="F805" s="27" t="s">
        <v>4997</v>
      </c>
      <c r="G805" s="27" t="s">
        <v>369</v>
      </c>
      <c r="H805" s="27" t="s">
        <v>5117</v>
      </c>
      <c r="I805" s="27" t="s">
        <v>5039</v>
      </c>
      <c r="J805" s="27" t="s">
        <v>320</v>
      </c>
    </row>
    <row r="806" spans="1:10" x14ac:dyDescent="0.3">
      <c r="A806" s="27" t="s">
        <v>5054</v>
      </c>
      <c r="D806" s="27" t="s">
        <v>74</v>
      </c>
      <c r="E806" s="27" t="s">
        <v>296</v>
      </c>
      <c r="F806" s="27" t="s">
        <v>4997</v>
      </c>
      <c r="G806" s="27" t="s">
        <v>369</v>
      </c>
      <c r="H806" s="27" t="s">
        <v>5117</v>
      </c>
      <c r="I806" s="27" t="s">
        <v>5039</v>
      </c>
      <c r="J806" s="27" t="s">
        <v>320</v>
      </c>
    </row>
    <row r="807" spans="1:10" x14ac:dyDescent="0.3">
      <c r="A807" s="27" t="s">
        <v>5054</v>
      </c>
      <c r="D807" s="27" t="s">
        <v>74</v>
      </c>
      <c r="E807" s="27" t="s">
        <v>296</v>
      </c>
      <c r="F807" s="27" t="s">
        <v>4997</v>
      </c>
      <c r="G807" s="27" t="s">
        <v>369</v>
      </c>
      <c r="H807" s="27" t="s">
        <v>5117</v>
      </c>
      <c r="I807" s="27" t="s">
        <v>5039</v>
      </c>
      <c r="J807" s="27" t="s">
        <v>320</v>
      </c>
    </row>
    <row r="808" spans="1:10" x14ac:dyDescent="0.3">
      <c r="A808" s="27" t="s">
        <v>5054</v>
      </c>
      <c r="D808" s="27" t="s">
        <v>74</v>
      </c>
      <c r="E808" s="27" t="s">
        <v>296</v>
      </c>
      <c r="F808" s="27" t="s">
        <v>4997</v>
      </c>
      <c r="G808" s="27" t="s">
        <v>369</v>
      </c>
      <c r="H808" s="27" t="s">
        <v>5117</v>
      </c>
      <c r="I808" s="27" t="s">
        <v>5039</v>
      </c>
      <c r="J808" s="27" t="s">
        <v>320</v>
      </c>
    </row>
    <row r="809" spans="1:10" x14ac:dyDescent="0.3">
      <c r="A809" s="27" t="s">
        <v>5054</v>
      </c>
      <c r="D809" s="27" t="s">
        <v>74</v>
      </c>
      <c r="E809" s="27" t="s">
        <v>296</v>
      </c>
      <c r="F809" s="27" t="s">
        <v>4997</v>
      </c>
      <c r="G809" s="27" t="s">
        <v>369</v>
      </c>
      <c r="H809" s="27" t="s">
        <v>5117</v>
      </c>
      <c r="I809" s="27" t="s">
        <v>5039</v>
      </c>
      <c r="J809" s="27" t="s">
        <v>320</v>
      </c>
    </row>
    <row r="810" spans="1:10" x14ac:dyDescent="0.3">
      <c r="A810" s="27" t="s">
        <v>5102</v>
      </c>
      <c r="D810" s="27" t="s">
        <v>74</v>
      </c>
      <c r="E810" s="27" t="s">
        <v>296</v>
      </c>
      <c r="F810" s="27" t="s">
        <v>4997</v>
      </c>
      <c r="G810" s="27" t="s">
        <v>369</v>
      </c>
      <c r="H810" s="27" t="s">
        <v>5117</v>
      </c>
    </row>
    <row r="811" spans="1:10" x14ac:dyDescent="0.3">
      <c r="A811" s="27" t="s">
        <v>5055</v>
      </c>
      <c r="D811" s="27" t="s">
        <v>296</v>
      </c>
      <c r="E811" s="27" t="s">
        <v>369</v>
      </c>
      <c r="F811" s="27" t="s">
        <v>5117</v>
      </c>
    </row>
    <row r="812" spans="1:10" x14ac:dyDescent="0.3">
      <c r="A812" s="27" t="s">
        <v>5062</v>
      </c>
      <c r="D812" s="27" t="s">
        <v>296</v>
      </c>
      <c r="E812" s="27" t="s">
        <v>5117</v>
      </c>
      <c r="F812" s="27" t="s">
        <v>5039</v>
      </c>
    </row>
    <row r="813" spans="1:10" x14ac:dyDescent="0.3">
      <c r="A813" s="27" t="s">
        <v>5081</v>
      </c>
      <c r="D813" s="27" t="s">
        <v>74</v>
      </c>
      <c r="E813" s="27" t="s">
        <v>296</v>
      </c>
      <c r="F813" s="27" t="s">
        <v>4997</v>
      </c>
      <c r="G813" s="27" t="s">
        <v>369</v>
      </c>
    </row>
    <row r="814" spans="1:10" x14ac:dyDescent="0.3">
      <c r="A814" s="27" t="s">
        <v>5081</v>
      </c>
      <c r="D814" s="27" t="s">
        <v>74</v>
      </c>
      <c r="E814" s="27" t="s">
        <v>296</v>
      </c>
      <c r="F814" s="27" t="s">
        <v>4997</v>
      </c>
      <c r="G814" s="27" t="s">
        <v>369</v>
      </c>
    </row>
    <row r="815" spans="1:10" x14ac:dyDescent="0.3">
      <c r="A815" s="27" t="s">
        <v>5073</v>
      </c>
      <c r="D815" s="27" t="s">
        <v>296</v>
      </c>
      <c r="E815" s="27" t="s">
        <v>4997</v>
      </c>
      <c r="F815" s="27" t="s">
        <v>5039</v>
      </c>
    </row>
    <row r="816" spans="1:10" x14ac:dyDescent="0.3">
      <c r="A816" s="27" t="s">
        <v>5054</v>
      </c>
      <c r="D816" s="27" t="s">
        <v>74</v>
      </c>
      <c r="E816" s="27" t="s">
        <v>296</v>
      </c>
      <c r="F816" s="27" t="s">
        <v>4997</v>
      </c>
      <c r="G816" s="27" t="s">
        <v>369</v>
      </c>
      <c r="H816" s="27" t="s">
        <v>5117</v>
      </c>
      <c r="I816" s="27" t="s">
        <v>5039</v>
      </c>
      <c r="J816" s="27" t="s">
        <v>320</v>
      </c>
    </row>
    <row r="817" spans="1:10" x14ac:dyDescent="0.3">
      <c r="A817" s="27" t="s">
        <v>5069</v>
      </c>
      <c r="D817" s="27" t="s">
        <v>296</v>
      </c>
      <c r="E817" s="27" t="s">
        <v>4997</v>
      </c>
      <c r="F817" s="27" t="s">
        <v>369</v>
      </c>
    </row>
    <row r="818" spans="1:10" x14ac:dyDescent="0.3">
      <c r="A818" s="27" t="s">
        <v>5058</v>
      </c>
      <c r="D818" s="27" t="s">
        <v>74</v>
      </c>
      <c r="E818" s="27" t="s">
        <v>296</v>
      </c>
      <c r="F818" s="27" t="s">
        <v>5117</v>
      </c>
    </row>
    <row r="819" spans="1:10" x14ac:dyDescent="0.3">
      <c r="A819" s="27" t="s">
        <v>5050</v>
      </c>
      <c r="D819" s="27" t="s">
        <v>74</v>
      </c>
      <c r="E819" s="27" t="s">
        <v>296</v>
      </c>
      <c r="F819" s="27" t="s">
        <v>369</v>
      </c>
    </row>
    <row r="820" spans="1:10" x14ac:dyDescent="0.3">
      <c r="A820" s="27" t="s">
        <v>5081</v>
      </c>
      <c r="D820" s="27" t="s">
        <v>74</v>
      </c>
      <c r="E820" s="27" t="s">
        <v>296</v>
      </c>
      <c r="F820" s="27" t="s">
        <v>4997</v>
      </c>
      <c r="G820" s="27" t="s">
        <v>369</v>
      </c>
    </row>
    <row r="821" spans="1:10" x14ac:dyDescent="0.3">
      <c r="A821" s="27" t="s">
        <v>5068</v>
      </c>
      <c r="D821" s="27" t="s">
        <v>74</v>
      </c>
      <c r="E821" s="27" t="s">
        <v>4997</v>
      </c>
      <c r="F821" s="27" t="s">
        <v>369</v>
      </c>
    </row>
    <row r="822" spans="1:10" x14ac:dyDescent="0.3">
      <c r="A822" s="27" t="s">
        <v>5068</v>
      </c>
      <c r="D822" s="27" t="s">
        <v>74</v>
      </c>
      <c r="E822" s="27" t="s">
        <v>4997</v>
      </c>
      <c r="F822" s="27" t="s">
        <v>369</v>
      </c>
    </row>
    <row r="823" spans="1:10" x14ac:dyDescent="0.3">
      <c r="A823" s="27" t="s">
        <v>5068</v>
      </c>
      <c r="D823" s="27" t="s">
        <v>74</v>
      </c>
      <c r="E823" s="27" t="s">
        <v>4997</v>
      </c>
      <c r="F823" s="27" t="s">
        <v>369</v>
      </c>
    </row>
    <row r="824" spans="1:10" x14ac:dyDescent="0.3">
      <c r="A824" s="27" t="s">
        <v>5069</v>
      </c>
      <c r="D824" s="27" t="s">
        <v>296</v>
      </c>
      <c r="E824" s="27" t="s">
        <v>4997</v>
      </c>
      <c r="F824" s="27" t="s">
        <v>369</v>
      </c>
    </row>
    <row r="825" spans="1:10" x14ac:dyDescent="0.3">
      <c r="A825" s="27" t="s">
        <v>5069</v>
      </c>
      <c r="D825" s="27" t="s">
        <v>296</v>
      </c>
      <c r="E825" s="27" t="s">
        <v>4997</v>
      </c>
      <c r="F825" s="27" t="s">
        <v>369</v>
      </c>
    </row>
    <row r="826" spans="1:10" x14ac:dyDescent="0.3">
      <c r="A826" s="27" t="s">
        <v>5069</v>
      </c>
      <c r="D826" s="27" t="s">
        <v>296</v>
      </c>
      <c r="E826" s="27" t="s">
        <v>4997</v>
      </c>
      <c r="F826" s="27" t="s">
        <v>369</v>
      </c>
    </row>
    <row r="827" spans="1:10" x14ac:dyDescent="0.3">
      <c r="A827" s="27" t="s">
        <v>5054</v>
      </c>
      <c r="D827" s="27" t="s">
        <v>74</v>
      </c>
      <c r="E827" s="27" t="s">
        <v>296</v>
      </c>
      <c r="F827" s="27" t="s">
        <v>4997</v>
      </c>
      <c r="G827" s="27" t="s">
        <v>369</v>
      </c>
      <c r="H827" s="27" t="s">
        <v>5117</v>
      </c>
      <c r="I827" s="27" t="s">
        <v>5039</v>
      </c>
      <c r="J827" s="27" t="s">
        <v>320</v>
      </c>
    </row>
    <row r="828" spans="1:10" x14ac:dyDescent="0.3">
      <c r="A828" s="27" t="s">
        <v>5054</v>
      </c>
      <c r="D828" s="27" t="s">
        <v>74</v>
      </c>
      <c r="E828" s="27" t="s">
        <v>296</v>
      </c>
      <c r="F828" s="27" t="s">
        <v>4997</v>
      </c>
      <c r="G828" s="27" t="s">
        <v>369</v>
      </c>
      <c r="H828" s="27" t="s">
        <v>5117</v>
      </c>
      <c r="I828" s="27" t="s">
        <v>5039</v>
      </c>
      <c r="J828" s="27" t="s">
        <v>320</v>
      </c>
    </row>
    <row r="829" spans="1:10" x14ac:dyDescent="0.3">
      <c r="A829" s="27" t="s">
        <v>5042</v>
      </c>
      <c r="D829" s="27" t="s">
        <v>74</v>
      </c>
      <c r="E829" s="27" t="s">
        <v>296</v>
      </c>
      <c r="F829" s="27" t="s">
        <v>4997</v>
      </c>
    </row>
    <row r="830" spans="1:10" x14ac:dyDescent="0.3">
      <c r="A830" s="27" t="s">
        <v>5054</v>
      </c>
      <c r="D830" s="27" t="s">
        <v>74</v>
      </c>
      <c r="E830" s="27" t="s">
        <v>296</v>
      </c>
      <c r="F830" s="27" t="s">
        <v>4997</v>
      </c>
      <c r="G830" s="27" t="s">
        <v>369</v>
      </c>
      <c r="H830" s="27" t="s">
        <v>5117</v>
      </c>
      <c r="I830" s="27" t="s">
        <v>5039</v>
      </c>
      <c r="J830" s="27" t="s">
        <v>320</v>
      </c>
    </row>
    <row r="831" spans="1:10" x14ac:dyDescent="0.3">
      <c r="A831" s="27" t="s">
        <v>5054</v>
      </c>
      <c r="D831" s="27" t="s">
        <v>74</v>
      </c>
      <c r="E831" s="27" t="s">
        <v>296</v>
      </c>
      <c r="F831" s="27" t="s">
        <v>4997</v>
      </c>
      <c r="G831" s="27" t="s">
        <v>369</v>
      </c>
      <c r="H831" s="27" t="s">
        <v>5117</v>
      </c>
      <c r="I831" s="27" t="s">
        <v>5039</v>
      </c>
      <c r="J831" s="27" t="s">
        <v>320</v>
      </c>
    </row>
    <row r="832" spans="1:10" x14ac:dyDescent="0.3">
      <c r="A832" s="27" t="s">
        <v>5055</v>
      </c>
      <c r="D832" s="27" t="s">
        <v>296</v>
      </c>
      <c r="E832" s="27" t="s">
        <v>369</v>
      </c>
      <c r="F832" s="27" t="s">
        <v>5117</v>
      </c>
    </row>
    <row r="833" spans="1:7" x14ac:dyDescent="0.3">
      <c r="A833" s="27" t="s">
        <v>5058</v>
      </c>
      <c r="D833" s="27" t="s">
        <v>74</v>
      </c>
      <c r="E833" s="27" t="s">
        <v>296</v>
      </c>
      <c r="F833" s="27" t="s">
        <v>5117</v>
      </c>
    </row>
    <row r="834" spans="1:7" x14ac:dyDescent="0.3">
      <c r="A834" s="27" t="s">
        <v>5058</v>
      </c>
      <c r="D834" s="27" t="s">
        <v>74</v>
      </c>
      <c r="E834" s="27" t="s">
        <v>296</v>
      </c>
      <c r="F834" s="27" t="s">
        <v>5117</v>
      </c>
    </row>
    <row r="835" spans="1:7" x14ac:dyDescent="0.3">
      <c r="A835" s="27" t="s">
        <v>5058</v>
      </c>
      <c r="D835" s="27" t="s">
        <v>74</v>
      </c>
      <c r="E835" s="27" t="s">
        <v>296</v>
      </c>
      <c r="F835" s="27" t="s">
        <v>5117</v>
      </c>
    </row>
    <row r="836" spans="1:7" x14ac:dyDescent="0.3">
      <c r="A836" s="27" t="s">
        <v>5046</v>
      </c>
      <c r="D836" s="27" t="s">
        <v>74</v>
      </c>
      <c r="E836" s="27" t="s">
        <v>5117</v>
      </c>
      <c r="F836" s="27" t="s">
        <v>320</v>
      </c>
    </row>
    <row r="837" spans="1:7" x14ac:dyDescent="0.3">
      <c r="A837" s="27" t="s">
        <v>5112</v>
      </c>
      <c r="D837" s="27" t="s">
        <v>296</v>
      </c>
      <c r="E837" s="27" t="s">
        <v>4997</v>
      </c>
      <c r="F837" s="27" t="s">
        <v>369</v>
      </c>
      <c r="G837" s="27" t="s">
        <v>5039</v>
      </c>
    </row>
    <row r="838" spans="1:7" x14ac:dyDescent="0.3">
      <c r="A838" s="27" t="s">
        <v>5099</v>
      </c>
      <c r="D838" s="27" t="s">
        <v>74</v>
      </c>
      <c r="E838" s="27" t="s">
        <v>4997</v>
      </c>
      <c r="F838" s="27" t="s">
        <v>5117</v>
      </c>
    </row>
    <row r="839" spans="1:7" x14ac:dyDescent="0.3">
      <c r="A839" s="27" t="s">
        <v>5051</v>
      </c>
      <c r="D839" s="27" t="s">
        <v>74</v>
      </c>
      <c r="E839" s="27" t="s">
        <v>296</v>
      </c>
      <c r="F839" s="27" t="s">
        <v>5039</v>
      </c>
    </row>
    <row r="840" spans="1:7" x14ac:dyDescent="0.3">
      <c r="A840" s="27" t="s">
        <v>5081</v>
      </c>
      <c r="D840" s="27" t="s">
        <v>74</v>
      </c>
      <c r="E840" s="27" t="s">
        <v>296</v>
      </c>
      <c r="F840" s="27" t="s">
        <v>4997</v>
      </c>
      <c r="G840" s="27" t="s">
        <v>369</v>
      </c>
    </row>
    <row r="841" spans="1:7" x14ac:dyDescent="0.3">
      <c r="A841" s="27" t="s">
        <v>5049</v>
      </c>
      <c r="D841" s="27" t="s">
        <v>296</v>
      </c>
      <c r="E841" s="27" t="s">
        <v>369</v>
      </c>
      <c r="F841" s="27" t="s">
        <v>5039</v>
      </c>
    </row>
    <row r="842" spans="1:7" x14ac:dyDescent="0.3">
      <c r="A842" s="27" t="s">
        <v>5049</v>
      </c>
      <c r="D842" s="27" t="s">
        <v>296</v>
      </c>
      <c r="E842" s="27" t="s">
        <v>369</v>
      </c>
      <c r="F842" s="27" t="s">
        <v>5039</v>
      </c>
    </row>
    <row r="843" spans="1:7" x14ac:dyDescent="0.3">
      <c r="A843" s="27" t="s">
        <v>5041</v>
      </c>
      <c r="D843" s="27" t="s">
        <v>296</v>
      </c>
      <c r="E843" s="27" t="s">
        <v>4997</v>
      </c>
      <c r="F843" s="27" t="s">
        <v>5117</v>
      </c>
    </row>
    <row r="844" spans="1:7" x14ac:dyDescent="0.3">
      <c r="A844" s="27" t="s">
        <v>5055</v>
      </c>
      <c r="D844" s="27" t="s">
        <v>296</v>
      </c>
      <c r="E844" s="27" t="s">
        <v>369</v>
      </c>
      <c r="F844" s="27" t="s">
        <v>5117</v>
      </c>
    </row>
    <row r="845" spans="1:7" x14ac:dyDescent="0.3">
      <c r="A845" s="27" t="s">
        <v>5055</v>
      </c>
      <c r="D845" s="27" t="s">
        <v>296</v>
      </c>
      <c r="E845" s="27" t="s">
        <v>369</v>
      </c>
      <c r="F845" s="27" t="s">
        <v>5117</v>
      </c>
    </row>
    <row r="846" spans="1:7" x14ac:dyDescent="0.3">
      <c r="A846" s="27" t="s">
        <v>5055</v>
      </c>
      <c r="D846" s="27" t="s">
        <v>296</v>
      </c>
      <c r="E846" s="27" t="s">
        <v>369</v>
      </c>
      <c r="F846" s="27" t="s">
        <v>5117</v>
      </c>
    </row>
    <row r="847" spans="1:7" x14ac:dyDescent="0.3">
      <c r="A847" s="27" t="s">
        <v>5050</v>
      </c>
      <c r="D847" s="27" t="s">
        <v>74</v>
      </c>
      <c r="E847" s="27" t="s">
        <v>296</v>
      </c>
      <c r="F847" s="27" t="s">
        <v>369</v>
      </c>
    </row>
    <row r="848" spans="1:7" x14ac:dyDescent="0.3">
      <c r="A848" s="27" t="s">
        <v>5050</v>
      </c>
      <c r="D848" s="27" t="s">
        <v>74</v>
      </c>
      <c r="E848" s="27" t="s">
        <v>296</v>
      </c>
      <c r="F848" s="27" t="s">
        <v>369</v>
      </c>
    </row>
    <row r="849" spans="1:10" x14ac:dyDescent="0.3">
      <c r="A849" s="27" t="s">
        <v>5051</v>
      </c>
      <c r="D849" s="27" t="s">
        <v>74</v>
      </c>
      <c r="E849" s="27" t="s">
        <v>296</v>
      </c>
      <c r="F849" s="27" t="s">
        <v>5039</v>
      </c>
    </row>
    <row r="850" spans="1:10" x14ac:dyDescent="0.3">
      <c r="A850" s="27" t="s">
        <v>5077</v>
      </c>
      <c r="D850" s="27" t="s">
        <v>74</v>
      </c>
      <c r="E850" s="27" t="s">
        <v>296</v>
      </c>
      <c r="F850" s="27" t="s">
        <v>5117</v>
      </c>
      <c r="G850" s="27" t="s">
        <v>5039</v>
      </c>
    </row>
    <row r="851" spans="1:10" x14ac:dyDescent="0.3">
      <c r="A851" s="27" t="s">
        <v>5054</v>
      </c>
      <c r="D851" s="27" t="s">
        <v>74</v>
      </c>
      <c r="E851" s="27" t="s">
        <v>296</v>
      </c>
      <c r="F851" s="27" t="s">
        <v>4997</v>
      </c>
      <c r="G851" s="27" t="s">
        <v>369</v>
      </c>
      <c r="H851" s="27" t="s">
        <v>5117</v>
      </c>
      <c r="I851" s="27" t="s">
        <v>5039</v>
      </c>
      <c r="J851" s="27" t="s">
        <v>320</v>
      </c>
    </row>
    <row r="852" spans="1:10" x14ac:dyDescent="0.3">
      <c r="A852" s="27" t="s">
        <v>5051</v>
      </c>
      <c r="D852" s="27" t="s">
        <v>74</v>
      </c>
      <c r="E852" s="27" t="s">
        <v>296</v>
      </c>
      <c r="F852" s="27" t="s">
        <v>5039</v>
      </c>
    </row>
    <row r="853" spans="1:10" x14ac:dyDescent="0.3">
      <c r="A853" s="27" t="s">
        <v>5058</v>
      </c>
      <c r="D853" s="27" t="s">
        <v>74</v>
      </c>
      <c r="E853" s="27" t="s">
        <v>296</v>
      </c>
      <c r="F853" s="27" t="s">
        <v>5117</v>
      </c>
    </row>
    <row r="854" spans="1:10" x14ac:dyDescent="0.3">
      <c r="A854" s="27" t="s">
        <v>5068</v>
      </c>
      <c r="D854" s="27" t="s">
        <v>74</v>
      </c>
      <c r="E854" s="27" t="s">
        <v>4997</v>
      </c>
      <c r="F854" s="27" t="s">
        <v>369</v>
      </c>
    </row>
    <row r="855" spans="1:10" x14ac:dyDescent="0.3">
      <c r="A855" s="27" t="s">
        <v>5054</v>
      </c>
      <c r="D855" s="27" t="s">
        <v>74</v>
      </c>
      <c r="E855" s="27" t="s">
        <v>296</v>
      </c>
      <c r="F855" s="27" t="s">
        <v>4997</v>
      </c>
      <c r="G855" s="27" t="s">
        <v>369</v>
      </c>
      <c r="H855" s="27" t="s">
        <v>5117</v>
      </c>
      <c r="I855" s="27" t="s">
        <v>5039</v>
      </c>
      <c r="J855" s="27" t="s">
        <v>320</v>
      </c>
    </row>
    <row r="856" spans="1:10" x14ac:dyDescent="0.3">
      <c r="A856" s="27" t="s">
        <v>5054</v>
      </c>
      <c r="D856" s="27" t="s">
        <v>74</v>
      </c>
      <c r="E856" s="27" t="s">
        <v>296</v>
      </c>
      <c r="F856" s="27" t="s">
        <v>4997</v>
      </c>
      <c r="G856" s="27" t="s">
        <v>369</v>
      </c>
      <c r="H856" s="27" t="s">
        <v>5117</v>
      </c>
      <c r="I856" s="27" t="s">
        <v>5039</v>
      </c>
      <c r="J856" s="27" t="s">
        <v>320</v>
      </c>
    </row>
    <row r="857" spans="1:10" x14ac:dyDescent="0.3">
      <c r="A857" s="27" t="s">
        <v>5054</v>
      </c>
      <c r="D857" s="27" t="s">
        <v>74</v>
      </c>
      <c r="E857" s="27" t="s">
        <v>296</v>
      </c>
      <c r="F857" s="27" t="s">
        <v>4997</v>
      </c>
      <c r="G857" s="27" t="s">
        <v>369</v>
      </c>
      <c r="H857" s="27" t="s">
        <v>5117</v>
      </c>
      <c r="I857" s="27" t="s">
        <v>5039</v>
      </c>
      <c r="J857" s="27" t="s">
        <v>320</v>
      </c>
    </row>
    <row r="858" spans="1:10" x14ac:dyDescent="0.3">
      <c r="A858" s="27" t="s">
        <v>5054</v>
      </c>
      <c r="D858" s="27" t="s">
        <v>74</v>
      </c>
      <c r="E858" s="27" t="s">
        <v>296</v>
      </c>
      <c r="F858" s="27" t="s">
        <v>4997</v>
      </c>
      <c r="G858" s="27" t="s">
        <v>369</v>
      </c>
      <c r="H858" s="27" t="s">
        <v>5117</v>
      </c>
      <c r="I858" s="27" t="s">
        <v>5039</v>
      </c>
      <c r="J858" s="27" t="s">
        <v>320</v>
      </c>
    </row>
    <row r="859" spans="1:10" x14ac:dyDescent="0.3">
      <c r="A859" s="27" t="s">
        <v>5054</v>
      </c>
      <c r="D859" s="27" t="s">
        <v>74</v>
      </c>
      <c r="E859" s="27" t="s">
        <v>296</v>
      </c>
      <c r="F859" s="27" t="s">
        <v>4997</v>
      </c>
      <c r="G859" s="27" t="s">
        <v>369</v>
      </c>
      <c r="H859" s="27" t="s">
        <v>5117</v>
      </c>
      <c r="I859" s="27" t="s">
        <v>5039</v>
      </c>
      <c r="J859" s="27" t="s">
        <v>320</v>
      </c>
    </row>
    <row r="860" spans="1:10" x14ac:dyDescent="0.3">
      <c r="A860" s="27" t="s">
        <v>5054</v>
      </c>
      <c r="D860" s="27" t="s">
        <v>74</v>
      </c>
      <c r="E860" s="27" t="s">
        <v>296</v>
      </c>
      <c r="F860" s="27" t="s">
        <v>4997</v>
      </c>
      <c r="G860" s="27" t="s">
        <v>369</v>
      </c>
      <c r="H860" s="27" t="s">
        <v>5117</v>
      </c>
      <c r="I860" s="27" t="s">
        <v>5039</v>
      </c>
      <c r="J860" s="27" t="s">
        <v>320</v>
      </c>
    </row>
    <row r="861" spans="1:10" x14ac:dyDescent="0.3">
      <c r="A861" s="27" t="s">
        <v>5054</v>
      </c>
      <c r="D861" s="27" t="s">
        <v>74</v>
      </c>
      <c r="E861" s="27" t="s">
        <v>296</v>
      </c>
      <c r="F861" s="27" t="s">
        <v>4997</v>
      </c>
      <c r="G861" s="27" t="s">
        <v>369</v>
      </c>
      <c r="H861" s="27" t="s">
        <v>5117</v>
      </c>
      <c r="I861" s="27" t="s">
        <v>5039</v>
      </c>
      <c r="J861" s="27" t="s">
        <v>320</v>
      </c>
    </row>
    <row r="862" spans="1:10" x14ac:dyDescent="0.3">
      <c r="A862" s="27" t="s">
        <v>5054</v>
      </c>
      <c r="D862" s="27" t="s">
        <v>74</v>
      </c>
      <c r="E862" s="27" t="s">
        <v>296</v>
      </c>
      <c r="F862" s="27" t="s">
        <v>4997</v>
      </c>
      <c r="G862" s="27" t="s">
        <v>369</v>
      </c>
      <c r="H862" s="27" t="s">
        <v>5117</v>
      </c>
      <c r="I862" s="27" t="s">
        <v>5039</v>
      </c>
      <c r="J862" s="27" t="s">
        <v>320</v>
      </c>
    </row>
    <row r="863" spans="1:10" x14ac:dyDescent="0.3">
      <c r="A863" s="27" t="s">
        <v>5054</v>
      </c>
      <c r="D863" s="27" t="s">
        <v>74</v>
      </c>
      <c r="E863" s="27" t="s">
        <v>296</v>
      </c>
      <c r="F863" s="27" t="s">
        <v>4997</v>
      </c>
      <c r="G863" s="27" t="s">
        <v>369</v>
      </c>
      <c r="H863" s="27" t="s">
        <v>5117</v>
      </c>
      <c r="I863" s="27" t="s">
        <v>5039</v>
      </c>
      <c r="J863" s="27" t="s">
        <v>320</v>
      </c>
    </row>
    <row r="864" spans="1:10" x14ac:dyDescent="0.3">
      <c r="A864" s="27" t="s">
        <v>5054</v>
      </c>
      <c r="D864" s="27" t="s">
        <v>74</v>
      </c>
      <c r="E864" s="27" t="s">
        <v>296</v>
      </c>
      <c r="F864" s="27" t="s">
        <v>4997</v>
      </c>
      <c r="G864" s="27" t="s">
        <v>369</v>
      </c>
      <c r="H864" s="27" t="s">
        <v>5117</v>
      </c>
      <c r="I864" s="27" t="s">
        <v>5039</v>
      </c>
      <c r="J864" s="27" t="s">
        <v>320</v>
      </c>
    </row>
    <row r="865" spans="1:10" x14ac:dyDescent="0.3">
      <c r="A865" s="27" t="s">
        <v>5054</v>
      </c>
      <c r="D865" s="27" t="s">
        <v>74</v>
      </c>
      <c r="E865" s="27" t="s">
        <v>296</v>
      </c>
      <c r="F865" s="27" t="s">
        <v>4997</v>
      </c>
      <c r="G865" s="27" t="s">
        <v>369</v>
      </c>
      <c r="H865" s="27" t="s">
        <v>5117</v>
      </c>
      <c r="I865" s="27" t="s">
        <v>5039</v>
      </c>
      <c r="J865" s="27" t="s">
        <v>320</v>
      </c>
    </row>
    <row r="866" spans="1:10" x14ac:dyDescent="0.3">
      <c r="A866" s="27" t="s">
        <v>5089</v>
      </c>
      <c r="D866" s="27" t="s">
        <v>296</v>
      </c>
      <c r="E866" s="27" t="s">
        <v>369</v>
      </c>
      <c r="F866" s="27" t="s">
        <v>5117</v>
      </c>
      <c r="G866" s="27" t="s">
        <v>5039</v>
      </c>
    </row>
    <row r="867" spans="1:10" x14ac:dyDescent="0.3">
      <c r="A867" s="27" t="s">
        <v>5090</v>
      </c>
      <c r="D867" s="27" t="s">
        <v>296</v>
      </c>
      <c r="E867" s="27" t="s">
        <v>4997</v>
      </c>
      <c r="F867" s="27" t="s">
        <v>369</v>
      </c>
      <c r="G867" s="27" t="s">
        <v>5117</v>
      </c>
    </row>
    <row r="868" spans="1:10" x14ac:dyDescent="0.3">
      <c r="A868" s="27" t="s">
        <v>5041</v>
      </c>
      <c r="D868" s="27" t="s">
        <v>296</v>
      </c>
      <c r="E868" s="27" t="s">
        <v>4997</v>
      </c>
      <c r="F868" s="27" t="s">
        <v>5117</v>
      </c>
    </row>
    <row r="869" spans="1:10" x14ac:dyDescent="0.3">
      <c r="A869" s="27" t="s">
        <v>5041</v>
      </c>
      <c r="D869" s="27" t="s">
        <v>296</v>
      </c>
      <c r="E869" s="27" t="s">
        <v>4997</v>
      </c>
      <c r="F869" s="27" t="s">
        <v>5117</v>
      </c>
    </row>
    <row r="870" spans="1:10" x14ac:dyDescent="0.3">
      <c r="A870" s="27" t="s">
        <v>5041</v>
      </c>
      <c r="D870" s="27" t="s">
        <v>296</v>
      </c>
      <c r="E870" s="27" t="s">
        <v>4997</v>
      </c>
      <c r="F870" s="27" t="s">
        <v>5117</v>
      </c>
    </row>
    <row r="871" spans="1:10" x14ac:dyDescent="0.3">
      <c r="A871" s="27" t="s">
        <v>5041</v>
      </c>
      <c r="D871" s="27" t="s">
        <v>296</v>
      </c>
      <c r="E871" s="27" t="s">
        <v>4997</v>
      </c>
      <c r="F871" s="27" t="s">
        <v>5117</v>
      </c>
    </row>
    <row r="872" spans="1:10" x14ac:dyDescent="0.3">
      <c r="A872" s="27" t="s">
        <v>5041</v>
      </c>
      <c r="D872" s="27" t="s">
        <v>296</v>
      </c>
      <c r="E872" s="27" t="s">
        <v>4997</v>
      </c>
      <c r="F872" s="27" t="s">
        <v>5117</v>
      </c>
    </row>
    <row r="873" spans="1:10" x14ac:dyDescent="0.3">
      <c r="A873" s="27" t="s">
        <v>5054</v>
      </c>
      <c r="D873" s="27" t="s">
        <v>74</v>
      </c>
      <c r="E873" s="27" t="s">
        <v>296</v>
      </c>
      <c r="F873" s="27" t="s">
        <v>4997</v>
      </c>
      <c r="G873" s="27" t="s">
        <v>369</v>
      </c>
      <c r="H873" s="27" t="s">
        <v>5117</v>
      </c>
      <c r="I873" s="27" t="s">
        <v>5039</v>
      </c>
      <c r="J873" s="27" t="s">
        <v>320</v>
      </c>
    </row>
    <row r="874" spans="1:10" x14ac:dyDescent="0.3">
      <c r="A874" s="27" t="s">
        <v>5090</v>
      </c>
      <c r="D874" s="27" t="s">
        <v>296</v>
      </c>
      <c r="E874" s="27" t="s">
        <v>4997</v>
      </c>
      <c r="F874" s="27" t="s">
        <v>369</v>
      </c>
      <c r="G874" s="27" t="s">
        <v>5117</v>
      </c>
    </row>
    <row r="875" spans="1:10" x14ac:dyDescent="0.3">
      <c r="A875" s="27" t="s">
        <v>5051</v>
      </c>
      <c r="D875" s="27" t="s">
        <v>74</v>
      </c>
      <c r="E875" s="27" t="s">
        <v>296</v>
      </c>
      <c r="F875" s="27" t="s">
        <v>5039</v>
      </c>
    </row>
    <row r="876" spans="1:10" x14ac:dyDescent="0.3">
      <c r="A876" s="27" t="s">
        <v>5057</v>
      </c>
      <c r="D876" s="27" t="s">
        <v>74</v>
      </c>
      <c r="E876" s="27" t="s">
        <v>5117</v>
      </c>
      <c r="F876" s="27" t="s">
        <v>5039</v>
      </c>
    </row>
    <row r="877" spans="1:10" x14ac:dyDescent="0.3">
      <c r="A877" s="27" t="s">
        <v>5058</v>
      </c>
      <c r="D877" s="27" t="s">
        <v>74</v>
      </c>
      <c r="E877" s="27" t="s">
        <v>296</v>
      </c>
      <c r="F877" s="27" t="s">
        <v>5117</v>
      </c>
    </row>
    <row r="878" spans="1:10" x14ac:dyDescent="0.3">
      <c r="A878" s="27" t="s">
        <v>5055</v>
      </c>
      <c r="D878" s="27" t="s">
        <v>296</v>
      </c>
      <c r="E878" s="27" t="s">
        <v>369</v>
      </c>
      <c r="F878" s="27" t="s">
        <v>5117</v>
      </c>
    </row>
    <row r="879" spans="1:10" x14ac:dyDescent="0.3">
      <c r="A879" s="27" t="s">
        <v>5054</v>
      </c>
      <c r="D879" s="27" t="s">
        <v>74</v>
      </c>
      <c r="E879" s="27" t="s">
        <v>296</v>
      </c>
      <c r="F879" s="27" t="s">
        <v>4997</v>
      </c>
      <c r="G879" s="27" t="s">
        <v>369</v>
      </c>
      <c r="H879" s="27" t="s">
        <v>5117</v>
      </c>
      <c r="I879" s="27" t="s">
        <v>5039</v>
      </c>
      <c r="J879" s="27" t="s">
        <v>320</v>
      </c>
    </row>
    <row r="880" spans="1:10" x14ac:dyDescent="0.3">
      <c r="A880" s="27" t="s">
        <v>5102</v>
      </c>
      <c r="D880" s="27" t="s">
        <v>74</v>
      </c>
      <c r="E880" s="27" t="s">
        <v>296</v>
      </c>
      <c r="F880" s="27" t="s">
        <v>4997</v>
      </c>
      <c r="G880" s="27" t="s">
        <v>369</v>
      </c>
      <c r="H880" s="27" t="s">
        <v>5117</v>
      </c>
    </row>
    <row r="881" spans="1:10" x14ac:dyDescent="0.3">
      <c r="A881" s="27" t="s">
        <v>5058</v>
      </c>
      <c r="D881" s="27" t="s">
        <v>74</v>
      </c>
      <c r="E881" s="27" t="s">
        <v>296</v>
      </c>
      <c r="F881" s="27" t="s">
        <v>5117</v>
      </c>
    </row>
    <row r="882" spans="1:10" x14ac:dyDescent="0.3">
      <c r="A882" s="27" t="s">
        <v>5054</v>
      </c>
      <c r="D882" s="27" t="s">
        <v>74</v>
      </c>
      <c r="E882" s="27" t="s">
        <v>296</v>
      </c>
      <c r="F882" s="27" t="s">
        <v>4997</v>
      </c>
      <c r="G882" s="27" t="s">
        <v>369</v>
      </c>
      <c r="H882" s="27" t="s">
        <v>5117</v>
      </c>
      <c r="I882" s="27" t="s">
        <v>5039</v>
      </c>
      <c r="J882" s="27" t="s">
        <v>320</v>
      </c>
    </row>
    <row r="883" spans="1:10" x14ac:dyDescent="0.3">
      <c r="A883" s="27" t="s">
        <v>5051</v>
      </c>
      <c r="D883" s="27" t="s">
        <v>74</v>
      </c>
      <c r="E883" s="27" t="s">
        <v>296</v>
      </c>
      <c r="F883" s="27" t="s">
        <v>5039</v>
      </c>
    </row>
    <row r="884" spans="1:10" x14ac:dyDescent="0.3">
      <c r="A884" s="27" t="s">
        <v>5042</v>
      </c>
      <c r="D884" s="27" t="s">
        <v>74</v>
      </c>
      <c r="E884" s="27" t="s">
        <v>296</v>
      </c>
      <c r="F884" s="27" t="s">
        <v>4997</v>
      </c>
    </row>
    <row r="885" spans="1:10" x14ac:dyDescent="0.3">
      <c r="A885" s="27" t="s">
        <v>5068</v>
      </c>
      <c r="D885" s="27" t="s">
        <v>74</v>
      </c>
      <c r="E885" s="27" t="s">
        <v>4997</v>
      </c>
      <c r="F885" s="27" t="s">
        <v>369</v>
      </c>
    </row>
    <row r="886" spans="1:10" x14ac:dyDescent="0.3">
      <c r="A886" s="27" t="s">
        <v>5062</v>
      </c>
      <c r="D886" s="27" t="s">
        <v>296</v>
      </c>
      <c r="E886" s="27" t="s">
        <v>5117</v>
      </c>
      <c r="F886" s="27" t="s">
        <v>5039</v>
      </c>
    </row>
    <row r="887" spans="1:10" x14ac:dyDescent="0.3">
      <c r="A887" s="27" t="s">
        <v>5058</v>
      </c>
      <c r="D887" s="27" t="s">
        <v>74</v>
      </c>
      <c r="E887" s="27" t="s">
        <v>296</v>
      </c>
      <c r="F887" s="27" t="s">
        <v>5117</v>
      </c>
    </row>
    <row r="888" spans="1:10" x14ac:dyDescent="0.3">
      <c r="A888" s="27" t="s">
        <v>5078</v>
      </c>
      <c r="D888" s="27" t="s">
        <v>74</v>
      </c>
      <c r="E888" s="27" t="s">
        <v>296</v>
      </c>
      <c r="F888" s="27" t="s">
        <v>369</v>
      </c>
      <c r="G888" s="27" t="s">
        <v>5117</v>
      </c>
    </row>
    <row r="889" spans="1:10" x14ac:dyDescent="0.3">
      <c r="A889" s="27" t="s">
        <v>5078</v>
      </c>
      <c r="D889" s="27" t="s">
        <v>74</v>
      </c>
      <c r="E889" s="27" t="s">
        <v>296</v>
      </c>
      <c r="F889" s="27" t="s">
        <v>369</v>
      </c>
      <c r="G889" s="27" t="s">
        <v>5117</v>
      </c>
    </row>
    <row r="890" spans="1:10" x14ac:dyDescent="0.3">
      <c r="A890" s="27" t="s">
        <v>5056</v>
      </c>
      <c r="D890" s="27" t="s">
        <v>74</v>
      </c>
      <c r="E890" s="27" t="s">
        <v>369</v>
      </c>
      <c r="F890" s="27" t="s">
        <v>5117</v>
      </c>
    </row>
    <row r="891" spans="1:10" x14ac:dyDescent="0.3">
      <c r="A891" s="27" t="s">
        <v>5078</v>
      </c>
      <c r="D891" s="27" t="s">
        <v>74</v>
      </c>
      <c r="E891" s="27" t="s">
        <v>296</v>
      </c>
      <c r="F891" s="27" t="s">
        <v>369</v>
      </c>
      <c r="G891" s="27" t="s">
        <v>5117</v>
      </c>
    </row>
    <row r="892" spans="1:10" x14ac:dyDescent="0.3">
      <c r="A892" s="27" t="s">
        <v>5054</v>
      </c>
      <c r="D892" s="27" t="s">
        <v>74</v>
      </c>
      <c r="E892" s="27" t="s">
        <v>296</v>
      </c>
      <c r="F892" s="27" t="s">
        <v>4997</v>
      </c>
      <c r="G892" s="27" t="s">
        <v>369</v>
      </c>
      <c r="H892" s="27" t="s">
        <v>5117</v>
      </c>
      <c r="I892" s="27" t="s">
        <v>5039</v>
      </c>
      <c r="J892" s="27" t="s">
        <v>320</v>
      </c>
    </row>
    <row r="893" spans="1:10" x14ac:dyDescent="0.3">
      <c r="A893" s="27" t="s">
        <v>5056</v>
      </c>
      <c r="D893" s="27" t="s">
        <v>74</v>
      </c>
      <c r="E893" s="27" t="s">
        <v>369</v>
      </c>
      <c r="F893" s="27" t="s">
        <v>5117</v>
      </c>
    </row>
    <row r="894" spans="1:10" x14ac:dyDescent="0.3">
      <c r="A894" s="27" t="s">
        <v>5090</v>
      </c>
      <c r="D894" s="27" t="s">
        <v>296</v>
      </c>
      <c r="E894" s="27" t="s">
        <v>4997</v>
      </c>
      <c r="F894" s="27" t="s">
        <v>369</v>
      </c>
      <c r="G894" s="27" t="s">
        <v>5117</v>
      </c>
    </row>
    <row r="895" spans="1:10" x14ac:dyDescent="0.3">
      <c r="A895" s="27" t="s">
        <v>5051</v>
      </c>
      <c r="D895" s="27" t="s">
        <v>74</v>
      </c>
      <c r="E895" s="27" t="s">
        <v>296</v>
      </c>
      <c r="F895" s="27" t="s">
        <v>5039</v>
      </c>
    </row>
    <row r="896" spans="1:10" x14ac:dyDescent="0.3">
      <c r="A896" s="27" t="s">
        <v>5050</v>
      </c>
      <c r="D896" s="27" t="s">
        <v>74</v>
      </c>
      <c r="E896" s="27" t="s">
        <v>296</v>
      </c>
      <c r="F896" s="27" t="s">
        <v>369</v>
      </c>
    </row>
    <row r="897" spans="1:10" x14ac:dyDescent="0.3">
      <c r="A897" s="27" t="s">
        <v>5058</v>
      </c>
      <c r="D897" s="27" t="s">
        <v>74</v>
      </c>
      <c r="E897" s="27" t="s">
        <v>296</v>
      </c>
      <c r="F897" s="27" t="s">
        <v>5117</v>
      </c>
    </row>
    <row r="898" spans="1:10" x14ac:dyDescent="0.3">
      <c r="A898" s="27" t="s">
        <v>5078</v>
      </c>
      <c r="D898" s="27" t="s">
        <v>74</v>
      </c>
      <c r="E898" s="27" t="s">
        <v>296</v>
      </c>
      <c r="F898" s="27" t="s">
        <v>369</v>
      </c>
      <c r="G898" s="27" t="s">
        <v>5117</v>
      </c>
    </row>
    <row r="899" spans="1:10" x14ac:dyDescent="0.3">
      <c r="A899" s="27" t="s">
        <v>5069</v>
      </c>
      <c r="D899" s="27" t="s">
        <v>296</v>
      </c>
      <c r="E899" s="27" t="s">
        <v>4997</v>
      </c>
      <c r="F899" s="27" t="s">
        <v>369</v>
      </c>
    </row>
    <row r="900" spans="1:10" x14ac:dyDescent="0.3">
      <c r="A900" s="27" t="s">
        <v>5050</v>
      </c>
      <c r="D900" s="27" t="s">
        <v>74</v>
      </c>
      <c r="E900" s="27" t="s">
        <v>296</v>
      </c>
      <c r="F900" s="27" t="s">
        <v>369</v>
      </c>
    </row>
    <row r="901" spans="1:10" x14ac:dyDescent="0.3">
      <c r="A901" s="27" t="s">
        <v>5055</v>
      </c>
      <c r="D901" s="27" t="s">
        <v>296</v>
      </c>
      <c r="E901" s="27" t="s">
        <v>369</v>
      </c>
      <c r="F901" s="27" t="s">
        <v>5117</v>
      </c>
    </row>
    <row r="902" spans="1:10" x14ac:dyDescent="0.3">
      <c r="A902" s="27" t="s">
        <v>5056</v>
      </c>
      <c r="D902" s="27" t="s">
        <v>74</v>
      </c>
      <c r="E902" s="27" t="s">
        <v>369</v>
      </c>
      <c r="F902" s="27" t="s">
        <v>5117</v>
      </c>
    </row>
    <row r="903" spans="1:10" x14ac:dyDescent="0.3">
      <c r="A903" s="27" t="s">
        <v>5054</v>
      </c>
      <c r="D903" s="27" t="s">
        <v>74</v>
      </c>
      <c r="E903" s="27" t="s">
        <v>296</v>
      </c>
      <c r="F903" s="27" t="s">
        <v>4997</v>
      </c>
      <c r="G903" s="27" t="s">
        <v>369</v>
      </c>
      <c r="H903" s="27" t="s">
        <v>5117</v>
      </c>
      <c r="I903" s="27" t="s">
        <v>5039</v>
      </c>
      <c r="J903" s="27" t="s">
        <v>320</v>
      </c>
    </row>
    <row r="904" spans="1:10" x14ac:dyDescent="0.3">
      <c r="A904" s="27" t="s">
        <v>4997</v>
      </c>
      <c r="D904" s="27" t="s">
        <v>4997</v>
      </c>
    </row>
    <row r="905" spans="1:10" x14ac:dyDescent="0.3">
      <c r="A905" s="27" t="s">
        <v>5056</v>
      </c>
      <c r="D905" s="27" t="s">
        <v>74</v>
      </c>
      <c r="E905" s="27" t="s">
        <v>369</v>
      </c>
      <c r="F905" s="27" t="s">
        <v>5117</v>
      </c>
    </row>
    <row r="906" spans="1:10" x14ac:dyDescent="0.3">
      <c r="A906" s="27" t="s">
        <v>5056</v>
      </c>
      <c r="D906" s="27" t="s">
        <v>74</v>
      </c>
      <c r="E906" s="27" t="s">
        <v>369</v>
      </c>
      <c r="F906" s="27" t="s">
        <v>5117</v>
      </c>
    </row>
    <row r="907" spans="1:10" x14ac:dyDescent="0.3">
      <c r="A907" s="27" t="s">
        <v>5040</v>
      </c>
      <c r="D907" s="27" t="s">
        <v>369</v>
      </c>
      <c r="E907" s="27" t="s">
        <v>5117</v>
      </c>
      <c r="F907" s="27" t="s">
        <v>320</v>
      </c>
    </row>
    <row r="908" spans="1:10" x14ac:dyDescent="0.3">
      <c r="A908" s="27" t="s">
        <v>5081</v>
      </c>
      <c r="D908" s="27" t="s">
        <v>74</v>
      </c>
      <c r="E908" s="27" t="s">
        <v>296</v>
      </c>
      <c r="F908" s="27" t="s">
        <v>4997</v>
      </c>
      <c r="G908" s="27" t="s">
        <v>369</v>
      </c>
    </row>
    <row r="909" spans="1:10" x14ac:dyDescent="0.3">
      <c r="A909" s="27" t="s">
        <v>5058</v>
      </c>
      <c r="D909" s="27" t="s">
        <v>74</v>
      </c>
      <c r="E909" s="27" t="s">
        <v>296</v>
      </c>
      <c r="F909" s="27" t="s">
        <v>5117</v>
      </c>
    </row>
    <row r="910" spans="1:10" x14ac:dyDescent="0.3">
      <c r="A910" s="27" t="s">
        <v>5050</v>
      </c>
      <c r="D910" s="27" t="s">
        <v>74</v>
      </c>
      <c r="E910" s="27" t="s">
        <v>296</v>
      </c>
      <c r="F910" s="27" t="s">
        <v>369</v>
      </c>
    </row>
    <row r="911" spans="1:10" x14ac:dyDescent="0.3">
      <c r="A911" s="27" t="s">
        <v>5058</v>
      </c>
      <c r="D911" s="27" t="s">
        <v>74</v>
      </c>
      <c r="E911" s="27" t="s">
        <v>296</v>
      </c>
      <c r="F911" s="27" t="s">
        <v>5117</v>
      </c>
    </row>
  </sheetData>
  <conditionalFormatting sqref="A912:A1048576">
    <cfRule type="duplicateValues" dxfId="24" priority="2"/>
  </conditionalFormatting>
  <conditionalFormatting sqref="D912:D1048576">
    <cfRule type="duplicateValues" dxfId="23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Sampling</vt:lpstr>
      <vt:lpstr>Factor</vt:lpstr>
      <vt:lpstr>Pivot</vt:lpstr>
      <vt:lpstr>Data</vt:lpstr>
      <vt:lpstr>Factor Pivots</vt:lpstr>
      <vt:lpstr>Devp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Kumar</dc:creator>
  <cp:lastModifiedBy>Lokesh Kumar</cp:lastModifiedBy>
  <dcterms:created xsi:type="dcterms:W3CDTF">2026-01-24T15:10:17Z</dcterms:created>
  <dcterms:modified xsi:type="dcterms:W3CDTF">2026-01-28T07:56:40Z</dcterms:modified>
</cp:coreProperties>
</file>